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04BD550C-4EB9-4305-944E-259FF894463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Comparison" sheetId="1" r:id="rId1"/>
    <sheet name="Parameters" sheetId="5" r:id="rId2"/>
    <sheet name="Samples" sheetId="7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" i="5" l="1"/>
  <c r="E17" i="7" l="1"/>
  <c r="E16" i="7"/>
  <c r="E15" i="7"/>
  <c r="E14" i="7"/>
  <c r="E13" i="7"/>
  <c r="E12" i="7"/>
  <c r="K11" i="7"/>
  <c r="E11" i="7"/>
  <c r="K10" i="7"/>
  <c r="E10" i="7"/>
  <c r="K9" i="7"/>
  <c r="E9" i="7"/>
  <c r="K8" i="7"/>
  <c r="E8" i="7"/>
  <c r="K7" i="7"/>
  <c r="E7" i="7"/>
  <c r="K6" i="7"/>
  <c r="E6" i="7"/>
  <c r="H34" i="5"/>
  <c r="I33" i="5"/>
  <c r="H33" i="5" s="1"/>
  <c r="I32" i="5"/>
  <c r="H32" i="5" s="1"/>
  <c r="I31" i="5"/>
  <c r="H31" i="5" s="1"/>
  <c r="I30" i="5"/>
  <c r="H30" i="5" s="1"/>
  <c r="I29" i="5"/>
  <c r="H29" i="5" s="1"/>
  <c r="I28" i="5"/>
  <c r="H28" i="5"/>
  <c r="I27" i="5"/>
  <c r="H27" i="5"/>
  <c r="I26" i="5"/>
  <c r="H26" i="5"/>
  <c r="I25" i="5"/>
  <c r="H25" i="5"/>
  <c r="I24" i="5"/>
  <c r="H24" i="5"/>
  <c r="I23" i="5"/>
  <c r="H23" i="5"/>
  <c r="H18" i="5"/>
  <c r="G18" i="5" s="1"/>
  <c r="H17" i="5"/>
  <c r="G17" i="5" s="1"/>
  <c r="E12" i="5"/>
  <c r="E10" i="5"/>
  <c r="E9" i="5"/>
  <c r="E7" i="5"/>
  <c r="K15" i="7" l="1"/>
  <c r="K12" i="7"/>
  <c r="K16" i="7"/>
  <c r="K13" i="7"/>
  <c r="K17" i="7"/>
  <c r="K14" i="7"/>
  <c r="F8" i="7"/>
  <c r="G8" i="7" s="1"/>
  <c r="F12" i="7"/>
  <c r="G12" i="7" s="1"/>
  <c r="F13" i="7"/>
  <c r="G13" i="7" s="1"/>
  <c r="F14" i="7"/>
  <c r="G14" i="7" s="1"/>
  <c r="F6" i="7"/>
  <c r="G6" i="7" s="1"/>
  <c r="F7" i="7"/>
  <c r="G7" i="7" s="1"/>
  <c r="F17" i="7"/>
  <c r="G17" i="7" s="1"/>
  <c r="F9" i="7"/>
  <c r="G9" i="7" s="1"/>
  <c r="F10" i="7"/>
  <c r="G10" i="7" s="1"/>
  <c r="F11" i="7"/>
  <c r="G11" i="7" s="1"/>
  <c r="F16" i="7"/>
  <c r="G16" i="7" s="1"/>
  <c r="F15" i="7"/>
  <c r="G15" i="7" s="1"/>
  <c r="J15" i="7" l="1"/>
  <c r="D29" i="7" s="1"/>
  <c r="I15" i="7"/>
  <c r="D26" i="7" s="1"/>
  <c r="H15" i="7"/>
  <c r="D23" i="7" s="1"/>
  <c r="J7" i="7"/>
  <c r="C43" i="7" s="1"/>
  <c r="I7" i="7"/>
  <c r="C40" i="7" s="1"/>
  <c r="H7" i="7"/>
  <c r="C37" i="7" s="1"/>
  <c r="I6" i="7"/>
  <c r="C39" i="7" s="1"/>
  <c r="H6" i="7"/>
  <c r="J6" i="7"/>
  <c r="C42" i="7" s="1"/>
  <c r="J16" i="7"/>
  <c r="D30" i="7" s="1"/>
  <c r="I16" i="7"/>
  <c r="D27" i="7" s="1"/>
  <c r="H16" i="7"/>
  <c r="D24" i="7" s="1"/>
  <c r="J14" i="7"/>
  <c r="C31" i="7" s="1"/>
  <c r="I14" i="7"/>
  <c r="C28" i="7" s="1"/>
  <c r="H14" i="7"/>
  <c r="C25" i="7" s="1"/>
  <c r="J13" i="7"/>
  <c r="C30" i="7" s="1"/>
  <c r="H13" i="7"/>
  <c r="C24" i="7" s="1"/>
  <c r="I13" i="7"/>
  <c r="C27" i="7" s="1"/>
  <c r="J9" i="7"/>
  <c r="D42" i="7" s="1"/>
  <c r="I9" i="7"/>
  <c r="D39" i="7" s="1"/>
  <c r="H9" i="7"/>
  <c r="D36" i="7" s="1"/>
  <c r="J8" i="7"/>
  <c r="C44" i="7" s="1"/>
  <c r="I8" i="7"/>
  <c r="C41" i="7" s="1"/>
  <c r="H8" i="7"/>
  <c r="C38" i="7" s="1"/>
  <c r="J17" i="7"/>
  <c r="D31" i="7" s="1"/>
  <c r="I17" i="7"/>
  <c r="D28" i="7" s="1"/>
  <c r="H17" i="7"/>
  <c r="D25" i="7" s="1"/>
  <c r="I12" i="7"/>
  <c r="C26" i="7" s="1"/>
  <c r="J12" i="7"/>
  <c r="C29" i="7" s="1"/>
  <c r="H12" i="7"/>
  <c r="C23" i="7" s="1"/>
  <c r="H11" i="7"/>
  <c r="D38" i="7" s="1"/>
  <c r="I11" i="7"/>
  <c r="D41" i="7" s="1"/>
  <c r="J11" i="7"/>
  <c r="D44" i="7" s="1"/>
  <c r="H10" i="7"/>
  <c r="D37" i="7" s="1"/>
  <c r="J10" i="7"/>
  <c r="D43" i="7" s="1"/>
  <c r="I10" i="7"/>
  <c r="D40" i="7" s="1"/>
  <c r="C36" i="7" l="1"/>
  <c r="B5" i="1"/>
</calcChain>
</file>

<file path=xl/sharedStrings.xml><?xml version="1.0" encoding="utf-8"?>
<sst xmlns="http://schemas.openxmlformats.org/spreadsheetml/2006/main" count="319" uniqueCount="63">
  <si>
    <t>Astral · Anti-Roll Bar Stiffness</t>
  </si>
  <si>
    <t>区间等效轮端刚度 · 整段角运动比 · 对侧轮固定</t>
  </si>
  <si>
    <t>整段角运动比换算值；不代表行程内每一位置的瞬时刚度。</t>
  </si>
  <si>
    <t>Astral · ARB Parameters</t>
  </si>
  <si>
    <t>黄色单元格为手动输入。</t>
  </si>
  <si>
    <t>Axle</t>
  </si>
  <si>
    <t>Bar</t>
  </si>
  <si>
    <t>Diameter
(mm)</t>
  </si>
  <si>
    <t>Torsion
(N·m/rad)</t>
  </si>
  <si>
    <t>Front</t>
  </si>
  <si>
    <t>Soft</t>
  </si>
  <si>
    <t>Medium</t>
  </si>
  <si>
    <t>Hard</t>
  </si>
  <si>
    <t>Rear</t>
  </si>
  <si>
    <t>固定几何 · 生成位置 / 转轴</t>
  </si>
  <si>
    <t>节点使用车身相对坐标（m）；旋转半径按 Y/Z 计算。</t>
  </si>
  <si>
    <t>arb1 Start Y
(m)</t>
  </si>
  <si>
    <t>arb1 Start Z
(m)</t>
  </si>
  <si>
    <t>arb2 Y
(m)</t>
  </si>
  <si>
    <t>arb2 Z
(m)</t>
  </si>
  <si>
    <t>Start angle
(°)</t>
  </si>
  <si>
    <t>Radius
(mm)</t>
  </si>
  <si>
    <t>测量 · 每组填写轮行程和 arb1 终点</t>
  </si>
  <si>
    <t>Surface</t>
  </si>
  <si>
    <t>Position</t>
  </si>
  <si>
    <t>Wheel ΔZ
(mm)</t>
  </si>
  <si>
    <t>arb1 End Y
(m)</t>
  </si>
  <si>
    <t>arb1 End Z
(m)</t>
  </si>
  <si>
    <t>End angle
(°)</t>
  </si>
  <si>
    <t>Tarmac</t>
  </si>
  <si>
    <t>Inner</t>
  </si>
  <si>
    <t>Middle</t>
  </si>
  <si>
    <t>Outer</t>
  </si>
  <si>
    <t>Gravel</t>
  </si>
  <si>
    <t>原 Z 测量记录（不参与刚度计算）</t>
  </si>
  <si>
    <t>ARB ΔZ (mm)</t>
  </si>
  <si>
    <t>Original arm (mm)</t>
  </si>
  <si>
    <t>Astral · ARB Calculations</t>
  </si>
  <si>
    <t>Arm Δθ
(°)</t>
  </si>
  <si>
    <t>Angular MR
(rad/mm)</t>
  </si>
  <si>
    <t>Soft
(N/mm)</t>
  </si>
  <si>
    <t>Medium
(N/mm)</t>
  </si>
  <si>
    <t>Hard
(N/mm)</t>
  </si>
  <si>
    <t>Input</t>
  </si>
  <si>
    <t>Setting</t>
  </si>
  <si>
    <t>Soft Inner</t>
  </si>
  <si>
    <t>Soft Middle</t>
  </si>
  <si>
    <t>Soft Outer</t>
  </si>
  <si>
    <t>Medium Inner</t>
  </si>
  <si>
    <t>Medium Middle</t>
  </si>
  <si>
    <t>Medium Outer</t>
  </si>
  <si>
    <t>Hard Inner</t>
  </si>
  <si>
    <t>Hard Middle</t>
  </si>
  <si>
    <t>Hard Outer</t>
  </si>
  <si>
    <t>旧表原值</t>
  </si>
  <si>
    <t>Tarmac!I19</t>
  </si>
  <si>
    <t>Tarmac!J19</t>
  </si>
  <si>
    <t>Tarmac!K19</t>
  </si>
  <si>
    <t>Tarmac!I20</t>
  </si>
  <si>
    <t>Tarmac!J20</t>
  </si>
  <si>
    <t>Gravel!K6</t>
  </si>
  <si>
    <t>Gravel!K7</t>
  </si>
  <si>
    <t>Gravel!K8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</si>
</sst>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0"/>
    <numFmt numFmtId="178" formatCode="0.000"/>
    <numFmt numFmtId="179" formatCode="0.000000"/>
  </numFmts>
  <fonts count="15">
    <font>
      <sz val="11"/>
      <name val="Carlito"/>
    </font>
    <font>
      <sz val="11"/>
      <color rgb="FF283C50"/>
      <name val="Arial"/>
      <family val="2"/>
    </font>
    <font>
      <sz val="11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b/>
      <sz val="11"/>
      <color rgb="FFFFFFFF"/>
      <name val="Arial"/>
      <family val="2"/>
    </font>
    <font>
      <b/>
      <sz val="12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b/>
      <sz val="12"/>
      <color rgb="FF667B91"/>
      <name val="Microsoft YaHei"/>
      <family val="2"/>
      <charset val="134"/>
    </font>
    <font>
      <sz val="11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sz val="9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EDF2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1" fillId="2" borderId="0" xfId="0" applyFont="1" applyFill="1" applyAlignment="1">
      <alignment vertical="center"/>
    </xf>
  </cellStyleXfs>
  <cellXfs count="35">
    <xf numFmtId="0" fontId="0" fillId="0" borderId="0" xfId="0"/>
    <xf numFmtId="0" fontId="1" fillId="2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2" fontId="1" fillId="2" borderId="1" xfId="0" applyNumberFormat="1" applyFont="1" applyFill="1" applyBorder="1" applyAlignment="1">
      <alignment vertical="center"/>
    </xf>
    <xf numFmtId="2" fontId="1" fillId="4" borderId="1" xfId="0" applyNumberFormat="1" applyFont="1" applyFill="1" applyBorder="1" applyAlignment="1">
      <alignment vertical="center"/>
    </xf>
    <xf numFmtId="176" fontId="1" fillId="2" borderId="1" xfId="0" applyNumberFormat="1" applyFont="1" applyFill="1" applyBorder="1" applyAlignment="1">
      <alignment vertical="center"/>
    </xf>
    <xf numFmtId="176" fontId="1" fillId="4" borderId="1" xfId="0" applyNumberFormat="1" applyFont="1" applyFill="1" applyBorder="1" applyAlignment="1">
      <alignment vertical="center"/>
    </xf>
    <xf numFmtId="178" fontId="1" fillId="2" borderId="1" xfId="0" applyNumberFormat="1" applyFont="1" applyFill="1" applyBorder="1" applyAlignment="1">
      <alignment vertical="center"/>
    </xf>
    <xf numFmtId="178" fontId="1" fillId="4" borderId="1" xfId="0" applyNumberFormat="1" applyFont="1" applyFill="1" applyBorder="1" applyAlignment="1">
      <alignment vertical="center"/>
    </xf>
    <xf numFmtId="179" fontId="1" fillId="2" borderId="1" xfId="0" applyNumberFormat="1" applyFont="1" applyFill="1" applyBorder="1" applyAlignment="1">
      <alignment vertical="center"/>
    </xf>
    <xf numFmtId="179" fontId="1" fillId="4" borderId="1" xfId="0" applyNumberFormat="1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7" fillId="6" borderId="2" xfId="1" applyFont="1" applyFill="1" applyBorder="1">
      <alignment vertical="center"/>
    </xf>
    <xf numFmtId="0" fontId="9" fillId="7" borderId="2" xfId="1" applyFont="1" applyFill="1" applyBorder="1" applyAlignment="1">
      <alignment horizontal="center" vertical="center" wrapText="1"/>
    </xf>
    <xf numFmtId="0" fontId="7" fillId="8" borderId="3" xfId="1" applyFont="1" applyFill="1" applyBorder="1">
      <alignment vertical="center"/>
    </xf>
    <xf numFmtId="0" fontId="7" fillId="6" borderId="3" xfId="1" applyFont="1" applyFill="1" applyBorder="1">
      <alignment vertical="center"/>
    </xf>
    <xf numFmtId="176" fontId="10" fillId="9" borderId="3" xfId="1" applyNumberFormat="1" applyFont="1" applyFill="1" applyBorder="1" applyAlignment="1">
      <alignment horizontal="right" vertical="center"/>
    </xf>
    <xf numFmtId="1" fontId="10" fillId="9" borderId="3" xfId="1" applyNumberFormat="1" applyFont="1" applyFill="1" applyBorder="1" applyAlignment="1">
      <alignment horizontal="right" vertical="center"/>
    </xf>
    <xf numFmtId="1" fontId="7" fillId="8" borderId="3" xfId="1" applyNumberFormat="1" applyFont="1" applyFill="1" applyBorder="1">
      <alignment vertical="center"/>
    </xf>
    <xf numFmtId="1" fontId="7" fillId="6" borderId="3" xfId="1" applyNumberFormat="1" applyFont="1" applyFill="1" applyBorder="1">
      <alignment vertical="center"/>
    </xf>
    <xf numFmtId="177" fontId="10" fillId="9" borderId="3" xfId="1" applyNumberFormat="1" applyFont="1" applyFill="1" applyBorder="1" applyAlignment="1">
      <alignment horizontal="right" vertical="center"/>
    </xf>
    <xf numFmtId="2" fontId="7" fillId="8" borderId="3" xfId="1" applyNumberFormat="1" applyFont="1" applyFill="1" applyBorder="1">
      <alignment vertical="center"/>
    </xf>
    <xf numFmtId="2" fontId="7" fillId="6" borderId="3" xfId="1" applyNumberFormat="1" applyFont="1" applyFill="1" applyBorder="1">
      <alignment vertical="center"/>
    </xf>
    <xf numFmtId="176" fontId="7" fillId="8" borderId="3" xfId="1" applyNumberFormat="1" applyFont="1" applyFill="1" applyBorder="1">
      <alignment vertical="center"/>
    </xf>
    <xf numFmtId="176" fontId="7" fillId="6" borderId="3" xfId="1" applyNumberFormat="1" applyFont="1" applyFill="1" applyBorder="1">
      <alignment vertical="center"/>
    </xf>
    <xf numFmtId="0" fontId="5" fillId="5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11" fillId="10" borderId="2" xfId="1" applyFont="1" applyFill="1" applyBorder="1">
      <alignment vertical="center"/>
    </xf>
    <xf numFmtId="0" fontId="8" fillId="6" borderId="2" xfId="1" applyFont="1" applyFill="1" applyBorder="1">
      <alignment vertical="center"/>
    </xf>
    <xf numFmtId="0" fontId="12" fillId="6" borderId="2" xfId="1" applyFont="1" applyFill="1" applyBorder="1">
      <alignment vertical="center"/>
    </xf>
    <xf numFmtId="0" fontId="13" fillId="6" borderId="2" xfId="1" applyFont="1" applyFill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Gravel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Samples!$C$23:$C$31</c:f>
              <c:numCache>
                <c:formatCode>0.00</c:formatCode>
                <c:ptCount val="9"/>
                <c:pt idx="0">
                  <c:v>4.871853581135178</c:v>
                </c:pt>
                <c:pt idx="1">
                  <c:v>4.979056864038502</c:v>
                </c:pt>
                <c:pt idx="2">
                  <c:v>5.1101670255576179</c:v>
                </c:pt>
                <c:pt idx="3">
                  <c:v>10.288059697803645</c:v>
                </c:pt>
                <c:pt idx="4">
                  <c:v>10.514444533871099</c:v>
                </c:pt>
                <c:pt idx="5">
                  <c:v>10.791314342504192</c:v>
                </c:pt>
                <c:pt idx="6">
                  <c:v>18.936436183123369</c:v>
                </c:pt>
                <c:pt idx="7">
                  <c:v>19.353125250541339</c:v>
                </c:pt>
                <c:pt idx="8">
                  <c:v>19.862738104297762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768-BF96-7948BCA9D847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Samples!$D$23:$D$31</c:f>
              <c:numCache>
                <c:formatCode>0.00</c:formatCode>
                <c:ptCount val="9"/>
                <c:pt idx="0">
                  <c:v>10.130884546881639</c:v>
                </c:pt>
                <c:pt idx="1">
                  <c:v>11.463956873691107</c:v>
                </c:pt>
                <c:pt idx="2">
                  <c:v>12.876541493683991</c:v>
                </c:pt>
                <c:pt idx="3">
                  <c:v>20.835034678470446</c:v>
                </c:pt>
                <c:pt idx="4">
                  <c:v>23.576612477472587</c:v>
                </c:pt>
                <c:pt idx="5">
                  <c:v>26.481714140375743</c:v>
                </c:pt>
                <c:pt idx="6">
                  <c:v>35.087821313012348</c:v>
                </c:pt>
                <c:pt idx="7">
                  <c:v>39.704851877713608</c:v>
                </c:pt>
                <c:pt idx="8">
                  <c:v>44.597269366675718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C9-4768-BF96-7948BCA9D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Tarmac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Samples!$C$36:$C$44</c:f>
              <c:numCache>
                <c:formatCode>0.00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BB-4CCD-8C49-F210734FBB33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Samples!$D$36:$D$44</c:f>
              <c:numCache>
                <c:formatCode>0.00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BB-4CCD-8C49-F210734F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9"/>
  <sheetViews>
    <sheetView showGridLines="0" topLeftCell="A2" zoomScale="115" zoomScaleNormal="115" workbookViewId="0"/>
  </sheetViews>
  <sheetFormatPr defaultRowHeight="14.25"/>
  <cols>
    <col min="1" max="1" width="2.75" customWidth="1"/>
    <col min="2" max="14" width="10" customWidth="1"/>
    <col min="15" max="15" width="10.5" customWidth="1"/>
  </cols>
  <sheetData>
    <row r="1" spans="1:15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1" customHeight="1">
      <c r="A2" s="1"/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1" t="s">
        <v>0</v>
      </c>
      <c r="N2" s="1" t="s">
        <v>0</v>
      </c>
      <c r="O2" s="1"/>
    </row>
    <row r="3" spans="1:15" ht="26.1" customHeight="1">
      <c r="A3" s="1"/>
      <c r="B3" s="1" t="s">
        <v>0</v>
      </c>
      <c r="C3" s="1" t="s">
        <v>0</v>
      </c>
      <c r="D3" s="1" t="s">
        <v>0</v>
      </c>
      <c r="E3" s="1" t="s">
        <v>0</v>
      </c>
      <c r="F3" s="1" t="s">
        <v>0</v>
      </c>
      <c r="G3" s="1" t="s">
        <v>0</v>
      </c>
      <c r="H3" s="1" t="s">
        <v>0</v>
      </c>
      <c r="I3" s="1" t="s">
        <v>0</v>
      </c>
      <c r="J3" s="1" t="s">
        <v>0</v>
      </c>
      <c r="K3" s="1" t="s">
        <v>0</v>
      </c>
      <c r="L3" s="1" t="s">
        <v>0</v>
      </c>
      <c r="M3" s="1" t="s">
        <v>0</v>
      </c>
      <c r="N3" s="1" t="s">
        <v>0</v>
      </c>
      <c r="O3" s="1"/>
    </row>
    <row r="4" spans="1:15" ht="26.1" customHeight="1">
      <c r="A4" s="1"/>
      <c r="B4" s="29" t="s">
        <v>1</v>
      </c>
      <c r="C4" s="29" t="s">
        <v>1</v>
      </c>
      <c r="D4" s="29" t="s">
        <v>1</v>
      </c>
      <c r="E4" s="29" t="s">
        <v>1</v>
      </c>
      <c r="F4" s="29" t="s">
        <v>1</v>
      </c>
      <c r="G4" s="29" t="s">
        <v>1</v>
      </c>
      <c r="H4" s="29" t="s">
        <v>1</v>
      </c>
      <c r="I4" s="29" t="s">
        <v>1</v>
      </c>
      <c r="J4" s="29" t="s">
        <v>1</v>
      </c>
      <c r="K4" s="29" t="s">
        <v>1</v>
      </c>
      <c r="L4" s="29" t="s">
        <v>1</v>
      </c>
      <c r="M4" s="29" t="s">
        <v>1</v>
      </c>
      <c r="N4" s="29" t="s">
        <v>1</v>
      </c>
      <c r="O4" s="1"/>
    </row>
    <row r="5" spans="1:15" ht="26.1" customHeight="1">
      <c r="A5" s="1"/>
      <c r="B5" s="30" t="str">
        <f>IF(COUNT(Samples!H6:J17)=0,"待补节点坐标；暂无刚度结果。","")</f>
        <v/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1"/>
    </row>
    <row r="6" spans="1:15" ht="26.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6.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6.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6.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6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6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6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6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6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6.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6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6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6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6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6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6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6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6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6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6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6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6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6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6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6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6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6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6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6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6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6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6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6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6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26.1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26.1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26.1" customHeight="1">
      <c r="A49" s="1"/>
      <c r="B49" s="30" t="s">
        <v>2</v>
      </c>
      <c r="C49" s="30" t="s">
        <v>2</v>
      </c>
      <c r="D49" s="30" t="s">
        <v>2</v>
      </c>
      <c r="E49" s="30" t="s">
        <v>2</v>
      </c>
      <c r="F49" s="30" t="s">
        <v>2</v>
      </c>
      <c r="G49" s="30" t="s">
        <v>2</v>
      </c>
      <c r="H49" s="30" t="s">
        <v>2</v>
      </c>
      <c r="I49" s="30" t="s">
        <v>2</v>
      </c>
      <c r="J49" s="30" t="s">
        <v>2</v>
      </c>
      <c r="K49" s="30" t="s">
        <v>2</v>
      </c>
      <c r="L49" s="30" t="s">
        <v>2</v>
      </c>
      <c r="M49" s="30" t="s">
        <v>2</v>
      </c>
      <c r="N49" s="30" t="s">
        <v>2</v>
      </c>
      <c r="O49" s="1"/>
    </row>
  </sheetData>
  <mergeCells count="4">
    <mergeCell ref="B2:N3"/>
    <mergeCell ref="B4:N4"/>
    <mergeCell ref="B5:N5"/>
    <mergeCell ref="B49:N49"/>
  </mergeCells>
  <phoneticPr fontId="14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N118"/>
  <sheetViews>
    <sheetView showGridLines="0" tabSelected="1" zoomScale="130" zoomScaleNormal="130" workbookViewId="0">
      <pane ySplit="4" topLeftCell="A19" activePane="bottomLeft" state="frozen"/>
      <selection pane="bottomLeft" activeCell="E36" sqref="E36"/>
    </sheetView>
  </sheetViews>
  <sheetFormatPr defaultRowHeight="14.25"/>
  <cols>
    <col min="1" max="1" width="2.75" customWidth="1"/>
    <col min="2" max="2" width="13.5" customWidth="1"/>
    <col min="3" max="3" width="13.75" customWidth="1"/>
    <col min="4" max="4" width="15.5" customWidth="1"/>
    <col min="5" max="5" width="18.125" customWidth="1"/>
    <col min="6" max="7" width="16.5" customWidth="1"/>
    <col min="8" max="9" width="15.625" customWidth="1"/>
    <col min="10" max="10" width="2.75" customWidth="1"/>
    <col min="11" max="14" width="10" customWidth="1"/>
    <col min="15" max="15" width="10.5" customWidth="1"/>
  </cols>
  <sheetData>
    <row r="1" spans="1:10" ht="27" customHeight="1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ht="27" customHeight="1">
      <c r="A2" s="15"/>
      <c r="B2" s="32" t="s">
        <v>3</v>
      </c>
      <c r="C2" s="32" t="s">
        <v>3</v>
      </c>
      <c r="D2" s="32" t="s">
        <v>3</v>
      </c>
      <c r="E2" s="32" t="s">
        <v>3</v>
      </c>
      <c r="F2" s="32" t="s">
        <v>3</v>
      </c>
      <c r="G2" s="32" t="s">
        <v>3</v>
      </c>
      <c r="H2" s="32" t="s">
        <v>3</v>
      </c>
      <c r="I2" s="32" t="s">
        <v>3</v>
      </c>
      <c r="J2" s="15"/>
    </row>
    <row r="3" spans="1:10" ht="27" customHeight="1">
      <c r="A3" s="15"/>
      <c r="B3" s="32" t="s">
        <v>3</v>
      </c>
      <c r="C3" s="32" t="s">
        <v>3</v>
      </c>
      <c r="D3" s="32" t="s">
        <v>3</v>
      </c>
      <c r="E3" s="32" t="s">
        <v>3</v>
      </c>
      <c r="F3" s="32" t="s">
        <v>3</v>
      </c>
      <c r="G3" s="32" t="s">
        <v>3</v>
      </c>
      <c r="H3" s="32" t="s">
        <v>3</v>
      </c>
      <c r="I3" s="32" t="s">
        <v>3</v>
      </c>
      <c r="J3" s="15"/>
    </row>
    <row r="4" spans="1:10" ht="27" customHeight="1">
      <c r="A4" s="15"/>
      <c r="B4" s="33" t="s">
        <v>4</v>
      </c>
      <c r="C4" s="33" t="s">
        <v>4</v>
      </c>
      <c r="D4" s="33" t="s">
        <v>4</v>
      </c>
      <c r="E4" s="33" t="s">
        <v>4</v>
      </c>
      <c r="F4" s="33" t="s">
        <v>4</v>
      </c>
      <c r="G4" s="33" t="s">
        <v>4</v>
      </c>
      <c r="H4" s="33" t="s">
        <v>4</v>
      </c>
      <c r="I4" s="33" t="s">
        <v>4</v>
      </c>
      <c r="J4" s="15"/>
    </row>
    <row r="5" spans="1:10" ht="27" customHeight="1">
      <c r="A5" s="15"/>
      <c r="B5" s="15"/>
      <c r="C5" s="15"/>
      <c r="D5" s="15"/>
      <c r="E5" s="15"/>
      <c r="F5" s="15"/>
      <c r="G5" s="15"/>
      <c r="H5" s="15"/>
      <c r="I5" s="15"/>
      <c r="J5" s="15"/>
    </row>
    <row r="6" spans="1:10" ht="42" customHeight="1">
      <c r="A6" s="15"/>
      <c r="B6" s="16" t="s">
        <v>5</v>
      </c>
      <c r="C6" s="16" t="s">
        <v>6</v>
      </c>
      <c r="D6" s="16" t="s">
        <v>7</v>
      </c>
      <c r="E6" s="16" t="s">
        <v>8</v>
      </c>
      <c r="F6" s="15"/>
      <c r="G6" s="15"/>
      <c r="H6" s="15"/>
      <c r="I6" s="15"/>
      <c r="J6" s="15"/>
    </row>
    <row r="7" spans="1:10" ht="27" customHeight="1">
      <c r="A7" s="15"/>
      <c r="B7" s="17" t="s">
        <v>9</v>
      </c>
      <c r="C7" s="17" t="s">
        <v>10</v>
      </c>
      <c r="D7" s="19">
        <v>14.6</v>
      </c>
      <c r="E7" s="21">
        <f>$E$8*(D7/$D$8)^4</f>
        <v>941.40636852684645</v>
      </c>
      <c r="F7" s="15"/>
      <c r="G7" s="15"/>
      <c r="H7" s="15"/>
      <c r="I7" s="15"/>
      <c r="J7" s="15"/>
    </row>
    <row r="8" spans="1:10" ht="27" customHeight="1">
      <c r="A8" s="15"/>
      <c r="B8" s="18" t="s">
        <v>9</v>
      </c>
      <c r="C8" s="18" t="s">
        <v>11</v>
      </c>
      <c r="D8" s="19">
        <v>17.600000000000001</v>
      </c>
      <c r="E8" s="20">
        <v>1988</v>
      </c>
      <c r="F8" s="15"/>
      <c r="G8" s="15"/>
      <c r="H8" s="15"/>
      <c r="I8" s="15"/>
      <c r="J8" s="15"/>
    </row>
    <row r="9" spans="1:10" ht="27" customHeight="1">
      <c r="A9" s="15"/>
      <c r="B9" s="17" t="s">
        <v>9</v>
      </c>
      <c r="C9" s="17" t="s">
        <v>12</v>
      </c>
      <c r="D9" s="19">
        <v>20.5</v>
      </c>
      <c r="E9" s="21">
        <f>$E$8*(D9/$D$8)^4</f>
        <v>3659.1579207191098</v>
      </c>
      <c r="F9" s="15"/>
      <c r="G9" s="15"/>
      <c r="H9" s="15"/>
      <c r="I9" s="15"/>
      <c r="J9" s="15"/>
    </row>
    <row r="10" spans="1:10" ht="27" customHeight="1">
      <c r="A10" s="15"/>
      <c r="B10" s="18" t="s">
        <v>13</v>
      </c>
      <c r="C10" s="18" t="s">
        <v>10</v>
      </c>
      <c r="D10" s="19">
        <v>16.2</v>
      </c>
      <c r="E10" s="22">
        <f>$E$11*(D10/$D$11)^4</f>
        <v>1429.0674406245323</v>
      </c>
      <c r="F10" s="15"/>
      <c r="G10" s="15"/>
      <c r="H10" s="15"/>
      <c r="I10" s="15"/>
      <c r="J10" s="15"/>
    </row>
    <row r="11" spans="1:10" ht="27" customHeight="1">
      <c r="A11" s="15"/>
      <c r="B11" s="17" t="s">
        <v>13</v>
      </c>
      <c r="C11" s="17" t="s">
        <v>11</v>
      </c>
      <c r="D11" s="19">
        <v>19.399999999999999</v>
      </c>
      <c r="E11" s="20">
        <v>2939</v>
      </c>
      <c r="F11" s="15"/>
      <c r="G11" s="15"/>
      <c r="H11" s="15"/>
      <c r="I11" s="15"/>
      <c r="J11" s="15"/>
    </row>
    <row r="12" spans="1:10" ht="27" customHeight="1">
      <c r="A12" s="15"/>
      <c r="B12" s="18" t="s">
        <v>13</v>
      </c>
      <c r="C12" s="18" t="s">
        <v>12</v>
      </c>
      <c r="D12" s="19">
        <v>22.1</v>
      </c>
      <c r="E12" s="22">
        <f>$E$11*(D12/$D$11)^4</f>
        <v>4949.5049290944507</v>
      </c>
      <c r="F12" s="15"/>
      <c r="G12" s="15"/>
      <c r="H12" s="15"/>
      <c r="I12" s="15"/>
      <c r="J12" s="15"/>
    </row>
    <row r="13" spans="1:10" ht="27" customHeight="1">
      <c r="A13" s="15"/>
      <c r="B13" s="15"/>
      <c r="C13" s="15"/>
      <c r="D13" s="15"/>
      <c r="E13" s="15"/>
      <c r="F13" s="15"/>
      <c r="G13" s="15"/>
      <c r="H13" s="15"/>
      <c r="I13" s="15"/>
      <c r="J13" s="15"/>
    </row>
    <row r="14" spans="1:10" ht="27" customHeight="1">
      <c r="A14" s="15"/>
      <c r="B14" s="31" t="s">
        <v>14</v>
      </c>
      <c r="C14" s="31" t="s">
        <v>14</v>
      </c>
      <c r="D14" s="31" t="s">
        <v>14</v>
      </c>
      <c r="E14" s="31" t="s">
        <v>14</v>
      </c>
      <c r="F14" s="31" t="s">
        <v>14</v>
      </c>
      <c r="G14" s="31" t="s">
        <v>14</v>
      </c>
      <c r="H14" s="31" t="s">
        <v>14</v>
      </c>
      <c r="I14" s="31" t="s">
        <v>14</v>
      </c>
      <c r="J14" s="15"/>
    </row>
    <row r="15" spans="1:10" ht="27" customHeight="1">
      <c r="A15" s="15"/>
      <c r="B15" s="34" t="s">
        <v>15</v>
      </c>
      <c r="C15" s="34" t="s">
        <v>15</v>
      </c>
      <c r="D15" s="34" t="s">
        <v>15</v>
      </c>
      <c r="E15" s="34" t="s">
        <v>15</v>
      </c>
      <c r="F15" s="34" t="s">
        <v>15</v>
      </c>
      <c r="G15" s="34" t="s">
        <v>15</v>
      </c>
      <c r="H15" s="34" t="s">
        <v>15</v>
      </c>
      <c r="I15" s="34" t="s">
        <v>15</v>
      </c>
      <c r="J15" s="15"/>
    </row>
    <row r="16" spans="1:10" ht="42" customHeight="1">
      <c r="A16" s="15"/>
      <c r="B16" s="16" t="s">
        <v>5</v>
      </c>
      <c r="C16" s="16" t="s">
        <v>16</v>
      </c>
      <c r="D16" s="16" t="s">
        <v>17</v>
      </c>
      <c r="E16" s="16" t="s">
        <v>18</v>
      </c>
      <c r="F16" s="16" t="s">
        <v>19</v>
      </c>
      <c r="G16" s="16" t="s">
        <v>20</v>
      </c>
      <c r="H16" s="16" t="s">
        <v>21</v>
      </c>
      <c r="I16" s="15"/>
      <c r="J16" s="15"/>
    </row>
    <row r="17" spans="1:14" ht="27" customHeight="1">
      <c r="A17" s="15"/>
      <c r="B17" s="17" t="s">
        <v>9</v>
      </c>
      <c r="C17" s="23">
        <v>-1.083</v>
      </c>
      <c r="D17" s="23">
        <v>0.16400000000000001</v>
      </c>
      <c r="E17" s="23">
        <v>-0.91500000000000004</v>
      </c>
      <c r="F17" s="23">
        <v>0.127</v>
      </c>
      <c r="G17" s="24">
        <f>IF(COUNT(C17:F17)&lt;4,"",IF(H17=0,"无效半径",IF(D17&lt;F17,-1,1)*DEGREES(ACOS(MAX(-1,MIN(1,(E17-C17)*1000/H17))))))</f>
        <v>12.420429945256622</v>
      </c>
      <c r="H17" s="26">
        <f>IF(COUNT(C17:F17)&lt;4,"",1000*SQRT((C17-E17)^2+(D17-F17)^2))</f>
        <v>172.02616080119901</v>
      </c>
      <c r="I17" s="15"/>
      <c r="J17" s="15"/>
    </row>
    <row r="18" spans="1:14" ht="27" customHeight="1">
      <c r="A18" s="15"/>
      <c r="B18" s="18" t="s">
        <v>13</v>
      </c>
      <c r="C18" s="23">
        <v>1.3049999999999999</v>
      </c>
      <c r="D18" s="23">
        <v>0.21299999999999999</v>
      </c>
      <c r="E18" s="23">
        <v>1.4590000000000001</v>
      </c>
      <c r="F18" s="23">
        <v>0.26</v>
      </c>
      <c r="G18" s="25">
        <f>IF(COUNT(C18:F18)&lt;4,"",IF(H18=0,"无效半径",IF(D18&lt;F18,-1,1)*DEGREES(ACOS(MAX(-1,MIN(1,(E18-C18)*1000/H18))))))</f>
        <v>-16.971916914347634</v>
      </c>
      <c r="H18" s="27">
        <f>IF(COUNT(C18:F18)&lt;4,"",1000*SQRT((C18-E18)^2+(D18-F18)^2))</f>
        <v>161.01242188104632</v>
      </c>
      <c r="I18" s="15"/>
      <c r="J18" s="15"/>
    </row>
    <row r="19" spans="1:14" ht="27" customHeight="1">
      <c r="A19" s="15"/>
      <c r="B19" s="15"/>
      <c r="C19" s="15"/>
      <c r="D19" s="15"/>
      <c r="E19" s="15"/>
      <c r="F19" s="15"/>
      <c r="G19" s="15"/>
      <c r="H19" s="15"/>
      <c r="I19" s="15"/>
      <c r="J19" s="15"/>
    </row>
    <row r="20" spans="1:14" ht="27" customHeight="1">
      <c r="A20" s="15"/>
      <c r="B20" s="31" t="s">
        <v>22</v>
      </c>
      <c r="C20" s="31" t="s">
        <v>22</v>
      </c>
      <c r="D20" s="31" t="s">
        <v>22</v>
      </c>
      <c r="E20" s="31" t="s">
        <v>22</v>
      </c>
      <c r="F20" s="31" t="s">
        <v>22</v>
      </c>
      <c r="G20" s="31" t="s">
        <v>22</v>
      </c>
      <c r="H20" s="31" t="s">
        <v>22</v>
      </c>
      <c r="I20" s="31" t="s">
        <v>22</v>
      </c>
      <c r="J20" s="15"/>
    </row>
    <row r="21" spans="1:14" ht="27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</row>
    <row r="22" spans="1:14" ht="42" customHeight="1">
      <c r="A22" s="15"/>
      <c r="B22" s="16" t="s">
        <v>23</v>
      </c>
      <c r="C22" s="16" t="s">
        <v>5</v>
      </c>
      <c r="D22" s="16" t="s">
        <v>24</v>
      </c>
      <c r="E22" s="16" t="s">
        <v>25</v>
      </c>
      <c r="F22" s="16" t="s">
        <v>26</v>
      </c>
      <c r="G22" s="16" t="s">
        <v>27</v>
      </c>
      <c r="H22" s="16" t="s">
        <v>28</v>
      </c>
      <c r="I22" s="16" t="s">
        <v>21</v>
      </c>
      <c r="J22" s="15"/>
    </row>
    <row r="23" spans="1:14" ht="27" customHeight="1">
      <c r="A23" s="15"/>
      <c r="B23" s="17" t="s">
        <v>29</v>
      </c>
      <c r="C23" s="17" t="s">
        <v>9</v>
      </c>
      <c r="D23" s="17" t="s">
        <v>30</v>
      </c>
      <c r="E23" s="19">
        <v>167</v>
      </c>
      <c r="F23" s="23"/>
      <c r="G23" s="23"/>
      <c r="H23" s="24" t="str">
        <f>IF(COUNT(F23:G23,E17:F17)&lt;4,"",IF(I23=0,"无效半径",IF(G23&lt;F17,-1,1)*DEGREES(ACOS(MAX(-1,MIN(1,(E17-F23)*1000/I23))))))</f>
        <v/>
      </c>
      <c r="I23" s="26" t="str">
        <f>IF(COUNT(F23:G23,E17:F17)&lt;4,"",1000*SQRT((F23-E17)^2+(G23-F17)^2))</f>
        <v/>
      </c>
      <c r="J23" s="15"/>
    </row>
    <row r="24" spans="1:14" ht="27" customHeight="1">
      <c r="A24" s="15"/>
      <c r="B24" s="18" t="s">
        <v>29</v>
      </c>
      <c r="C24" s="18" t="s">
        <v>9</v>
      </c>
      <c r="D24" s="18" t="s">
        <v>31</v>
      </c>
      <c r="E24" s="19">
        <v>167</v>
      </c>
      <c r="F24" s="23"/>
      <c r="G24" s="23"/>
      <c r="H24" s="25" t="str">
        <f>IF(COUNT(F24:G24,E17:F17)&lt;4,"",IF(I24=0,"无效半径",IF(G24&lt;F17,-1,1)*DEGREES(ACOS(MAX(-1,MIN(1,(E17-F24)*1000/I24))))))</f>
        <v/>
      </c>
      <c r="I24" s="27" t="str">
        <f>IF(COUNT(F24:G24,E17:F17)&lt;4,"",1000*SQRT((F24-E17)^2+(G24-F17)^2))</f>
        <v/>
      </c>
      <c r="J24" s="15"/>
      <c r="M24" s="23"/>
      <c r="N24" s="23"/>
    </row>
    <row r="25" spans="1:14" ht="27" customHeight="1">
      <c r="A25" s="15"/>
      <c r="B25" s="17" t="s">
        <v>29</v>
      </c>
      <c r="C25" s="17" t="s">
        <v>9</v>
      </c>
      <c r="D25" s="17" t="s">
        <v>32</v>
      </c>
      <c r="E25" s="19">
        <v>167</v>
      </c>
      <c r="F25" s="23"/>
      <c r="G25" s="23"/>
      <c r="H25" s="24" t="str">
        <f>IF(COUNT(F25:G25,E17:F17)&lt;4,"",IF(I25=0,"无效半径",IF(G25&lt;F17,-1,1)*DEGREES(ACOS(MAX(-1,MIN(1,(E17-F25)*1000/I25))))))</f>
        <v/>
      </c>
      <c r="I25" s="26" t="str">
        <f>IF(COUNT(F25:G25,E17:F17)&lt;4,"",1000*SQRT((F25-E17)^2+(G25-F17)^2))</f>
        <v/>
      </c>
      <c r="J25" s="15"/>
    </row>
    <row r="26" spans="1:14" ht="27" customHeight="1">
      <c r="A26" s="15"/>
      <c r="B26" s="18" t="s">
        <v>29</v>
      </c>
      <c r="C26" s="18" t="s">
        <v>13</v>
      </c>
      <c r="D26" s="18" t="s">
        <v>30</v>
      </c>
      <c r="E26" s="19">
        <v>166</v>
      </c>
      <c r="F26" s="23"/>
      <c r="G26" s="23"/>
      <c r="H26" s="25" t="str">
        <f>IF(COUNT(F26:G26,E18:F18)&lt;4,"",IF(I26=0,"无效半径",IF(G26&lt;F18,-1,1)*DEGREES(ACOS(MAX(-1,MIN(1,(E18-F26)*1000/I26))))))</f>
        <v/>
      </c>
      <c r="I26" s="27" t="str">
        <f>IF(COUNT(F26:G26,E18:F18)&lt;4,"",1000*SQRT((F26-E18)^2+(G26-F18)^2))</f>
        <v/>
      </c>
      <c r="J26" s="15"/>
    </row>
    <row r="27" spans="1:14" ht="27" customHeight="1">
      <c r="A27" s="15"/>
      <c r="B27" s="17" t="s">
        <v>29</v>
      </c>
      <c r="C27" s="17" t="s">
        <v>13</v>
      </c>
      <c r="D27" s="17" t="s">
        <v>31</v>
      </c>
      <c r="E27" s="19">
        <v>166</v>
      </c>
      <c r="F27" s="23"/>
      <c r="G27" s="23"/>
      <c r="H27" s="24" t="str">
        <f>IF(COUNT(F27:G27,E18:F18)&lt;4,"",IF(I27=0,"无效半径",IF(G27&lt;F18,-1,1)*DEGREES(ACOS(MAX(-1,MIN(1,(E18-F27)*1000/I27))))))</f>
        <v/>
      </c>
      <c r="I27" s="26" t="str">
        <f>IF(COUNT(F27:G27,E18:F18)&lt;4,"",1000*SQRT((F27-E18)^2+(G27-F18)^2))</f>
        <v/>
      </c>
      <c r="J27" s="15"/>
      <c r="M27" s="23"/>
      <c r="N27" s="23"/>
    </row>
    <row r="28" spans="1:14" ht="27" customHeight="1">
      <c r="A28" s="15"/>
      <c r="B28" s="18" t="s">
        <v>29</v>
      </c>
      <c r="C28" s="18" t="s">
        <v>13</v>
      </c>
      <c r="D28" s="18" t="s">
        <v>32</v>
      </c>
      <c r="E28" s="19">
        <v>166</v>
      </c>
      <c r="F28" s="23"/>
      <c r="G28" s="23"/>
      <c r="H28" s="25" t="str">
        <f>IF(COUNT(F28:G28,E18:F18)&lt;4,"",IF(I28=0,"无效半径",IF(G28&lt;F18,-1,1)*DEGREES(ACOS(MAX(-1,MIN(1,(E18-F28)*1000/I28))))))</f>
        <v/>
      </c>
      <c r="I28" s="27" t="str">
        <f>IF(COUNT(F28:G28,E18:F18)&lt;4,"",1000*SQRT((F28-E18)^2+(G28-F18)^2))</f>
        <v/>
      </c>
      <c r="J28" s="15"/>
    </row>
    <row r="29" spans="1:14" ht="27" customHeight="1">
      <c r="A29" s="15"/>
      <c r="B29" s="17" t="s">
        <v>33</v>
      </c>
      <c r="C29" s="17" t="s">
        <v>9</v>
      </c>
      <c r="D29" s="17" t="s">
        <v>30</v>
      </c>
      <c r="E29" s="19">
        <v>259</v>
      </c>
      <c r="F29" s="23">
        <v>-1.034</v>
      </c>
      <c r="G29" s="23">
        <v>0.251</v>
      </c>
      <c r="H29" s="24">
        <f>IF(COUNT(F29:G29,E17:F17)&lt;4,"",IF(I29=0,"无效半径",IF(G29&lt;F17,-1,1)*DEGREES(ACOS(MAX(-1,MIN(1,(E17-F29)*1000/I29))))))</f>
        <v>46.178759169911231</v>
      </c>
      <c r="I29" s="26">
        <f>IF(COUNT(F29:G29,E17:F17)&lt;4,"",1000*SQRT((F29-E17)^2+(G29-F17)^2))</f>
        <v>171.86331778480246</v>
      </c>
      <c r="J29" s="15"/>
      <c r="M29" s="23"/>
      <c r="N29" s="23"/>
    </row>
    <row r="30" spans="1:14" ht="27" customHeight="1">
      <c r="A30" s="15"/>
      <c r="B30" s="18" t="s">
        <v>33</v>
      </c>
      <c r="C30" s="18" t="s">
        <v>9</v>
      </c>
      <c r="D30" s="18" t="s">
        <v>31</v>
      </c>
      <c r="E30" s="19">
        <v>259</v>
      </c>
      <c r="F30" s="23">
        <v>-1.0229999999999999</v>
      </c>
      <c r="G30" s="23">
        <v>0.24099999999999999</v>
      </c>
      <c r="H30" s="25">
        <f>IF(COUNT(F30:G30,E17:F17)&lt;4,"",IF(I30=0,"无效半径",IF(G30&lt;F17,-1,1)*DEGREES(ACOS(MAX(-1,MIN(1,(E17-F30)*1000/I30))))))</f>
        <v>46.548157698977988</v>
      </c>
      <c r="I30" s="27">
        <f>IF(COUNT(F30:G30,E17:F17)&lt;4,"",1000*SQRT((F30-E17)^2+(G30-F17)^2))</f>
        <v>157.03502793962869</v>
      </c>
      <c r="J30" s="15"/>
    </row>
    <row r="31" spans="1:14" ht="27" customHeight="1">
      <c r="A31" s="15"/>
      <c r="B31" s="17" t="s">
        <v>33</v>
      </c>
      <c r="C31" s="17" t="s">
        <v>9</v>
      </c>
      <c r="D31" s="17" t="s">
        <v>32</v>
      </c>
      <c r="E31" s="19">
        <v>259</v>
      </c>
      <c r="F31" s="23">
        <v>-1.012</v>
      </c>
      <c r="G31" s="23">
        <v>0.23100000000000001</v>
      </c>
      <c r="H31" s="24">
        <f>IF(COUNT(F31:G31,E17:F17)&lt;4,"",IF(I31=0,"无效半径",IF(G31&lt;F17,-1,1)*DEGREES(ACOS(MAX(-1,MIN(1,(E17-F31)*1000/I31))))))</f>
        <v>46.994569301241839</v>
      </c>
      <c r="I31" s="26">
        <f>IF(COUNT(F31:G31,E17:F17)&lt;4,"",1000*SQRT((F31-E17)^2+(G31-F17)^2))</f>
        <v>142.2146265332789</v>
      </c>
      <c r="J31" s="15"/>
    </row>
    <row r="32" spans="1:14" ht="27" customHeight="1">
      <c r="A32" s="15"/>
      <c r="B32" s="18" t="s">
        <v>33</v>
      </c>
      <c r="C32" s="18" t="s">
        <v>13</v>
      </c>
      <c r="D32" s="18" t="s">
        <v>30</v>
      </c>
      <c r="E32" s="19">
        <v>252</v>
      </c>
      <c r="F32" s="23">
        <v>1.3089999999999999</v>
      </c>
      <c r="G32" s="23">
        <v>0.31900000000000001</v>
      </c>
      <c r="H32" s="25">
        <f>IF(COUNT(F32:G32,E18:F18)&lt;4,"",IF(I32=0,"无效半径",IF(G32&lt;F18,-1,1)*DEGREES(ACOS(MAX(-1,MIN(1,(E18-F32)*1000/I32))))))</f>
        <v>21.471368323914561</v>
      </c>
      <c r="I32" s="27">
        <f>IF(COUNT(F32:G32,E18:F18)&lt;4,"",1000*SQRT((F32-E18)^2+(G32-F18)^2))</f>
        <v>161.18622769951543</v>
      </c>
      <c r="J32" s="15"/>
    </row>
    <row r="33" spans="1:14" ht="27" customHeight="1">
      <c r="A33" s="15"/>
      <c r="B33" s="17" t="s">
        <v>33</v>
      </c>
      <c r="C33" s="17" t="s">
        <v>13</v>
      </c>
      <c r="D33" s="17" t="s">
        <v>31</v>
      </c>
      <c r="E33" s="19">
        <v>252</v>
      </c>
      <c r="F33" s="23">
        <v>1.3260000000000001</v>
      </c>
      <c r="G33" s="23">
        <v>0.31900000000000001</v>
      </c>
      <c r="H33" s="24">
        <f>IF(COUNT(F33:G33,E18:F18)&lt;4,"",IF(I33=0,"无效半径",IF(G33&lt;F18,-1,1)*DEGREES(ACOS(MAX(-1,MIN(1,(E18-F33)*1000/I33))))))</f>
        <v>23.922505883013255</v>
      </c>
      <c r="I33" s="26">
        <f>IF(COUNT(F33:G33,E18:F18)&lt;4,"",1000*SQRT((F33-E18)^2+(G33-F18)^2))</f>
        <v>145.49914089093446</v>
      </c>
      <c r="J33" s="15"/>
      <c r="M33" s="23"/>
      <c r="N33" s="23"/>
    </row>
    <row r="34" spans="1:14" ht="27" customHeight="1">
      <c r="A34" s="15"/>
      <c r="B34" s="18" t="s">
        <v>33</v>
      </c>
      <c r="C34" s="18" t="s">
        <v>13</v>
      </c>
      <c r="D34" s="18" t="s">
        <v>32</v>
      </c>
      <c r="E34" s="19">
        <v>252</v>
      </c>
      <c r="F34" s="23">
        <v>1.3420000000000001</v>
      </c>
      <c r="G34" s="23">
        <v>0.318</v>
      </c>
      <c r="H34" s="25">
        <f>IF(COUNT(F34:G34,E18:F18)&lt;4,"",IF(I34=0,"无效半径",IF(G34&lt;F18,-1,1)*DEGREES(ACOS(MAX(-1,MIN(1,(E18-F34)*1000/I34))))))</f>
        <v>26.368833521184065</v>
      </c>
      <c r="I34" s="27">
        <f>IF(COUNT(F34:G34,E18:F18)&lt;4,"",1000*SQRT((F34-E18)^2+(G34-F18)^2))</f>
        <v>130.58713566044705</v>
      </c>
      <c r="J34" s="15"/>
      <c r="L34" s="23"/>
      <c r="M34" s="23"/>
    </row>
    <row r="35" spans="1:14" ht="27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</row>
    <row r="36" spans="1:14" ht="27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</row>
    <row r="37" spans="1:14" ht="27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</row>
    <row r="38" spans="1:14" ht="27" customHeight="1">
      <c r="A38" s="15"/>
      <c r="B38" s="31" t="s">
        <v>34</v>
      </c>
      <c r="C38" s="31" t="s">
        <v>34</v>
      </c>
      <c r="D38" s="31" t="s">
        <v>34</v>
      </c>
      <c r="E38" s="31" t="s">
        <v>34</v>
      </c>
      <c r="F38" s="31" t="s">
        <v>34</v>
      </c>
      <c r="G38" s="31" t="s">
        <v>34</v>
      </c>
      <c r="H38" s="31" t="s">
        <v>34</v>
      </c>
      <c r="I38" s="31" t="s">
        <v>34</v>
      </c>
      <c r="J38" s="15"/>
    </row>
    <row r="39" spans="1:14" ht="42" customHeight="1">
      <c r="A39" s="15"/>
      <c r="B39" s="16" t="s">
        <v>23</v>
      </c>
      <c r="C39" s="16" t="s">
        <v>5</v>
      </c>
      <c r="D39" s="16" t="s">
        <v>24</v>
      </c>
      <c r="E39" s="16" t="s">
        <v>35</v>
      </c>
      <c r="F39" s="16" t="s">
        <v>36</v>
      </c>
      <c r="G39" s="15"/>
      <c r="H39" s="15"/>
      <c r="I39" s="15"/>
      <c r="J39" s="15"/>
    </row>
    <row r="40" spans="1:14" ht="27" customHeight="1">
      <c r="A40" s="15"/>
      <c r="B40" s="18" t="s">
        <v>29</v>
      </c>
      <c r="C40" s="18" t="s">
        <v>9</v>
      </c>
      <c r="D40" s="18" t="s">
        <v>30</v>
      </c>
      <c r="E40" s="27">
        <v>35</v>
      </c>
      <c r="F40" s="27">
        <v>163</v>
      </c>
      <c r="G40" s="15"/>
      <c r="H40" s="15"/>
      <c r="I40" s="15"/>
      <c r="J40" s="15"/>
    </row>
    <row r="41" spans="1:14" ht="27" customHeight="1">
      <c r="A41" s="15"/>
      <c r="B41" s="17" t="s">
        <v>29</v>
      </c>
      <c r="C41" s="17" t="s">
        <v>9</v>
      </c>
      <c r="D41" s="17" t="s">
        <v>31</v>
      </c>
      <c r="E41" s="26">
        <v>42</v>
      </c>
      <c r="F41" s="26">
        <v>163</v>
      </c>
      <c r="G41" s="15"/>
      <c r="H41" s="15"/>
      <c r="I41" s="15"/>
      <c r="J41" s="15"/>
    </row>
    <row r="42" spans="1:14" ht="27" customHeight="1">
      <c r="A42" s="15"/>
      <c r="B42" s="18" t="s">
        <v>29</v>
      </c>
      <c r="C42" s="18" t="s">
        <v>9</v>
      </c>
      <c r="D42" s="18" t="s">
        <v>32</v>
      </c>
      <c r="E42" s="27">
        <v>46</v>
      </c>
      <c r="F42" s="27">
        <v>163</v>
      </c>
      <c r="G42" s="15"/>
      <c r="H42" s="15"/>
      <c r="I42" s="15"/>
      <c r="J42" s="15"/>
    </row>
    <row r="43" spans="1:14" ht="27" customHeight="1">
      <c r="A43" s="15"/>
      <c r="B43" s="17" t="s">
        <v>29</v>
      </c>
      <c r="C43" s="17" t="s">
        <v>13</v>
      </c>
      <c r="D43" s="17" t="s">
        <v>30</v>
      </c>
      <c r="E43" s="26">
        <v>41</v>
      </c>
      <c r="F43" s="26">
        <v>154</v>
      </c>
      <c r="G43" s="15"/>
      <c r="H43" s="15"/>
      <c r="I43" s="15"/>
      <c r="J43" s="15"/>
    </row>
    <row r="44" spans="1:14" ht="27" customHeight="1">
      <c r="A44" s="15"/>
      <c r="B44" s="18" t="s">
        <v>29</v>
      </c>
      <c r="C44" s="18" t="s">
        <v>13</v>
      </c>
      <c r="D44" s="18" t="s">
        <v>31</v>
      </c>
      <c r="E44" s="27">
        <v>49</v>
      </c>
      <c r="F44" s="27">
        <v>154</v>
      </c>
      <c r="G44" s="15"/>
      <c r="H44" s="15"/>
      <c r="I44" s="15"/>
      <c r="J44" s="15"/>
    </row>
    <row r="45" spans="1:14" ht="27" customHeight="1">
      <c r="A45" s="15"/>
      <c r="B45" s="17" t="s">
        <v>29</v>
      </c>
      <c r="C45" s="17" t="s">
        <v>13</v>
      </c>
      <c r="D45" s="17" t="s">
        <v>32</v>
      </c>
      <c r="E45" s="26">
        <v>54</v>
      </c>
      <c r="F45" s="26">
        <v>154</v>
      </c>
      <c r="G45" s="15"/>
      <c r="H45" s="15"/>
      <c r="I45" s="15"/>
      <c r="J45" s="15"/>
    </row>
    <row r="46" spans="1:14" ht="27" customHeight="1">
      <c r="A46" s="15"/>
      <c r="B46" s="18" t="s">
        <v>33</v>
      </c>
      <c r="C46" s="18" t="s">
        <v>9</v>
      </c>
      <c r="D46" s="18" t="s">
        <v>30</v>
      </c>
      <c r="E46" s="27">
        <v>32</v>
      </c>
      <c r="F46" s="27">
        <v>163</v>
      </c>
      <c r="G46" s="15"/>
      <c r="H46" s="15"/>
      <c r="I46" s="15"/>
      <c r="J46" s="15"/>
    </row>
    <row r="47" spans="1:14" ht="27" customHeight="1">
      <c r="A47" s="15"/>
      <c r="B47" s="17" t="s">
        <v>33</v>
      </c>
      <c r="C47" s="17" t="s">
        <v>9</v>
      </c>
      <c r="D47" s="17" t="s">
        <v>31</v>
      </c>
      <c r="E47" s="26">
        <v>40</v>
      </c>
      <c r="F47" s="26">
        <v>163</v>
      </c>
      <c r="G47" s="15"/>
      <c r="H47" s="15"/>
      <c r="I47" s="15"/>
      <c r="J47" s="15"/>
    </row>
    <row r="48" spans="1:14" ht="27" customHeight="1">
      <c r="A48" s="15"/>
      <c r="B48" s="18" t="s">
        <v>33</v>
      </c>
      <c r="C48" s="18" t="s">
        <v>9</v>
      </c>
      <c r="D48" s="18" t="s">
        <v>32</v>
      </c>
      <c r="E48" s="27">
        <v>45</v>
      </c>
      <c r="F48" s="27">
        <v>163</v>
      </c>
      <c r="G48" s="15"/>
      <c r="H48" s="15"/>
      <c r="I48" s="15"/>
      <c r="J48" s="15"/>
    </row>
    <row r="49" spans="1:10" ht="27" customHeight="1">
      <c r="A49" s="15"/>
      <c r="B49" s="17" t="s">
        <v>33</v>
      </c>
      <c r="C49" s="17" t="s">
        <v>13</v>
      </c>
      <c r="D49" s="17" t="s">
        <v>30</v>
      </c>
      <c r="E49" s="26">
        <v>39</v>
      </c>
      <c r="F49" s="26">
        <v>154</v>
      </c>
      <c r="G49" s="15"/>
      <c r="H49" s="15"/>
      <c r="I49" s="15"/>
      <c r="J49" s="15"/>
    </row>
    <row r="50" spans="1:10" ht="27" customHeight="1">
      <c r="A50" s="15"/>
      <c r="B50" s="18" t="s">
        <v>33</v>
      </c>
      <c r="C50" s="18" t="s">
        <v>13</v>
      </c>
      <c r="D50" s="18" t="s">
        <v>31</v>
      </c>
      <c r="E50" s="27">
        <v>47</v>
      </c>
      <c r="F50" s="27">
        <v>154</v>
      </c>
      <c r="G50" s="15"/>
      <c r="H50" s="15"/>
      <c r="I50" s="15"/>
      <c r="J50" s="15"/>
    </row>
    <row r="51" spans="1:10" ht="27" customHeight="1">
      <c r="A51" s="15"/>
      <c r="B51" s="17" t="s">
        <v>33</v>
      </c>
      <c r="C51" s="17" t="s">
        <v>13</v>
      </c>
      <c r="D51" s="17" t="s">
        <v>32</v>
      </c>
      <c r="E51" s="26">
        <v>51</v>
      </c>
      <c r="F51" s="26">
        <v>154</v>
      </c>
      <c r="G51" s="15"/>
      <c r="H51" s="15"/>
      <c r="I51" s="15"/>
      <c r="J51" s="15"/>
    </row>
    <row r="52" spans="1:10" ht="27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</row>
    <row r="53" spans="1:10" ht="27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</row>
    <row r="54" spans="1:10" ht="27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</row>
    <row r="55" spans="1:10" ht="27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</row>
    <row r="56" spans="1:10" ht="27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</row>
    <row r="57" spans="1:10" ht="27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</row>
    <row r="58" spans="1:10" ht="27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</row>
    <row r="59" spans="1:10" ht="27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</row>
    <row r="60" spans="1:10" ht="27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</row>
    <row r="61" spans="1:10" ht="27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</row>
    <row r="62" spans="1:10" ht="27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</row>
    <row r="63" spans="1:10" ht="27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</row>
    <row r="64" spans="1:10" ht="27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</row>
    <row r="65" spans="1:10" ht="27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</row>
    <row r="66" spans="1:10" ht="26.1" customHeight="1"/>
    <row r="67" spans="1:10" ht="26.1" customHeight="1"/>
    <row r="68" spans="1:10" ht="39.950000000000003" customHeight="1"/>
    <row r="69" spans="1:10" ht="26.1" customHeight="1"/>
    <row r="70" spans="1:10" ht="26.1" customHeight="1"/>
    <row r="71" spans="1:10" ht="26.1" customHeight="1"/>
    <row r="72" spans="1:10" ht="26.1" customHeight="1"/>
    <row r="73" spans="1:10" ht="26.1" customHeight="1"/>
    <row r="74" spans="1:10" ht="26.1" customHeight="1"/>
    <row r="75" spans="1:10" ht="39.950000000000003" customHeight="1"/>
    <row r="76" spans="1:10" ht="26.1" customHeight="1"/>
    <row r="77" spans="1:10" ht="26.1" customHeight="1"/>
    <row r="78" spans="1:10" ht="26.1" customHeight="1"/>
    <row r="79" spans="1:10" ht="26.1" customHeight="1"/>
    <row r="80" spans="1:10" ht="26.1" customHeight="1"/>
    <row r="81" ht="26.1" customHeight="1"/>
    <row r="82" ht="39.950000000000003" customHeight="1"/>
    <row r="83" ht="26.1" customHeight="1"/>
    <row r="84" ht="26.1" customHeight="1"/>
    <row r="85" ht="26.1" customHeight="1"/>
    <row r="86" ht="26.1" customHeight="1"/>
    <row r="87" ht="26.1" customHeight="1"/>
    <row r="88" ht="26.1" customHeight="1"/>
    <row r="89" ht="39.950000000000003" customHeight="1"/>
    <row r="90" ht="26.1" customHeight="1"/>
    <row r="91" ht="26.1" customHeight="1"/>
    <row r="92" ht="26.1" customHeight="1"/>
    <row r="93" ht="26.1" customHeight="1"/>
    <row r="94" ht="26.1" customHeight="1"/>
    <row r="95" ht="26.1" customHeight="1"/>
    <row r="96" ht="39.950000000000003" customHeight="1"/>
    <row r="97" ht="26.1" customHeight="1"/>
    <row r="98" ht="26.1" customHeight="1"/>
    <row r="99" ht="26.1" customHeight="1"/>
    <row r="100" ht="26.1" customHeight="1"/>
    <row r="101" ht="26.1" customHeight="1"/>
    <row r="102" ht="26.1" customHeight="1"/>
    <row r="103" ht="39.950000000000003" customHeight="1"/>
    <row r="104" ht="26.1" customHeight="1"/>
    <row r="105" ht="26.1" customHeight="1"/>
    <row r="106" ht="26.1" customHeight="1"/>
    <row r="107" ht="26.1" customHeight="1"/>
    <row r="108" ht="26.1" customHeight="1"/>
    <row r="109" ht="26.1" customHeight="1"/>
    <row r="110" ht="26.1" customHeight="1"/>
    <row r="111" ht="26.1" customHeight="1"/>
    <row r="112" ht="26.1" customHeight="1"/>
    <row r="113" ht="26.1" customHeight="1"/>
    <row r="114" ht="26.1" customHeight="1"/>
    <row r="115" ht="26.1" customHeight="1"/>
    <row r="116" ht="26.1" customHeight="1"/>
    <row r="117" ht="26.1" customHeight="1"/>
    <row r="118" ht="26.1" customHeight="1"/>
  </sheetData>
  <mergeCells count="6">
    <mergeCell ref="B38:I38"/>
    <mergeCell ref="B2:I3"/>
    <mergeCell ref="B4:I4"/>
    <mergeCell ref="B14:I14"/>
    <mergeCell ref="B15:I15"/>
    <mergeCell ref="B20:I20"/>
  </mergeCells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M157"/>
  <sheetViews>
    <sheetView showGridLines="0" zoomScale="130" zoomScaleNormal="130" workbookViewId="0">
      <pane ySplit="5" topLeftCell="A6" activePane="bottomLeft" state="frozen"/>
      <selection pane="bottomLeft" activeCell="I22" sqref="I22"/>
    </sheetView>
  </sheetViews>
  <sheetFormatPr defaultRowHeight="14.25"/>
  <cols>
    <col min="1" max="1" width="2.75" customWidth="1"/>
    <col min="2" max="2" width="12.5" customWidth="1"/>
    <col min="3" max="3" width="11" customWidth="1"/>
    <col min="4" max="4" width="12" customWidth="1"/>
    <col min="5" max="5" width="13.5" customWidth="1"/>
    <col min="6" max="6" width="13.75" customWidth="1"/>
    <col min="7" max="7" width="15.625" customWidth="1"/>
    <col min="8" max="10" width="12.5" customWidth="1"/>
    <col min="11" max="11" width="18.125" customWidth="1"/>
    <col min="12" max="13" width="2.75" customWidth="1"/>
    <col min="14" max="15" width="13" customWidth="1"/>
    <col min="16" max="16" width="18" customWidth="1"/>
    <col min="17" max="17" width="12" customWidth="1"/>
    <col min="18" max="22" width="13" customWidth="1"/>
  </cols>
  <sheetData>
    <row r="1" spans="1:13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6.1" customHeight="1">
      <c r="A2" s="1"/>
      <c r="B2" s="1" t="s">
        <v>37</v>
      </c>
      <c r="C2" s="1" t="s">
        <v>37</v>
      </c>
      <c r="D2" s="1" t="s">
        <v>37</v>
      </c>
      <c r="E2" s="1" t="s">
        <v>37</v>
      </c>
      <c r="F2" s="1" t="s">
        <v>37</v>
      </c>
      <c r="G2" s="1" t="s">
        <v>37</v>
      </c>
      <c r="H2" s="1" t="s">
        <v>37</v>
      </c>
      <c r="I2" s="1" t="s">
        <v>37</v>
      </c>
      <c r="J2" s="1" t="s">
        <v>37</v>
      </c>
      <c r="K2" s="1" t="s">
        <v>37</v>
      </c>
      <c r="L2" s="1"/>
      <c r="M2" s="1"/>
    </row>
    <row r="3" spans="1:13" ht="26.1" customHeight="1">
      <c r="A3" s="1"/>
      <c r="B3" s="1" t="s">
        <v>37</v>
      </c>
      <c r="C3" s="1" t="s">
        <v>37</v>
      </c>
      <c r="D3" s="1" t="s">
        <v>37</v>
      </c>
      <c r="E3" s="1" t="s">
        <v>37</v>
      </c>
      <c r="F3" s="1" t="s">
        <v>37</v>
      </c>
      <c r="G3" s="1" t="s">
        <v>37</v>
      </c>
      <c r="H3" s="1" t="s">
        <v>37</v>
      </c>
      <c r="I3" s="1" t="s">
        <v>37</v>
      </c>
      <c r="J3" s="1" t="s">
        <v>37</v>
      </c>
      <c r="K3" s="1" t="s">
        <v>37</v>
      </c>
      <c r="L3" s="1"/>
      <c r="M3" s="1"/>
    </row>
    <row r="4" spans="1:13" ht="26.1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 ht="39.950000000000003" customHeight="1">
      <c r="A5" s="1"/>
      <c r="B5" s="2" t="s">
        <v>23</v>
      </c>
      <c r="C5" s="2" t="s">
        <v>5</v>
      </c>
      <c r="D5" s="2" t="s">
        <v>24</v>
      </c>
      <c r="E5" s="2" t="s">
        <v>25</v>
      </c>
      <c r="F5" s="2" t="s">
        <v>38</v>
      </c>
      <c r="G5" s="2" t="s">
        <v>39</v>
      </c>
      <c r="H5" s="2" t="s">
        <v>40</v>
      </c>
      <c r="I5" s="2" t="s">
        <v>41</v>
      </c>
      <c r="J5" s="2" t="s">
        <v>42</v>
      </c>
      <c r="K5" s="2" t="s">
        <v>43</v>
      </c>
      <c r="L5" s="1"/>
      <c r="M5" s="1"/>
    </row>
    <row r="6" spans="1:13" ht="26.1" customHeight="1">
      <c r="A6" s="1"/>
      <c r="B6" s="4" t="s">
        <v>29</v>
      </c>
      <c r="C6" s="4" t="s">
        <v>9</v>
      </c>
      <c r="D6" s="4" t="s">
        <v>30</v>
      </c>
      <c r="E6" s="7">
        <f>IF(ISNUMBER(Parameters!E23),Parameters!E23,"")</f>
        <v>167</v>
      </c>
      <c r="F6" s="9" t="str">
        <f>IF(COUNT(Parameters!G17,Parameters!H23)&lt;2,"",MOD(Parameters!H23-Parameters!G17+180,360)-180)</f>
        <v/>
      </c>
      <c r="G6" s="11" t="str">
        <f t="shared" ref="G6:G17" si="0">IF(COUNT(E6:F6)&lt;2,"",IF(E6&lt;=0,"",RADIANS(F6)/E6))</f>
        <v/>
      </c>
      <c r="H6" s="5" t="str">
        <f>IF(ISNUMBER(G6),1000*Parameters!E7*G6^2,"")</f>
        <v/>
      </c>
      <c r="I6" s="5" t="str">
        <f>IF(ISNUMBER(G6),1000*Parameters!E8*G6^2,"")</f>
        <v/>
      </c>
      <c r="J6" s="5" t="str">
        <f>IF(ISNUMBER(G6),1000*Parameters!E9*G6^2,"")</f>
        <v/>
      </c>
      <c r="K6" s="13" t="str">
        <f>IF(COUNT(Parameters!C17:F17,Parameters!F23:G23)&lt;6,"待补坐标",IF(NOT(ISNUMBER(E6)),"待填轮行程",IF(E6&lt;=0,"轮行程须大于0",IF(COUNT(Parameters!G17,Parameters!H23)&lt;2,"无效半径",""))))</f>
        <v>待补坐标</v>
      </c>
      <c r="L6" s="1"/>
      <c r="M6" s="1"/>
    </row>
    <row r="7" spans="1:13" ht="26.1" customHeight="1">
      <c r="A7" s="1"/>
      <c r="B7" s="3" t="s">
        <v>29</v>
      </c>
      <c r="C7" s="3" t="s">
        <v>9</v>
      </c>
      <c r="D7" s="3" t="s">
        <v>31</v>
      </c>
      <c r="E7" s="8">
        <f>IF(ISNUMBER(Parameters!E24),Parameters!E24,"")</f>
        <v>167</v>
      </c>
      <c r="F7" s="10" t="str">
        <f>IF(COUNT(Parameters!G17,Parameters!H24)&lt;2,"",MOD(Parameters!H24-Parameters!G17+180,360)-180)</f>
        <v/>
      </c>
      <c r="G7" s="12" t="str">
        <f t="shared" si="0"/>
        <v/>
      </c>
      <c r="H7" s="6" t="str">
        <f>IF(ISNUMBER(G7),1000*Parameters!E7*G7^2,"")</f>
        <v/>
      </c>
      <c r="I7" s="6" t="str">
        <f>IF(ISNUMBER(G7),1000*Parameters!E8*G7^2,"")</f>
        <v/>
      </c>
      <c r="J7" s="6" t="str">
        <f>IF(ISNUMBER(G7),1000*Parameters!E9*G7^2,"")</f>
        <v/>
      </c>
      <c r="K7" s="14" t="str">
        <f>IF(COUNT(Parameters!C17:F17,Parameters!F24:G24)&lt;6,"待补坐标",IF(NOT(ISNUMBER(E7)),"待填轮行程",IF(E7&lt;=0,"轮行程须大于0",IF(COUNT(Parameters!G17,Parameters!H24)&lt;2,"无效半径",""))))</f>
        <v>待补坐标</v>
      </c>
      <c r="L7" s="1"/>
      <c r="M7" s="1"/>
    </row>
    <row r="8" spans="1:13" ht="26.1" customHeight="1">
      <c r="A8" s="1"/>
      <c r="B8" s="4" t="s">
        <v>29</v>
      </c>
      <c r="C8" s="4" t="s">
        <v>9</v>
      </c>
      <c r="D8" s="4" t="s">
        <v>32</v>
      </c>
      <c r="E8" s="7">
        <f>IF(ISNUMBER(Parameters!E25),Parameters!E25,"")</f>
        <v>167</v>
      </c>
      <c r="F8" s="9" t="str">
        <f>IF(COUNT(Parameters!G17,Parameters!H25)&lt;2,"",MOD(Parameters!H25-Parameters!G17+180,360)-180)</f>
        <v/>
      </c>
      <c r="G8" s="11" t="str">
        <f t="shared" si="0"/>
        <v/>
      </c>
      <c r="H8" s="5" t="str">
        <f>IF(ISNUMBER(G8),1000*Parameters!E7*G8^2,"")</f>
        <v/>
      </c>
      <c r="I8" s="5" t="str">
        <f>IF(ISNUMBER(G8),1000*Parameters!E8*G8^2,"")</f>
        <v/>
      </c>
      <c r="J8" s="5" t="str">
        <f>IF(ISNUMBER(G8),1000*Parameters!E9*G8^2,"")</f>
        <v/>
      </c>
      <c r="K8" s="13" t="str">
        <f>IF(COUNT(Parameters!C17:F17,Parameters!F25:G25)&lt;6,"待补坐标",IF(NOT(ISNUMBER(E8)),"待填轮行程",IF(E8&lt;=0,"轮行程须大于0",IF(COUNT(Parameters!G17,Parameters!H25)&lt;2,"无效半径",""))))</f>
        <v>待补坐标</v>
      </c>
      <c r="L8" s="1"/>
      <c r="M8" s="1"/>
    </row>
    <row r="9" spans="1:13" ht="26.1" customHeight="1">
      <c r="A9" s="1"/>
      <c r="B9" s="3" t="s">
        <v>29</v>
      </c>
      <c r="C9" s="3" t="s">
        <v>13</v>
      </c>
      <c r="D9" s="3" t="s">
        <v>30</v>
      </c>
      <c r="E9" s="8">
        <f>IF(ISNUMBER(Parameters!E26),Parameters!E26,"")</f>
        <v>166</v>
      </c>
      <c r="F9" s="10" t="str">
        <f>IF(COUNT(Parameters!G18,Parameters!H26)&lt;2,"",MOD(Parameters!H26-Parameters!G18+180,360)-180)</f>
        <v/>
      </c>
      <c r="G9" s="12" t="str">
        <f t="shared" si="0"/>
        <v/>
      </c>
      <c r="H9" s="6" t="str">
        <f>IF(ISNUMBER(G9),1000*Parameters!E10*G9^2,"")</f>
        <v/>
      </c>
      <c r="I9" s="6" t="str">
        <f>IF(ISNUMBER(G9),1000*Parameters!E11*G9^2,"")</f>
        <v/>
      </c>
      <c r="J9" s="6" t="str">
        <f>IF(ISNUMBER(G9),1000*Parameters!E12*G9^2,"")</f>
        <v/>
      </c>
      <c r="K9" s="14" t="str">
        <f>IF(COUNT(Parameters!C18:F18,Parameters!F26:G26)&lt;6,"待补坐标",IF(NOT(ISNUMBER(E9)),"待填轮行程",IF(E9&lt;=0,"轮行程须大于0",IF(COUNT(Parameters!G18,Parameters!H26)&lt;2,"无效半径",""))))</f>
        <v>待补坐标</v>
      </c>
      <c r="L9" s="1"/>
      <c r="M9" s="1"/>
    </row>
    <row r="10" spans="1:13" ht="26.1" customHeight="1">
      <c r="A10" s="1"/>
      <c r="B10" s="4" t="s">
        <v>29</v>
      </c>
      <c r="C10" s="4" t="s">
        <v>13</v>
      </c>
      <c r="D10" s="4" t="s">
        <v>31</v>
      </c>
      <c r="E10" s="7">
        <f>IF(ISNUMBER(Parameters!E27),Parameters!E27,"")</f>
        <v>166</v>
      </c>
      <c r="F10" s="9" t="str">
        <f>IF(COUNT(Parameters!G18,Parameters!H27)&lt;2,"",MOD(Parameters!H27-Parameters!G18+180,360)-180)</f>
        <v/>
      </c>
      <c r="G10" s="11" t="str">
        <f t="shared" si="0"/>
        <v/>
      </c>
      <c r="H10" s="5" t="str">
        <f>IF(ISNUMBER(G10),1000*Parameters!E10*G10^2,"")</f>
        <v/>
      </c>
      <c r="I10" s="5" t="str">
        <f>IF(ISNUMBER(G10),1000*Parameters!E11*G10^2,"")</f>
        <v/>
      </c>
      <c r="J10" s="5" t="str">
        <f>IF(ISNUMBER(G10),1000*Parameters!E12*G10^2,"")</f>
        <v/>
      </c>
      <c r="K10" s="13" t="str">
        <f>IF(COUNT(Parameters!C18:F18,Parameters!F27:G27)&lt;6,"待补坐标",IF(NOT(ISNUMBER(E10)),"待填轮行程",IF(E10&lt;=0,"轮行程须大于0",IF(COUNT(Parameters!G18,Parameters!H27)&lt;2,"无效半径",""))))</f>
        <v>待补坐标</v>
      </c>
      <c r="L10" s="1"/>
      <c r="M10" s="1"/>
    </row>
    <row r="11" spans="1:13" ht="26.1" customHeight="1">
      <c r="A11" s="1"/>
      <c r="B11" s="3" t="s">
        <v>29</v>
      </c>
      <c r="C11" s="3" t="s">
        <v>13</v>
      </c>
      <c r="D11" s="3" t="s">
        <v>32</v>
      </c>
      <c r="E11" s="8">
        <f>IF(ISNUMBER(Parameters!E28),Parameters!E28,"")</f>
        <v>166</v>
      </c>
      <c r="F11" s="10" t="str">
        <f>IF(COUNT(Parameters!G18,Parameters!H28)&lt;2,"",MOD(Parameters!H28-Parameters!G18+180,360)-180)</f>
        <v/>
      </c>
      <c r="G11" s="12" t="str">
        <f t="shared" si="0"/>
        <v/>
      </c>
      <c r="H11" s="6" t="str">
        <f>IF(ISNUMBER(G11),1000*Parameters!E10*G11^2,"")</f>
        <v/>
      </c>
      <c r="I11" s="6" t="str">
        <f>IF(ISNUMBER(G11),1000*Parameters!E11*G11^2,"")</f>
        <v/>
      </c>
      <c r="J11" s="6" t="str">
        <f>IF(ISNUMBER(G11),1000*Parameters!E12*G11^2,"")</f>
        <v/>
      </c>
      <c r="K11" s="14" t="str">
        <f>IF(COUNT(Parameters!C18:F18,Parameters!F28:G28)&lt;6,"待补坐标",IF(NOT(ISNUMBER(E11)),"待填轮行程",IF(E11&lt;=0,"轮行程须大于0",IF(COUNT(Parameters!G18,Parameters!H28)&lt;2,"无效半径",""))))</f>
        <v>待补坐标</v>
      </c>
      <c r="L11" s="1"/>
      <c r="M11" s="1"/>
    </row>
    <row r="12" spans="1:13" ht="26.1" customHeight="1">
      <c r="A12" s="1"/>
      <c r="B12" s="4" t="s">
        <v>33</v>
      </c>
      <c r="C12" s="4" t="s">
        <v>9</v>
      </c>
      <c r="D12" s="4" t="s">
        <v>30</v>
      </c>
      <c r="E12" s="7">
        <f>IF(ISNUMBER(Parameters!E29),Parameters!E29,"")</f>
        <v>259</v>
      </c>
      <c r="F12" s="9">
        <f>IF(COUNT(Parameters!G17,Parameters!H29)&lt;2,"",MOD(Parameters!H29-Parameters!G17+180,360)-180)</f>
        <v>33.758329224654602</v>
      </c>
      <c r="G12" s="11">
        <f t="shared" si="0"/>
        <v>2.2748802893530783E-3</v>
      </c>
      <c r="H12" s="5">
        <f>IF(ISNUMBER(G12),1000*Parameters!E7*G12^2,"")</f>
        <v>4.871853581135178</v>
      </c>
      <c r="I12" s="5">
        <f>IF(ISNUMBER(G12),1000*Parameters!E8*G12^2,"")</f>
        <v>10.288059697803645</v>
      </c>
      <c r="J12" s="5">
        <f>IF(ISNUMBER(G12),1000*Parameters!E9*G12^2,"")</f>
        <v>18.936436183123369</v>
      </c>
      <c r="K12" s="13" t="str">
        <f>IF(COUNT(Parameters!C17:F17,Parameters!F29:G29)&lt;6,"待补坐标",IF(NOT(ISNUMBER(E12)),"待填轮行程",IF(E12&lt;=0,"轮行程须大于0",IF(COUNT(Parameters!G17,Parameters!H29)&lt;2,"无效半径",""))))</f>
        <v/>
      </c>
      <c r="L12" s="1"/>
      <c r="M12" s="1"/>
    </row>
    <row r="13" spans="1:13" ht="26.1" customHeight="1">
      <c r="A13" s="1"/>
      <c r="B13" s="3" t="s">
        <v>33</v>
      </c>
      <c r="C13" s="3" t="s">
        <v>9</v>
      </c>
      <c r="D13" s="3" t="s">
        <v>31</v>
      </c>
      <c r="E13" s="8">
        <f>IF(ISNUMBER(Parameters!E30),Parameters!E30,"")</f>
        <v>259</v>
      </c>
      <c r="F13" s="10">
        <f>IF(COUNT(Parameters!G17,Parameters!H30)&lt;2,"",MOD(Parameters!H30-Parameters!G17+180,360)-180)</f>
        <v>34.127727753721359</v>
      </c>
      <c r="G13" s="12">
        <f t="shared" si="0"/>
        <v>2.2997730329215684E-3</v>
      </c>
      <c r="H13" s="6">
        <f>IF(ISNUMBER(G13),1000*Parameters!E7*G13^2,"")</f>
        <v>4.979056864038502</v>
      </c>
      <c r="I13" s="6">
        <f>IF(ISNUMBER(G13),1000*Parameters!E8*G13^2,"")</f>
        <v>10.514444533871099</v>
      </c>
      <c r="J13" s="6">
        <f>IF(ISNUMBER(G13),1000*Parameters!E9*G13^2,"")</f>
        <v>19.353125250541339</v>
      </c>
      <c r="K13" s="14" t="str">
        <f>IF(COUNT(Parameters!C17:F17,Parameters!F30:G30)&lt;6,"待补坐标",IF(NOT(ISNUMBER(E13)),"待填轮行程",IF(E13&lt;=0,"轮行程须大于0",IF(COUNT(Parameters!G17,Parameters!H30)&lt;2,"无效半径",""))))</f>
        <v/>
      </c>
      <c r="L13" s="1"/>
      <c r="M13" s="1"/>
    </row>
    <row r="14" spans="1:13" ht="26.1" customHeight="1">
      <c r="A14" s="1"/>
      <c r="B14" s="4" t="s">
        <v>33</v>
      </c>
      <c r="C14" s="4" t="s">
        <v>9</v>
      </c>
      <c r="D14" s="4" t="s">
        <v>32</v>
      </c>
      <c r="E14" s="7">
        <f>IF(ISNUMBER(Parameters!E31),Parameters!E31,"")</f>
        <v>259</v>
      </c>
      <c r="F14" s="9">
        <f>IF(COUNT(Parameters!G17,Parameters!H31)&lt;2,"",MOD(Parameters!H31-Parameters!G17+180,360)-180)</f>
        <v>34.57413935598521</v>
      </c>
      <c r="G14" s="11">
        <f t="shared" si="0"/>
        <v>2.3298554741517132E-3</v>
      </c>
      <c r="H14" s="5">
        <f>IF(ISNUMBER(G14),1000*Parameters!E7*G14^2,"")</f>
        <v>5.1101670255576179</v>
      </c>
      <c r="I14" s="5">
        <f>IF(ISNUMBER(G14),1000*Parameters!E8*G14^2,"")</f>
        <v>10.791314342504192</v>
      </c>
      <c r="J14" s="5">
        <f>IF(ISNUMBER(G14),1000*Parameters!E9*G14^2,"")</f>
        <v>19.862738104297762</v>
      </c>
      <c r="K14" s="13" t="str">
        <f>IF(COUNT(Parameters!C17:F17,Parameters!F31:G31)&lt;6,"待补坐标",IF(NOT(ISNUMBER(E14)),"待填轮行程",IF(E14&lt;=0,"轮行程须大于0",IF(COUNT(Parameters!G17,Parameters!H31)&lt;2,"无效半径",""))))</f>
        <v/>
      </c>
      <c r="L14" s="1"/>
      <c r="M14" s="1"/>
    </row>
    <row r="15" spans="1:13" ht="26.1" customHeight="1">
      <c r="A15" s="1"/>
      <c r="B15" s="3" t="s">
        <v>33</v>
      </c>
      <c r="C15" s="3" t="s">
        <v>13</v>
      </c>
      <c r="D15" s="3" t="s">
        <v>30</v>
      </c>
      <c r="E15" s="8">
        <f>IF(ISNUMBER(Parameters!E32),Parameters!E32,"")</f>
        <v>252</v>
      </c>
      <c r="F15" s="10">
        <f>IF(COUNT(Parameters!G18,Parameters!H32)&lt;2,"",MOD(Parameters!H32-Parameters!G18+180,360)-180)</f>
        <v>38.443285238262206</v>
      </c>
      <c r="G15" s="12">
        <f t="shared" si="0"/>
        <v>2.6625472329008266E-3</v>
      </c>
      <c r="H15" s="6">
        <f>IF(ISNUMBER(G15),1000*Parameters!E10*G15^2,"")</f>
        <v>10.130884546881639</v>
      </c>
      <c r="I15" s="6">
        <f>IF(ISNUMBER(G15),1000*Parameters!E11*G15^2,"")</f>
        <v>20.835034678470446</v>
      </c>
      <c r="J15" s="6">
        <f>IF(ISNUMBER(G15),1000*Parameters!E12*G15^2,"")</f>
        <v>35.087821313012348</v>
      </c>
      <c r="K15" s="14" t="str">
        <f>IF(COUNT(Parameters!C18:F18,Parameters!F32:G32)&lt;6,"待补坐标",IF(NOT(ISNUMBER(E15)),"待填轮行程",IF(E15&lt;=0,"轮行程须大于0",IF(COUNT(Parameters!G18,Parameters!H32)&lt;2,"无效半径",""))))</f>
        <v/>
      </c>
      <c r="L15" s="1"/>
      <c r="M15" s="1"/>
    </row>
    <row r="16" spans="1:13" ht="26.1" customHeight="1">
      <c r="A16" s="1"/>
      <c r="B16" s="4" t="s">
        <v>33</v>
      </c>
      <c r="C16" s="4" t="s">
        <v>13</v>
      </c>
      <c r="D16" s="4" t="s">
        <v>31</v>
      </c>
      <c r="E16" s="7">
        <f>IF(ISNUMBER(Parameters!E33),Parameters!E33,"")</f>
        <v>252</v>
      </c>
      <c r="F16" s="9">
        <f>IF(COUNT(Parameters!G18,Parameters!H33)&lt;2,"",MOD(Parameters!H33-Parameters!G18+180,360)-180)</f>
        <v>40.894422797360903</v>
      </c>
      <c r="G16" s="11">
        <f t="shared" si="0"/>
        <v>2.8323108076054667E-3</v>
      </c>
      <c r="H16" s="5">
        <f>IF(ISNUMBER(G16),1000*Parameters!E10*G16^2,"")</f>
        <v>11.463956873691107</v>
      </c>
      <c r="I16" s="5">
        <f>IF(ISNUMBER(G16),1000*Parameters!E11*G16^2,"")</f>
        <v>23.576612477472587</v>
      </c>
      <c r="J16" s="5">
        <f>IF(ISNUMBER(G16),1000*Parameters!E12*G16^2,"")</f>
        <v>39.704851877713608</v>
      </c>
      <c r="K16" s="13" t="str">
        <f>IF(COUNT(Parameters!C18:F18,Parameters!F33:G33)&lt;6,"待补坐标",IF(NOT(ISNUMBER(E16)),"待填轮行程",IF(E16&lt;=0,"轮行程须大于0",IF(COUNT(Parameters!G18,Parameters!H33)&lt;2,"无效半径",""))))</f>
        <v/>
      </c>
      <c r="L16" s="1"/>
      <c r="M16" s="1"/>
    </row>
    <row r="17" spans="1:13" ht="26.1" customHeight="1">
      <c r="A17" s="1"/>
      <c r="B17" s="3" t="s">
        <v>33</v>
      </c>
      <c r="C17" s="3" t="s">
        <v>13</v>
      </c>
      <c r="D17" s="3" t="s">
        <v>32</v>
      </c>
      <c r="E17" s="8">
        <f>IF(ISNUMBER(Parameters!E34),Parameters!E34,"")</f>
        <v>252</v>
      </c>
      <c r="F17" s="10">
        <f>IF(COUNT(Parameters!G18,Parameters!H34)&lt;2,"",MOD(Parameters!H34-Parameters!G18+180,360)-180)</f>
        <v>43.340750435531703</v>
      </c>
      <c r="G17" s="12">
        <f t="shared" si="0"/>
        <v>3.0017412515285502E-3</v>
      </c>
      <c r="H17" s="6">
        <f>IF(ISNUMBER(G17),1000*Parameters!E10*G17^2,"")</f>
        <v>12.876541493683991</v>
      </c>
      <c r="I17" s="6">
        <f>IF(ISNUMBER(G17),1000*Parameters!E11*G17^2,"")</f>
        <v>26.481714140375743</v>
      </c>
      <c r="J17" s="6">
        <f>IF(ISNUMBER(G17),1000*Parameters!E12*G17^2,"")</f>
        <v>44.597269366675718</v>
      </c>
      <c r="K17" s="14" t="str">
        <f>IF(COUNT(Parameters!C18:F18,Parameters!F34:G34)&lt;6,"待补坐标",IF(NOT(ISNUMBER(E17)),"待填轮行程",IF(E17&lt;=0,"轮行程须大于0",IF(COUNT(Parameters!G18,Parameters!H34)&lt;2,"无效半径",""))))</f>
        <v/>
      </c>
      <c r="L17" s="1"/>
      <c r="M17" s="1"/>
    </row>
    <row r="18" spans="1:13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26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 ht="39.950000000000003" customHeight="1">
      <c r="A22" s="1"/>
      <c r="B22" s="2" t="s">
        <v>44</v>
      </c>
      <c r="C22" s="2" t="s">
        <v>9</v>
      </c>
      <c r="D22" s="2" t="s">
        <v>13</v>
      </c>
      <c r="E22" s="1"/>
      <c r="F22" s="1"/>
      <c r="G22" s="1"/>
      <c r="H22" s="1"/>
      <c r="I22" s="1"/>
      <c r="J22" s="1"/>
      <c r="K22" s="1"/>
      <c r="L22" s="1"/>
      <c r="M22" s="1"/>
    </row>
    <row r="23" spans="1:13" ht="26.1" customHeight="1">
      <c r="A23" s="1"/>
      <c r="B23" s="3" t="s">
        <v>45</v>
      </c>
      <c r="C23" s="6">
        <f>IF(ISNUMBER(H12),H12,NA())</f>
        <v>4.871853581135178</v>
      </c>
      <c r="D23" s="6">
        <f>IF(ISNUMBER(H15),H15,NA())</f>
        <v>10.130884546881639</v>
      </c>
      <c r="E23" s="1"/>
      <c r="F23" s="1"/>
      <c r="G23" s="1"/>
      <c r="H23" s="1"/>
      <c r="I23" s="1"/>
      <c r="J23" s="1"/>
      <c r="K23" s="1"/>
      <c r="L23" s="1"/>
      <c r="M23" s="1"/>
    </row>
    <row r="24" spans="1:13" ht="26.1" customHeight="1">
      <c r="A24" s="1"/>
      <c r="B24" s="4" t="s">
        <v>46</v>
      </c>
      <c r="C24" s="5">
        <f>IF(ISNUMBER(H13),H13,NA())</f>
        <v>4.979056864038502</v>
      </c>
      <c r="D24" s="5">
        <f>IF(ISNUMBER(H16),H16,NA())</f>
        <v>11.463956873691107</v>
      </c>
      <c r="E24" s="1"/>
      <c r="F24" s="1"/>
      <c r="G24" s="1"/>
      <c r="H24" s="1"/>
      <c r="I24" s="1"/>
      <c r="J24" s="1"/>
      <c r="K24" s="1"/>
      <c r="L24" s="1"/>
      <c r="M24" s="1"/>
    </row>
    <row r="25" spans="1:13" ht="26.1" customHeight="1">
      <c r="A25" s="1"/>
      <c r="B25" s="3" t="s">
        <v>47</v>
      </c>
      <c r="C25" s="6">
        <f>IF(ISNUMBER(H14),H14,NA())</f>
        <v>5.1101670255576179</v>
      </c>
      <c r="D25" s="6">
        <f>IF(ISNUMBER(H17),H17,NA())</f>
        <v>12.876541493683991</v>
      </c>
      <c r="E25" s="1"/>
      <c r="F25" s="1"/>
      <c r="G25" s="1"/>
      <c r="H25" s="1"/>
      <c r="I25" s="1"/>
      <c r="J25" s="1"/>
      <c r="K25" s="1"/>
      <c r="L25" s="1"/>
      <c r="M25" s="1"/>
    </row>
    <row r="26" spans="1:13" ht="26.1" customHeight="1">
      <c r="A26" s="1"/>
      <c r="B26" s="4" t="s">
        <v>48</v>
      </c>
      <c r="C26" s="5">
        <f>IF(ISNUMBER(I12),I12,NA())</f>
        <v>10.288059697803645</v>
      </c>
      <c r="D26" s="5">
        <f>IF(ISNUMBER(I15),I15,NA())</f>
        <v>20.835034678470446</v>
      </c>
      <c r="E26" s="1"/>
      <c r="F26" s="1"/>
      <c r="G26" s="1"/>
      <c r="H26" s="1"/>
      <c r="I26" s="1"/>
      <c r="J26" s="1"/>
      <c r="K26" s="1"/>
      <c r="L26" s="1"/>
      <c r="M26" s="1"/>
    </row>
    <row r="27" spans="1:13" ht="26.1" customHeight="1">
      <c r="A27" s="1"/>
      <c r="B27" s="3" t="s">
        <v>49</v>
      </c>
      <c r="C27" s="6">
        <f>IF(ISNUMBER(I13),I13,NA())</f>
        <v>10.514444533871099</v>
      </c>
      <c r="D27" s="6">
        <f>IF(ISNUMBER(I16),I16,NA())</f>
        <v>23.576612477472587</v>
      </c>
      <c r="E27" s="1"/>
      <c r="F27" s="1"/>
      <c r="G27" s="1"/>
      <c r="H27" s="1"/>
      <c r="I27" s="1"/>
      <c r="J27" s="1"/>
      <c r="K27" s="1"/>
      <c r="L27" s="1"/>
      <c r="M27" s="1"/>
    </row>
    <row r="28" spans="1:13" ht="26.1" customHeight="1">
      <c r="A28" s="1"/>
      <c r="B28" s="4" t="s">
        <v>50</v>
      </c>
      <c r="C28" s="5">
        <f>IF(ISNUMBER(I14),I14,NA())</f>
        <v>10.791314342504192</v>
      </c>
      <c r="D28" s="5">
        <f>IF(ISNUMBER(I17),I17,NA())</f>
        <v>26.481714140375743</v>
      </c>
      <c r="E28" s="1"/>
      <c r="F28" s="1"/>
      <c r="G28" s="1"/>
      <c r="H28" s="1"/>
      <c r="I28" s="1"/>
      <c r="J28" s="1"/>
      <c r="K28" s="1"/>
      <c r="L28" s="1"/>
      <c r="M28" s="1"/>
    </row>
    <row r="29" spans="1:13" ht="26.1" customHeight="1">
      <c r="A29" s="1"/>
      <c r="B29" s="3" t="s">
        <v>51</v>
      </c>
      <c r="C29" s="6">
        <f>IF(ISNUMBER(J12),J12,NA())</f>
        <v>18.936436183123369</v>
      </c>
      <c r="D29" s="6">
        <f>IF(ISNUMBER(J15),J15,NA())</f>
        <v>35.087821313012348</v>
      </c>
      <c r="E29" s="1"/>
      <c r="F29" s="1"/>
      <c r="G29" s="1"/>
      <c r="H29" s="1"/>
      <c r="I29" s="1"/>
      <c r="J29" s="1"/>
      <c r="K29" s="1"/>
      <c r="L29" s="1"/>
      <c r="M29" s="1"/>
    </row>
    <row r="30" spans="1:13" ht="26.1" customHeight="1">
      <c r="A30" s="1"/>
      <c r="B30" s="4" t="s">
        <v>52</v>
      </c>
      <c r="C30" s="5">
        <f>IF(ISNUMBER(J13),J13,NA())</f>
        <v>19.353125250541339</v>
      </c>
      <c r="D30" s="5">
        <f>IF(ISNUMBER(J16),J16,NA())</f>
        <v>39.704851877713608</v>
      </c>
      <c r="E30" s="1"/>
      <c r="F30" s="1"/>
      <c r="G30" s="1"/>
      <c r="H30" s="1"/>
      <c r="I30" s="1"/>
      <c r="J30" s="1"/>
      <c r="K30" s="1"/>
      <c r="L30" s="1"/>
      <c r="M30" s="1"/>
    </row>
    <row r="31" spans="1:13" ht="26.1" customHeight="1">
      <c r="A31" s="1"/>
      <c r="B31" s="3" t="s">
        <v>53</v>
      </c>
      <c r="C31" s="6">
        <f>IF(ISNUMBER(J14),J14,NA())</f>
        <v>19.862738104297762</v>
      </c>
      <c r="D31" s="6">
        <f>IF(ISNUMBER(J17),J17,NA())</f>
        <v>44.597269366675718</v>
      </c>
      <c r="E31" s="1"/>
      <c r="F31" s="1"/>
      <c r="G31" s="1"/>
      <c r="H31" s="1"/>
      <c r="I31" s="1"/>
      <c r="J31" s="1"/>
      <c r="K31" s="1"/>
      <c r="L31" s="1"/>
      <c r="M31" s="1"/>
    </row>
    <row r="32" spans="1:13" ht="26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26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26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39.950000000000003" customHeight="1">
      <c r="A35" s="1"/>
      <c r="B35" s="2" t="s">
        <v>44</v>
      </c>
      <c r="C35" s="2" t="s">
        <v>9</v>
      </c>
      <c r="D35" s="2" t="s">
        <v>13</v>
      </c>
      <c r="E35" s="1"/>
      <c r="F35" s="1"/>
      <c r="G35" s="1"/>
      <c r="H35" s="1"/>
      <c r="I35" s="1"/>
      <c r="J35" s="1"/>
      <c r="K35" s="1"/>
      <c r="L35" s="1"/>
      <c r="M35" s="1"/>
    </row>
    <row r="36" spans="1:13" ht="26.1" customHeight="1">
      <c r="A36" s="1"/>
      <c r="B36" s="4" t="s">
        <v>45</v>
      </c>
      <c r="C36" s="5" t="e">
        <f>IF(ISNUMBER(H6),H6,NA())</f>
        <v>#N/A</v>
      </c>
      <c r="D36" s="5" t="e">
        <f>IF(ISNUMBER(H9),H9,NA())</f>
        <v>#N/A</v>
      </c>
      <c r="E36" s="1"/>
      <c r="F36" s="1"/>
      <c r="G36" s="1"/>
      <c r="H36" s="1"/>
      <c r="I36" s="1"/>
      <c r="J36" s="1"/>
      <c r="K36" s="1"/>
      <c r="L36" s="1"/>
      <c r="M36" s="1"/>
    </row>
    <row r="37" spans="1:13" ht="26.1" customHeight="1">
      <c r="A37" s="1"/>
      <c r="B37" s="3" t="s">
        <v>46</v>
      </c>
      <c r="C37" s="6" t="e">
        <f>IF(ISNUMBER(H7),H7,NA())</f>
        <v>#N/A</v>
      </c>
      <c r="D37" s="6" t="e">
        <f>IF(ISNUMBER(H10),H10,NA())</f>
        <v>#N/A</v>
      </c>
      <c r="E37" s="1"/>
      <c r="F37" s="1"/>
      <c r="G37" s="1"/>
      <c r="H37" s="1"/>
      <c r="I37" s="1"/>
      <c r="J37" s="1"/>
      <c r="K37" s="1"/>
      <c r="L37" s="1"/>
      <c r="M37" s="1"/>
    </row>
    <row r="38" spans="1:13" ht="26.1" customHeight="1">
      <c r="A38" s="1"/>
      <c r="B38" s="4" t="s">
        <v>47</v>
      </c>
      <c r="C38" s="5" t="e">
        <f>IF(ISNUMBER(H8),H8,NA())</f>
        <v>#N/A</v>
      </c>
      <c r="D38" s="5" t="e">
        <f>IF(ISNUMBER(H11),H11,NA())</f>
        <v>#N/A</v>
      </c>
      <c r="E38" s="1"/>
      <c r="F38" s="1"/>
      <c r="G38" s="1"/>
      <c r="H38" s="1"/>
      <c r="I38" s="1"/>
      <c r="J38" s="1"/>
      <c r="K38" s="1"/>
      <c r="L38" s="1"/>
      <c r="M38" s="1"/>
    </row>
    <row r="39" spans="1:13" ht="26.1" customHeight="1">
      <c r="A39" s="1"/>
      <c r="B39" s="3" t="s">
        <v>48</v>
      </c>
      <c r="C39" s="6" t="e">
        <f>IF(ISNUMBER(I6),I6,NA())</f>
        <v>#N/A</v>
      </c>
      <c r="D39" s="6" t="e">
        <f>IF(ISNUMBER(I9),I9,NA())</f>
        <v>#N/A</v>
      </c>
      <c r="E39" s="1"/>
      <c r="F39" s="1"/>
      <c r="G39" s="1"/>
      <c r="H39" s="1"/>
      <c r="I39" s="1"/>
      <c r="J39" s="1"/>
      <c r="K39" s="1"/>
      <c r="L39" s="1"/>
      <c r="M39" s="1"/>
    </row>
    <row r="40" spans="1:13" ht="26.1" customHeight="1">
      <c r="A40" s="1"/>
      <c r="B40" s="4" t="s">
        <v>49</v>
      </c>
      <c r="C40" s="5" t="e">
        <f>IF(ISNUMBER(I7),I7,NA())</f>
        <v>#N/A</v>
      </c>
      <c r="D40" s="5" t="e">
        <f>IF(ISNUMBER(I10),I10,NA())</f>
        <v>#N/A</v>
      </c>
      <c r="E40" s="1"/>
      <c r="F40" s="1"/>
      <c r="G40" s="1"/>
      <c r="H40" s="1"/>
      <c r="I40" s="1"/>
      <c r="J40" s="1"/>
      <c r="K40" s="1"/>
      <c r="L40" s="1"/>
      <c r="M40" s="1"/>
    </row>
    <row r="41" spans="1:13" ht="26.1" customHeight="1">
      <c r="A41" s="1"/>
      <c r="B41" s="3" t="s">
        <v>50</v>
      </c>
      <c r="C41" s="6" t="e">
        <f>IF(ISNUMBER(I8),I8,NA())</f>
        <v>#N/A</v>
      </c>
      <c r="D41" s="6" t="e">
        <f>IF(ISNUMBER(I11),I11,NA())</f>
        <v>#N/A</v>
      </c>
      <c r="E41" s="1"/>
      <c r="F41" s="1"/>
      <c r="G41" s="1"/>
      <c r="H41" s="1"/>
      <c r="I41" s="1"/>
      <c r="J41" s="1"/>
      <c r="K41" s="1"/>
      <c r="L41" s="1"/>
      <c r="M41" s="1"/>
    </row>
    <row r="42" spans="1:13" ht="26.1" customHeight="1">
      <c r="A42" s="1"/>
      <c r="B42" s="4" t="s">
        <v>51</v>
      </c>
      <c r="C42" s="5" t="e">
        <f>IF(ISNUMBER(J6),J6,NA())</f>
        <v>#N/A</v>
      </c>
      <c r="D42" s="5" t="e">
        <f>IF(ISNUMBER(J9),J9,NA())</f>
        <v>#N/A</v>
      </c>
      <c r="E42" s="1"/>
      <c r="F42" s="1"/>
      <c r="G42" s="1"/>
      <c r="H42" s="1"/>
      <c r="I42" s="1"/>
      <c r="J42" s="1"/>
      <c r="K42" s="1"/>
      <c r="L42" s="1"/>
      <c r="M42" s="1"/>
    </row>
    <row r="43" spans="1:13" ht="26.1" customHeight="1">
      <c r="A43" s="1"/>
      <c r="B43" s="3" t="s">
        <v>52</v>
      </c>
      <c r="C43" s="6" t="e">
        <f>IF(ISNUMBER(J7),J7,NA())</f>
        <v>#N/A</v>
      </c>
      <c r="D43" s="6" t="e">
        <f>IF(ISNUMBER(J10),J10,NA())</f>
        <v>#N/A</v>
      </c>
      <c r="E43" s="1"/>
      <c r="F43" s="1"/>
      <c r="G43" s="1"/>
      <c r="H43" s="1"/>
      <c r="I43" s="1"/>
      <c r="J43" s="1"/>
      <c r="K43" s="1"/>
      <c r="L43" s="1"/>
      <c r="M43" s="1"/>
    </row>
    <row r="44" spans="1:13" ht="26.1" customHeight="1">
      <c r="A44" s="1"/>
      <c r="B44" s="4" t="s">
        <v>53</v>
      </c>
      <c r="C44" s="5" t="e">
        <f>IF(ISNUMBER(J8),J8,NA())</f>
        <v>#N/A</v>
      </c>
      <c r="D44" s="5" t="e">
        <f>IF(ISNUMBER(J11),J11,NA())</f>
        <v>#N/A</v>
      </c>
      <c r="E44" s="1"/>
      <c r="F44" s="1"/>
      <c r="G44" s="1"/>
      <c r="H44" s="1"/>
      <c r="I44" s="1"/>
      <c r="J44" s="1"/>
      <c r="K44" s="1"/>
      <c r="L44" s="1"/>
      <c r="M44" s="1"/>
    </row>
    <row r="45" spans="1:13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ht="26.1" customHeight="1">
      <c r="A49" s="1"/>
      <c r="B49" s="28" t="s">
        <v>54</v>
      </c>
      <c r="C49" s="28" t="s">
        <v>54</v>
      </c>
      <c r="D49" s="28" t="s">
        <v>54</v>
      </c>
      <c r="E49" s="1"/>
      <c r="F49" s="1"/>
      <c r="G49" s="1"/>
      <c r="H49" s="1"/>
      <c r="I49" s="1"/>
      <c r="J49" s="1"/>
      <c r="K49" s="1"/>
      <c r="L49" s="1"/>
      <c r="M49" s="1"/>
    </row>
    <row r="50" spans="1:13" ht="26.1" customHeight="1">
      <c r="A50" s="1"/>
      <c r="B50" s="1" t="s">
        <v>55</v>
      </c>
      <c r="C50" s="1">
        <v>223</v>
      </c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26.1" customHeight="1">
      <c r="A51" s="1"/>
      <c r="B51" s="1" t="s">
        <v>56</v>
      </c>
      <c r="C51" s="1">
        <v>267</v>
      </c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26.1" customHeight="1">
      <c r="A52" s="1"/>
      <c r="B52" s="1" t="s">
        <v>57</v>
      </c>
      <c r="C52" s="1">
        <v>236</v>
      </c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26.1" customHeight="1">
      <c r="A53" s="1"/>
      <c r="B53" s="1" t="s">
        <v>58</v>
      </c>
      <c r="C53" s="1">
        <v>238</v>
      </c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26.1" customHeight="1">
      <c r="A54" s="1"/>
      <c r="B54" s="1" t="s">
        <v>59</v>
      </c>
      <c r="C54" s="1">
        <v>279</v>
      </c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26.1" customHeight="1">
      <c r="A55" s="1"/>
      <c r="B55" s="1" t="s">
        <v>60</v>
      </c>
      <c r="C55" s="1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26.1" customHeight="1">
      <c r="A56" s="1"/>
      <c r="B56" s="1" t="s">
        <v>61</v>
      </c>
      <c r="C56" s="1">
        <v>23</v>
      </c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26.1" customHeight="1">
      <c r="A57" s="1"/>
      <c r="B57" s="1" t="s">
        <v>62</v>
      </c>
      <c r="C57" s="1">
        <v>24</v>
      </c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26.1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26.1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26.1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26.1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26.1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26.1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26.1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26.1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ht="26.1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ht="26.1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ht="26.1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ht="26.1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ht="26.1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ht="26.1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ht="26.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ht="26.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ht="26.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ht="26.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ht="26.1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ht="26.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ht="26.1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ht="26.1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ht="26.1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ht="26.1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ht="26.1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ht="26.1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ht="26.1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ht="26.1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ht="26.1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ht="26.1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spans="1:13" ht="26.1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spans="1:13" ht="26.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spans="1:13" ht="26.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spans="1:13" ht="21.95" customHeight="1"/>
    <row r="92" spans="1:13" ht="21.95" customHeight="1"/>
    <row r="93" spans="1:13" ht="21.95" customHeight="1"/>
    <row r="94" spans="1:13" ht="21.95" customHeight="1"/>
    <row r="95" spans="1:13" ht="21.95" customHeight="1"/>
    <row r="96" spans="1:13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  <row r="113" ht="21.95" customHeight="1"/>
    <row r="114" ht="21.95" customHeight="1"/>
    <row r="115" ht="21.95" customHeight="1"/>
    <row r="116" ht="21.95" customHeight="1"/>
    <row r="117" ht="21.95" customHeight="1"/>
    <row r="118" ht="21.95" customHeight="1"/>
    <row r="119" ht="21.95" customHeight="1"/>
    <row r="120" ht="21.95" customHeight="1"/>
    <row r="121" ht="21.95" customHeight="1"/>
    <row r="122" ht="21.95" customHeight="1"/>
    <row r="123" ht="21.95" customHeight="1"/>
    <row r="124" ht="35.1" customHeight="1"/>
    <row r="125" ht="21.95" customHeight="1"/>
    <row r="126" ht="21.95" customHeight="1"/>
    <row r="127" ht="21.95" customHeight="1"/>
    <row r="128" ht="21.95" customHeight="1"/>
    <row r="129" ht="21.95" customHeight="1"/>
    <row r="130" ht="21.95" customHeight="1"/>
    <row r="131" ht="21.95" customHeight="1"/>
    <row r="132" ht="21.95" customHeight="1"/>
    <row r="133" ht="21.95" customHeight="1"/>
    <row r="134" ht="21.95" customHeight="1"/>
    <row r="135" ht="21.95" customHeight="1"/>
    <row r="136" ht="21.95" customHeight="1"/>
    <row r="137" ht="21.95" customHeight="1"/>
    <row r="138" ht="21.95" customHeight="1"/>
    <row r="139" ht="21.95" customHeight="1"/>
    <row r="140" ht="21.95" customHeight="1"/>
    <row r="141" ht="21.95" customHeight="1"/>
    <row r="142" ht="21.95" customHeight="1"/>
    <row r="143" ht="21.95" customHeight="1"/>
    <row r="144" ht="21.95" customHeight="1"/>
    <row r="145" ht="21.95" customHeight="1"/>
    <row r="146" ht="21.95" customHeight="1"/>
    <row r="147" ht="21.95" customHeight="1"/>
    <row r="148" ht="21.95" customHeight="1"/>
    <row r="149" ht="21.95" customHeight="1"/>
    <row r="150" ht="21.95" customHeight="1"/>
    <row r="151" ht="21.95" customHeight="1"/>
    <row r="152" ht="21.95" customHeight="1"/>
    <row r="153" ht="21.95" customHeight="1"/>
    <row r="154" ht="21.95" customHeight="1"/>
    <row r="155" ht="21.95" customHeight="1"/>
    <row r="156" ht="21.95" customHeight="1"/>
    <row r="157" ht="21.95" customHeight="1"/>
  </sheetData>
  <mergeCells count="2">
    <mergeCell ref="B2:K3"/>
    <mergeCell ref="B49:D49"/>
  </mergeCells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2026-10-18T12:26:11Z</dcterms:modified>
</cp:coreProperties>
</file>