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04BD550C-4EB9-4305-944E-259FF894463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<sst xmlns="http://schemas.openxmlformats.org/spreadsheetml/2006/main" count="319" uniqueCount="63">
  <si>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</si>
  <si>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</si>
  <si>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</si>
  <si>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</si>
  <si>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</si>
  <si>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</si>
  <si>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</si>
  <si>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</si>
  <si>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</si>
  <si>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</si>
  <si>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Soft</t>
  </si>
  <si>
    <t>Medium</t>
  </si>
  <si>
    <t>Hard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</si>
  <si>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</si>
  <si>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</si>
  <si>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</si>
  <si>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</si>
  <si>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</si>
  <si>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</si>
  <si>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</si>
  <si>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</si>
  <si>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Radius
(mm)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</si>
  <si>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</si>
  <si>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</si>
  <si>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</si>
  <si>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</si>
  <si>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</si>
  <si>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</si>
  <si>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</si>
  <si>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</si>
  <si>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Inner</t>
  </si>
  <si>
    <t>Middle</t>
  </si>
  <si>
    <t>Outer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</si>
  <si>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</si>
  <si>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</si>
  <si>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</si>
  <si>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</si>
  <si>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</si>
  <si>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</si>
  <si>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</si>
  <si>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Soft
(N/mm)</t>
  </si>
  <si>
    <t>Medium
(N/mm)</t>
  </si>
  <si>
    <t>Hard
(N/mm)</t>
  </si>
  <si>
    <t>Input</t>
  </si>
  <si>
    <t>Setting</t>
  </si>
  <si>
    <t>Soft Inner</t>
  </si>
  <si>
    <t>Soft Middle</t>
  </si>
  <si>
    <t>Soft Outer</t>
  </si>
  <si>
    <t>Medium Inner</t>
  </si>
  <si>
    <t>Medium Middle</t>
  </si>
  <si>
    <t>Medium Outer</t>
  </si>
  <si>
    <t>Hard Inner</t>
  </si>
  <si>
    <t>Hard Middle</t>
  </si>
  <si>
    <t>Hard Outer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</si>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</sst>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"/>
    <numFmt numFmtId="177" formatCode="0.0000"/>
    <numFmt numFmtId="178" formatCode="0.000"/>
    <numFmt numFmtId="179" formatCode="0.000000"/>
    <numFmt numFmtId="180" formatCode="0.0"/>
    <numFmt numFmtId="181" formatCode="0.0000"/>
    <numFmt numFmtId="182" formatCode="0.000"/>
    <numFmt numFmtId="183" formatCode="0.000000"/>
    <numFmt numFmtId="184" formatCode="0.00"/>
  </numFmts>
  <fonts count="33">
    <font>
      <sz val="11"/>
      <name val="Carlito"/>
    </font>
    <font>
      <sz val="11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Microsoft YaHei"/>
      <family val="2"/>
      <charset val="134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name val="Carlito"/>
    </font>
    <font>
      <sz val="11"/>
      <color rgb="FF283C50"/>
      <name val="Arial"/>
      <family val="2"/>
    </font>
    <font>
      <sz val="11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Microsoft YaHei"/>
      <family val="2"/>
    </font>
    <font>
      <sz val="11"/>
      <color rgb="FF667B91"/>
      <name val="Microsoft YaHei"/>
      <family val="2"/>
    </font>
    <font>
      <sz val="10"/>
      <color rgb="FF667B91"/>
      <name val="Microsoft YaHei"/>
      <family val="2"/>
    </font>
    <font>
      <sz val="9"/>
      <name val="宋体"/>
      <family val="3"/>
    </font>
    <font>
      <b/>
      <sz val="11"/>
      <color rgb="FFFFFFFF"/>
      <name val="Arial"/>
    </font>
    <font>
      <sz val="11"/>
      <color rgb="FF283C50"/>
      <name val="Arial"/>
    </font>
    <font>
      <sz val="11"/>
      <color rgb="FF195DB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4">
    <xf numFmtId="0" fontId="0" fillId="0" borderId="0"/>
    <xf numFmtId="0" fontId="1" fillId="2" borderId="0" xfId="0" applyFont="1" applyFill="1" applyAlignment="1">
      <alignment vertical="center"/>
    </xf>
    <xf numFmtId="0" fontId="15" fillId="11" borderId="4"/>
    <xf numFmtId="0" fontId="16" fillId="13" borderId="4" xfId="0" applyFont="1" applyFill="1" applyAlignment="1">
      <alignment vertical="center"/>
    </xf>
  </cellStyleXfs>
  <cellXfs count="107">
    <xf numFmtId="0" fontId="0" fillId="0" borderId="0" xfId="0"/>
    <xf numFmtId="0" fontId="1" fillId="2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7" fillId="6" borderId="2" xfId="1" applyFont="1" applyFill="1" applyBorder="1">
      <alignment vertical="center"/>
    </xf>
    <xf numFmtId="0" fontId="9" fillId="7" borderId="2" xfId="1" applyFont="1" applyFill="1" applyBorder="1" applyAlignment="1">
      <alignment horizontal="center" vertical="center" wrapText="1"/>
    </xf>
    <xf numFmtId="0" fontId="7" fillId="8" borderId="3" xfId="1" applyFont="1" applyFill="1" applyBorder="1">
      <alignment vertical="center"/>
    </xf>
    <xf numFmtId="0" fontId="7" fillId="6" borderId="3" xfId="1" applyFont="1" applyFill="1" applyBorder="1">
      <alignment vertical="center"/>
    </xf>
    <xf numFmtId="176" fontId="10" fillId="9" borderId="3" xfId="1" applyNumberFormat="1" applyFont="1" applyFill="1" applyBorder="1" applyAlignment="1">
      <alignment horizontal="right" vertical="center"/>
    </xf>
    <xf numFmtId="1" fontId="10" fillId="9" borderId="3" xfId="1" applyNumberFormat="1" applyFont="1" applyFill="1" applyBorder="1" applyAlignment="1">
      <alignment horizontal="right" vertical="center"/>
    </xf>
    <xf numFmtId="1" fontId="7" fillId="8" borderId="3" xfId="1" applyNumberFormat="1" applyFont="1" applyFill="1" applyBorder="1">
      <alignment vertical="center"/>
    </xf>
    <xf numFmtId="1" fontId="7" fillId="6" borderId="3" xfId="1" applyNumberFormat="1" applyFont="1" applyFill="1" applyBorder="1">
      <alignment vertical="center"/>
    </xf>
    <xf numFmtId="177" fontId="10" fillId="9" borderId="3" xfId="1" applyNumberFormat="1" applyFont="1" applyFill="1" applyBorder="1" applyAlignment="1">
      <alignment horizontal="right" vertical="center"/>
    </xf>
    <xf numFmtId="2" fontId="7" fillId="8" borderId="3" xfId="1" applyNumberFormat="1" applyFont="1" applyFill="1" applyBorder="1">
      <alignment vertical="center"/>
    </xf>
    <xf numFmtId="2" fontId="7" fillId="6" borderId="3" xfId="1" applyNumberFormat="1" applyFont="1" applyFill="1" applyBorder="1">
      <alignment vertical="center"/>
    </xf>
    <xf numFmtId="176" fontId="7" fillId="8" borderId="3" xfId="1" applyNumberFormat="1" applyFont="1" applyFill="1" applyBorder="1">
      <alignment vertical="center"/>
    </xf>
    <xf numFmtId="176" fontId="7" fillId="6" borderId="3" xfId="1" applyNumberFormat="1" applyFont="1" applyFill="1" applyBorder="1">
      <alignment vertical="center"/>
    </xf>
    <xf numFmtId="0" fontId="5" fillId="5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1" fillId="10" borderId="2" xfId="1" applyFont="1" applyFill="1" applyBorder="1">
      <alignment vertical="center"/>
    </xf>
    <xf numFmtId="0" fontId="8" fillId="6" borderId="2" xfId="1" applyFont="1" applyFill="1" applyBorder="1">
      <alignment vertical="center"/>
    </xf>
    <xf numFmtId="0" fontId="12" fillId="6" borderId="2" xfId="1" applyFont="1" applyFill="1" applyBorder="1">
      <alignment vertical="center"/>
    </xf>
    <xf numFmtId="0" fontId="13" fillId="6" borderId="2" xfId="1" applyFont="1" applyFill="1" applyBorder="1">
      <alignment vertical="center"/>
    </xf>
    <xf numFmtId="0" fontId="15" fillId="11" borderId="4" xfId="2"/>
    <xf numFmtId="0" fontId="16" fillId="13" borderId="4" xfId="2" applyFont="1" applyFill="1" applyAlignment="1">
      <alignment vertical="center"/>
    </xf>
    <xf numFmtId="0" fontId="19" fillId="14" borderId="4" xfId="2" applyFont="1" applyFill="1" applyAlignment="1">
      <alignment horizontal="center" vertical="center" wrapText="1"/>
    </xf>
    <xf numFmtId="0" fontId="16" fillId="15" borderId="5" xfId="2" applyFont="1" applyFill="1" applyBorder="1" applyAlignment="1">
      <alignment vertical="center"/>
    </xf>
    <xf numFmtId="0" fontId="16" fillId="13" borderId="5" xfId="2" applyFont="1" applyFill="1" applyBorder="1" applyAlignment="1">
      <alignment vertical="center"/>
    </xf>
    <xf numFmtId="2" fontId="16" fillId="13" borderId="5" xfId="2" applyNumberFormat="1" applyFont="1" applyFill="1" applyBorder="1" applyAlignment="1">
      <alignment vertical="center"/>
    </xf>
    <xf numFmtId="2" fontId="16" fillId="15" borderId="5" xfId="2" applyNumberFormat="1" applyFont="1" applyFill="1" applyBorder="1" applyAlignment="1">
      <alignment vertical="center"/>
    </xf>
    <xf numFmtId="180" fontId="16" fillId="13" borderId="5" xfId="2" applyNumberFormat="1" applyFont="1" applyFill="1" applyBorder="1" applyAlignment="1">
      <alignment vertical="center"/>
    </xf>
    <xf numFmtId="180" fontId="16" fillId="15" borderId="5" xfId="2" applyNumberFormat="1" applyFont="1" applyFill="1" applyBorder="1" applyAlignment="1">
      <alignment vertical="center"/>
    </xf>
    <xf numFmtId="182" fontId="16" fillId="13" borderId="5" xfId="2" applyNumberFormat="1" applyFont="1" applyFill="1" applyBorder="1" applyAlignment="1">
      <alignment vertical="center"/>
    </xf>
    <xf numFmtId="182" fontId="16" fillId="15" borderId="5" xfId="2" applyNumberFormat="1" applyFont="1" applyFill="1" applyBorder="1" applyAlignment="1">
      <alignment vertical="center"/>
    </xf>
    <xf numFmtId="183" fontId="16" fillId="13" borderId="5" xfId="2" applyNumberFormat="1" applyFont="1" applyFill="1" applyBorder="1" applyAlignment="1">
      <alignment vertical="center"/>
    </xf>
    <xf numFmtId="183" fontId="16" fillId="15" borderId="5" xfId="2" applyNumberFormat="1" applyFont="1" applyFill="1" applyBorder="1" applyAlignment="1">
      <alignment vertical="center"/>
    </xf>
    <xf numFmtId="0" fontId="21" fillId="13" borderId="5" xfId="2" applyFont="1" applyFill="1" applyBorder="1" applyAlignment="1">
      <alignment vertical="center"/>
    </xf>
    <xf numFmtId="0" fontId="21" fillId="15" borderId="5" xfId="2" applyFont="1" applyFill="1" applyBorder="1" applyAlignment="1">
      <alignment vertical="center"/>
    </xf>
    <xf numFmtId="0" fontId="22" fillId="17" borderId="6" xfId="3" applyFont="1" applyFill="1" applyBorder="1">
      <alignment vertical="center"/>
    </xf>
    <xf numFmtId="0" fontId="24" fillId="18" borderId="6" xfId="3" applyFont="1" applyFill="1" applyBorder="1" applyAlignment="1">
      <alignment horizontal="center" vertical="center" wrapText="1"/>
    </xf>
    <xf numFmtId="0" fontId="22" fillId="19" borderId="7" xfId="3" applyFont="1" applyFill="1" applyBorder="1">
      <alignment vertical="center"/>
    </xf>
    <xf numFmtId="0" fontId="22" fillId="17" borderId="7" xfId="3" applyFont="1" applyFill="1" applyBorder="1">
      <alignment vertical="center"/>
    </xf>
    <xf numFmtId="180" fontId="25" fillId="20" borderId="7" xfId="3" applyNumberFormat="1" applyFont="1" applyFill="1" applyBorder="1" applyAlignment="1">
      <alignment horizontal="right" vertical="center"/>
    </xf>
    <xf numFmtId="1" fontId="25" fillId="20" borderId="7" xfId="3" applyNumberFormat="1" applyFont="1" applyFill="1" applyBorder="1" applyAlignment="1">
      <alignment horizontal="right" vertical="center"/>
    </xf>
    <xf numFmtId="1" fontId="22" fillId="19" borderId="7" xfId="3" applyNumberFormat="1" applyFont="1" applyFill="1" applyBorder="1">
      <alignment vertical="center"/>
    </xf>
    <xf numFmtId="1" fontId="22" fillId="17" borderId="7" xfId="3" applyNumberFormat="1" applyFont="1" applyFill="1" applyBorder="1">
      <alignment vertical="center"/>
    </xf>
    <xf numFmtId="181" fontId="25" fillId="20" borderId="7" xfId="3" applyNumberFormat="1" applyFont="1" applyFill="1" applyBorder="1" applyAlignment="1">
      <alignment horizontal="right" vertical="center"/>
    </xf>
    <xf numFmtId="2" fontId="22" fillId="19" borderId="7" xfId="3" applyNumberFormat="1" applyFont="1" applyFill="1" applyBorder="1">
      <alignment vertical="center"/>
    </xf>
    <xf numFmtId="2" fontId="22" fillId="17" borderId="7" xfId="3" applyNumberFormat="1" applyFont="1" applyFill="1" applyBorder="1">
      <alignment vertical="center"/>
    </xf>
    <xf numFmtId="180" fontId="22" fillId="19" borderId="7" xfId="3" applyNumberFormat="1" applyFont="1" applyFill="1" applyBorder="1">
      <alignment vertical="center"/>
    </xf>
    <xf numFmtId="180" fontId="22" fillId="17" borderId="7" xfId="3" applyNumberFormat="1" applyFont="1" applyFill="1" applyBorder="1">
      <alignment vertical="center"/>
    </xf>
    <xf numFmtId="0" fontId="20" fillId="16" borderId="4" xfId="2" applyFont="1" applyFill="1" applyAlignment="1">
      <alignment vertical="center"/>
    </xf>
    <xf numFmtId="0" fontId="17" fillId="13" borderId="4" xfId="2" applyFont="1" applyFill="1" applyAlignment="1">
      <alignment vertical="center"/>
    </xf>
    <xf numFmtId="0" fontId="18" fillId="13" borderId="4" xfId="2" applyFont="1" applyFill="1" applyAlignment="1">
      <alignment vertical="center"/>
    </xf>
    <xf numFmtId="0" fontId="26" fillId="21" borderId="6" xfId="3" applyFont="1" applyFill="1" applyBorder="1">
      <alignment vertical="center"/>
    </xf>
    <xf numFmtId="0" fontId="23" fillId="17" borderId="6" xfId="3" applyFont="1" applyFill="1" applyBorder="1">
      <alignment vertical="center"/>
    </xf>
    <xf numFmtId="0" fontId="27" fillId="17" borderId="6" xfId="3" applyFont="1" applyFill="1" applyBorder="1">
      <alignment vertical="center"/>
    </xf>
    <xf numFmtId="0" fontId="28" fillId="17" borderId="6" xfId="3" applyFont="1" applyFill="1" applyBorder="1">
      <alignment vertical="center"/>
    </xf>
    <xf numFmtId="0" fontId="15" fillId="22" borderId="4" xfId="2" applyNumberFormat="1" applyFont="1" applyFill="1" applyBorder="1"/>
    <xf numFmtId="0" fontId="30" fillId="22" borderId="4" xfId="2" applyNumberFormat="1" applyFont="1" applyFill="1" applyBorder="1"/>
    <xf numFmtId="0" fontId="30" fillId="22" borderId="4" xfId="2" applyNumberFormat="1" applyFont="1" applyFill="1" applyBorder="1" applyAlignment="1">
      <alignment wrapText="1"/>
    </xf>
    <xf numFmtId="0" fontId="30" fillId="22" borderId="4" xfId="2" applyNumberFormat="1" applyFont="1" applyFill="1" applyBorder="1" applyAlignment="1">
      <alignment horizontal="center" wrapText="1"/>
    </xf>
    <xf numFmtId="0" fontId="30" fillId="22" borderId="4" xfId="2" applyNumberFormat="1" applyFont="1" applyFill="1" applyBorder="1" applyAlignment="1">
      <alignment horizontal="center" vertical="center" wrapText="1"/>
    </xf>
    <xf numFmtId="0" fontId="15" fillId="23" borderId="4" xfId="2" applyNumberFormat="1" applyFont="1" applyFill="1" applyBorder="1"/>
    <xf numFmtId="0" fontId="31" fillId="23" borderId="4" xfId="2" applyNumberFormat="1" applyFont="1" applyFill="1" applyBorder="1"/>
    <xf numFmtId="0" fontId="31" fillId="23" borderId="5" xfId="2" applyNumberFormat="1" applyFont="1" applyFill="1" applyBorder="1"/>
    <xf numFmtId="0" fontId="31" fillId="23" borderId="5" xfId="2" applyNumberFormat="1" applyFont="1" applyFill="1" applyBorder="1" applyAlignment="1">
      <alignment vertical="center"/>
    </xf>
    <xf numFmtId="0" fontId="31" fillId="24" borderId="5" xfId="2" applyNumberFormat="1" applyFont="1" applyFill="1" applyBorder="1" applyAlignment="1">
      <alignment vertical="center"/>
    </xf>
    <xf numFmtId="0" fontId="32" fillId="24" borderId="5" xfId="2" applyNumberFormat="1" applyFont="1" applyFill="1" applyBorder="1" applyAlignment="1">
      <alignment vertical="center"/>
    </xf>
    <xf numFmtId="0" fontId="32" fillId="24" borderId="5" xfId="2" applyNumberFormat="1" applyFont="1" applyFill="1" applyBorder="1" applyAlignment="1">
      <alignment horizontal="right" vertical="center"/>
    </xf>
    <xf numFmtId="181" fontId="32" fillId="24" borderId="5" xfId="2" applyNumberFormat="1" applyFont="1" applyFill="1" applyBorder="1" applyAlignment="1">
      <alignment horizontal="right" vertical="center"/>
    </xf>
    <xf numFmtId="0" fontId="15" fillId="25" borderId="4" xfId="2" applyNumberFormat="1" applyFont="1" applyFill="1" applyBorder="1"/>
    <xf numFmtId="0" fontId="31" fillId="25" borderId="4" xfId="2" applyNumberFormat="1" applyFont="1" applyFill="1" applyBorder="1"/>
    <xf numFmtId="0" fontId="31" fillId="25" borderId="5" xfId="2" applyNumberFormat="1" applyFont="1" applyFill="1" applyBorder="1"/>
    <xf numFmtId="0" fontId="31" fillId="25" borderId="5" xfId="2" applyNumberFormat="1" applyFont="1" applyFill="1" applyBorder="1" applyAlignment="1">
      <alignment vertical="center"/>
    </xf>
    <xf numFmtId="0" fontId="18" fillId="13" borderId="4" xfId="2" applyNumberFormat="1" applyFont="1" applyFill="1" applyBorder="1" applyAlignment="1">
      <alignment vertical="center"/>
    </xf>
    <xf numFmtId="0" fontId="16" fillId="22" borderId="4" xfId="2" applyNumberFormat="1" applyFont="1" applyFill="1" applyBorder="1" applyAlignment="1">
      <alignment vertical="center"/>
    </xf>
    <xf numFmtId="0" fontId="19" fillId="22" borderId="4" xfId="2" applyNumberFormat="1" applyFont="1" applyFill="1" applyBorder="1" applyAlignment="1">
      <alignment vertical="center"/>
    </xf>
    <xf numFmtId="0" fontId="19" fillId="22" borderId="4" xfId="2" applyNumberFormat="1" applyFont="1" applyFill="1" applyBorder="1" applyAlignment="1">
      <alignment vertical="center" wrapText="1"/>
    </xf>
    <xf numFmtId="0" fontId="19" fillId="22" borderId="4" xfId="2" applyNumberFormat="1" applyFont="1" applyFill="1" applyBorder="1" applyAlignment="1">
      <alignment horizontal="center" vertical="center" wrapText="1"/>
    </xf>
    <xf numFmtId="180" fontId="32" fillId="24" borderId="5" xfId="2" applyNumberFormat="1" applyFont="1" applyFill="1" applyBorder="1" applyAlignment="1">
      <alignment horizontal="right" vertical="center"/>
    </xf>
    <xf numFmtId="0" fontId="16" fillId="25" borderId="4" xfId="2" applyNumberFormat="1" applyFont="1" applyFill="1" applyBorder="1" applyAlignment="1">
      <alignment vertical="center"/>
    </xf>
    <xf numFmtId="0" fontId="16" fillId="25" borderId="5" xfId="2" applyNumberFormat="1" applyFont="1" applyFill="1" applyBorder="1" applyAlignment="1">
      <alignment vertical="center"/>
    </xf>
    <xf numFmtId="0" fontId="16" fillId="25" borderId="5" xfId="2" applyNumberFormat="1" applyFont="1" applyFill="1" applyBorder="1" applyAlignment="1">
      <alignment horizontal="right" vertical="center"/>
    </xf>
    <xf numFmtId="0" fontId="31" fillId="25" borderId="5" xfId="2" applyNumberFormat="1" applyFont="1" applyFill="1" applyBorder="1" applyAlignment="1">
      <alignment horizontal="right"/>
    </xf>
    <xf numFmtId="0" fontId="31" fillId="25" borderId="5" xfId="2" applyNumberFormat="1" applyFont="1" applyFill="1" applyBorder="1" applyAlignment="1">
      <alignment horizontal="right" vertical="center"/>
    </xf>
    <xf numFmtId="0" fontId="16" fillId="23" borderId="4" xfId="2" applyNumberFormat="1" applyFont="1" applyFill="1" applyBorder="1" applyAlignment="1">
      <alignment vertical="center"/>
    </xf>
    <xf numFmtId="0" fontId="16" fillId="23" borderId="5" xfId="2" applyNumberFormat="1" applyFont="1" applyFill="1" applyBorder="1" applyAlignment="1">
      <alignment vertical="center"/>
    </xf>
    <xf numFmtId="0" fontId="16" fillId="23" borderId="5" xfId="2" applyNumberFormat="1" applyFont="1" applyFill="1" applyBorder="1" applyAlignment="1">
      <alignment horizontal="right" vertical="center"/>
    </xf>
    <xf numFmtId="0" fontId="31" fillId="23" borderId="5" xfId="2" applyNumberFormat="1" applyFont="1" applyFill="1" applyBorder="1" applyAlignment="1">
      <alignment horizontal="right"/>
    </xf>
    <xf numFmtId="0" fontId="31" fillId="23" borderId="5" xfId="2" applyNumberFormat="1" applyFont="1" applyFill="1" applyBorder="1" applyAlignment="1">
      <alignment horizontal="right" vertical="center"/>
    </xf>
    <xf numFmtId="184" fontId="16" fillId="25" borderId="5" xfId="2" applyNumberFormat="1" applyFont="1" applyFill="1" applyBorder="1" applyAlignment="1">
      <alignment horizontal="right" vertical="center"/>
    </xf>
    <xf numFmtId="184" fontId="16" fillId="23" borderId="5" xfId="2" applyNumberFormat="1" applyFont="1" applyFill="1" applyBorder="1" applyAlignment="1">
      <alignment horizontal="right" vertical="center"/>
    </xf>
    <xf numFmtId="180" fontId="31" fillId="25" borderId="5" xfId="2" applyNumberFormat="1" applyFont="1" applyFill="1" applyBorder="1" applyAlignment="1">
      <alignment horizontal="right" vertical="center"/>
    </xf>
    <xf numFmtId="180" fontId="31" fillId="23" borderId="5" xfId="2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2" zoomScale="115" zoomScaleNormal="115" workbookViewId="0"/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/>
    </row>
    <row r="3" spans="1:15" ht="26.1" customHeight="1">
      <c r="A3" s="1"/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/>
    </row>
    <row r="4" spans="1:15" ht="26.1" customHeight="1">
      <c r="A4" s="1"/>
      <c r="B4" s="29" t="s">
        <v>1</v>
      </c>
      <c r="C4" s="29" t="s">
        <v>1</v>
      </c>
      <c r="D4" s="29" t="s">
        <v>1</v>
      </c>
      <c r="E4" s="29" t="s">
        <v>1</v>
      </c>
      <c r="F4" s="29" t="s">
        <v>1</v>
      </c>
      <c r="G4" s="29" t="s">
        <v>1</v>
      </c>
      <c r="H4" s="29" t="s">
        <v>1</v>
      </c>
      <c r="I4" s="29" t="s">
        <v>1</v>
      </c>
      <c r="J4" s="29" t="s">
        <v>1</v>
      </c>
      <c r="K4" s="29" t="s">
        <v>1</v>
      </c>
      <c r="L4" s="29" t="s">
        <v>1</v>
      </c>
      <c r="M4" s="29" t="s">
        <v>1</v>
      </c>
      <c r="N4" s="29" t="s">
        <v>1</v>
      </c>
      <c r="O4" s="1"/>
    </row>
    <row r="5" spans="1:15" ht="26.1" customHeight="1">
      <c r="A5" s="1"/>
      <c r="B5" s="30" t="str">
        <f>IF(COUNT(Samples!H6:J17)=0,"待补节点坐标；暂无刚度结果。","")</f>
        <v>待补节点坐标；暂无刚度结果。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30" t="s">
        <v>2</v>
      </c>
      <c r="C49" s="30" t="s">
        <v>2</v>
      </c>
      <c r="D49" s="30" t="s">
        <v>2</v>
      </c>
      <c r="E49" s="30" t="s">
        <v>2</v>
      </c>
      <c r="F49" s="30" t="s">
        <v>2</v>
      </c>
      <c r="G49" s="30" t="s">
        <v>2</v>
      </c>
      <c r="H49" s="30" t="s">
        <v>2</v>
      </c>
      <c r="I49" s="30" t="s">
        <v>2</v>
      </c>
      <c r="J49" s="30" t="s">
        <v>2</v>
      </c>
      <c r="K49" s="30" t="s">
        <v>2</v>
      </c>
      <c r="L49" s="30" t="s">
        <v>2</v>
      </c>
      <c r="M49" s="30" t="s">
        <v>2</v>
      </c>
      <c r="N49" s="30" t="s">
        <v>2</v>
      </c>
      <c r="O49" s="1"/>
    </row>
  </sheetData>
  <mergeCells count="4">
    <mergeCell ref="B2:N3"/>
    <mergeCell ref="B4:N4"/>
    <mergeCell ref="B5:N5"/>
    <mergeCell ref="B49:N49"/>
  </mergeCells>
  <phoneticPr fontId="1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tabSelected="1" zoomScale="130" zoomScaleNormal="130" workbookViewId="0">
      <pane ySplit="4" topLeftCell="A19" activePane="bottomLeft" state="frozen"/>
      <selection pane="bottomLeft" activeCell="E36" sqref="E36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32" t="s">
        <v>3</v>
      </c>
      <c r="C2" s="32" t="s">
        <v>3</v>
      </c>
      <c r="D2" s="32" t="s">
        <v>3</v>
      </c>
      <c r="E2" s="32" t="s">
        <v>3</v>
      </c>
      <c r="F2" s="32" t="s">
        <v>3</v>
      </c>
      <c r="G2" s="32" t="s">
        <v>3</v>
      </c>
      <c r="H2" s="32" t="s">
        <v>3</v>
      </c>
      <c r="I2" s="32" t="s">
        <v>3</v>
      </c>
      <c r="J2" s="15"/>
    </row>
    <row r="3" spans="1:10" ht="27" customHeight="1">
      <c r="A3" s="15"/>
      <c r="B3" s="32" t="s">
        <v>3</v>
      </c>
      <c r="C3" s="32" t="s">
        <v>3</v>
      </c>
      <c r="D3" s="32" t="s">
        <v>3</v>
      </c>
      <c r="E3" s="32" t="s">
        <v>3</v>
      </c>
      <c r="F3" s="32" t="s">
        <v>3</v>
      </c>
      <c r="G3" s="32" t="s">
        <v>3</v>
      </c>
      <c r="H3" s="32" t="s">
        <v>3</v>
      </c>
      <c r="I3" s="32" t="s">
        <v>3</v>
      </c>
      <c r="J3" s="15"/>
    </row>
    <row r="4" spans="1:10" ht="27" customHeight="1">
      <c r="A4" s="15"/>
      <c r="B4" s="33" t="s">
        <v>4</v>
      </c>
      <c r="C4" s="33" t="s">
        <v>4</v>
      </c>
      <c r="D4" s="33" t="s">
        <v>4</v>
      </c>
      <c r="E4" s="33" t="s">
        <v>4</v>
      </c>
      <c r="F4" s="33" t="s">
        <v>4</v>
      </c>
      <c r="G4" s="33" t="s">
        <v>4</v>
      </c>
      <c r="H4" s="33" t="s">
        <v>4</v>
      </c>
      <c r="I4" s="33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inlineStr">
        <is>
          <t>#1</t>
        </is>
      </c>
      <c r="D7" s="19">
        <v>14.6</v>
      </c>
      <c r="E7" s="21">
        <f>$E$8*(D7/$D$8)^4</f>
        <v>941.4063685268464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inlineStr">
        <is>
          <t>#2</t>
        </is>
      </c>
      <c r="D8" s="19">
        <v>17.600000000000001</v>
      </c>
      <c r="E8" s="20">
        <v>1988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inlineStr">
        <is>
          <t>#3</t>
        </is>
      </c>
      <c r="D9" s="19">
        <v>20.5</v>
      </c>
      <c r="E9" s="21">
        <f>$E$8*(D9/$D$8)^4</f>
        <v>3659.1579207191103</v>
      </c>
      <c r="F9" s="15"/>
      <c r="G9" s="15"/>
      <c r="H9" s="15"/>
      <c r="I9" s="15"/>
      <c r="J9" s="15"/>
    </row>
    <row r="10" spans="1:10" ht="27" customHeight="1">
      <c r="A10" s="15"/>
      <c r="B10" s="18" t="s">
        <v>13</v>
      </c>
      <c r="C10" s="18" t="inlineStr">
        <is>
          <t>#1</t>
        </is>
      </c>
      <c r="D10" s="19">
        <v>16.2</v>
      </c>
      <c r="E10" s="22">
        <f>$E$8*(D10/$D$8)^4</f>
        <v>1427.0058942593776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13</v>
      </c>
      <c r="C11" s="17" t="inlineStr">
        <is>
          <t>#2</t>
        </is>
      </c>
      <c r="D11" s="19">
        <v>19.399999999999999</v>
      </c>
      <c r="E11" s="21">
        <f>$E$8*(D11/$D$8)^4</f>
        <v>2934.760252738988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13</v>
      </c>
      <c r="C12" s="18" t="inlineStr">
        <is>
          <t>#3</t>
        </is>
      </c>
      <c r="D12" s="19">
        <v>22.1</v>
      </c>
      <c r="E12" s="22">
        <f>$E$8*(D12/$D$8)^4</f>
        <v>4942.364864458013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66" t="str">
        <v>固定转轴</v>
      </c>
      <c r="C14" s="66" t="inlineStr">
        <is>
          <t xml:space="preserve">固定几何 · 生成位置 / 转轴</t>
        </is>
      </c>
      <c r="D14" s="66" t="inlineStr">
        <is>
          <t xml:space="preserve">固定几何 · 生成位置 / 转轴</t>
        </is>
      </c>
      <c r="E14" s="66" t="inlineStr">
        <is>
          <t xml:space="preserve">固定几何 · 生成位置 / 转轴</t>
        </is>
      </c>
      <c r="F14" s="66" t="inlineStr">
        <is>
          <t xml:space="preserve">固定几何 · 生成位置 / 转轴</t>
        </is>
      </c>
      <c r="G14" s="66" t="inlineStr">
        <is>
          <t xml:space="preserve">固定几何 · 生成位置 / 转轴</t>
        </is>
      </c>
      <c r="H14" s="66" t="inlineStr">
        <is>
          <t xml:space="preserve">固定几何 · 生成位置 / 转轴</t>
        </is>
      </c>
      <c r="I14" s="66" t="inlineStr">
        <is>
          <t xml:space="preserve">固定几何 · 生成位置 / 转轴</t>
        </is>
      </c>
      <c r="J14" s="15"/>
    </row>
    <row r="15" spans="1:10" ht="27" customHeight="1">
      <c r="A15" s="15"/>
      <c r="B15" s="69" t="str">
        <v>节点使用车身相对坐标（m）。</v>
      </c>
      <c r="C15" s="69" t="inlineStr">
        <is>
          <t xml:space="preserve">节点使用车身相对坐标（m）；旋转半径按 Y/Z 计算。</t>
        </is>
      </c>
      <c r="D15" s="69" t="inlineStr">
        <is>
          <t xml:space="preserve">节点使用车身相对坐标（m）；旋转半径按 Y/Z 计算。</t>
        </is>
      </c>
      <c r="E15" s="69" t="inlineStr">
        <is>
          <t xml:space="preserve">节点使用车身相对坐标（m）；旋转半径按 Y/Z 计算。</t>
        </is>
      </c>
      <c r="F15" s="69" t="inlineStr">
        <is>
          <t xml:space="preserve">节点使用车身相对坐标（m）；旋转半径按 Y/Z 计算。</t>
        </is>
      </c>
      <c r="G15" s="69" t="inlineStr">
        <is>
          <t xml:space="preserve">节点使用车身相对坐标（m）；旋转半径按 Y/Z 计算。</t>
        </is>
      </c>
      <c r="H15" s="69" t="inlineStr">
        <is>
          <t xml:space="preserve">节点使用车身相对坐标（m）；旋转半径按 Y/Z 计算。</t>
        </is>
      </c>
      <c r="I15" s="69" t="inlineStr">
        <is>
          <t xml:space="preserve">节点使用车身相对坐标（m）；旋转半径按 Y/Z 计算。</t>
        </is>
      </c>
      <c r="J15" s="15"/>
    </row>
    <row r="16" spans="1:10" ht="42" customHeight="1">
      <c r="A16" s="15"/>
      <c r="B16" s="74" t="str">
        <v>Axle</v>
      </c>
      <c r="C16" s="74" t="str">
        <v>arb2 Y
(m)</v>
      </c>
      <c r="D16" s="74" t="str">
        <v>arb2 Z
(m)</v>
      </c>
      <c r="E16"/>
      <c r="F16"/>
      <c r="G16"/>
      <c r="H16"/>
      <c r="I16"/>
      <c r="J16" s="15"/>
    </row>
    <row r="17" spans="1:14" ht="27" customHeight="1">
      <c r="A17" s="15"/>
      <c r="B17" s="78" t="str">
        <v>Front</v>
      </c>
      <c r="C17" s="82" t="n">
        <v>-0.915</v>
      </c>
      <c r="D17" s="82" t="n">
        <v>0.127</v>
      </c>
      <c r="E17"/>
      <c r="F17"/>
      <c r="G17"/>
      <c r="H17"/>
      <c r="I17"/>
      <c r="J17" s="15"/>
    </row>
    <row r="18" spans="1:14" ht="27" customHeight="1">
      <c r="A18" s="15"/>
      <c r="B18" s="86" t="str">
        <v>Rear</v>
      </c>
      <c r="C18" s="82" t="n">
        <v>1.459</v>
      </c>
      <c r="D18" s="82" t="n">
        <v>0.26</v>
      </c>
      <c r="E18"/>
      <c r="F18"/>
      <c r="G18"/>
      <c r="H18"/>
      <c r="I18"/>
      <c r="J18" s="15"/>
    </row>
    <row r="19" spans="1:14" ht="27" customHeight="1">
      <c r="A19" s="15"/>
      <c r="B19" s="50"/>
      <c r="C19" s="50"/>
      <c r="D19" s="50"/>
      <c r="E19" s="50"/>
      <c r="F19" s="50"/>
      <c r="G19" s="50"/>
      <c r="H19" s="50"/>
      <c r="I19" s="50"/>
      <c r="J19" s="15"/>
    </row>
    <row r="20" spans="1:14" ht="27" customHeight="1">
      <c r="A20" s="15"/>
      <c r="B20" s="66" t="str">
        <v>测量 · 各档起点 / 终点</v>
      </c>
      <c r="C20" s="66" t="inlineStr">
        <is>
          <t xml:space="preserve">测量 · 每组填写轮行程和 arb1 终点</t>
        </is>
      </c>
      <c r="D20" s="66" t="inlineStr">
        <is>
          <t xml:space="preserve">测量 · 每组填写轮行程和 arb1 终点</t>
        </is>
      </c>
      <c r="E20" s="66" t="inlineStr">
        <is>
          <t xml:space="preserve">测量 · 每组填写轮行程和 arb1 终点</t>
        </is>
      </c>
      <c r="F20" s="66" t="inlineStr">
        <is>
          <t xml:space="preserve">测量 · 每组填写轮行程和 arb1 终点</t>
        </is>
      </c>
      <c r="G20" s="66" t="inlineStr">
        <is>
          <t xml:space="preserve">测量 · 每组填写轮行程和 arb1 终点</t>
        </is>
      </c>
      <c r="H20" s="66" t="inlineStr">
        <is>
          <t xml:space="preserve">测量 · 每组填写轮行程和 arb1 终点</t>
        </is>
      </c>
      <c r="I20" s="66" t="inlineStr">
        <is>
          <t xml:space="preserve">测量 · 每组填写轮行程和 arb1 终点</t>
        </is>
      </c>
      <c r="J20" s="15"/>
    </row>
    <row r="21" spans="1:14" ht="27" customHeight="1">
      <c r="A21" s="15"/>
      <c r="B21" s="87" t="str">
        <v>起点为 wheeljack 架起、全伸展稳定后的位置；轮行程从同一起点计算。</v>
      </c>
      <c r="C21" s="87"/>
      <c r="D21" s="87"/>
      <c r="E21" s="87"/>
      <c r="F21" s="87"/>
      <c r="G21" s="87"/>
      <c r="H21" s="87"/>
      <c r="I21" s="87"/>
      <c r="J21" s="15"/>
    </row>
    <row r="22" spans="1:14" ht="42" customHeight="1">
      <c r="A22" s="15"/>
      <c r="B22" s="74" t="str">
        <v>Surface</v>
      </c>
      <c r="C22" s="74" t="str">
        <v>Axle</v>
      </c>
      <c r="D22" s="74" t="str">
        <v>Position</v>
      </c>
      <c r="E22" s="74" t="str">
        <v>Wheel ΔZ
(mm)</v>
      </c>
      <c r="F22" s="74" t="str">
        <v>arb1 Start Y
(m)</v>
      </c>
      <c r="G22" s="74" t="str">
        <v>arb1 Start Z
(m)</v>
      </c>
      <c r="H22" s="74" t="str">
        <v>arb1 End Y
(m)</v>
      </c>
      <c r="I22" s="74" t="str">
        <v>arb1 End Z
(m)</v>
      </c>
      <c r="J22" s="15"/>
    </row>
    <row r="23" spans="1:14" ht="27" customHeight="1">
      <c r="A23" s="15"/>
      <c r="B23" s="78" t="str">
        <v>Tarmac</v>
      </c>
      <c r="C23" s="78" t="str">
        <v>Front</v>
      </c>
      <c r="D23" s="78" t="str">
        <v>L</v>
      </c>
      <c r="E23" s="92" t="n">
        <v>167</v>
      </c>
      <c r="F23" s="82"/>
      <c r="G23" s="82"/>
      <c r="H23" s="82"/>
      <c r="I23" s="82"/>
      <c r="J23" s="15"/>
    </row>
    <row r="24" spans="1:14" ht="27" customHeight="1">
      <c r="A24" s="15"/>
      <c r="B24" s="86" t="str">
        <v>Tarmac</v>
      </c>
      <c r="C24" s="86" t="str">
        <v>Front</v>
      </c>
      <c r="D24" s="86" t="str">
        <v>M</v>
      </c>
      <c r="E24" s="92" t="n">
        <v>167</v>
      </c>
      <c r="F24" s="82"/>
      <c r="G24" s="82"/>
      <c r="H24" s="82"/>
      <c r="I24" s="82"/>
      <c r="J24" s="15"/>
      <c r="M24" s="23"/>
      <c r="N24" s="23"/>
    </row>
    <row r="25" spans="1:14" ht="27" customHeight="1">
      <c r="A25" s="15"/>
      <c r="B25" s="78" t="str">
        <v>Tarmac</v>
      </c>
      <c r="C25" s="78" t="str">
        <v>Front</v>
      </c>
      <c r="D25" s="78" t="str">
        <v>H</v>
      </c>
      <c r="E25" s="92" t="n">
        <v>167</v>
      </c>
      <c r="F25" s="82"/>
      <c r="G25" s="82"/>
      <c r="H25" s="82"/>
      <c r="I25" s="82"/>
      <c r="J25" s="15"/>
    </row>
    <row r="26" spans="1:14" ht="27" customHeight="1">
      <c r="A26" s="15"/>
      <c r="B26" s="86" t="str">
        <v>Tarmac</v>
      </c>
      <c r="C26" s="86" t="str">
        <v>Rear</v>
      </c>
      <c r="D26" s="86" t="str">
        <v>L</v>
      </c>
      <c r="E26" s="92" t="n">
        <v>166</v>
      </c>
      <c r="F26" s="82"/>
      <c r="G26" s="82"/>
      <c r="H26" s="82"/>
      <c r="I26" s="82"/>
      <c r="J26" s="15"/>
    </row>
    <row r="27" spans="1:14" ht="27" customHeight="1">
      <c r="A27" s="15"/>
      <c r="B27" s="78" t="str">
        <v>Tarmac</v>
      </c>
      <c r="C27" s="78" t="str">
        <v>Rear</v>
      </c>
      <c r="D27" s="78" t="str">
        <v>M</v>
      </c>
      <c r="E27" s="92" t="n">
        <v>166</v>
      </c>
      <c r="F27" s="82"/>
      <c r="G27" s="82"/>
      <c r="H27" s="82"/>
      <c r="I27" s="82"/>
      <c r="J27" s="15"/>
      <c r="M27" s="23"/>
      <c r="N27" s="23"/>
    </row>
    <row r="28" spans="1:14" ht="27" customHeight="1">
      <c r="A28" s="15"/>
      <c r="B28" s="86" t="str">
        <v>Tarmac</v>
      </c>
      <c r="C28" s="86" t="str">
        <v>Rear</v>
      </c>
      <c r="D28" s="86" t="str">
        <v>H</v>
      </c>
      <c r="E28" s="92" t="n">
        <v>166</v>
      </c>
      <c r="F28" s="82"/>
      <c r="G28" s="82"/>
      <c r="H28" s="82"/>
      <c r="I28" s="82"/>
      <c r="J28" s="15"/>
    </row>
    <row r="29" spans="1:14" ht="27" customHeight="1">
      <c r="A29" s="15"/>
      <c r="B29" s="78" t="str">
        <v>Gravel</v>
      </c>
      <c r="C29" s="78" t="str">
        <v>Front</v>
      </c>
      <c r="D29" s="78" t="str">
        <v>L</v>
      </c>
      <c r="E29" s="92" t="n">
        <v>259</v>
      </c>
      <c r="F29" s="82"/>
      <c r="G29" s="82"/>
      <c r="H29" s="82" t="n">
        <v>-1.034</v>
      </c>
      <c r="I29" s="82" t="n">
        <v>0.251</v>
      </c>
      <c r="J29" s="15"/>
      <c r="M29" s="23"/>
      <c r="N29" s="23"/>
    </row>
    <row r="30" spans="1:14" ht="27" customHeight="1">
      <c r="A30" s="15"/>
      <c r="B30" s="86" t="str">
        <v>Gravel</v>
      </c>
      <c r="C30" s="86" t="str">
        <v>Front</v>
      </c>
      <c r="D30" s="86" t="str">
        <v>M</v>
      </c>
      <c r="E30" s="92" t="n">
        <v>259</v>
      </c>
      <c r="F30" s="82"/>
      <c r="G30" s="82"/>
      <c r="H30" s="82" t="n">
        <v>-1.023</v>
      </c>
      <c r="I30" s="82" t="n">
        <v>0.241</v>
      </c>
      <c r="J30" s="15"/>
    </row>
    <row r="31" spans="1:14" ht="27" customHeight="1">
      <c r="A31" s="15"/>
      <c r="B31" s="78" t="str">
        <v>Gravel</v>
      </c>
      <c r="C31" s="78" t="str">
        <v>Front</v>
      </c>
      <c r="D31" s="78" t="str">
        <v>H</v>
      </c>
      <c r="E31" s="92" t="n">
        <v>259</v>
      </c>
      <c r="F31" s="82"/>
      <c r="G31" s="82"/>
      <c r="H31" s="82" t="n">
        <v>-1.012</v>
      </c>
      <c r="I31" s="82" t="n">
        <v>0.231</v>
      </c>
      <c r="J31" s="15"/>
    </row>
    <row r="32" spans="1:14" ht="27" customHeight="1">
      <c r="A32" s="15"/>
      <c r="B32" s="86" t="str">
        <v>Gravel</v>
      </c>
      <c r="C32" s="86" t="str">
        <v>Rear</v>
      </c>
      <c r="D32" s="86" t="str">
        <v>L</v>
      </c>
      <c r="E32" s="92" t="n">
        <v>252</v>
      </c>
      <c r="F32" s="82"/>
      <c r="G32" s="82"/>
      <c r="H32" s="82" t="n">
        <v>1.309</v>
      </c>
      <c r="I32" s="82" t="n">
        <v>0.319</v>
      </c>
      <c r="J32" s="15"/>
    </row>
    <row r="33" spans="1:14" ht="27" customHeight="1">
      <c r="A33" s="15"/>
      <c r="B33" s="78" t="str">
        <v>Gravel</v>
      </c>
      <c r="C33" s="78" t="str">
        <v>Rear</v>
      </c>
      <c r="D33" s="78" t="str">
        <v>M</v>
      </c>
      <c r="E33" s="92" t="n">
        <v>252</v>
      </c>
      <c r="F33" s="82"/>
      <c r="G33" s="82"/>
      <c r="H33" s="82" t="n">
        <v>1.326</v>
      </c>
      <c r="I33" s="82" t="n">
        <v>0.319</v>
      </c>
      <c r="J33" s="15"/>
      <c r="M33" s="23"/>
      <c r="N33" s="23"/>
    </row>
    <row r="34" spans="1:14" ht="27" customHeight="1">
      <c r="A34" s="15"/>
      <c r="B34" s="86" t="str">
        <v>Gravel</v>
      </c>
      <c r="C34" s="86" t="str">
        <v>Rear</v>
      </c>
      <c r="D34" s="86" t="str">
        <v>H</v>
      </c>
      <c r="E34" s="92" t="n">
        <v>252</v>
      </c>
      <c r="F34" s="82"/>
      <c r="G34" s="82"/>
      <c r="H34" s="82" t="n">
        <v>1.342</v>
      </c>
      <c r="I34" s="82" t="n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1" t="s">
        <v>34</v>
      </c>
      <c r="C38" s="31" t="s">
        <v>34</v>
      </c>
      <c r="D38" s="31" t="s">
        <v>34</v>
      </c>
      <c r="E38" s="31" t="s">
        <v>34</v>
      </c>
      <c r="F38" s="31" t="s">
        <v>34</v>
      </c>
      <c r="G38" s="31" t="s">
        <v>34</v>
      </c>
      <c r="H38" s="31" t="s">
        <v>34</v>
      </c>
      <c r="I38" s="31" t="s">
        <v>34</v>
      </c>
      <c r="J38" s="15"/>
    </row>
    <row r="39" spans="1:14" ht="42" customHeight="1">
      <c r="A39" s="15"/>
      <c r="B39" s="16" t="s">
        <v>23</v>
      </c>
      <c r="C39" s="16" t="s">
        <v>5</v>
      </c>
      <c r="D39" s="16" t="s">
        <v>24</v>
      </c>
      <c r="E39" s="16" t="s">
        <v>35</v>
      </c>
      <c r="F39" s="16" t="s">
        <v>36</v>
      </c>
      <c r="G39" s="15"/>
      <c r="H39" s="15"/>
      <c r="I39" s="15"/>
      <c r="J39" s="15"/>
    </row>
    <row r="40" spans="1:14" ht="27" customHeight="1">
      <c r="A40" s="15"/>
      <c r="B40" s="18" t="s">
        <v>29</v>
      </c>
      <c r="C40" s="18" t="s">
        <v>9</v>
      </c>
      <c r="D40" s="18" t="inlineStr">
        <is>
          <t>L</t>
        </is>
      </c>
      <c r="E40" s="27">
        <v>35</v>
      </c>
      <c r="F40" s="27">
        <v>163</v>
      </c>
      <c r="G40" s="15"/>
      <c r="H40" s="15"/>
      <c r="I40" s="15"/>
      <c r="J40" s="15"/>
    </row>
    <row r="41" spans="1:14" ht="27" customHeight="1">
      <c r="A41" s="15"/>
      <c r="B41" s="17" t="s">
        <v>29</v>
      </c>
      <c r="C41" s="17" t="s">
        <v>9</v>
      </c>
      <c r="D41" s="17" t="inlineStr">
        <is>
          <t>M</t>
        </is>
      </c>
      <c r="E41" s="26">
        <v>42</v>
      </c>
      <c r="F41" s="26">
        <v>163</v>
      </c>
      <c r="G41" s="15"/>
      <c r="H41" s="15"/>
      <c r="I41" s="15"/>
      <c r="J41" s="15"/>
    </row>
    <row r="42" spans="1:14" ht="27" customHeight="1">
      <c r="A42" s="15"/>
      <c r="B42" s="18" t="s">
        <v>29</v>
      </c>
      <c r="C42" s="18" t="s">
        <v>9</v>
      </c>
      <c r="D42" s="18" t="inlineStr">
        <is>
          <t>H</t>
        </is>
      </c>
      <c r="E42" s="27">
        <v>46</v>
      </c>
      <c r="F42" s="27">
        <v>163</v>
      </c>
      <c r="G42" s="15"/>
      <c r="H42" s="15"/>
      <c r="I42" s="15"/>
      <c r="J42" s="15"/>
    </row>
    <row r="43" spans="1:14" ht="27" customHeight="1">
      <c r="A43" s="15"/>
      <c r="B43" s="17" t="s">
        <v>29</v>
      </c>
      <c r="C43" s="17" t="s">
        <v>13</v>
      </c>
      <c r="D43" s="17" t="inlineStr">
        <is>
          <t>L</t>
        </is>
      </c>
      <c r="E43" s="26">
        <v>41</v>
      </c>
      <c r="F43" s="26">
        <v>154</v>
      </c>
      <c r="G43" s="15"/>
      <c r="H43" s="15"/>
      <c r="I43" s="15"/>
      <c r="J43" s="15"/>
    </row>
    <row r="44" spans="1:14" ht="27" customHeight="1">
      <c r="A44" s="15"/>
      <c r="B44" s="18" t="s">
        <v>29</v>
      </c>
      <c r="C44" s="18" t="s">
        <v>13</v>
      </c>
      <c r="D44" s="18" t="inlineStr">
        <is>
          <t>M</t>
        </is>
      </c>
      <c r="E44" s="27">
        <v>49</v>
      </c>
      <c r="F44" s="27">
        <v>154</v>
      </c>
      <c r="G44" s="15"/>
      <c r="H44" s="15"/>
      <c r="I44" s="15"/>
      <c r="J44" s="15"/>
    </row>
    <row r="45" spans="1:14" ht="27" customHeight="1">
      <c r="A45" s="15"/>
      <c r="B45" s="17" t="s">
        <v>29</v>
      </c>
      <c r="C45" s="17" t="s">
        <v>13</v>
      </c>
      <c r="D45" s="17" t="inlineStr">
        <is>
          <t>H</t>
        </is>
      </c>
      <c r="E45" s="26">
        <v>54</v>
      </c>
      <c r="F45" s="26">
        <v>154</v>
      </c>
      <c r="G45" s="15"/>
      <c r="H45" s="15"/>
      <c r="I45" s="15"/>
      <c r="J45" s="15"/>
    </row>
    <row r="46" spans="1:14" ht="27" customHeight="1">
      <c r="A46" s="15"/>
      <c r="B46" s="18" t="s">
        <v>33</v>
      </c>
      <c r="C46" s="18" t="s">
        <v>9</v>
      </c>
      <c r="D46" s="18" t="inlineStr">
        <is>
          <t>L</t>
        </is>
      </c>
      <c r="E46" s="27">
        <v>32</v>
      </c>
      <c r="F46" s="27">
        <v>163</v>
      </c>
      <c r="G46" s="15"/>
      <c r="H46" s="15"/>
      <c r="I46" s="15"/>
      <c r="J46" s="15"/>
    </row>
    <row r="47" spans="1:14" ht="27" customHeight="1">
      <c r="A47" s="15"/>
      <c r="B47" s="17" t="s">
        <v>33</v>
      </c>
      <c r="C47" s="17" t="s">
        <v>9</v>
      </c>
      <c r="D47" s="17" t="inlineStr">
        <is>
          <t>M</t>
        </is>
      </c>
      <c r="E47" s="26">
        <v>40</v>
      </c>
      <c r="F47" s="26">
        <v>163</v>
      </c>
      <c r="G47" s="15"/>
      <c r="H47" s="15"/>
      <c r="I47" s="15"/>
      <c r="J47" s="15"/>
    </row>
    <row r="48" spans="1:14" ht="27" customHeight="1">
      <c r="A48" s="15"/>
      <c r="B48" s="18" t="s">
        <v>33</v>
      </c>
      <c r="C48" s="18" t="s">
        <v>9</v>
      </c>
      <c r="D48" s="18" t="inlineStr">
        <is>
          <t>H</t>
        </is>
      </c>
      <c r="E48" s="27">
        <v>45</v>
      </c>
      <c r="F48" s="27">
        <v>163</v>
      </c>
      <c r="G48" s="15"/>
      <c r="H48" s="15"/>
      <c r="I48" s="15"/>
      <c r="J48" s="15"/>
    </row>
    <row r="49" spans="1:10" ht="27" customHeight="1">
      <c r="A49" s="15"/>
      <c r="B49" s="17" t="s">
        <v>33</v>
      </c>
      <c r="C49" s="17" t="s">
        <v>13</v>
      </c>
      <c r="D49" s="17" t="inlineStr">
        <is>
          <t>L</t>
        </is>
      </c>
      <c r="E49" s="26">
        <v>39</v>
      </c>
      <c r="F49" s="26">
        <v>154</v>
      </c>
      <c r="G49" s="15"/>
      <c r="H49" s="15"/>
      <c r="I49" s="15"/>
      <c r="J49" s="15"/>
    </row>
    <row r="50" spans="1:10" ht="27" customHeight="1">
      <c r="A50" s="15"/>
      <c r="B50" s="18" t="s">
        <v>33</v>
      </c>
      <c r="C50" s="18" t="s">
        <v>13</v>
      </c>
      <c r="D50" s="18" t="inlineStr">
        <is>
          <t>M</t>
        </is>
      </c>
      <c r="E50" s="27">
        <v>47</v>
      </c>
      <c r="F50" s="27">
        <v>154</v>
      </c>
      <c r="G50" s="15"/>
      <c r="H50" s="15"/>
      <c r="I50" s="15"/>
      <c r="J50" s="15"/>
    </row>
    <row r="51" spans="1:10" ht="27" customHeight="1">
      <c r="A51" s="15"/>
      <c r="B51" s="17" t="s">
        <v>33</v>
      </c>
      <c r="C51" s="17" t="s">
        <v>13</v>
      </c>
      <c r="D51" s="17" t="inlineStr">
        <is>
          <t>H</t>
        </is>
      </c>
      <c r="E51" s="26">
        <v>51</v>
      </c>
      <c r="F51" s="26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90"/>
  <sheetViews>
    <sheetView showGridLines="0" zoomScale="130" zoomScaleNormal="130" workbookViewId="0">
      <pane ySplit="5" topLeftCell="A6" activePane="bottomLeft" state="frozen"/>
      <selection pane="bottomLeft" activeCell="I22" sqref="I22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3" width="2.75" customWidth="1"/>
    <col min="12" max="12" width="16" hidden="0" customWidth="1"/>
    <col min="13" max="13" width="16" hidden="0" customWidth="1"/>
    <col min="14" max="15" width="13" customWidth="1"/>
    <col min="14" max="14" width="16" hidden="0" customWidth="1"/>
    <col min="15" max="15" width="16" hidden="0" customWidth="1"/>
    <col min="16" max="16" width="18" customWidth="1"/>
    <col min="17" max="17" width="12" customWidth="1"/>
    <col min="18" max="22" width="13" customWidth="1"/>
  </cols>
  <sheetData>
    <row r="1" spans="1:13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6.1" customHeight="1">
      <c r="A2" s="1"/>
      <c r="B2" s="1" t="s">
        <v>37</v>
      </c>
      <c r="C2" s="1" t="s">
        <v>37</v>
      </c>
      <c r="D2" s="1" t="s">
        <v>37</v>
      </c>
      <c r="E2" s="1" t="s">
        <v>37</v>
      </c>
      <c r="F2" s="1" t="s">
        <v>37</v>
      </c>
      <c r="G2" s="1" t="s">
        <v>37</v>
      </c>
      <c r="H2" s="1" t="s">
        <v>37</v>
      </c>
      <c r="I2" s="1" t="s">
        <v>37</v>
      </c>
      <c r="J2" s="1" t="s">
        <v>37</v>
      </c>
      <c r="K2" s="1" t="s">
        <v>37</v>
      </c>
      <c r="L2" s="1"/>
      <c r="M2" s="1"/>
    </row>
    <row r="3" spans="1:13" ht="26.1" customHeight="1">
      <c r="A3" s="1"/>
      <c r="B3" s="1" t="s">
        <v>37</v>
      </c>
      <c r="C3" s="1" t="s">
        <v>37</v>
      </c>
      <c r="D3" s="1" t="s">
        <v>37</v>
      </c>
      <c r="E3" s="1" t="s">
        <v>37</v>
      </c>
      <c r="F3" s="1" t="s">
        <v>37</v>
      </c>
      <c r="G3" s="1" t="s">
        <v>37</v>
      </c>
      <c r="H3" s="1" t="s">
        <v>37</v>
      </c>
      <c r="I3" s="1" t="s">
        <v>37</v>
      </c>
      <c r="J3" s="1" t="s">
        <v>37</v>
      </c>
      <c r="K3" s="1" t="s">
        <v>37</v>
      </c>
      <c r="L3" s="1"/>
      <c r="M3" s="1"/>
    </row>
    <row r="4" spans="1:13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9.950000000000003" customHeight="1">
      <c r="A5" s="1"/>
      <c r="B5" s="2" t="s">
        <v>23</v>
      </c>
      <c r="C5" s="2" t="s">
        <v>5</v>
      </c>
      <c r="D5" s="2" t="s">
        <v>24</v>
      </c>
      <c r="E5" s="2" t="s">
        <v>25</v>
      </c>
      <c r="F5" s="2" t="s">
        <v>38</v>
      </c>
      <c r="G5" s="2" t="s">
        <v>39</v>
      </c>
      <c r="H5" s="2" t="inlineStr">
        <is>
          <t>#1
(N/mm)</t>
        </is>
      </c>
      <c r="I5" s="2" t="inlineStr">
        <is>
          <t>#2
(N/mm)</t>
        </is>
      </c>
      <c r="J5" s="2" t="inlineStr">
        <is>
          <t>#3
(N/mm)</t>
        </is>
      </c>
      <c r="K5" s="2" t="s">
        <v>43</v>
      </c>
      <c r="L5" s="91" t="str">
        <v>Start angle
(°)</v>
      </c>
      <c r="M5" s="91" t="str">
        <v>End angle
(°)</v>
      </c>
      <c r="N5" s="74" t="str">
        <v>Start radius
(mm)</v>
      </c>
      <c r="O5" s="74" t="str">
        <v>End radius
(mm)</v>
      </c>
    </row>
    <row r="6" spans="1:13" ht="26.1" customHeight="1">
      <c r="A6" s="1"/>
      <c r="B6" s="4" t="s">
        <v>29</v>
      </c>
      <c r="C6" s="4" t="s">
        <v>9</v>
      </c>
      <c r="D6" s="4" t="inlineStr">
        <is>
          <t>L</t>
        </is>
      </c>
      <c r="E6" s="7">
        <f>IF(ISNUMBER(Parameters!E23),Parameters!E23,"")</f>
        <v>167</v>
      </c>
      <c r="F6" s="9" t="str">
        <f>IF(COUNT(L6:M6)&lt;2,"",MOD(M6-L6+180,360)-180)</f>
        <v/>
      </c>
      <c r="G6" s="11" t="str">
        <f>IF(COUNT(E6:F6)&lt;2,"",IF(E6&lt;=0,"",RADIANS(F6)/E6))</f>
        <v/>
      </c>
      <c r="H6" s="5" t="str">
        <f>IF(ISNUMBER(G6),1000*Parameters!E7*G6^2,"")</f>
        <v/>
      </c>
      <c r="I6" s="5" t="str">
        <f>IF(ISNUMBER(G6),1000*Parameters!E8*G6^2,"")</f>
        <v/>
      </c>
      <c r="J6" s="5" t="str">
        <f>IF(ISNUMBER(G6),1000*Parameters!E9*G6^2,"")</f>
        <v/>
      </c>
      <c r="K6" s="13" t="str">
        <f>IF(COUNT(Parameters!C17:D17,Parameters!F23:I23)&lt;6,"待补坐标",IF(NOT(ISNUMBER(E6)),"待填轮行程",IF(E6&lt;=0,"轮行程须大于0",IF(COUNT(L6:M6)&lt;2,"无效半径",""))))</f>
        <v>待补坐标</v>
      </c>
      <c r="L6" s="103" t="str">
        <f>IF(COUNT(Parameters!F23,Parameters!G23,Parameters!C17,Parameters!D17)&lt;4,"",IF(N6=0,"",IF(Parameters!G23&lt;Parameters!D17,-1,1)*DEGREES(ACOS(MAX(-1,MIN(1,(Parameters!C17-Parameters!F23)*1000/N6))))))</f>
        <v/>
      </c>
      <c r="M6" s="103" t="str">
        <f>IF(COUNT(Parameters!H23,Parameters!I23,Parameters!C17,Parameters!D17)&lt;4,"",IF(O6=0,"",IF(Parameters!I23&lt;Parameters!D17,-1,1)*DEGREES(ACOS(MAX(-1,MIN(1,(Parameters!C17-Parameters!H23)*1000/O6))))))</f>
        <v/>
      </c>
      <c r="N6" s="105" t="str">
        <f>IF(COUNT(Parameters!F23,Parameters!G23,Parameters!C17,Parameters!D17)&lt;4,"",1000*SQRT((Parameters!F23-Parameters!C17)^2+(Parameters!G23-Parameters!D17)^2))</f>
        <v/>
      </c>
      <c r="O6" s="105" t="str">
        <f>IF(COUNT(Parameters!H23,Parameters!I23,Parameters!C17,Parameters!D17)&lt;4,"",1000*SQRT((Parameters!H23-Parameters!C17)^2+(Parameters!I23-Parameters!D17)^2))</f>
        <v/>
      </c>
    </row>
    <row r="7" spans="1:13" ht="26.1" customHeight="1">
      <c r="A7" s="1"/>
      <c r="B7" s="3" t="s">
        <v>29</v>
      </c>
      <c r="C7" s="3" t="s">
        <v>9</v>
      </c>
      <c r="D7" s="3" t="inlineStr">
        <is>
          <t>M</t>
        </is>
      </c>
      <c r="E7" s="8">
        <f>IF(ISNUMBER(Parameters!E24),Parameters!E24,"")</f>
        <v>167</v>
      </c>
      <c r="F7" s="10" t="str">
        <f>IF(COUNT(L7:M7)&lt;2,"",MOD(M7-L7+180,360)-180)</f>
        <v/>
      </c>
      <c r="G7" s="12" t="str">
        <f>IF(COUNT(E7:F7)&lt;2,"",IF(E7&lt;=0,"",RADIANS(F7)/E7))</f>
        <v/>
      </c>
      <c r="H7" s="6" t="str">
        <f>IF(ISNUMBER(G7),1000*Parameters!E7*G7^2,"")</f>
        <v/>
      </c>
      <c r="I7" s="6" t="str">
        <f>IF(ISNUMBER(G7),1000*Parameters!E8*G7^2,"")</f>
        <v/>
      </c>
      <c r="J7" s="6" t="str">
        <f>IF(ISNUMBER(G7),1000*Parameters!E9*G7^2,"")</f>
        <v/>
      </c>
      <c r="K7" s="14" t="str">
        <f>IF(COUNT(Parameters!C17:D17,Parameters!F24:I24)&lt;6,"待补坐标",IF(NOT(ISNUMBER(E7)),"待填轮行程",IF(E7&lt;=0,"轮行程须大于0",IF(COUNT(L7:M7)&lt;2,"无效半径",""))))</f>
        <v>待补坐标</v>
      </c>
      <c r="L7" s="104" t="str">
        <f>IF(COUNT(Parameters!F24,Parameters!G24,Parameters!C17,Parameters!D17)&lt;4,"",IF(N7=0,"",IF(Parameters!G24&lt;Parameters!D17,-1,1)*DEGREES(ACOS(MAX(-1,MIN(1,(Parameters!C17-Parameters!F24)*1000/N7))))))</f>
        <v/>
      </c>
      <c r="M7" s="104" t="str">
        <f>IF(COUNT(Parameters!H24,Parameters!I24,Parameters!C17,Parameters!D17)&lt;4,"",IF(O7=0,"",IF(Parameters!I24&lt;Parameters!D17,-1,1)*DEGREES(ACOS(MAX(-1,MIN(1,(Parameters!C17-Parameters!H24)*1000/O7))))))</f>
        <v/>
      </c>
      <c r="N7" s="106" t="str">
        <f>IF(COUNT(Parameters!F24,Parameters!G24,Parameters!C17,Parameters!D17)&lt;4,"",1000*SQRT((Parameters!F24-Parameters!C17)^2+(Parameters!G24-Parameters!D17)^2))</f>
        <v/>
      </c>
      <c r="O7" s="106" t="str">
        <f>IF(COUNT(Parameters!H24,Parameters!I24,Parameters!C17,Parameters!D17)&lt;4,"",1000*SQRT((Parameters!H24-Parameters!C17)^2+(Parameters!I24-Parameters!D17)^2))</f>
        <v/>
      </c>
    </row>
    <row r="8" spans="1:13" ht="26.1" customHeight="1">
      <c r="A8" s="1"/>
      <c r="B8" s="4" t="s">
        <v>29</v>
      </c>
      <c r="C8" s="4" t="s">
        <v>9</v>
      </c>
      <c r="D8" s="4" t="inlineStr">
        <is>
          <t>H</t>
        </is>
      </c>
      <c r="E8" s="7">
        <f>IF(ISNUMBER(Parameters!E25),Parameters!E25,"")</f>
        <v>167</v>
      </c>
      <c r="F8" s="9" t="str">
        <f>IF(COUNT(L8:M8)&lt;2,"",MOD(M8-L8+180,360)-180)</f>
        <v/>
      </c>
      <c r="G8" s="11" t="str">
        <f>IF(COUNT(E8:F8)&lt;2,"",IF(E8&lt;=0,"",RADIANS(F8)/E8))</f>
        <v/>
      </c>
      <c r="H8" s="5" t="str">
        <f>IF(ISNUMBER(G8),1000*Parameters!E7*G8^2,"")</f>
        <v/>
      </c>
      <c r="I8" s="5" t="str">
        <f>IF(ISNUMBER(G8),1000*Parameters!E8*G8^2,"")</f>
        <v/>
      </c>
      <c r="J8" s="5" t="str">
        <f>IF(ISNUMBER(G8),1000*Parameters!E9*G8^2,"")</f>
        <v/>
      </c>
      <c r="K8" s="13" t="str">
        <f>IF(COUNT(Parameters!C17:D17,Parameters!F25:I25)&lt;6,"待补坐标",IF(NOT(ISNUMBER(E8)),"待填轮行程",IF(E8&lt;=0,"轮行程须大于0",IF(COUNT(L8:M8)&lt;2,"无效半径",""))))</f>
        <v>待补坐标</v>
      </c>
      <c r="L8" s="103" t="str">
        <f>IF(COUNT(Parameters!F25,Parameters!G25,Parameters!C17,Parameters!D17)&lt;4,"",IF(N8=0,"",IF(Parameters!G25&lt;Parameters!D17,-1,1)*DEGREES(ACOS(MAX(-1,MIN(1,(Parameters!C17-Parameters!F25)*1000/N8))))))</f>
        <v/>
      </c>
      <c r="M8" s="103" t="str">
        <f>IF(COUNT(Parameters!H25,Parameters!I25,Parameters!C17,Parameters!D17)&lt;4,"",IF(O8=0,"",IF(Parameters!I25&lt;Parameters!D17,-1,1)*DEGREES(ACOS(MAX(-1,MIN(1,(Parameters!C17-Parameters!H25)*1000/O8))))))</f>
        <v/>
      </c>
      <c r="N8" s="105" t="str">
        <f>IF(COUNT(Parameters!F25,Parameters!G25,Parameters!C17,Parameters!D17)&lt;4,"",1000*SQRT((Parameters!F25-Parameters!C17)^2+(Parameters!G25-Parameters!D17)^2))</f>
        <v/>
      </c>
      <c r="O8" s="105" t="str">
        <f>IF(COUNT(Parameters!H25,Parameters!I25,Parameters!C17,Parameters!D17)&lt;4,"",1000*SQRT((Parameters!H25-Parameters!C17)^2+(Parameters!I25-Parameters!D17)^2))</f>
        <v/>
      </c>
    </row>
    <row r="9" spans="1:13" ht="26.1" customHeight="1">
      <c r="A9" s="1"/>
      <c r="B9" s="3" t="s">
        <v>29</v>
      </c>
      <c r="C9" s="3" t="s">
        <v>13</v>
      </c>
      <c r="D9" s="3" t="inlineStr">
        <is>
          <t>L</t>
        </is>
      </c>
      <c r="E9" s="8">
        <f>IF(ISNUMBER(Parameters!E26),Parameters!E26,"")</f>
        <v>166</v>
      </c>
      <c r="F9" s="10" t="str">
        <f>IF(COUNT(L9:M9)&lt;2,"",MOD(M9-L9+180,360)-180)</f>
        <v/>
      </c>
      <c r="G9" s="12" t="str">
        <f>IF(COUNT(E9:F9)&lt;2,"",IF(E9&lt;=0,"",RADIANS(F9)/E9))</f>
        <v/>
      </c>
      <c r="H9" s="6" t="str">
        <f>IF(ISNUMBER(G9),1000*Parameters!E10*G9^2,"")</f>
        <v/>
      </c>
      <c r="I9" s="6" t="str">
        <f>IF(ISNUMBER(G9),1000*Parameters!E11*G9^2,"")</f>
        <v/>
      </c>
      <c r="J9" s="6" t="str">
        <f>IF(ISNUMBER(G9),1000*Parameters!E12*G9^2,"")</f>
        <v/>
      </c>
      <c r="K9" s="14" t="str">
        <f>IF(COUNT(Parameters!C18:D18,Parameters!F26:I26)&lt;6,"待补坐标",IF(NOT(ISNUMBER(E9)),"待填轮行程",IF(E9&lt;=0,"轮行程须大于0",IF(COUNT(L9:M9)&lt;2,"无效半径",""))))</f>
        <v>待补坐标</v>
      </c>
      <c r="L9" s="104" t="str">
        <f>IF(COUNT(Parameters!F26,Parameters!G26,Parameters!C18,Parameters!D18)&lt;4,"",IF(N9=0,"",IF(Parameters!G26&lt;Parameters!D18,-1,1)*DEGREES(ACOS(MAX(-1,MIN(1,(Parameters!C18-Parameters!F26)*1000/N9))))))</f>
        <v/>
      </c>
      <c r="M9" s="104" t="str">
        <f>IF(COUNT(Parameters!H26,Parameters!I26,Parameters!C18,Parameters!D18)&lt;4,"",IF(O9=0,"",IF(Parameters!I26&lt;Parameters!D18,-1,1)*DEGREES(ACOS(MAX(-1,MIN(1,(Parameters!C18-Parameters!H26)*1000/O9))))))</f>
        <v/>
      </c>
      <c r="N9" s="106" t="str">
        <f>IF(COUNT(Parameters!F26,Parameters!G26,Parameters!C18,Parameters!D18)&lt;4,"",1000*SQRT((Parameters!F26-Parameters!C18)^2+(Parameters!G26-Parameters!D18)^2))</f>
        <v/>
      </c>
      <c r="O9" s="106" t="str">
        <f>IF(COUNT(Parameters!H26,Parameters!I26,Parameters!C18,Parameters!D18)&lt;4,"",1000*SQRT((Parameters!H26-Parameters!C18)^2+(Parameters!I26-Parameters!D18)^2))</f>
        <v/>
      </c>
    </row>
    <row r="10" spans="1:13" ht="26.1" customHeight="1">
      <c r="A10" s="1"/>
      <c r="B10" s="4" t="s">
        <v>29</v>
      </c>
      <c r="C10" s="4" t="s">
        <v>13</v>
      </c>
      <c r="D10" s="4" t="inlineStr">
        <is>
          <t>M</t>
        </is>
      </c>
      <c r="E10" s="7">
        <f>IF(ISNUMBER(Parameters!E27),Parameters!E27,"")</f>
        <v>166</v>
      </c>
      <c r="F10" s="9" t="str">
        <f>IF(COUNT(L10:M10)&lt;2,"",MOD(M10-L10+180,360)-180)</f>
        <v/>
      </c>
      <c r="G10" s="11" t="str">
        <f>IF(COUNT(E10:F10)&lt;2,"",IF(E10&lt;=0,"",RADIANS(F10)/E10))</f>
        <v/>
      </c>
      <c r="H10" s="5" t="str">
        <f>IF(ISNUMBER(G10),1000*Parameters!E10*G10^2,"")</f>
        <v/>
      </c>
      <c r="I10" s="5" t="str">
        <f>IF(ISNUMBER(G10),1000*Parameters!E11*G10^2,"")</f>
        <v/>
      </c>
      <c r="J10" s="5" t="str">
        <f>IF(ISNUMBER(G10),1000*Parameters!E12*G10^2,"")</f>
        <v/>
      </c>
      <c r="K10" s="13" t="str">
        <f>IF(COUNT(Parameters!C18:D18,Parameters!F27:I27)&lt;6,"待补坐标",IF(NOT(ISNUMBER(E10)),"待填轮行程",IF(E10&lt;=0,"轮行程须大于0",IF(COUNT(L10:M10)&lt;2,"无效半径",""))))</f>
        <v>待补坐标</v>
      </c>
      <c r="L10" s="103" t="str">
        <f>IF(COUNT(Parameters!F27,Parameters!G27,Parameters!C18,Parameters!D18)&lt;4,"",IF(N10=0,"",IF(Parameters!G27&lt;Parameters!D18,-1,1)*DEGREES(ACOS(MAX(-1,MIN(1,(Parameters!C18-Parameters!F27)*1000/N10))))))</f>
        <v/>
      </c>
      <c r="M10" s="103" t="str">
        <f>IF(COUNT(Parameters!H27,Parameters!I27,Parameters!C18,Parameters!D18)&lt;4,"",IF(O10=0,"",IF(Parameters!I27&lt;Parameters!D18,-1,1)*DEGREES(ACOS(MAX(-1,MIN(1,(Parameters!C18-Parameters!H27)*1000/O10))))))</f>
        <v/>
      </c>
      <c r="N10" s="105" t="str">
        <f>IF(COUNT(Parameters!F27,Parameters!G27,Parameters!C18,Parameters!D18)&lt;4,"",1000*SQRT((Parameters!F27-Parameters!C18)^2+(Parameters!G27-Parameters!D18)^2))</f>
        <v/>
      </c>
      <c r="O10" s="105" t="str">
        <f>IF(COUNT(Parameters!H27,Parameters!I27,Parameters!C18,Parameters!D18)&lt;4,"",1000*SQRT((Parameters!H27-Parameters!C18)^2+(Parameters!I27-Parameters!D18)^2))</f>
        <v/>
      </c>
    </row>
    <row r="11" spans="1:13" ht="26.1" customHeight="1">
      <c r="A11" s="1"/>
      <c r="B11" s="3" t="s">
        <v>29</v>
      </c>
      <c r="C11" s="3" t="s">
        <v>13</v>
      </c>
      <c r="D11" s="3" t="inlineStr">
        <is>
          <t>H</t>
        </is>
      </c>
      <c r="E11" s="8">
        <f>IF(ISNUMBER(Parameters!E28),Parameters!E28,"")</f>
        <v>166</v>
      </c>
      <c r="F11" s="10" t="str">
        <f>IF(COUNT(L11:M11)&lt;2,"",MOD(M11-L11+180,360)-180)</f>
        <v/>
      </c>
      <c r="G11" s="12" t="str">
        <f>IF(COUNT(E11:F11)&lt;2,"",IF(E11&lt;=0,"",RADIANS(F11)/E11))</f>
        <v/>
      </c>
      <c r="H11" s="6" t="str">
        <f>IF(ISNUMBER(G11),1000*Parameters!E10*G11^2,"")</f>
        <v/>
      </c>
      <c r="I11" s="6" t="str">
        <f>IF(ISNUMBER(G11),1000*Parameters!E11*G11^2,"")</f>
        <v/>
      </c>
      <c r="J11" s="6" t="str">
        <f>IF(ISNUMBER(G11),1000*Parameters!E12*G11^2,"")</f>
        <v/>
      </c>
      <c r="K11" s="14" t="str">
        <f>IF(COUNT(Parameters!C18:D18,Parameters!F28:I28)&lt;6,"待补坐标",IF(NOT(ISNUMBER(E11)),"待填轮行程",IF(E11&lt;=0,"轮行程须大于0",IF(COUNT(L11:M11)&lt;2,"无效半径",""))))</f>
        <v>待补坐标</v>
      </c>
      <c r="L11" s="104" t="str">
        <f>IF(COUNT(Parameters!F28,Parameters!G28,Parameters!C18,Parameters!D18)&lt;4,"",IF(N11=0,"",IF(Parameters!G28&lt;Parameters!D18,-1,1)*DEGREES(ACOS(MAX(-1,MIN(1,(Parameters!C18-Parameters!F28)*1000/N11))))))</f>
        <v/>
      </c>
      <c r="M11" s="104" t="str">
        <f>IF(COUNT(Parameters!H28,Parameters!I28,Parameters!C18,Parameters!D18)&lt;4,"",IF(O11=0,"",IF(Parameters!I28&lt;Parameters!D18,-1,1)*DEGREES(ACOS(MAX(-1,MIN(1,(Parameters!C18-Parameters!H28)*1000/O11))))))</f>
        <v/>
      </c>
      <c r="N11" s="106" t="str">
        <f>IF(COUNT(Parameters!F28,Parameters!G28,Parameters!C18,Parameters!D18)&lt;4,"",1000*SQRT((Parameters!F28-Parameters!C18)^2+(Parameters!G28-Parameters!D18)^2))</f>
        <v/>
      </c>
      <c r="O11" s="106" t="str">
        <f>IF(COUNT(Parameters!H28,Parameters!I28,Parameters!C18,Parameters!D18)&lt;4,"",1000*SQRT((Parameters!H28-Parameters!C18)^2+(Parameters!I28-Parameters!D18)^2))</f>
        <v/>
      </c>
    </row>
    <row r="12" spans="1:13" ht="26.1" customHeight="1">
      <c r="A12" s="1"/>
      <c r="B12" s="4" t="s">
        <v>33</v>
      </c>
      <c r="C12" s="4" t="s">
        <v>9</v>
      </c>
      <c r="D12" s="4" t="inlineStr">
        <is>
          <t>L</t>
        </is>
      </c>
      <c r="E12" s="7">
        <f>IF(ISNUMBER(Parameters!E29),Parameters!E29,"")</f>
        <v>259</v>
      </c>
      <c r="F12" s="9" t="str">
        <f>IF(COUNT(L12:M12)&lt;2,"",MOD(M12-L12+180,360)-180)</f>
        <v/>
      </c>
      <c r="G12" s="11" t="str">
        <f>IF(COUNT(E12:F12)&lt;2,"",IF(E12&lt;=0,"",RADIANS(F12)/E12))</f>
        <v/>
      </c>
      <c r="H12" s="5" t="str">
        <f>IF(ISNUMBER(G12),1000*Parameters!E7*G12^2,"")</f>
        <v/>
      </c>
      <c r="I12" s="5" t="str">
        <f>IF(ISNUMBER(G12),1000*Parameters!E8*G12^2,"")</f>
        <v/>
      </c>
      <c r="J12" s="5" t="str">
        <f>IF(ISNUMBER(G12),1000*Parameters!E9*G12^2,"")</f>
        <v/>
      </c>
      <c r="K12" s="13" t="str">
        <f>IF(COUNT(Parameters!C17:D17,Parameters!F29:I29)&lt;6,"待补坐标",IF(NOT(ISNUMBER(E12)),"待填轮行程",IF(E12&lt;=0,"轮行程须大于0",IF(COUNT(L12:M12)&lt;2,"无效半径",""))))</f>
        <v>待补坐标</v>
      </c>
      <c r="L12" s="103" t="str">
        <f>IF(COUNT(Parameters!F29,Parameters!G29,Parameters!C17,Parameters!D17)&lt;4,"",IF(N12=0,"",IF(Parameters!G29&lt;Parameters!D17,-1,1)*DEGREES(ACOS(MAX(-1,MIN(1,(Parameters!C17-Parameters!F29)*1000/N12))))))</f>
        <v/>
      </c>
      <c r="M12" s="103">
        <f>IF(COUNT(Parameters!H29,Parameters!I29,Parameters!C17,Parameters!D17)&lt;4,"",IF(O12=0,"",IF(Parameters!I29&lt;Parameters!D17,-1,1)*DEGREES(ACOS(MAX(-1,MIN(1,(Parameters!C17-Parameters!H29)*1000/O12))))))</f>
        <v>46.178759169911224</v>
      </c>
      <c r="N12" s="105" t="str">
        <f>IF(COUNT(Parameters!F29,Parameters!G29,Parameters!C17,Parameters!D17)&lt;4,"",1000*SQRT((Parameters!F29-Parameters!C17)^2+(Parameters!G29-Parameters!D17)^2))</f>
        <v/>
      </c>
      <c r="O12" s="105">
        <f>IF(COUNT(Parameters!H29,Parameters!I29,Parameters!C17,Parameters!D17)&lt;4,"",1000*SQRT((Parameters!H29-Parameters!C17)^2+(Parameters!I29-Parameters!D17)^2))</f>
        <v>171.86331778480246</v>
      </c>
    </row>
    <row r="13" spans="1:13" ht="26.1" customHeight="1">
      <c r="A13" s="1"/>
      <c r="B13" s="3" t="s">
        <v>33</v>
      </c>
      <c r="C13" s="3" t="s">
        <v>9</v>
      </c>
      <c r="D13" s="3" t="inlineStr">
        <is>
          <t>M</t>
        </is>
      </c>
      <c r="E13" s="8">
        <f>IF(ISNUMBER(Parameters!E30),Parameters!E30,"")</f>
        <v>259</v>
      </c>
      <c r="F13" s="10" t="str">
        <f>IF(COUNT(L13:M13)&lt;2,"",MOD(M13-L13+180,360)-180)</f>
        <v/>
      </c>
      <c r="G13" s="12" t="str">
        <f>IF(COUNT(E13:F13)&lt;2,"",IF(E13&lt;=0,"",RADIANS(F13)/E13))</f>
        <v/>
      </c>
      <c r="H13" s="6" t="str">
        <f>IF(ISNUMBER(G13),1000*Parameters!E7*G13^2,"")</f>
        <v/>
      </c>
      <c r="I13" s="6" t="str">
        <f>IF(ISNUMBER(G13),1000*Parameters!E8*G13^2,"")</f>
        <v/>
      </c>
      <c r="J13" s="6" t="str">
        <f>IF(ISNUMBER(G13),1000*Parameters!E9*G13^2,"")</f>
        <v/>
      </c>
      <c r="K13" s="14" t="str">
        <f>IF(COUNT(Parameters!C17:D17,Parameters!F30:I30)&lt;6,"待补坐标",IF(NOT(ISNUMBER(E13)),"待填轮行程",IF(E13&lt;=0,"轮行程须大于0",IF(COUNT(L13:M13)&lt;2,"无效半径",""))))</f>
        <v>待补坐标</v>
      </c>
      <c r="L13" s="104" t="str">
        <f>IF(COUNT(Parameters!F30,Parameters!G30,Parameters!C17,Parameters!D17)&lt;4,"",IF(N13=0,"",IF(Parameters!G30&lt;Parameters!D17,-1,1)*DEGREES(ACOS(MAX(-1,MIN(1,(Parameters!C17-Parameters!F30)*1000/N13))))))</f>
        <v/>
      </c>
      <c r="M13" s="104">
        <f>IF(COUNT(Parameters!H30,Parameters!I30,Parameters!C17,Parameters!D17)&lt;4,"",IF(O13=0,"",IF(Parameters!I30&lt;Parameters!D17,-1,1)*DEGREES(ACOS(MAX(-1,MIN(1,(Parameters!C17-Parameters!H30)*1000/O13))))))</f>
        <v>46.548157698977995</v>
      </c>
      <c r="N13" s="106" t="str">
        <f>IF(COUNT(Parameters!F30,Parameters!G30,Parameters!C17,Parameters!D17)&lt;4,"",1000*SQRT((Parameters!F30-Parameters!C17)^2+(Parameters!G30-Parameters!D17)^2))</f>
        <v/>
      </c>
      <c r="O13" s="106">
        <f>IF(COUNT(Parameters!H30,Parameters!I30,Parameters!C17,Parameters!D17)&lt;4,"",1000*SQRT((Parameters!H30-Parameters!C17)^2+(Parameters!I30-Parameters!D17)^2))</f>
        <v>157.0350279396287</v>
      </c>
    </row>
    <row r="14" spans="1:13" ht="26.1" customHeight="1">
      <c r="A14" s="1"/>
      <c r="B14" s="4" t="s">
        <v>33</v>
      </c>
      <c r="C14" s="4" t="s">
        <v>9</v>
      </c>
      <c r="D14" s="4" t="inlineStr">
        <is>
          <t>H</t>
        </is>
      </c>
      <c r="E14" s="7">
        <f>IF(ISNUMBER(Parameters!E31),Parameters!E31,"")</f>
        <v>259</v>
      </c>
      <c r="F14" s="9" t="str">
        <f>IF(COUNT(L14:M14)&lt;2,"",MOD(M14-L14+180,360)-180)</f>
        <v/>
      </c>
      <c r="G14" s="11" t="str">
        <f>IF(COUNT(E14:F14)&lt;2,"",IF(E14&lt;=0,"",RADIANS(F14)/E14))</f>
        <v/>
      </c>
      <c r="H14" s="5" t="str">
        <f>IF(ISNUMBER(G14),1000*Parameters!E7*G14^2,"")</f>
        <v/>
      </c>
      <c r="I14" s="5" t="str">
        <f>IF(ISNUMBER(G14),1000*Parameters!E8*G14^2,"")</f>
        <v/>
      </c>
      <c r="J14" s="5" t="str">
        <f>IF(ISNUMBER(G14),1000*Parameters!E9*G14^2,"")</f>
        <v/>
      </c>
      <c r="K14" s="13" t="str">
        <f>IF(COUNT(Parameters!C17:D17,Parameters!F31:I31)&lt;6,"待补坐标",IF(NOT(ISNUMBER(E14)),"待填轮行程",IF(E14&lt;=0,"轮行程须大于0",IF(COUNT(L14:M14)&lt;2,"无效半径",""))))</f>
        <v>待补坐标</v>
      </c>
      <c r="L14" s="103" t="str">
        <f>IF(COUNT(Parameters!F31,Parameters!G31,Parameters!C17,Parameters!D17)&lt;4,"",IF(N14=0,"",IF(Parameters!G31&lt;Parameters!D17,-1,1)*DEGREES(ACOS(MAX(-1,MIN(1,(Parameters!C17-Parameters!F31)*1000/N14))))))</f>
        <v/>
      </c>
      <c r="M14" s="103">
        <f>IF(COUNT(Parameters!H31,Parameters!I31,Parameters!C17,Parameters!D17)&lt;4,"",IF(O14=0,"",IF(Parameters!I31&lt;Parameters!D17,-1,1)*DEGREES(ACOS(MAX(-1,MIN(1,(Parameters!C17-Parameters!H31)*1000/O14))))))</f>
        <v>46.994569301241846</v>
      </c>
      <c r="N14" s="105" t="str">
        <f>IF(COUNT(Parameters!F31,Parameters!G31,Parameters!C17,Parameters!D17)&lt;4,"",1000*SQRT((Parameters!F31-Parameters!C17)^2+(Parameters!G31-Parameters!D17)^2))</f>
        <v/>
      </c>
      <c r="O14" s="105">
        <f>IF(COUNT(Parameters!H31,Parameters!I31,Parameters!C17,Parameters!D17)&lt;4,"",1000*SQRT((Parameters!H31-Parameters!C17)^2+(Parameters!I31-Parameters!D17)^2))</f>
        <v>142.2146265332789</v>
      </c>
    </row>
    <row r="15" spans="1:13" ht="26.1" customHeight="1">
      <c r="A15" s="1"/>
      <c r="B15" s="3" t="s">
        <v>33</v>
      </c>
      <c r="C15" s="3" t="s">
        <v>13</v>
      </c>
      <c r="D15" s="3" t="inlineStr">
        <is>
          <t>L</t>
        </is>
      </c>
      <c r="E15" s="8">
        <f>IF(ISNUMBER(Parameters!E32),Parameters!E32,"")</f>
        <v>252</v>
      </c>
      <c r="F15" s="10" t="str">
        <f>IF(COUNT(L15:M15)&lt;2,"",MOD(M15-L15+180,360)-180)</f>
        <v/>
      </c>
      <c r="G15" s="12" t="str">
        <f>IF(COUNT(E15:F15)&lt;2,"",IF(E15&lt;=0,"",RADIANS(F15)/E15))</f>
        <v/>
      </c>
      <c r="H15" s="6" t="str">
        <f>IF(ISNUMBER(G15),1000*Parameters!E10*G15^2,"")</f>
        <v/>
      </c>
      <c r="I15" s="6" t="str">
        <f>IF(ISNUMBER(G15),1000*Parameters!E11*G15^2,"")</f>
        <v/>
      </c>
      <c r="J15" s="6" t="str">
        <f>IF(ISNUMBER(G15),1000*Parameters!E12*G15^2,"")</f>
        <v/>
      </c>
      <c r="K15" s="14" t="str">
        <f>IF(COUNT(Parameters!C18:D18,Parameters!F32:I32)&lt;6,"待补坐标",IF(NOT(ISNUMBER(E15)),"待填轮行程",IF(E15&lt;=0,"轮行程须大于0",IF(COUNT(L15:M15)&lt;2,"无效半径",""))))</f>
        <v>待补坐标</v>
      </c>
      <c r="L15" s="104" t="str">
        <f>IF(COUNT(Parameters!F32,Parameters!G32,Parameters!C18,Parameters!D18)&lt;4,"",IF(N15=0,"",IF(Parameters!G32&lt;Parameters!D18,-1,1)*DEGREES(ACOS(MAX(-1,MIN(1,(Parameters!C18-Parameters!F32)*1000/N15))))))</f>
        <v/>
      </c>
      <c r="M15" s="104">
        <f>IF(COUNT(Parameters!H32,Parameters!I32,Parameters!C18,Parameters!D18)&lt;4,"",IF(O15=0,"",IF(Parameters!I32&lt;Parameters!D18,-1,1)*DEGREES(ACOS(MAX(-1,MIN(1,(Parameters!C18-Parameters!H32)*1000/O15))))))</f>
        <v>21.471368323914565</v>
      </c>
      <c r="N15" s="106" t="str">
        <f>IF(COUNT(Parameters!F32,Parameters!G32,Parameters!C18,Parameters!D18)&lt;4,"",1000*SQRT((Parameters!F32-Parameters!C18)^2+(Parameters!G32-Parameters!D18)^2))</f>
        <v/>
      </c>
      <c r="O15" s="106">
        <f>IF(COUNT(Parameters!H32,Parameters!I32,Parameters!C18,Parameters!D18)&lt;4,"",1000*SQRT((Parameters!H32-Parameters!C18)^2+(Parameters!I32-Parameters!D18)^2))</f>
        <v>161.18622769951543</v>
      </c>
    </row>
    <row r="16" spans="1:13" ht="26.1" customHeight="1">
      <c r="A16" s="1"/>
      <c r="B16" s="4" t="s">
        <v>33</v>
      </c>
      <c r="C16" s="4" t="s">
        <v>13</v>
      </c>
      <c r="D16" s="4" t="inlineStr">
        <is>
          <t>M</t>
        </is>
      </c>
      <c r="E16" s="7">
        <f>IF(ISNUMBER(Parameters!E33),Parameters!E33,"")</f>
        <v>252</v>
      </c>
      <c r="F16" s="9" t="str">
        <f>IF(COUNT(L16:M16)&lt;2,"",MOD(M16-L16+180,360)-180)</f>
        <v/>
      </c>
      <c r="G16" s="11" t="str">
        <f>IF(COUNT(E16:F16)&lt;2,"",IF(E16&lt;=0,"",RADIANS(F16)/E16))</f>
        <v/>
      </c>
      <c r="H16" s="5" t="str">
        <f>IF(ISNUMBER(G16),1000*Parameters!E10*G16^2,"")</f>
        <v/>
      </c>
      <c r="I16" s="5" t="str">
        <f>IF(ISNUMBER(G16),1000*Parameters!E11*G16^2,"")</f>
        <v/>
      </c>
      <c r="J16" s="5" t="str">
        <f>IF(ISNUMBER(G16),1000*Parameters!E12*G16^2,"")</f>
        <v/>
      </c>
      <c r="K16" s="13" t="str">
        <f>IF(COUNT(Parameters!C18:D18,Parameters!F33:I33)&lt;6,"待补坐标",IF(NOT(ISNUMBER(E16)),"待填轮行程",IF(E16&lt;=0,"轮行程须大于0",IF(COUNT(L16:M16)&lt;2,"无效半径",""))))</f>
        <v>待补坐标</v>
      </c>
      <c r="L16" s="103" t="str">
        <f>IF(COUNT(Parameters!F33,Parameters!G33,Parameters!C18,Parameters!D18)&lt;4,"",IF(N16=0,"",IF(Parameters!G33&lt;Parameters!D18,-1,1)*DEGREES(ACOS(MAX(-1,MIN(1,(Parameters!C18-Parameters!F33)*1000/N16))))))</f>
        <v/>
      </c>
      <c r="M16" s="103">
        <f>IF(COUNT(Parameters!H33,Parameters!I33,Parameters!C18,Parameters!D18)&lt;4,"",IF(O16=0,"",IF(Parameters!I33&lt;Parameters!D18,-1,1)*DEGREES(ACOS(MAX(-1,MIN(1,(Parameters!C18-Parameters!H33)*1000/O16))))))</f>
        <v>23.922505883013255</v>
      </c>
      <c r="N16" s="105" t="str">
        <f>IF(COUNT(Parameters!F33,Parameters!G33,Parameters!C18,Parameters!D18)&lt;4,"",1000*SQRT((Parameters!F33-Parameters!C18)^2+(Parameters!G33-Parameters!D18)^2))</f>
        <v/>
      </c>
      <c r="O16" s="105">
        <f>IF(COUNT(Parameters!H33,Parameters!I33,Parameters!C18,Parameters!D18)&lt;4,"",1000*SQRT((Parameters!H33-Parameters!C18)^2+(Parameters!I33-Parameters!D18)^2))</f>
        <v>145.49914089093446</v>
      </c>
    </row>
    <row r="17" spans="1:13" ht="26.1" customHeight="1">
      <c r="A17" s="1"/>
      <c r="B17" s="3" t="s">
        <v>33</v>
      </c>
      <c r="C17" s="3" t="s">
        <v>13</v>
      </c>
      <c r="D17" s="3" t="inlineStr">
        <is>
          <t>H</t>
        </is>
      </c>
      <c r="E17" s="8">
        <f>IF(ISNUMBER(Parameters!E34),Parameters!E34,"")</f>
        <v>252</v>
      </c>
      <c r="F17" s="10" t="str">
        <f>IF(COUNT(L17:M17)&lt;2,"",MOD(M17-L17+180,360)-180)</f>
        <v/>
      </c>
      <c r="G17" s="12" t="str">
        <f>IF(COUNT(E17:F17)&lt;2,"",IF(E17&lt;=0,"",RADIANS(F17)/E17))</f>
        <v/>
      </c>
      <c r="H17" s="6" t="str">
        <f>IF(ISNUMBER(G17),1000*Parameters!E10*G17^2,"")</f>
        <v/>
      </c>
      <c r="I17" s="6" t="str">
        <f>IF(ISNUMBER(G17),1000*Parameters!E11*G17^2,"")</f>
        <v/>
      </c>
      <c r="J17" s="6" t="str">
        <f>IF(ISNUMBER(G17),1000*Parameters!E12*G17^2,"")</f>
        <v/>
      </c>
      <c r="K17" s="14" t="str">
        <f>IF(COUNT(Parameters!C18:D18,Parameters!F34:I34)&lt;6,"待补坐标",IF(NOT(ISNUMBER(E17)),"待填轮行程",IF(E17&lt;=0,"轮行程须大于0",IF(COUNT(L17:M17)&lt;2,"无效半径",""))))</f>
        <v>待补坐标</v>
      </c>
      <c r="L17" s="104" t="str">
        <f>IF(COUNT(Parameters!F34,Parameters!G34,Parameters!C18,Parameters!D18)&lt;4,"",IF(N17=0,"",IF(Parameters!G34&lt;Parameters!D18,-1,1)*DEGREES(ACOS(MAX(-1,MIN(1,(Parameters!C18-Parameters!F34)*1000/N17))))))</f>
        <v/>
      </c>
      <c r="M17" s="104">
        <f>IF(COUNT(Parameters!H34,Parameters!I34,Parameters!C18,Parameters!D18)&lt;4,"",IF(O17=0,"",IF(Parameters!I34&lt;Parameters!D18,-1,1)*DEGREES(ACOS(MAX(-1,MIN(1,(Parameters!C18-Parameters!H34)*1000/O17))))))</f>
        <v>26.368833521184072</v>
      </c>
      <c r="N17" s="106" t="str">
        <f>IF(COUNT(Parameters!F34,Parameters!G34,Parameters!C18,Parameters!D18)&lt;4,"",1000*SQRT((Parameters!F34-Parameters!C18)^2+(Parameters!G34-Parameters!D18)^2))</f>
        <v/>
      </c>
      <c r="O17" s="106">
        <f>IF(COUNT(Parameters!H34,Parameters!I34,Parameters!C18,Parameters!D18)&lt;4,"",1000*SQRT((Parameters!H34-Parameters!C18)^2+(Parameters!I34-Parameters!D18)^2))</f>
        <v>130.58713566044705</v>
      </c>
    </row>
    <row r="18" spans="1:13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39.950000000000003" customHeight="1">
      <c r="A22" s="1"/>
      <c r="B22" s="2" t="s">
        <v>44</v>
      </c>
      <c r="C22" s="2" t="s">
        <v>9</v>
      </c>
      <c r="D22" s="2" t="s">
        <v>13</v>
      </c>
      <c r="E22" s="1"/>
      <c r="F22" s="1"/>
      <c r="G22" s="1"/>
      <c r="H22" s="1"/>
      <c r="I22" s="1"/>
      <c r="J22" s="1"/>
      <c r="K22" s="1"/>
      <c r="L22" s="1"/>
      <c r="M22" s="1"/>
    </row>
    <row r="23" spans="1:13" ht="26.1" customHeight="1">
      <c r="A23" s="1"/>
      <c r="B23" s="3" t="inlineStr">
        <is>
          <t>#1 L</t>
        </is>
      </c>
      <c r="C23" s="6" t="e">
        <f>IF(ISNUMBER(H12),H12,NA())</f>
        <v>#N/A</v>
      </c>
      <c r="D23" s="6" t="e">
        <f>IF(ISNUMBER(H15),H15,NA())</f>
        <v>#N/A</v>
      </c>
      <c r="E23" s="1"/>
      <c r="F23" s="1"/>
      <c r="G23" s="1"/>
      <c r="H23" s="1"/>
      <c r="I23" s="1"/>
      <c r="J23" s="1"/>
      <c r="K23" s="1"/>
      <c r="L23" s="1"/>
      <c r="M23" s="1"/>
    </row>
    <row r="24" spans="1:13" ht="26.1" customHeight="1">
      <c r="A24" s="1"/>
      <c r="B24" s="4" t="inlineStr">
        <is>
          <t>#1 M</t>
        </is>
      </c>
      <c r="C24" s="5" t="e">
        <f>IF(ISNUMBER(H13),H13,NA())</f>
        <v>#N/A</v>
      </c>
      <c r="D24" s="5" t="e">
        <f>IF(ISNUMBER(H16),H16,NA())</f>
        <v>#N/A</v>
      </c>
      <c r="E24" s="1"/>
      <c r="F24" s="1"/>
      <c r="G24" s="1"/>
      <c r="H24" s="1"/>
      <c r="I24" s="1"/>
      <c r="J24" s="1"/>
      <c r="K24" s="1"/>
      <c r="L24" s="1"/>
      <c r="M24" s="1"/>
    </row>
    <row r="25" spans="1:13" ht="26.1" customHeight="1">
      <c r="A25" s="1"/>
      <c r="B25" s="3" t="inlineStr">
        <is>
          <t>#1 H</t>
        </is>
      </c>
      <c r="C25" s="6" t="e">
        <f>IF(ISNUMBER(H14),H14,NA())</f>
        <v>#N/A</v>
      </c>
      <c r="D25" s="6" t="e">
        <f>IF(ISNUMBER(H17),H17,NA())</f>
        <v>#N/A</v>
      </c>
      <c r="E25" s="1"/>
      <c r="F25" s="1"/>
      <c r="G25" s="1"/>
      <c r="H25" s="1"/>
      <c r="I25" s="1"/>
      <c r="J25" s="1"/>
      <c r="K25" s="1"/>
      <c r="L25" s="1"/>
      <c r="M25" s="1"/>
    </row>
    <row r="26" spans="1:13" ht="26.1" customHeight="1">
      <c r="A26" s="1"/>
      <c r="B26" s="4" t="inlineStr">
        <is>
          <t>#2 L</t>
        </is>
      </c>
      <c r="C26" s="5" t="e">
        <f>IF(ISNUMBER(I12),I12,NA())</f>
        <v>#N/A</v>
      </c>
      <c r="D26" s="5" t="e">
        <f>IF(ISNUMBER(I15),I15,NA())</f>
        <v>#N/A</v>
      </c>
      <c r="E26" s="1"/>
      <c r="F26" s="1"/>
      <c r="G26" s="1"/>
      <c r="H26" s="1"/>
      <c r="I26" s="1"/>
      <c r="J26" s="1"/>
      <c r="K26" s="1"/>
      <c r="L26" s="1"/>
      <c r="M26" s="1"/>
    </row>
    <row r="27" spans="1:13" ht="26.1" customHeight="1">
      <c r="A27" s="1"/>
      <c r="B27" s="3" t="inlineStr">
        <is>
          <t>#2 M</t>
        </is>
      </c>
      <c r="C27" s="6" t="e">
        <f>IF(ISNUMBER(I13),I13,NA())</f>
        <v>#N/A</v>
      </c>
      <c r="D27" s="6" t="e">
        <f>IF(ISNUMBER(I16),I16,NA())</f>
        <v>#N/A</v>
      </c>
      <c r="E27" s="1"/>
      <c r="F27" s="1"/>
      <c r="G27" s="1"/>
      <c r="H27" s="1"/>
      <c r="I27" s="1"/>
      <c r="J27" s="1"/>
      <c r="K27" s="1"/>
      <c r="L27" s="1"/>
      <c r="M27" s="1"/>
    </row>
    <row r="28" spans="1:13" ht="26.1" customHeight="1">
      <c r="A28" s="1"/>
      <c r="B28" s="4" t="inlineStr">
        <is>
          <t>#2 H</t>
        </is>
      </c>
      <c r="C28" s="5" t="e">
        <f>IF(ISNUMBER(I14),I14,NA())</f>
        <v>#N/A</v>
      </c>
      <c r="D28" s="5" t="e">
        <f>IF(ISNUMBER(I17),I17,NA())</f>
        <v>#N/A</v>
      </c>
      <c r="E28" s="1"/>
      <c r="F28" s="1"/>
      <c r="G28" s="1"/>
      <c r="H28" s="1"/>
      <c r="I28" s="1"/>
      <c r="J28" s="1"/>
      <c r="K28" s="1"/>
      <c r="L28" s="1"/>
      <c r="M28" s="1"/>
    </row>
    <row r="29" spans="1:13" ht="26.1" customHeight="1">
      <c r="A29" s="1"/>
      <c r="B29" s="3" t="inlineStr">
        <is>
          <t>#3 L</t>
        </is>
      </c>
      <c r="C29" s="6" t="e">
        <f>IF(ISNUMBER(J12),J12,NA())</f>
        <v>#N/A</v>
      </c>
      <c r="D29" s="6" t="e">
        <f>IF(ISNUMBER(J15),J15,NA())</f>
        <v>#N/A</v>
      </c>
      <c r="E29" s="1"/>
      <c r="F29" s="1"/>
      <c r="G29" s="1"/>
      <c r="H29" s="1"/>
      <c r="I29" s="1"/>
      <c r="J29" s="1"/>
      <c r="K29" s="1"/>
      <c r="L29" s="1"/>
      <c r="M29" s="1"/>
    </row>
    <row r="30" spans="1:13" ht="26.1" customHeight="1">
      <c r="A30" s="1"/>
      <c r="B30" s="4" t="inlineStr">
        <is>
          <t>#3 M</t>
        </is>
      </c>
      <c r="C30" s="5" t="e">
        <f>IF(ISNUMBER(J13),J13,NA())</f>
        <v>#N/A</v>
      </c>
      <c r="D30" s="5" t="e">
        <f>IF(ISNUMBER(J16),J16,NA())</f>
        <v>#N/A</v>
      </c>
      <c r="E30" s="1"/>
      <c r="F30" s="1"/>
      <c r="G30" s="1"/>
      <c r="H30" s="1"/>
      <c r="I30" s="1"/>
      <c r="J30" s="1"/>
      <c r="K30" s="1"/>
      <c r="L30" s="1"/>
      <c r="M30" s="1"/>
    </row>
    <row r="31" spans="1:13" ht="26.1" customHeight="1">
      <c r="A31" s="1"/>
      <c r="B31" s="3" t="inlineStr">
        <is>
          <t>#3 H</t>
        </is>
      </c>
      <c r="C31" s="6" t="e">
        <f>IF(ISNUMBER(J14),J14,NA())</f>
        <v>#N/A</v>
      </c>
      <c r="D31" s="6" t="e">
        <f>IF(ISNUMBER(J17),J17,NA())</f>
        <v>#N/A</v>
      </c>
      <c r="E31" s="1"/>
      <c r="F31" s="1"/>
      <c r="G31" s="1"/>
      <c r="H31" s="1"/>
      <c r="I31" s="1"/>
      <c r="J31" s="1"/>
      <c r="K31" s="1"/>
      <c r="L31" s="1"/>
      <c r="M31" s="1"/>
    </row>
    <row r="32" spans="1:13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44</v>
      </c>
      <c r="C35" s="2" t="s">
        <v>9</v>
      </c>
      <c r="D35" s="2" t="s">
        <v>13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inlineStr">
        <is>
          <t>#1 L</t>
        </is>
      </c>
      <c r="C36" s="5" t="e">
        <f>IF(ISNUMBER(H6),H6,NA())</f>
        <v>#N/A</v>
      </c>
      <c r="D36" s="5" t="e">
        <f>IF(ISNUMBER(H9),H9,NA())</f>
        <v>#N/A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inlineStr">
        <is>
          <t>#1 M</t>
        </is>
      </c>
      <c r="C37" s="6" t="e">
        <f>IF(ISNUMBER(H7),H7,NA())</f>
        <v>#N/A</v>
      </c>
      <c r="D37" s="6" t="e">
        <f>IF(ISNUMBER(H10),H10,NA())</f>
        <v>#N/A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inlineStr">
        <is>
          <t>#1 H</t>
        </is>
      </c>
      <c r="C38" s="5" t="e">
        <f>IF(ISNUMBER(H8),H8,NA())</f>
        <v>#N/A</v>
      </c>
      <c r="D38" s="5" t="e">
        <f>IF(ISNUMBER(H11),H11,NA())</f>
        <v>#N/A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inlineStr">
        <is>
          <t>#2 L</t>
        </is>
      </c>
      <c r="C39" s="6" t="e">
        <f>IF(ISNUMBER(I6),I6,NA())</f>
        <v>#N/A</v>
      </c>
      <c r="D39" s="6" t="e">
        <f>IF(ISNUMBER(I9),I9,NA())</f>
        <v>#N/A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inlineStr">
        <is>
          <t>#2 M</t>
        </is>
      </c>
      <c r="C40" s="5" t="e">
        <f>IF(ISNUMBER(I7),I7,NA())</f>
        <v>#N/A</v>
      </c>
      <c r="D40" s="5" t="e">
        <f>IF(ISNUMBER(I10),I10,NA())</f>
        <v>#N/A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inlineStr">
        <is>
          <t>#2 H</t>
        </is>
      </c>
      <c r="C41" s="6" t="e">
        <f>IF(ISNUMBER(I8),I8,NA())</f>
        <v>#N/A</v>
      </c>
      <c r="D41" s="6" t="e">
        <f>IF(ISNUMBER(I11),I11,NA())</f>
        <v>#N/A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inlineStr">
        <is>
          <t>#3 L</t>
        </is>
      </c>
      <c r="C42" s="5" t="e">
        <f>IF(ISNUMBER(J6),J6,NA())</f>
        <v>#N/A</v>
      </c>
      <c r="D42" s="5" t="e">
        <f>IF(ISNUMBER(J9),J9,NA())</f>
        <v>#N/A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inlineStr">
        <is>
          <t>#3 M</t>
        </is>
      </c>
      <c r="C43" s="6" t="e">
        <f>IF(ISNUMBER(J7),J7,NA())</f>
        <v>#N/A</v>
      </c>
      <c r="D43" s="6" t="e">
        <f>IF(ISNUMBER(J10),J10,NA())</f>
        <v>#N/A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inlineStr">
        <is>
          <t>#3 H</t>
        </is>
      </c>
      <c r="C44" s="5" t="e">
        <f>IF(ISNUMBER(J8),J8,NA())</f>
        <v>#N/A</v>
      </c>
      <c r="D44" s="5" t="e">
        <f>IF(ISNUMBER(J11),J11,NA())</f>
        <v>#N/A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28" t="s">
        <v>54</v>
      </c>
      <c r="C49" s="28" t="s">
        <v>54</v>
      </c>
      <c r="D49" s="28" t="s">
        <v>54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55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56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57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58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59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60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61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62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2026-10-18T12:26:11Z</dcterms:modified>
</cp:coreProperties>
</file>