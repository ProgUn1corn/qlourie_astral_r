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061ccab23146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ison" sheetId="1" r:id="R7ad68a839bc74dad"/>
    <x:sheet xmlns:r="http://schemas.openxmlformats.org/officeDocument/2006/relationships" name="Parameters" sheetId="5" r:id="R8c987114657e4a23"/>
    <x:sheet xmlns:r="http://schemas.openxmlformats.org/officeDocument/2006/relationships" name="Samples" sheetId="7" r:id="R638dabceae96445b"/>
  </x:sheets>
  <x:calcPr fullCalcOnLoad="1" forceFullCalc="1" calcMode="auto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176" formatCode="0.0"/>
    <x:numFmt numFmtId="177" formatCode="0.0000"/>
    <x:numFmt numFmtId="200" formatCode="0"/>
    <x:numFmt numFmtId="201" formatCode="0.00"/>
    <x:numFmt numFmtId="202" formatCode="0.000"/>
    <x:numFmt numFmtId="203" formatCode="0.000000"/>
    <x:numFmt numFmtId="204" formatCode="0.0"/>
    <x:numFmt numFmtId="205" formatCode="0.0000"/>
    <x:numFmt numFmtId="206" formatCode="0"/>
    <x:numFmt numFmtId="207" formatCode="0.00"/>
    <x:numFmt numFmtId="208" formatCode="0.000"/>
    <x:numFmt numFmtId="209" formatCode="0.000000"/>
  </x:numFmts>
  <x:fonts count="44">
    <x:font>
      <x:sz val="11"/>
      <x:name val="Carlito"/>
    </x:font>
    <x:font>
      <x:sz val="11"/>
      <x:color rgb="FF283C50"/>
      <x:name val="Arial"/>
      <x:family val="2"/>
    </x:font>
    <x:font>
      <x:b/>
      <x:sz val="20"/>
      <x:color rgb="FF283C50"/>
      <x:name val="Arial"/>
      <x:family val="2"/>
    </x:font>
    <x:font>
      <x:sz val="11"/>
      <x:color rgb="FF667B91"/>
      <x:name val="Arial"/>
      <x:family val="2"/>
    </x:font>
    <x:font>
      <x:sz val="11"/>
      <x:color rgb="FF195DB1"/>
      <x:name val="Arial"/>
      <x:family val="2"/>
    </x:font>
    <x:font>
      <x:sz val="11"/>
      <x:color rgb="FF243B53"/>
      <x:name val="Arial"/>
      <x:family val="2"/>
    </x:font>
    <x:font>
      <x:b/>
      <x:sz val="22"/>
      <x:color rgb="FF243B53"/>
      <x:name val="Arial"/>
      <x:family val="2"/>
    </x:font>
    <x:font>
      <x:sz val="11"/>
      <x:color rgb="FF627D98"/>
      <x:name val="Arial"/>
      <x:family val="2"/>
    </x:font>
    <x:font>
      <x:b/>
      <x:sz val="12"/>
      <x:color rgb="FFFFFFFF"/>
      <x:name val="Arial"/>
      <x:family val="2"/>
    </x:font>
    <x:font>
      <x:b/>
      <x:sz val="11"/>
      <x:color rgb="FF283C50"/>
      <x:name val="微软雅黑"/>
      <x:family val="2"/>
    </x:font>
    <x:font>
      <x:b/>
      <x:sz val="11"/>
      <x:color rgb="FF283C50"/>
      <x:name val="Arial"/>
      <x:family val="2"/>
    </x:font>
    <x:font>
      <x:sz val="9"/>
      <x:name val="宋体"/>
      <x:family val="3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667B91"/>
      <x:name val="Microsoft YaHei"/>
    </x:font>
    <x:font>
      <x:sz val="10"/>
      <x:color rgb="FF667B91"/>
      <x:name val="Microsoft YaHei"/>
    </x:font>
    <x:font>
      <x:b/>
      <x:sz val="11"/>
      <x:color rgb="FFFFFFFF"/>
      <x:name val="Arial"/>
    </x:font>
    <x:font>
      <x:sz val="11"/>
      <x:color rgb="FF195DB1"/>
      <x:name val="Arial"/>
    </x:font>
    <x:font>
      <x:b/>
      <x:sz val="12"/>
      <x:color rgb="FF667B91"/>
      <x:name val="Arial"/>
    </x:font>
    <x:font>
      <x:b/>
      <x:sz val="12"/>
      <x:color rgb="FF667B91"/>
      <x:name val="Microsoft YaHei"/>
    </x:font>
    <x:font>
      <x:sz val="10"/>
      <x:color rgb="FF667B91"/>
      <x:name val="Microsoft YaHei"/>
    </x:font>
    <x:font>
      <x:sz val="11"/>
      <x:name val="Carlito"/>
    </x:font>
    <x:font>
      <x:sz val="11"/>
      <x:color rgb="FF283C50"/>
      <x:name val="Arial"/>
      <x:family val="2"/>
    </x:font>
    <x:font>
      <x:b/>
      <x:sz val="20"/>
      <x:color rgb="FF283C50"/>
      <x:name val="Arial"/>
      <x:family val="2"/>
    </x:font>
    <x:font>
      <x:sz val="11"/>
      <x:color rgb="FF667B91"/>
      <x:name val="Arial"/>
      <x:family val="2"/>
    </x:font>
    <x:font>
      <x:sz val="11"/>
      <x:color rgb="FF195DB1"/>
      <x:name val="Arial"/>
      <x:family val="2"/>
    </x:font>
    <x:font>
      <x:sz val="11"/>
      <x:color rgb="FF243B53"/>
      <x:name val="Arial"/>
      <x:family val="2"/>
    </x:font>
    <x:font>
      <x:b/>
      <x:sz val="22"/>
      <x:color rgb="FF243B53"/>
      <x:name val="Arial"/>
      <x:family val="2"/>
    </x:font>
    <x:font>
      <x:sz val="11"/>
      <x:color rgb="FF627D98"/>
      <x:name val="Arial"/>
      <x:family val="2"/>
    </x:font>
    <x:font>
      <x:b/>
      <x:sz val="12"/>
      <x:color rgb="FFFFFFFF"/>
      <x:name val="Arial"/>
      <x:family val="2"/>
    </x:font>
    <x:font>
      <x:b/>
      <x:sz val="11"/>
      <x:color rgb="FF283C50"/>
      <x:name val="微软雅黑"/>
      <x:family val="2"/>
    </x:font>
    <x:font>
      <x:b/>
      <x:sz val="11"/>
      <x:color rgb="FF283C50"/>
      <x:name val="Arial"/>
      <x:family val="2"/>
    </x:font>
    <x:font>
      <x:sz val="9"/>
      <x:name val="宋体"/>
      <x:family val="3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667B91"/>
      <x:name val="Microsoft YaHei"/>
    </x:font>
    <x:font>
      <x:sz val="10"/>
      <x:color rgb="FF667B91"/>
      <x:name val="Microsoft YaHei"/>
    </x:font>
    <x:font>
      <x:b/>
      <x:sz val="11"/>
      <x:color rgb="FFFFFFFF"/>
      <x:name val="Arial"/>
    </x:font>
    <x:font>
      <x:sz val="11"/>
      <x:color rgb="FF195DB1"/>
      <x:name val="Arial"/>
    </x:font>
    <x:font>
      <x:b/>
      <x:sz val="12"/>
      <x:color rgb="FF667B91"/>
      <x:name val="Arial"/>
    </x:font>
    <x:font>
      <x:b/>
      <x:sz val="12"/>
      <x:color rgb="FF667B91"/>
      <x:name val="Microsoft YaHei"/>
    </x:font>
    <x:font>
      <x:sz val="10"/>
      <x:color rgb="FF667B91"/>
      <x:name val="Microsoft YaHei"/>
    </x:font>
    <x:font>
      <x:sz val="11"/>
      <x:color rgb="FF667B91"/>
      <x:name val="Microsoft YaHei"/>
    </x:font>
    <x:font>
      <x:sz val="10"/>
      <x:color rgb="FF667B91"/>
      <x:name val="Microsoft YaHei"/>
    </x:font>
  </x:fonts>
  <x:fills count="29">
    <x:fill>
      <x:patternFill patternType="none"/>
    </x:fill>
    <x:fill>
      <x:patternFill patternType="gray125"/>
    </x:fill>
    <x:fill>
      <x:patternFill patternType="solid">
        <x:fgColor rgb="FF31475E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5F7FA"/>
      </x:patternFill>
    </x:fill>
    <x:fill>
      <x:patternFill patternType="solid">
        <x:fgColor rgb="FFEDF2F7"/>
      </x:patternFill>
    </x:fill>
    <x:fill>
      <x:patternFill patternType="solid">
        <x:fgColor rgb="FFFFFFFF"/>
      </x:patternFill>
    </x:fill>
    <x:fill>
      <x:patternFill patternType="solid">
        <x:fgColor rgb="FF31475E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  <x:fill>
      <x:patternFill patternType="solid">
        <x:fgColor rgb="FFEDF2F7"/>
      </x:patternFill>
    </x:fill>
    <x:fill>
      <x:patternFill patternType="none"/>
    </x:fill>
    <x:fill>
      <x:patternFill patternType="gray125"/>
    </x:fill>
    <x:fill>
      <x:patternFill patternType="solid">
        <x:fgColor rgb="FF31475E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5F7FA"/>
      </x:patternFill>
    </x:fill>
    <x:fill>
      <x:patternFill patternType="solid">
        <x:fgColor rgb="FFEDF2F7"/>
      </x:patternFill>
    </x:fill>
    <x:fill>
      <x:patternFill patternType="solid">
        <x:fgColor rgb="FFFFFFFF"/>
      </x:patternFill>
    </x:fill>
    <x:fill>
      <x:patternFill patternType="solid">
        <x:fgColor rgb="FF31475E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  <x:fill>
      <x:patternFill patternType="solid">
        <x:fgColor rgb="FFEDF2F7"/>
      </x:patternFill>
    </x:fill>
    <x:fill>
      <x:patternFill patternType="solid">
        <x:fgColor rgb="FFFFFFFF"/>
      </x:patternFill>
    </x:fill>
    <x:fill>
      <x:patternFill patternType="solid">
        <x:fgColor rgb="FF31475E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  <x:fill>
      <x:patternFill patternType="solid">
        <x:fgColor rgb="FFEDF2F7"/>
      </x:patternFill>
    </x:fill>
  </x:fills>
  <x:borders count="6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rgb="FFDCE4EB"/>
      </x:bottom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rgb="FFDCE4EB"/>
      </x:bottom>
      <x:diagonal/>
    </x:border>
  </x:borders>
  <x:cellStyleXfs count="2">
    <x:xf numFmtId="0" fontId="0" fillId="0" borderId="0"/>
    <x:xf numFmtId="0" fontId="21" fillId="12" borderId="3"/>
  </x:cellStyleXfs>
  <x:cellXfs count="151">
    <x:xf numFmtId="0" fontId="0" fillId="0" borderId="0" xfId="0"/>
    <x:xf numFmtId="0" fontId="2" fillId="4" borderId="0" xfId="0" applyFont="1" applyFill="1" applyAlignment="1">
      <x:alignment vertical="center"/>
    </x:xf>
    <x:xf numFmtId="0" fontId="5" fillId="4" borderId="0" xfId="0" applyFont="1" applyFill="1" applyAlignment="1">
      <x:alignment vertical="center"/>
    </x:xf>
    <x:xf numFmtId="0" fontId="8" fillId="2" borderId="1" xfId="0" applyFont="1" applyFill="1" applyBorder="1" applyAlignment="1">
      <x:alignment vertical="center" wrapText="1"/>
    </x:xf>
    <x:xf numFmtId="0" fontId="3" fillId="5" borderId="2" xfId="0" applyFont="1" applyFill="1" applyBorder="1" applyAlignment="1">
      <x:alignment vertical="center"/>
    </x:xf>
    <x:xf numFmtId="176" fontId="4" fillId="3" borderId="2" xfId="0" applyNumberFormat="1" applyFont="1" applyFill="1" applyBorder="1" applyAlignment="1">
      <x:alignment vertical="center"/>
    </x:xf>
    <x:xf numFmtId="1" fontId="4" fillId="3" borderId="2" xfId="0" applyNumberFormat="1" applyFont="1" applyFill="1" applyBorder="1" applyAlignment="1">
      <x:alignment vertical="center"/>
    </x:xf>
    <x:xf numFmtId="0" fontId="3" fillId="4" borderId="2" xfId="0" applyFont="1" applyFill="1" applyBorder="1" applyAlignment="1">
      <x:alignment vertical="center"/>
    </x:xf>
    <x:xf numFmtId="0" fontId="9" fillId="6" borderId="1" xfId="0" applyFont="1" applyFill="1" applyBorder="1" applyAlignment="1">
      <x:alignment vertical="center" wrapText="1"/>
    </x:xf>
    <x:xf numFmtId="0" fontId="10" fillId="6" borderId="1" xfId="0" applyFont="1" applyFill="1" applyBorder="1" applyAlignment="1">
      <x:alignment vertical="center" wrapText="1"/>
    </x:xf>
    <x:xf numFmtId="1" fontId="1" fillId="5" borderId="2" xfId="0" applyNumberFormat="1" applyFont="1" applyFill="1" applyBorder="1" applyAlignment="1">
      <x:alignment vertical="center"/>
    </x:xf>
    <x:xf numFmtId="1" fontId="1" fillId="4" borderId="2" xfId="0" applyNumberFormat="1" applyFont="1" applyFill="1" applyBorder="1" applyAlignment="1">
      <x:alignment vertical="center"/>
    </x:xf>
    <x:xf numFmtId="176" fontId="1" fillId="5" borderId="2" xfId="0" applyNumberFormat="1" applyFont="1" applyFill="1" applyBorder="1" applyAlignment="1">
      <x:alignment vertical="center"/>
    </x:xf>
    <x:xf numFmtId="177" fontId="1" fillId="5" borderId="2" xfId="0" applyNumberFormat="1" applyFont="1" applyFill="1" applyBorder="1" applyAlignment="1">
      <x:alignment vertical="center"/>
    </x:xf>
    <x:xf numFmtId="2" fontId="1" fillId="5" borderId="2" xfId="0" applyNumberFormat="1" applyFont="1" applyFill="1" applyBorder="1" applyAlignment="1">
      <x:alignment vertical="center"/>
    </x:xf>
    <x:xf numFmtId="176" fontId="1" fillId="4" borderId="2" xfId="0" applyNumberFormat="1" applyFont="1" applyFill="1" applyBorder="1" applyAlignment="1">
      <x:alignment vertical="center"/>
    </x:xf>
    <x:xf numFmtId="177" fontId="1" fillId="4" borderId="2" xfId="0" applyNumberFormat="1" applyFont="1" applyFill="1" applyBorder="1" applyAlignment="1">
      <x:alignment vertical="center"/>
    </x:xf>
    <x:xf numFmtId="2" fontId="1" fillId="4" borderId="2" xfId="0" applyNumberFormat="1" applyFont="1" applyFill="1" applyBorder="1" applyAlignment="1">
      <x:alignment vertical="center"/>
    </x:xf>
    <x:xf numFmtId="0" fontId="6" fillId="4" borderId="0" xfId="0" applyFont="1" applyFill="1" applyAlignment="1">
      <x:alignment vertical="center"/>
    </x:xf>
    <x:xf numFmtId="0" fontId="3" fillId="4" borderId="0" xfId="0" applyFont="1" applyFill="1" applyAlignment="1">
      <x:alignment vertical="center"/>
    </x:xf>
    <x:xf numFmtId="0" fontId="7" fillId="4" borderId="0" xfId="0" applyFont="1" applyFill="1" applyAlignment="1">
      <x:alignment vertical="center"/>
    </x:xf>
    <x:xf numFmtId="0" fontId="9" fillId="6" borderId="1" xfId="0" applyFont="1" applyFill="1" applyBorder="1" applyAlignment="1">
      <x:alignment vertical="center" wrapText="1"/>
    </x:xf>
    <x:xf numFmtId="0" fontId="10" fillId="6" borderId="1" xfId="0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vertical="center"/>
    </x:xf>
    <x:xf numFmtId="0" fontId="12" fillId="9" borderId="2" xfId="0" applyNumberFormat="1" applyFont="1" applyFill="1" applyBorder="1" applyAlignment="1">
      <x:alignment vertical="center"/>
    </x:xf>
    <x:xf numFmtId="0" fontId="12" fillId="7" borderId="2" xfId="0" applyNumberFormat="1" applyFont="1" applyFill="1" applyBorder="1" applyAlignment="1">
      <x:alignment vertical="center"/>
    </x:xf>
    <x:xf numFmtId="0" fontId="12" fillId="10" borderId="2" xfId="0" applyNumberFormat="1" applyFont="1" applyFill="1" applyBorder="1" applyAlignment="1">
      <x:alignment vertical="center"/>
    </x:xf>
    <x:xf numFmtId="0" fontId="17" fillId="10" borderId="2" xfId="0" applyNumberFormat="1" applyFont="1" applyFill="1" applyBorder="1" applyAlignment="1">
      <x:alignment vertical="center"/>
    </x:xf>
    <x:xf numFmtId="0" fontId="17" fillId="10" borderId="2" xfId="0" applyNumberFormat="1" applyFont="1" applyFill="1" applyBorder="1" applyAlignment="1">
      <x:alignment horizontal="right" vertical="center"/>
    </x:xf>
    <x:xf numFmtId="176" fontId="17" fillId="10" borderId="2" xfId="0" applyNumberFormat="1" applyFont="1" applyFill="1" applyBorder="1" applyAlignment="1">
      <x:alignment horizontal="right" vertical="center"/>
    </x:xf>
    <x:xf numFmtId="200" fontId="17" fillId="10" borderId="2" xfId="0" applyNumberFormat="1" applyFont="1" applyFill="1" applyBorder="1" applyAlignment="1">
      <x:alignment horizontal="right" vertical="center"/>
    </x:xf>
    <x:xf numFmtId="200" fontId="12" fillId="9" borderId="2" xfId="0" applyNumberFormat="1" applyFont="1" applyFill="1" applyBorder="1" applyAlignment="1">
      <x:alignment vertical="center"/>
    </x:xf>
    <x:xf numFmtId="200" fontId="12" fillId="7" borderId="2" xfId="0" applyNumberFormat="1" applyFont="1" applyFill="1" applyBorder="1" applyAlignment="1">
      <x:alignment vertical="center"/>
    </x:xf>
    <x:xf numFmtId="0" fontId="18" fillId="7" borderId="0" xfId="0" applyNumberFormat="1" applyFont="1" applyFill="1" applyBorder="1" applyAlignment="1">
      <x:alignment vertical="center"/>
    </x:xf>
    <x:xf numFmtId="0" fontId="18" fillId="11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 applyAlignment="1">
      <x:alignment vertical="center"/>
    </x:xf>
    <x:xf numFmtId="0" fontId="17" fillId="10" borderId="0" xfId="0" applyNumberFormat="1" applyFont="1" applyFill="1" applyBorder="1" applyAlignment="1">
      <x:alignment vertical="center"/>
    </x:xf>
    <x:xf numFmtId="0" fontId="17" fillId="10" borderId="0" xfId="0" applyNumberFormat="1" applyFont="1" applyFill="1" applyBorder="1" applyAlignment="1">
      <x:alignment horizontal="right" vertical="center"/>
    </x:xf>
    <x:xf numFmtId="176" fontId="17" fillId="10" borderId="0" xfId="0" applyNumberFormat="1" applyFont="1" applyFill="1" applyBorder="1" applyAlignment="1">
      <x:alignment horizontal="right" vertical="center"/>
    </x:xf>
    <x:xf numFmtId="177" fontId="17" fillId="10" borderId="2" xfId="0" applyNumberFormat="1" applyFont="1" applyFill="1" applyBorder="1" applyAlignment="1">
      <x:alignment horizontal="right" vertical="center"/>
    </x:xf>
    <x:xf numFmtId="201" fontId="12" fillId="7" borderId="2" xfId="0" applyNumberFormat="1" applyFont="1" applyFill="1" applyBorder="1" applyAlignment="1">
      <x:alignment vertical="center"/>
    </x:xf>
    <x:xf numFmtId="201" fontId="12" fillId="9" borderId="2" xfId="0" applyNumberFormat="1" applyFont="1" applyFill="1" applyBorder="1" applyAlignment="1">
      <x:alignment vertical="center"/>
    </x:xf>
    <x:xf numFmtId="176" fontId="12" fillId="7" borderId="2" xfId="0" applyNumberFormat="1" applyFont="1" applyFill="1" applyBorder="1" applyAlignment="1">
      <x:alignment vertical="center"/>
    </x:xf>
    <x:xf numFmtId="176" fontId="12" fillId="9" borderId="2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 applyAlignment="1">
      <x:alignment vertical="center"/>
    </x:xf>
    <x:xf numFmtId="202" fontId="12" fillId="7" borderId="2" xfId="0" applyNumberFormat="1" applyFont="1" applyFill="1" applyBorder="1" applyAlignment="1">
      <x:alignment vertical="center"/>
    </x:xf>
    <x:xf numFmtId="202" fontId="12" fillId="9" borderId="2" xfId="0" applyNumberFormat="1" applyFont="1" applyFill="1" applyBorder="1" applyAlignment="1">
      <x:alignment vertical="center"/>
    </x:xf>
    <x:xf numFmtId="203" fontId="12" fillId="7" borderId="2" xfId="0" applyNumberFormat="1" applyFont="1" applyFill="1" applyBorder="1" applyAlignment="1">
      <x:alignment vertical="center"/>
    </x:xf>
    <x:xf numFmtId="203" fontId="12" fillId="9" borderId="2" xfId="0" applyNumberFormat="1" applyFont="1" applyFill="1" applyBorder="1" applyAlignment="1">
      <x:alignment vertical="center"/>
    </x:xf>
    <x:xf numFmtId="0" fontId="20" fillId="7" borderId="2" xfId="0" applyNumberFormat="1" applyFont="1" applyFill="1" applyBorder="1" applyAlignment="1">
      <x:alignment vertical="center"/>
    </x:xf>
    <x:xf numFmtId="0" fontId="20" fillId="9" borderId="2" xfId="0" applyNumberFormat="1" applyFont="1" applyFill="1" applyBorder="1" applyAlignment="1">
      <x:alignment vertical="center"/>
    </x:xf>
    <x:xf numFmtId="0" fontId="21" fillId="12" borderId="3" xfId="1"/>
    <x:xf numFmtId="0" fontId="23" fillId="16" borderId="3" xfId="1" applyFont="1" applyFill="1" applyAlignment="1">
      <x:alignment vertical="center"/>
    </x:xf>
    <x:xf numFmtId="0" fontId="26" fillId="16" borderId="3" xfId="1" applyFont="1" applyFill="1" applyAlignment="1">
      <x:alignment vertical="center"/>
    </x:xf>
    <x:xf numFmtId="0" fontId="29" fillId="14" borderId="4" xfId="1" applyFont="1" applyFill="1" applyBorder="1" applyAlignment="1">
      <x:alignment vertical="center" wrapText="1"/>
    </x:xf>
    <x:xf numFmtId="0" fontId="24" fillId="17" borderId="5" xfId="1" applyFont="1" applyFill="1" applyBorder="1" applyAlignment="1">
      <x:alignment vertical="center"/>
    </x:xf>
    <x:xf numFmtId="204" fontId="25" fillId="15" borderId="5" xfId="1" applyNumberFormat="1" applyFont="1" applyFill="1" applyBorder="1" applyAlignment="1">
      <x:alignment vertical="center"/>
    </x:xf>
    <x:xf numFmtId="1" fontId="25" fillId="15" borderId="5" xfId="1" applyNumberFormat="1" applyFont="1" applyFill="1" applyBorder="1" applyAlignment="1">
      <x:alignment vertical="center"/>
    </x:xf>
    <x:xf numFmtId="0" fontId="24" fillId="16" borderId="5" xfId="1" applyFont="1" applyFill="1" applyBorder="1" applyAlignment="1">
      <x:alignment vertical="center"/>
    </x:xf>
    <x:xf numFmtId="0" fontId="30" fillId="18" borderId="4" xfId="1" applyFont="1" applyFill="1" applyBorder="1" applyAlignment="1">
      <x:alignment vertical="center" wrapText="1"/>
    </x:xf>
    <x:xf numFmtId="0" fontId="31" fillId="18" borderId="4" xfId="1" applyFont="1" applyFill="1" applyBorder="1" applyAlignment="1">
      <x:alignment vertical="center" wrapText="1"/>
    </x:xf>
    <x:xf numFmtId="1" fontId="22" fillId="17" borderId="5" xfId="1" applyNumberFormat="1" applyFont="1" applyFill="1" applyBorder="1" applyAlignment="1">
      <x:alignment vertical="center"/>
    </x:xf>
    <x:xf numFmtId="1" fontId="22" fillId="16" borderId="5" xfId="1" applyNumberFormat="1" applyFont="1" applyFill="1" applyBorder="1" applyAlignment="1">
      <x:alignment vertical="center"/>
    </x:xf>
    <x:xf numFmtId="204" fontId="22" fillId="17" borderId="5" xfId="1" applyNumberFormat="1" applyFont="1" applyFill="1" applyBorder="1" applyAlignment="1">
      <x:alignment vertical="center"/>
    </x:xf>
    <x:xf numFmtId="205" fontId="22" fillId="17" borderId="5" xfId="1" applyNumberFormat="1" applyFont="1" applyFill="1" applyBorder="1" applyAlignment="1">
      <x:alignment vertical="center"/>
    </x:xf>
    <x:xf numFmtId="2" fontId="22" fillId="17" borderId="5" xfId="1" applyNumberFormat="1" applyFont="1" applyFill="1" applyBorder="1" applyAlignment="1">
      <x:alignment vertical="center"/>
    </x:xf>
    <x:xf numFmtId="204" fontId="22" fillId="16" borderId="5" xfId="1" applyNumberFormat="1" applyFont="1" applyFill="1" applyBorder="1" applyAlignment="1">
      <x:alignment vertical="center"/>
    </x:xf>
    <x:xf numFmtId="205" fontId="22" fillId="16" borderId="5" xfId="1" applyNumberFormat="1" applyFont="1" applyFill="1" applyBorder="1" applyAlignment="1">
      <x:alignment vertical="center"/>
    </x:xf>
    <x:xf numFmtId="2" fontId="22" fillId="16" borderId="5" xfId="1" applyNumberFormat="1" applyFont="1" applyFill="1" applyBorder="1" applyAlignment="1">
      <x:alignment vertical="center"/>
    </x:xf>
    <x:xf numFmtId="0" fontId="27" fillId="16" borderId="3" xfId="1" applyFont="1" applyFill="1" applyAlignment="1">
      <x:alignment vertical="center"/>
    </x:xf>
    <x:xf numFmtId="0" fontId="24" fillId="16" borderId="3" xfId="1" applyFont="1" applyFill="1" applyAlignment="1">
      <x:alignment vertical="center"/>
    </x:xf>
    <x:xf numFmtId="0" fontId="28" fillId="16" borderId="3" xfId="1" applyFont="1" applyFill="1" applyAlignment="1">
      <x:alignment vertical="center"/>
    </x:xf>
    <x:xf numFmtId="0" fontId="30" fillId="18" borderId="4" xfId="1" applyFont="1" applyFill="1" applyBorder="1" applyAlignment="1">
      <x:alignment vertical="center" wrapText="1"/>
    </x:xf>
    <x:xf numFmtId="0" fontId="31" fillId="18" borderId="4" xfId="1" applyFont="1" applyFill="1" applyBorder="1" applyAlignment="1">
      <x:alignment vertical="center" wrapText="1"/>
    </x:xf>
    <x:xf numFmtId="0" fontId="21" fillId="19" borderId="3" xfId="1" applyNumberFormat="1" applyFont="1" applyFill="1" applyBorder="1"/>
    <x:xf numFmtId="0" fontId="33" fillId="19" borderId="3" xfId="1" applyNumberFormat="1" applyFont="1" applyFill="1" applyBorder="1"/>
    <x:xf numFmtId="0" fontId="33" fillId="19" borderId="3" xfId="1" applyNumberFormat="1" applyFont="1" applyFill="1" applyBorder="1" applyAlignment="1">
      <x:alignment vertical="center"/>
    </x:xf>
    <x:xf numFmtId="0" fontId="34" fillId="19" borderId="3" xfId="1" applyNumberFormat="1" applyFont="1" applyFill="1" applyBorder="1" applyAlignment="1">
      <x:alignment vertical="center"/>
    </x:xf>
    <x:xf numFmtId="0" fontId="35" fillId="19" borderId="3" xfId="1" applyNumberFormat="1" applyFont="1" applyFill="1" applyBorder="1" applyAlignment="1">
      <x:alignment vertical="center"/>
    </x:xf>
    <x:xf numFmtId="0" fontId="36" fillId="19" borderId="3" xfId="1" applyNumberFormat="1" applyFont="1" applyFill="1" applyBorder="1" applyAlignment="1">
      <x:alignment vertical="center"/>
    </x:xf>
    <x:xf numFmtId="0" fontId="33" fillId="20" borderId="3" xfId="1" applyNumberFormat="1" applyFont="1" applyFill="1" applyBorder="1" applyAlignment="1">
      <x:alignment vertical="center"/>
    </x:xf>
    <x:xf numFmtId="0" fontId="37" fillId="20" borderId="3" xfId="1" applyNumberFormat="1" applyFont="1" applyFill="1" applyBorder="1" applyAlignment="1">
      <x:alignment vertical="center"/>
    </x:xf>
    <x:xf numFmtId="0" fontId="37" fillId="20" borderId="3" xfId="1" applyNumberFormat="1" applyFont="1" applyFill="1" applyBorder="1" applyAlignment="1">
      <x:alignment vertical="center" wrapText="1"/>
    </x:xf>
    <x:xf numFmtId="0" fontId="37" fillId="20" borderId="3" xfId="1" applyNumberFormat="1" applyFont="1" applyFill="1" applyBorder="1" applyAlignment="1">
      <x:alignment horizontal="center" vertical="center" wrapText="1"/>
    </x:xf>
    <x:xf numFmtId="0" fontId="33" fillId="21" borderId="3" xfId="1" applyNumberFormat="1" applyFont="1" applyFill="1" applyBorder="1" applyAlignment="1">
      <x:alignment vertical="center"/>
    </x:xf>
    <x:xf numFmtId="0" fontId="33" fillId="21" borderId="5" xfId="1" applyNumberFormat="1" applyFont="1" applyFill="1" applyBorder="1" applyAlignment="1">
      <x:alignment vertical="center"/>
    </x:xf>
    <x:xf numFmtId="0" fontId="33" fillId="19" borderId="5" xfId="1" applyNumberFormat="1" applyFont="1" applyFill="1" applyBorder="1" applyAlignment="1">
      <x:alignment vertical="center"/>
    </x:xf>
    <x:xf numFmtId="0" fontId="33" fillId="22" borderId="5" xfId="1" applyNumberFormat="1" applyFont="1" applyFill="1" applyBorder="1" applyAlignment="1">
      <x:alignment vertical="center"/>
    </x:xf>
    <x:xf numFmtId="0" fontId="38" fillId="22" borderId="5" xfId="1" applyNumberFormat="1" applyFont="1" applyFill="1" applyBorder="1" applyAlignment="1">
      <x:alignment vertical="center"/>
    </x:xf>
    <x:xf numFmtId="0" fontId="38" fillId="22" borderId="5" xfId="1" applyNumberFormat="1" applyFont="1" applyFill="1" applyBorder="1" applyAlignment="1">
      <x:alignment horizontal="right" vertical="center"/>
    </x:xf>
    <x:xf numFmtId="204" fontId="38" fillId="22" borderId="5" xfId="1" applyNumberFormat="1" applyFont="1" applyFill="1" applyBorder="1" applyAlignment="1">
      <x:alignment horizontal="right" vertical="center"/>
    </x:xf>
    <x:xf numFmtId="206" fontId="38" fillId="22" borderId="5" xfId="1" applyNumberFormat="1" applyFont="1" applyFill="1" applyBorder="1" applyAlignment="1">
      <x:alignment horizontal="right" vertical="center"/>
    </x:xf>
    <x:xf numFmtId="206" fontId="33" fillId="21" borderId="5" xfId="1" applyNumberFormat="1" applyFont="1" applyFill="1" applyBorder="1" applyAlignment="1">
      <x:alignment vertical="center"/>
    </x:xf>
    <x:xf numFmtId="206" fontId="33" fillId="19" borderId="5" xfId="1" applyNumberFormat="1" applyFont="1" applyFill="1" applyBorder="1" applyAlignment="1">
      <x:alignment vertical="center"/>
    </x:xf>
    <x:xf numFmtId="0" fontId="39" fillId="19" borderId="3" xfId="1" applyNumberFormat="1" applyFont="1" applyFill="1" applyBorder="1" applyAlignment="1">
      <x:alignment vertical="center"/>
    </x:xf>
    <x:xf numFmtId="0" fontId="39" fillId="23" borderId="3" xfId="1" applyNumberFormat="1" applyFont="1" applyFill="1" applyBorder="1" applyAlignment="1">
      <x:alignment vertical="center"/>
    </x:xf>
    <x:xf numFmtId="0" fontId="33" fillId="22" borderId="3" xfId="1" applyNumberFormat="1" applyFont="1" applyFill="1" applyBorder="1" applyAlignment="1">
      <x:alignment vertical="center"/>
    </x:xf>
    <x:xf numFmtId="0" fontId="38" fillId="22" borderId="3" xfId="1" applyNumberFormat="1" applyFont="1" applyFill="1" applyBorder="1" applyAlignment="1">
      <x:alignment vertical="center"/>
    </x:xf>
    <x:xf numFmtId="0" fontId="38" fillId="22" borderId="3" xfId="1" applyNumberFormat="1" applyFont="1" applyFill="1" applyBorder="1" applyAlignment="1">
      <x:alignment horizontal="right" vertical="center"/>
    </x:xf>
    <x:xf numFmtId="204" fontId="38" fillId="22" borderId="3" xfId="1" applyNumberFormat="1" applyFont="1" applyFill="1" applyBorder="1" applyAlignment="1">
      <x:alignment horizontal="right" vertical="center"/>
    </x:xf>
    <x:xf numFmtId="205" fontId="38" fillId="22" borderId="5" xfId="1" applyNumberFormat="1" applyFont="1" applyFill="1" applyBorder="1" applyAlignment="1">
      <x:alignment horizontal="right" vertical="center"/>
    </x:xf>
    <x:xf numFmtId="207" fontId="33" fillId="19" borderId="5" xfId="1" applyNumberFormat="1" applyFont="1" applyFill="1" applyBorder="1" applyAlignment="1">
      <x:alignment vertical="center"/>
    </x:xf>
    <x:xf numFmtId="207" fontId="33" fillId="21" borderId="5" xfId="1" applyNumberFormat="1" applyFont="1" applyFill="1" applyBorder="1" applyAlignment="1">
      <x:alignment vertical="center"/>
    </x:xf>
    <x:xf numFmtId="204" fontId="33" fillId="19" borderId="5" xfId="1" applyNumberFormat="1" applyFont="1" applyFill="1" applyBorder="1" applyAlignment="1">
      <x:alignment vertical="center"/>
    </x:xf>
    <x:xf numFmtId="204" fontId="33" fillId="21" borderId="5" xfId="1" applyNumberFormat="1" applyFont="1" applyFill="1" applyBorder="1" applyAlignment="1">
      <x:alignment vertical="center"/>
    </x:xf>
    <x:xf numFmtId="0" fontId="40" fillId="19" borderId="3" xfId="1" applyNumberFormat="1" applyFont="1" applyFill="1" applyBorder="1" applyAlignment="1">
      <x:alignment vertical="center"/>
    </x:xf>
    <x:xf numFmtId="0" fontId="40" fillId="23" borderId="3" xfId="1" applyNumberFormat="1" applyFont="1" applyFill="1" applyBorder="1" applyAlignment="1">
      <x:alignment vertical="center"/>
    </x:xf>
    <x:xf numFmtId="208" fontId="33" fillId="19" borderId="5" xfId="1" applyNumberFormat="1" applyFont="1" applyFill="1" applyBorder="1" applyAlignment="1">
      <x:alignment vertical="center"/>
    </x:xf>
    <x:xf numFmtId="208" fontId="33" fillId="21" borderId="5" xfId="1" applyNumberFormat="1" applyFont="1" applyFill="1" applyBorder="1" applyAlignment="1">
      <x:alignment vertical="center"/>
    </x:xf>
    <x:xf numFmtId="209" fontId="33" fillId="19" borderId="5" xfId="1" applyNumberFormat="1" applyFont="1" applyFill="1" applyBorder="1" applyAlignment="1">
      <x:alignment vertical="center"/>
    </x:xf>
    <x:xf numFmtId="209" fontId="33" fillId="21" borderId="5" xfId="1" applyNumberFormat="1" applyFont="1" applyFill="1" applyBorder="1" applyAlignment="1">
      <x:alignment vertical="center"/>
    </x:xf>
    <x:xf numFmtId="0" fontId="41" fillId="19" borderId="5" xfId="1" applyNumberFormat="1" applyFont="1" applyFill="1" applyBorder="1" applyAlignment="1">
      <x:alignment vertical="center"/>
    </x:xf>
    <x:xf numFmtId="0" fontId="41" fillId="21" borderId="5" xfId="1" applyNumberFormat="1" applyFont="1" applyFill="1" applyBorder="1" applyAlignment="1">
      <x:alignment vertical="center"/>
    </x:xf>
    <x:xf numFmtId="0" fontId="21" fillId="24" borderId="3" xfId="1" applyNumberFormat="1" applyFont="1" applyFill="1" applyBorder="1"/>
    <x:xf numFmtId="0" fontId="33" fillId="24" borderId="3" xfId="1" applyNumberFormat="1" applyFont="1" applyFill="1" applyBorder="1"/>
    <x:xf numFmtId="0" fontId="33" fillId="24" borderId="3" xfId="1" applyNumberFormat="1" applyFont="1" applyFill="1" applyBorder="1" applyAlignment="1">
      <x:alignment vertical="center"/>
    </x:xf>
    <x:xf numFmtId="0" fontId="34" fillId="24" borderId="3" xfId="1" applyNumberFormat="1" applyFont="1" applyFill="1" applyBorder="1" applyAlignment="1">
      <x:alignment vertical="center"/>
    </x:xf>
    <x:xf numFmtId="0" fontId="42" fillId="24" borderId="3" xfId="1" applyNumberFormat="1" applyFont="1" applyFill="1" applyBorder="1" applyAlignment="1">
      <x:alignment vertical="center"/>
    </x:xf>
    <x:xf numFmtId="0" fontId="33" fillId="25" borderId="3" xfId="1" applyNumberFormat="1" applyFont="1" applyFill="1" applyBorder="1" applyAlignment="1">
      <x:alignment vertical="center"/>
    </x:xf>
    <x:xf numFmtId="0" fontId="37" fillId="25" borderId="3" xfId="1" applyNumberFormat="1" applyFont="1" applyFill="1" applyBorder="1" applyAlignment="1">
      <x:alignment vertical="center"/>
    </x:xf>
    <x:xf numFmtId="0" fontId="37" fillId="25" borderId="3" xfId="1" applyNumberFormat="1" applyFont="1" applyFill="1" applyBorder="1" applyAlignment="1">
      <x:alignment vertical="center" wrapText="1"/>
    </x:xf>
    <x:xf numFmtId="0" fontId="37" fillId="25" borderId="3" xfId="1" applyNumberFormat="1" applyFont="1" applyFill="1" applyBorder="1" applyAlignment="1">
      <x:alignment horizontal="center" vertical="center" wrapText="1"/>
    </x:xf>
    <x:xf numFmtId="0" fontId="33" fillId="26" borderId="3" xfId="1" applyNumberFormat="1" applyFont="1" applyFill="1" applyBorder="1" applyAlignment="1">
      <x:alignment vertical="center"/>
    </x:xf>
    <x:xf numFmtId="0" fontId="33" fillId="26" borderId="5" xfId="1" applyNumberFormat="1" applyFont="1" applyFill="1" applyBorder="1" applyAlignment="1">
      <x:alignment vertical="center"/>
    </x:xf>
    <x:xf numFmtId="0" fontId="33" fillId="24" borderId="5" xfId="1" applyNumberFormat="1" applyFont="1" applyFill="1" applyBorder="1" applyAlignment="1">
      <x:alignment vertical="center"/>
    </x:xf>
    <x:xf numFmtId="0" fontId="33" fillId="27" borderId="5" xfId="1" applyNumberFormat="1" applyFont="1" applyFill="1" applyBorder="1" applyAlignment="1">
      <x:alignment vertical="center"/>
    </x:xf>
    <x:xf numFmtId="0" fontId="38" fillId="27" borderId="5" xfId="1" applyNumberFormat="1" applyFont="1" applyFill="1" applyBorder="1" applyAlignment="1">
      <x:alignment vertical="center"/>
    </x:xf>
    <x:xf numFmtId="0" fontId="38" fillId="27" borderId="5" xfId="1" applyNumberFormat="1" applyFont="1" applyFill="1" applyBorder="1" applyAlignment="1">
      <x:alignment horizontal="right" vertical="center"/>
    </x:xf>
    <x:xf numFmtId="204" fontId="38" fillId="27" borderId="5" xfId="1" applyNumberFormat="1" applyFont="1" applyFill="1" applyBorder="1" applyAlignment="1">
      <x:alignment horizontal="right" vertical="center"/>
    </x:xf>
    <x:xf numFmtId="206" fontId="38" fillId="27" borderId="5" xfId="1" applyNumberFormat="1" applyFont="1" applyFill="1" applyBorder="1" applyAlignment="1">
      <x:alignment horizontal="right" vertical="center"/>
    </x:xf>
    <x:xf numFmtId="206" fontId="33" fillId="26" borderId="5" xfId="1" applyNumberFormat="1" applyFont="1" applyFill="1" applyBorder="1" applyAlignment="1">
      <x:alignment vertical="center"/>
    </x:xf>
    <x:xf numFmtId="206" fontId="33" fillId="24" borderId="5" xfId="1" applyNumberFormat="1" applyFont="1" applyFill="1" applyBorder="1" applyAlignment="1">
      <x:alignment vertical="center"/>
    </x:xf>
    <x:xf numFmtId="0" fontId="40" fillId="24" borderId="3" xfId="1" applyNumberFormat="1" applyFont="1" applyFill="1" applyBorder="1" applyAlignment="1">
      <x:alignment vertical="center"/>
    </x:xf>
    <x:xf numFmtId="0" fontId="40" fillId="28" borderId="3" xfId="1" applyNumberFormat="1" applyFont="1" applyFill="1" applyBorder="1" applyAlignment="1">
      <x:alignment vertical="center"/>
    </x:xf>
    <x:xf numFmtId="0" fontId="43" fillId="24" borderId="3" xfId="1" applyNumberFormat="1" applyFont="1" applyFill="1" applyBorder="1" applyAlignment="1">
      <x:alignment vertical="center"/>
    </x:xf>
    <x:xf numFmtId="205" fontId="38" fillId="27" borderId="5" xfId="1" applyNumberFormat="1" applyFont="1" applyFill="1" applyBorder="1" applyAlignment="1">
      <x:alignment horizontal="right" vertical="center"/>
    </x:xf>
    <x:xf numFmtId="207" fontId="33" fillId="26" borderId="5" xfId="1" applyNumberFormat="1" applyFont="1" applyFill="1" applyBorder="1" applyAlignment="1">
      <x:alignment vertical="center"/>
    </x:xf>
    <x:xf numFmtId="207" fontId="33" fillId="24" borderId="5" xfId="1" applyNumberFormat="1" applyFont="1" applyFill="1" applyBorder="1" applyAlignment="1">
      <x:alignment vertical="center"/>
    </x:xf>
    <x:xf numFmtId="204" fontId="33" fillId="26" borderId="5" xfId="1" applyNumberFormat="1" applyFont="1" applyFill="1" applyBorder="1" applyAlignment="1">
      <x:alignment vertical="center"/>
    </x:xf>
    <x:xf numFmtId="204" fontId="33" fillId="24" borderId="5" xfId="1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708d853cea864c02"/><Relationship Type="http://schemas.openxmlformats.org/officeDocument/2006/relationships/theme" Target="/xl/theme/theme1.xml" Id="R21ee31283b134cd0"/><Relationship Type="http://schemas.openxmlformats.org/officeDocument/2006/relationships/sharedStrings" Target="/xl/sharedStrings.xml" Id="R7ed42bd35f164e2a"/><Relationship Type="http://schemas.openxmlformats.org/officeDocument/2006/relationships/worksheet" Target="/xl/worksheets/sheet1.xml" Id="R7ad68a839bc74dad"/><Relationship Type="http://schemas.openxmlformats.org/officeDocument/2006/relationships/worksheet" Target="/xl/worksheets/sheet2.xml" Id="R8c987114657e4a23"/><Relationship Type="http://schemas.openxmlformats.org/officeDocument/2006/relationships/worksheet" Target="/xl/worksheets/sheet3.xml" Id="R638dabceae96445b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898bb9120f452a" /><Relationship Type="http://schemas.openxmlformats.org/officeDocument/2006/relationships/chart" Target="/xl/drawings/charts/chart2.xml" Id="Rd9d865b4f4d340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 xmlns:a="http://schemas.openxmlformats.org/drawingml/2006/main">
              <a:srgbClr val="4472C4"/>
            </a:solidFill>
          </c:spPr>
          <c:invertIfNegative val="0"/>
          <c:cat>
            <c:strRef>
              <c:f>'Samples'!$B$23:$B$31</c:f>
              <c:strCache>
                <c:ptCount val="0"/>
              </c:strCache>
            </c:strRef>
          </c:cat>
          <c:val>
            <c:numRef>
              <c:f>'Samples'!$C$23:$C$31</c:f>
              <c:numCache>
                <c:formatCode>General</c:formatCode>
                <c:ptCount val="9"/>
              </c:numCache>
            </c:numRef>
          </c:val>
        </c:ser>
        <c:ser>
          <c:idx val="1"/>
          <c:order val="1"/>
          <c:tx>
            <c:v>Rear</c:v>
          </c:tx>
          <c:spPr>
            <a:solidFill xmlns:a="http://schemas.openxmlformats.org/drawingml/2006/main">
              <a:srgbClr val="ED7D31"/>
            </a:solidFill>
          </c:spPr>
          <c:invertIfNegative val="0"/>
          <c:cat>
            <c:strRef>
              <c:f>'Samples'!$B$23:$B$31</c:f>
              <c:strCache>
                <c:ptCount val="0"/>
              </c:strCache>
            </c:strRef>
          </c:cat>
          <c:val>
            <c:numRef>
              <c:f>'Samples'!$D$23:$D$31</c:f>
              <c:numCache>
                <c:formatCode>General</c:formatCode>
                <c:ptCount val="9"/>
              </c:numCache>
            </c:numRef>
          </c:val>
        </c:ser>
        <c:gapWidth val="7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 xmlns:a="http://schemas.openxmlformats.org/drawingml/2006/main">
              <a:srgbClr val="4472C4"/>
            </a:solidFill>
          </c:spPr>
          <c:invertIfNegative val="0"/>
          <c:cat>
            <c:strRef>
              <c:f>'Samples'!$B$36:$B$44</c:f>
              <c:strCache>
                <c:ptCount val="0"/>
              </c:strCache>
            </c:strRef>
          </c:cat>
          <c:val>
            <c:numRef>
              <c:f>'Samples'!$C$36:$C$44</c:f>
              <c:numCache>
                <c:formatCode>General</c:formatCode>
                <c:ptCount val="9"/>
              </c:numCache>
            </c:numRef>
          </c:val>
        </c:ser>
        <c:ser>
          <c:idx val="1"/>
          <c:order val="1"/>
          <c:tx>
            <c:v>Rear</c:v>
          </c:tx>
          <c:spPr>
            <a:solidFill xmlns:a="http://schemas.openxmlformats.org/drawingml/2006/main">
              <a:srgbClr val="ED7D31"/>
            </a:solidFill>
          </c:spPr>
          <c:invertIfNegative val="0"/>
          <c:cat>
            <c:strRef>
              <c:f>'Samples'!$B$36:$B$44</c:f>
              <c:strCache>
                <c:ptCount val="0"/>
              </c:strCache>
            </c:strRef>
          </c:cat>
          <c:val>
            <c:numRef>
              <c:f>'Samples'!$D$36:$D$44</c:f>
              <c:numCache>
                <c:formatCode>General</c:formatCode>
                <c:ptCount val="9"/>
              </c:numCache>
            </c:numRef>
          </c:val>
        </c:ser>
        <c:gapWidth val="7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898bb9120f452a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d865b4f4d340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2b943219264f84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/>
  </x:sheetViews>
  <x:sheetFormatPr defaultRowHeight="14.25"/>
  <x:cols>
    <x:col min="1" max="1" width="2.75" hidden="0" customWidth="1"/>
    <x:col min="2" max="14" width="10" customWidth="1"/>
    <x:col min="15" max="15" width="10.5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26" customHeight="1">
      <x:c r="A1" s="25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</x:row>
    <x:row r="2" ht="26" customHeight="1">
      <x:c r="A2" s="25"/>
      <x:c r="B2" s="26" t="str">
        <x:v>Astral · Anti-Roll Bar Stiffness</x:v>
      </x:c>
      <x:c r="C2" s="26" t="str">
        <x:v>Astral · Anti-Roll Bar Stiffness</x:v>
      </x:c>
      <x:c r="D2" s="26" t="str">
        <x:v>Astral · Anti-Roll Bar Stiffness</x:v>
      </x:c>
      <x:c r="E2" s="26" t="str">
        <x:v>Astral · Anti-Roll Bar Stiffness</x:v>
      </x:c>
      <x:c r="F2" s="26" t="str">
        <x:v>Astral · Anti-Roll Bar Stiffness</x:v>
      </x:c>
      <x:c r="G2" s="26" t="str">
        <x:v>Astral · Anti-Roll Bar Stiffness</x:v>
      </x:c>
      <x:c r="H2" s="26" t="str">
        <x:v>Astral · Anti-Roll Bar Stiffness</x:v>
      </x:c>
      <x:c r="I2" s="26" t="str">
        <x:v>Astral · Anti-Roll Bar Stiffness</x:v>
      </x:c>
      <x:c r="J2" s="26" t="str">
        <x:v>Astral · Anti-Roll Bar Stiffness</x:v>
      </x:c>
      <x:c r="K2" s="26" t="str">
        <x:v>Astral · Anti-Roll Bar Stiffness</x:v>
      </x:c>
      <x:c r="L2" s="26" t="str">
        <x:v>Astral · Anti-Roll Bar Stiffness</x:v>
      </x:c>
      <x:c r="M2" s="26" t="str">
        <x:v>Astral · Anti-Roll Bar Stiffness</x:v>
      </x:c>
      <x:c r="N2" s="26" t="str">
        <x:v>Astral · Anti-Roll Bar Stiffness</x:v>
      </x:c>
      <x:c r="O2" s="25"/>
    </x:row>
    <x:row r="3" ht="26" customHeight="1">
      <x:c r="A3" s="25"/>
      <x:c r="B3" s="26" t="str">
        <x:v>Astral · Anti-Roll Bar Stiffness</x:v>
      </x:c>
      <x:c r="C3" s="26" t="str">
        <x:v>Astral · Anti-Roll Bar Stiffness</x:v>
      </x:c>
      <x:c r="D3" s="26" t="str">
        <x:v>Astral · Anti-Roll Bar Stiffness</x:v>
      </x:c>
      <x:c r="E3" s="26" t="str">
        <x:v>Astral · Anti-Roll Bar Stiffness</x:v>
      </x:c>
      <x:c r="F3" s="26" t="str">
        <x:v>Astral · Anti-Roll Bar Stiffness</x:v>
      </x:c>
      <x:c r="G3" s="26" t="str">
        <x:v>Astral · Anti-Roll Bar Stiffness</x:v>
      </x:c>
      <x:c r="H3" s="26" t="str">
        <x:v>Astral · Anti-Roll Bar Stiffness</x:v>
      </x:c>
      <x:c r="I3" s="26" t="str">
        <x:v>Astral · Anti-Roll Bar Stiffness</x:v>
      </x:c>
      <x:c r="J3" s="26" t="str">
        <x:v>Astral · Anti-Roll Bar Stiffness</x:v>
      </x:c>
      <x:c r="K3" s="26" t="str">
        <x:v>Astral · Anti-Roll Bar Stiffness</x:v>
      </x:c>
      <x:c r="L3" s="26" t="str">
        <x:v>Astral · Anti-Roll Bar Stiffness</x:v>
      </x:c>
      <x:c r="M3" s="26" t="str">
        <x:v>Astral · Anti-Roll Bar Stiffness</x:v>
      </x:c>
      <x:c r="N3" s="26" t="str">
        <x:v>Astral · Anti-Roll Bar Stiffness</x:v>
      </x:c>
      <x:c r="O3" s="25"/>
    </x:row>
    <x:row r="4" ht="26" customHeight="1">
      <x:c r="A4" s="25"/>
      <x:c r="B4" s="27" t="str">
        <x:v>区间等效轮端刚度 · 整段角运动比 · 对侧轮固定</x:v>
      </x:c>
      <x:c r="C4" s="27" t="str">
        <x:v>区间等效轮端刚度 · 整段角运动比 · 对侧轮固定</x:v>
      </x:c>
      <x:c r="D4" s="27" t="str">
        <x:v>区间等效轮端刚度 · 整段角运动比 · 对侧轮固定</x:v>
      </x:c>
      <x:c r="E4" s="27" t="str">
        <x:v>区间等效轮端刚度 · 整段角运动比 · 对侧轮固定</x:v>
      </x:c>
      <x:c r="F4" s="27" t="str">
        <x:v>区间等效轮端刚度 · 整段角运动比 · 对侧轮固定</x:v>
      </x:c>
      <x:c r="G4" s="27" t="str">
        <x:v>区间等效轮端刚度 · 整段角运动比 · 对侧轮固定</x:v>
      </x:c>
      <x:c r="H4" s="27" t="str">
        <x:v>区间等效轮端刚度 · 整段角运动比 · 对侧轮固定</x:v>
      </x:c>
      <x:c r="I4" s="27" t="str">
        <x:v>区间等效轮端刚度 · 整段角运动比 · 对侧轮固定</x:v>
      </x:c>
      <x:c r="J4" s="27" t="str">
        <x:v>区间等效轮端刚度 · 整段角运动比 · 对侧轮固定</x:v>
      </x:c>
      <x:c r="K4" s="27" t="str">
        <x:v>区间等效轮端刚度 · 整段角运动比 · 对侧轮固定</x:v>
      </x:c>
      <x:c r="L4" s="27" t="str">
        <x:v>区间等效轮端刚度 · 整段角运动比 · 对侧轮固定</x:v>
      </x:c>
      <x:c r="M4" s="27" t="str">
        <x:v>区间等效轮端刚度 · 整段角运动比 · 对侧轮固定</x:v>
      </x:c>
      <x:c r="N4" s="27" t="str">
        <x:v>区间等效轮端刚度 · 整段角运动比 · 对侧轮固定</x:v>
      </x:c>
      <x:c r="O4" s="25"/>
    </x:row>
    <x:row r="5" ht="26" customHeight="1">
      <x:c r="A5" s="25"/>
      <x:c r="B5" s="28" t="str">
        <x:f>IF(COUNT(Samples!H6:J17)=0,"待补节点坐标；暂无刚度结果。","")</x:f>
        <x:v>待补节点坐标；暂无刚度结果。</x:v>
      </x:c>
      <x:c r="C5" s="28" t="str"/>
      <x:c r="D5" s="28" t="str"/>
      <x:c r="E5" s="28" t="str"/>
      <x:c r="F5" s="28" t="str"/>
      <x:c r="G5" s="28" t="str"/>
      <x:c r="H5" s="28" t="str"/>
      <x:c r="I5" s="28" t="str"/>
      <x:c r="J5" s="28" t="str"/>
      <x:c r="K5" s="28" t="str"/>
      <x:c r="L5" s="28" t="str"/>
      <x:c r="M5" s="28" t="str"/>
      <x:c r="N5" s="28" t="str"/>
      <x:c r="O5" s="25"/>
    </x:row>
    <x:row r="6" ht="26" customHeight="1">
      <x:c r="A6" s="25"/>
      <x:c r="B6" s="25"/>
      <x:c r="C6" s="25"/>
      <x:c r="D6" s="25"/>
      <x:c r="E6" s="25"/>
      <x:c r="F6" s="25"/>
      <x:c r="G6" s="25"/>
      <x:c r="H6" s="25"/>
      <x:c r="I6" s="25"/>
      <x:c r="J6" s="25"/>
      <x:c r="K6" s="25"/>
      <x:c r="L6" s="25"/>
      <x:c r="M6" s="25"/>
      <x:c r="N6" s="25"/>
      <x:c r="O6" s="25"/>
    </x:row>
    <x:row r="7" ht="26" customHeight="1">
      <x:c r="A7" s="25"/>
      <x:c r="B7" s="25"/>
      <x:c r="C7" s="25"/>
      <x:c r="D7" s="25"/>
      <x:c r="E7" s="25"/>
      <x:c r="F7" s="25"/>
      <x:c r="G7" s="25"/>
      <x:c r="H7" s="25"/>
      <x:c r="I7" s="25"/>
      <x:c r="J7" s="25"/>
      <x:c r="K7" s="25"/>
      <x:c r="L7" s="25"/>
      <x:c r="M7" s="25"/>
      <x:c r="N7" s="25"/>
      <x:c r="O7" s="25"/>
    </x:row>
    <x:row r="8" ht="26" customHeight="1">
      <x:c r="A8" s="25"/>
      <x:c r="B8" s="25"/>
      <x:c r="C8" s="25"/>
      <x:c r="D8" s="25"/>
      <x:c r="E8" s="25"/>
      <x:c r="F8" s="25"/>
      <x:c r="G8" s="25"/>
      <x:c r="H8" s="25"/>
      <x:c r="I8" s="25"/>
      <x:c r="J8" s="25"/>
      <x:c r="K8" s="25"/>
      <x:c r="L8" s="25"/>
      <x:c r="M8" s="25"/>
      <x:c r="N8" s="25"/>
      <x:c r="O8" s="25"/>
    </x:row>
    <x:row r="9" ht="26" customHeight="1">
      <x:c r="A9" s="25"/>
      <x:c r="B9" s="25"/>
      <x:c r="C9" s="25"/>
      <x:c r="D9" s="25"/>
      <x:c r="E9" s="25"/>
      <x:c r="F9" s="25"/>
      <x:c r="G9" s="25"/>
      <x:c r="H9" s="25"/>
      <x:c r="I9" s="25"/>
      <x:c r="J9" s="25"/>
      <x:c r="K9" s="25"/>
      <x:c r="L9" s="25"/>
      <x:c r="M9" s="25"/>
      <x:c r="N9" s="25"/>
      <x:c r="O9" s="25"/>
    </x:row>
    <x:row r="10" ht="26" customHeight="1">
      <x:c r="A10" s="25"/>
      <x:c r="B10" s="25"/>
      <x:c r="C10" s="25"/>
      <x:c r="D10" s="25"/>
      <x:c r="E10" s="25"/>
      <x:c r="F10" s="25"/>
      <x:c r="G10" s="25"/>
      <x:c r="H10" s="25"/>
      <x:c r="I10" s="25"/>
      <x:c r="J10" s="25"/>
      <x:c r="K10" s="25"/>
      <x:c r="L10" s="25"/>
      <x:c r="M10" s="25"/>
      <x:c r="N10" s="25"/>
      <x:c r="O10" s="25"/>
    </x:row>
    <x:row r="11" ht="26" customHeight="1">
      <x:c r="A11" s="25"/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  <x:c r="O11" s="25"/>
    </x:row>
    <x:row r="12" ht="26" customHeight="1">
      <x:c r="A12" s="25"/>
      <x:c r="B12" s="25"/>
      <x:c r="C12" s="25"/>
      <x:c r="D12" s="25"/>
      <x:c r="E12" s="25"/>
      <x:c r="F12" s="25"/>
      <x:c r="G12" s="25"/>
      <x:c r="H12" s="25"/>
      <x:c r="I12" s="25"/>
      <x:c r="J12" s="25"/>
      <x:c r="K12" s="25"/>
      <x:c r="L12" s="25"/>
      <x:c r="M12" s="25"/>
      <x:c r="N12" s="25"/>
      <x:c r="O12" s="25"/>
    </x:row>
    <x:row r="13" ht="26" customHeight="1">
      <x:c r="A13" s="25"/>
      <x:c r="B13" s="25"/>
      <x:c r="C13" s="25"/>
      <x:c r="D13" s="25"/>
      <x:c r="E13" s="25"/>
      <x:c r="F13" s="25"/>
      <x:c r="G13" s="25"/>
      <x:c r="H13" s="25"/>
      <x:c r="I13" s="25"/>
      <x:c r="J13" s="25"/>
      <x:c r="K13" s="25"/>
      <x:c r="L13" s="25"/>
      <x:c r="M13" s="25"/>
      <x:c r="N13" s="25"/>
      <x:c r="O13" s="25"/>
    </x:row>
    <x:row r="14" ht="26" customHeight="1">
      <x:c r="A14" s="25"/>
      <x:c r="B14" s="25"/>
      <x:c r="C14" s="25"/>
      <x:c r="D14" s="25"/>
      <x:c r="E14" s="25"/>
      <x:c r="F14" s="25"/>
      <x:c r="G14" s="25"/>
      <x:c r="H14" s="25"/>
      <x:c r="I14" s="25"/>
      <x:c r="J14" s="25"/>
      <x:c r="K14" s="25"/>
      <x:c r="L14" s="25"/>
      <x:c r="M14" s="25"/>
      <x:c r="N14" s="25"/>
      <x:c r="O14" s="25"/>
    </x:row>
    <x:row r="15" ht="26" customHeight="1">
      <x:c r="A15" s="25"/>
      <x:c r="B15" s="25"/>
      <x:c r="C15" s="25"/>
      <x:c r="D15" s="25"/>
      <x:c r="E15" s="25"/>
      <x:c r="F15" s="25"/>
      <x:c r="G15" s="25"/>
      <x:c r="H15" s="25"/>
      <x:c r="I15" s="25"/>
      <x:c r="J15" s="25"/>
      <x:c r="K15" s="25"/>
      <x:c r="L15" s="25"/>
      <x:c r="M15" s="25"/>
      <x:c r="N15" s="25"/>
      <x:c r="O15" s="25"/>
    </x:row>
    <x:row r="16" ht="26" customHeight="1">
      <x:c r="A16" s="25"/>
      <x:c r="B16" s="25"/>
      <x:c r="C16" s="25"/>
      <x:c r="D16" s="25"/>
      <x:c r="E16" s="25"/>
      <x:c r="F16" s="25"/>
      <x:c r="G16" s="25"/>
      <x:c r="H16" s="25"/>
      <x:c r="I16" s="25"/>
      <x:c r="J16" s="25"/>
      <x:c r="K16" s="25"/>
      <x:c r="L16" s="25"/>
      <x:c r="M16" s="25"/>
      <x:c r="N16" s="25"/>
      <x:c r="O16" s="25"/>
    </x:row>
    <x:row r="17" ht="26" customHeight="1">
      <x:c r="A17" s="25"/>
      <x:c r="B17" s="25"/>
      <x:c r="C17" s="25"/>
      <x:c r="D17" s="25"/>
      <x:c r="E17" s="25"/>
      <x:c r="F17" s="25"/>
      <x:c r="G17" s="25"/>
      <x:c r="H17" s="25"/>
      <x:c r="I17" s="25"/>
      <x:c r="J17" s="25"/>
      <x:c r="K17" s="25"/>
      <x:c r="L17" s="25"/>
      <x:c r="M17" s="25"/>
      <x:c r="N17" s="25"/>
      <x:c r="O17" s="25"/>
    </x:row>
    <x:row r="18" ht="26" customHeight="1">
      <x:c r="A18" s="25"/>
      <x:c r="B18" s="25"/>
      <x:c r="C18" s="25"/>
      <x:c r="D18" s="25"/>
      <x:c r="E18" s="25"/>
      <x:c r="F18" s="25"/>
      <x:c r="G18" s="25"/>
      <x:c r="H18" s="25"/>
      <x:c r="I18" s="25"/>
      <x:c r="J18" s="25"/>
      <x:c r="K18" s="25"/>
      <x:c r="L18" s="25"/>
      <x:c r="M18" s="25"/>
      <x:c r="N18" s="25"/>
      <x:c r="O18" s="25"/>
    </x:row>
    <x:row r="19" ht="26" customHeight="1">
      <x:c r="A19" s="25"/>
      <x:c r="B19" s="25"/>
      <x:c r="C19" s="25"/>
      <x:c r="D19" s="25"/>
      <x:c r="E19" s="25"/>
      <x:c r="F19" s="25"/>
      <x:c r="G19" s="25"/>
      <x:c r="H19" s="25"/>
      <x:c r="I19" s="25"/>
      <x:c r="J19" s="25"/>
      <x:c r="K19" s="25"/>
      <x:c r="L19" s="25"/>
      <x:c r="M19" s="25"/>
      <x:c r="N19" s="25"/>
      <x:c r="O19" s="25"/>
    </x:row>
    <x:row r="20" ht="26" customHeight="1">
      <x:c r="A20" s="25"/>
      <x:c r="B20" s="25"/>
      <x:c r="C20" s="25"/>
      <x:c r="D20" s="25"/>
      <x:c r="E20" s="25"/>
      <x:c r="F20" s="25"/>
      <x:c r="G20" s="25"/>
      <x:c r="H20" s="25"/>
      <x:c r="I20" s="25"/>
      <x:c r="J20" s="25"/>
      <x:c r="K20" s="25"/>
      <x:c r="L20" s="25"/>
      <x:c r="M20" s="25"/>
      <x:c r="N20" s="25"/>
      <x:c r="O20" s="25"/>
    </x:row>
    <x:row r="21" ht="26" customHeight="1">
      <x:c r="A21" s="25"/>
      <x:c r="B21" s="25"/>
      <x:c r="C21" s="25"/>
      <x:c r="D21" s="25"/>
      <x:c r="E21" s="25"/>
      <x:c r="F21" s="25"/>
      <x:c r="G21" s="25"/>
      <x:c r="H21" s="25"/>
      <x:c r="I21" s="25"/>
      <x:c r="J21" s="25"/>
      <x:c r="K21" s="25"/>
      <x:c r="L21" s="25"/>
      <x:c r="M21" s="25"/>
      <x:c r="N21" s="25"/>
      <x:c r="O21" s="25"/>
    </x:row>
    <x:row r="22" ht="26" customHeight="1">
      <x:c r="A22" s="25"/>
      <x:c r="B22" s="25"/>
      <x:c r="C22" s="25"/>
      <x:c r="D22" s="25"/>
      <x:c r="E22" s="25"/>
      <x:c r="F22" s="25"/>
      <x:c r="G22" s="25"/>
      <x:c r="H22" s="25"/>
      <x:c r="I22" s="25"/>
      <x:c r="J22" s="25"/>
      <x:c r="K22" s="25"/>
      <x:c r="L22" s="25"/>
      <x:c r="M22" s="25"/>
      <x:c r="N22" s="25"/>
      <x:c r="O22" s="25"/>
    </x:row>
    <x:row r="23" ht="26" customHeight="1">
      <x:c r="A23" s="25"/>
      <x:c r="B23" s="25"/>
      <x:c r="C23" s="25"/>
      <x:c r="D23" s="25"/>
      <x:c r="E23" s="25"/>
      <x:c r="F23" s="25"/>
      <x:c r="G23" s="25"/>
      <x:c r="H23" s="25"/>
      <x:c r="I23" s="25"/>
      <x:c r="J23" s="25"/>
      <x:c r="K23" s="25"/>
      <x:c r="L23" s="25"/>
      <x:c r="M23" s="25"/>
      <x:c r="N23" s="25"/>
      <x:c r="O23" s="25"/>
    </x:row>
    <x:row r="24" ht="26" customHeight="1">
      <x:c r="A24" s="25"/>
      <x:c r="B24" s="25"/>
      <x:c r="C24" s="25"/>
      <x:c r="D24" s="25"/>
      <x:c r="E24" s="25"/>
      <x:c r="F24" s="25"/>
      <x:c r="G24" s="25"/>
      <x:c r="H24" s="25"/>
      <x:c r="I24" s="25"/>
      <x:c r="J24" s="25"/>
      <x:c r="K24" s="25"/>
      <x:c r="L24" s="25"/>
      <x:c r="M24" s="25"/>
      <x:c r="N24" s="25"/>
      <x:c r="O24" s="25"/>
    </x:row>
    <x:row r="25" ht="26" customHeight="1">
      <x:c r="A25" s="25"/>
      <x:c r="B25" s="25"/>
      <x:c r="C25" s="25"/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5"/>
      <x:c r="O25" s="25"/>
    </x:row>
    <x:row r="26" ht="26" customHeight="1">
      <x:c r="A26" s="25"/>
      <x:c r="B26" s="25"/>
      <x:c r="C26" s="25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  <x:c r="N26" s="25"/>
      <x:c r="O26" s="25"/>
    </x:row>
    <x:row r="27" ht="26" customHeight="1">
      <x:c r="A27" s="25"/>
      <x:c r="B27" s="25"/>
      <x:c r="C27" s="25"/>
      <x:c r="D27" s="25"/>
      <x:c r="E27" s="25"/>
      <x:c r="F27" s="25"/>
      <x:c r="G27" s="25"/>
      <x:c r="H27" s="25"/>
      <x:c r="I27" s="25"/>
      <x:c r="J27" s="25"/>
      <x:c r="K27" s="25"/>
      <x:c r="L27" s="25"/>
      <x:c r="M27" s="25"/>
      <x:c r="N27" s="25"/>
      <x:c r="O27" s="25"/>
    </x:row>
    <x:row r="28" ht="26" customHeight="1">
      <x:c r="A28" s="25"/>
      <x:c r="B28" s="25"/>
      <x:c r="C28" s="25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25"/>
    </x:row>
    <x:row r="29" ht="26" customHeight="1">
      <x:c r="A29" s="25"/>
      <x:c r="B29" s="25"/>
      <x:c r="C29" s="25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25"/>
    </x:row>
    <x:row r="30" ht="26" customHeight="1">
      <x:c r="A30" s="25"/>
      <x:c r="B30" s="25"/>
      <x:c r="C30" s="25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  <x:c r="O30" s="25"/>
    </x:row>
    <x:row r="31" ht="26" customHeight="1">
      <x:c r="A31" s="25"/>
      <x:c r="B31" s="25"/>
      <x:c r="C31" s="25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  <x:c r="O31" s="25"/>
    </x:row>
    <x:row r="32" ht="26" customHeight="1">
      <x:c r="A32" s="25"/>
      <x:c r="B32" s="25"/>
      <x:c r="C32" s="25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 s="25"/>
      <x:c r="O32" s="25"/>
    </x:row>
    <x:row r="33" ht="26" customHeight="1">
      <x:c r="A33" s="25"/>
      <x:c r="B33" s="25"/>
      <x:c r="C33" s="25"/>
      <x:c r="D33" s="25"/>
      <x:c r="E33" s="25"/>
      <x:c r="F33" s="25"/>
      <x:c r="G33" s="25"/>
      <x:c r="H33" s="25"/>
      <x:c r="I33" s="25"/>
      <x:c r="J33" s="25"/>
      <x:c r="K33" s="25"/>
      <x:c r="L33" s="25"/>
      <x:c r="M33" s="25"/>
      <x:c r="N33" s="25"/>
      <x:c r="O33" s="25"/>
    </x:row>
    <x:row r="34" ht="26" customHeight="1">
      <x:c r="A34" s="25"/>
      <x:c r="B34" s="25"/>
      <x:c r="C34" s="25"/>
      <x:c r="D34" s="25"/>
      <x:c r="E34" s="25"/>
      <x:c r="F34" s="25"/>
      <x:c r="G34" s="25"/>
      <x:c r="H34" s="25"/>
      <x:c r="I34" s="25"/>
      <x:c r="J34" s="25"/>
      <x:c r="K34" s="25"/>
      <x:c r="L34" s="25"/>
      <x:c r="M34" s="25"/>
      <x:c r="N34" s="25"/>
      <x:c r="O34" s="25"/>
    </x:row>
    <x:row r="35" ht="26" customHeight="1">
      <x:c r="A35" s="25"/>
      <x:c r="B35" s="25"/>
      <x:c r="C35" s="25"/>
      <x:c r="D35" s="25"/>
      <x:c r="E35" s="25"/>
      <x:c r="F35" s="25"/>
      <x:c r="G35" s="25"/>
      <x:c r="H35" s="25"/>
      <x:c r="I35" s="25"/>
      <x:c r="J35" s="25"/>
      <x:c r="K35" s="25"/>
      <x:c r="L35" s="25"/>
      <x:c r="M35" s="25"/>
      <x:c r="N35" s="25"/>
      <x:c r="O35" s="25"/>
    </x:row>
    <x:row r="36" ht="26" customHeight="1">
      <x:c r="A36" s="25"/>
      <x:c r="B36" s="25"/>
      <x:c r="C36" s="25"/>
      <x:c r="D36" s="25"/>
      <x:c r="E36" s="25"/>
      <x:c r="F36" s="25"/>
      <x:c r="G36" s="25"/>
      <x:c r="H36" s="25"/>
      <x:c r="I36" s="25"/>
      <x:c r="J36" s="25"/>
      <x:c r="K36" s="25"/>
      <x:c r="L36" s="25"/>
      <x:c r="M36" s="25"/>
      <x:c r="N36" s="25"/>
      <x:c r="O36" s="25"/>
    </x:row>
    <x:row r="37" ht="26" customHeight="1">
      <x:c r="A37" s="25"/>
      <x:c r="B37" s="25"/>
      <x:c r="C37" s="25"/>
      <x:c r="D37" s="25"/>
      <x:c r="E37" s="25"/>
      <x:c r="F37" s="25"/>
      <x:c r="G37" s="25"/>
      <x:c r="H37" s="25"/>
      <x:c r="I37" s="25"/>
      <x:c r="J37" s="25"/>
      <x:c r="K37" s="25"/>
      <x:c r="L37" s="25"/>
      <x:c r="M37" s="25"/>
      <x:c r="N37" s="25"/>
      <x:c r="O37" s="25"/>
    </x:row>
    <x:row r="38" ht="26" customHeight="1">
      <x:c r="A38" s="25"/>
      <x:c r="B38" s="25"/>
      <x:c r="C38" s="25"/>
      <x:c r="D38" s="25"/>
      <x:c r="E38" s="25"/>
      <x:c r="F38" s="25"/>
      <x:c r="G38" s="25"/>
      <x:c r="H38" s="25"/>
      <x:c r="I38" s="25"/>
      <x:c r="J38" s="25"/>
      <x:c r="K38" s="25"/>
      <x:c r="L38" s="25"/>
      <x:c r="M38" s="25"/>
      <x:c r="N38" s="25"/>
      <x:c r="O38" s="25"/>
    </x:row>
    <x:row r="39" ht="26" customHeight="1">
      <x:c r="A39" s="25"/>
      <x:c r="B39" s="25"/>
      <x:c r="C39" s="25"/>
      <x:c r="D39" s="25"/>
      <x:c r="E39" s="25"/>
      <x:c r="F39" s="25"/>
      <x:c r="G39" s="25"/>
      <x:c r="H39" s="25"/>
      <x:c r="I39" s="25"/>
      <x:c r="J39" s="25"/>
      <x:c r="K39" s="25"/>
      <x:c r="L39" s="25"/>
      <x:c r="M39" s="25"/>
      <x:c r="N39" s="25"/>
      <x:c r="O39" s="25"/>
    </x:row>
    <x:row r="40" ht="26" customHeight="1">
      <x:c r="A40" s="25"/>
      <x:c r="B40" s="25"/>
      <x:c r="C40" s="25"/>
      <x:c r="D40" s="25"/>
      <x:c r="E40" s="25"/>
      <x:c r="F40" s="25"/>
      <x:c r="G40" s="25"/>
      <x:c r="H40" s="25"/>
      <x:c r="I40" s="25"/>
      <x:c r="J40" s="25"/>
      <x:c r="K40" s="25"/>
      <x:c r="L40" s="25"/>
      <x:c r="M40" s="25"/>
      <x:c r="N40" s="25"/>
      <x:c r="O40" s="25"/>
    </x:row>
    <x:row r="41" ht="26" customHeight="1">
      <x:c r="A41" s="25"/>
      <x:c r="B41" s="25"/>
      <x:c r="C41" s="25"/>
      <x:c r="D41" s="25"/>
      <x:c r="E41" s="25"/>
      <x:c r="F41" s="25"/>
      <x:c r="G41" s="25"/>
      <x:c r="H41" s="25"/>
      <x:c r="I41" s="25"/>
      <x:c r="J41" s="25"/>
      <x:c r="K41" s="25"/>
      <x:c r="L41" s="25"/>
      <x:c r="M41" s="25"/>
      <x:c r="N41" s="25"/>
      <x:c r="O41" s="25"/>
    </x:row>
    <x:row r="42" ht="26" customHeight="1">
      <x:c r="A42" s="25"/>
      <x:c r="B42" s="25"/>
      <x:c r="C42" s="25"/>
      <x:c r="D42" s="25"/>
      <x:c r="E42" s="25"/>
      <x:c r="F42" s="25"/>
      <x:c r="G42" s="25"/>
      <x:c r="H42" s="25"/>
      <x:c r="I42" s="25"/>
      <x:c r="J42" s="25"/>
      <x:c r="K42" s="25"/>
      <x:c r="L42" s="25"/>
      <x:c r="M42" s="25"/>
      <x:c r="N42" s="25"/>
      <x:c r="O42" s="25"/>
    </x:row>
    <x:row r="43" ht="26" customHeight="1">
      <x:c r="A43" s="25"/>
      <x:c r="B43" s="25"/>
      <x:c r="C43" s="25"/>
      <x:c r="D43" s="25"/>
      <x:c r="E43" s="25"/>
      <x:c r="F43" s="25"/>
      <x:c r="G43" s="25"/>
      <x:c r="H43" s="25"/>
      <x:c r="I43" s="25"/>
      <x:c r="J43" s="25"/>
      <x:c r="K43" s="25"/>
      <x:c r="L43" s="25"/>
      <x:c r="M43" s="25"/>
      <x:c r="N43" s="25"/>
      <x:c r="O43" s="25"/>
    </x:row>
    <x:row r="44" ht="26" customHeight="1">
      <x:c r="A44" s="25"/>
      <x:c r="B44" s="25"/>
      <x:c r="C44" s="25"/>
      <x:c r="D44" s="25"/>
      <x:c r="E44" s="25"/>
      <x:c r="F44" s="25"/>
      <x:c r="G44" s="25"/>
      <x:c r="H44" s="25"/>
      <x:c r="I44" s="25"/>
      <x:c r="J44" s="25"/>
      <x:c r="K44" s="25"/>
      <x:c r="L44" s="25"/>
      <x:c r="M44" s="25"/>
      <x:c r="N44" s="25"/>
      <x:c r="O44" s="25"/>
    </x:row>
    <x:row r="45" ht="26" customHeight="1">
      <x:c r="A45" s="25"/>
      <x:c r="B45" s="25"/>
      <x:c r="C45" s="25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 s="25"/>
      <x:c r="O45" s="25"/>
    </x:row>
    <x:row r="46" ht="26" customHeight="1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  <x:c r="O46" s="25"/>
    </x:row>
    <x:row r="47" ht="26" customHeight="1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  <x:c r="O47" s="25"/>
    </x:row>
    <x:row r="48" ht="26" customHeight="1">
      <x:c r="A48" s="25"/>
      <x:c r="B48" s="25"/>
      <x:c r="C48" s="25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 s="25"/>
      <x:c r="O48" s="25"/>
    </x:row>
    <x:row r="49" ht="26" customHeight="1">
      <x:c r="A49" s="25"/>
      <x:c r="B49" s="28" t="str">
        <x:v>整段角运动比换算值；不代表行程内每一位置的瞬时刚度。</x:v>
      </x:c>
      <x:c r="C49" s="28" t="str">
        <x:v>整段角运动比换算值；不代表行程内每一位置的瞬时刚度。</x:v>
      </x:c>
      <x:c r="D49" s="28" t="str">
        <x:v>整段角运动比换算值；不代表行程内每一位置的瞬时刚度。</x:v>
      </x:c>
      <x:c r="E49" s="28" t="str">
        <x:v>整段角运动比换算值；不代表行程内每一位置的瞬时刚度。</x:v>
      </x:c>
      <x:c r="F49" s="28" t="str">
        <x:v>整段角运动比换算值；不代表行程内每一位置的瞬时刚度。</x:v>
      </x:c>
      <x:c r="G49" s="28" t="str">
        <x:v>整段角运动比换算值；不代表行程内每一位置的瞬时刚度。</x:v>
      </x:c>
      <x:c r="H49" s="28" t="str">
        <x:v>整段角运动比换算值；不代表行程内每一位置的瞬时刚度。</x:v>
      </x:c>
      <x:c r="I49" s="28" t="str">
        <x:v>整段角运动比换算值；不代表行程内每一位置的瞬时刚度。</x:v>
      </x:c>
      <x:c r="J49" s="28" t="str">
        <x:v>整段角运动比换算值；不代表行程内每一位置的瞬时刚度。</x:v>
      </x:c>
      <x:c r="K49" s="28" t="str">
        <x:v>整段角运动比换算值；不代表行程内每一位置的瞬时刚度。</x:v>
      </x:c>
      <x:c r="L49" s="28" t="str">
        <x:v>整段角运动比换算值；不代表行程内每一位置的瞬时刚度。</x:v>
      </x:c>
      <x:c r="M49" s="28" t="str">
        <x:v>整段角运动比换算值；不代表行程内每一位置的瞬时刚度。</x:v>
      </x:c>
      <x:c r="N49" s="28" t="str">
        <x:v>整段角运动比换算值；不代表行程内每一位置的瞬时刚度。</x:v>
      </x:c>
      <x:c r="O49" s="25"/>
    </x:row>
  </x:sheetData>
  <x:mergeCells>
    <x:mergeCell ref="B2:N3"/>
    <x:mergeCell ref="B4:N4"/>
    <x:mergeCell ref="B5:N5"/>
    <x:mergeCell ref="B49:N49"/>
  </x:mergeCells>
  <x:pageMargins left="0.7" right="0.7" top="0.75" bottom="0.75" header="0.3" footer="0.3"/>
  <x:drawing xmlns:r="http://schemas.openxmlformats.org/officeDocument/2006/relationships" r:id="Rcc2b943219264f84"/>
</x:worksheet>
</file>

<file path=xl/worksheets/sheet2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2.75" hidden="0" customWidth="1"/>
    <x:col min="2" max="2" width="13.5" hidden="0" customWidth="1"/>
    <x:col min="3" max="3" width="13.75" hidden="0" customWidth="1"/>
    <x:col min="4" max="4" width="15.5" hidden="0" customWidth="1"/>
    <x:col min="5" max="7" width="18.5" customWidth="1"/>
    <x:col min="8" max="8" width="15.630000114440918" hidden="0" customWidth="1"/>
    <x:col min="9" max="9" width="15.630000114440918" hidden="0" customWidth="1"/>
    <x:col min="10" max="14" width="10" customWidth="1"/>
    <x:col min="15" max="15" width="10.5" customWidth="1"/>
    <x:col min="5" max="5" width="18.1299991607666" hidden="0" customWidth="1"/>
    <x:col min="6" max="6" width="16.5" hidden="0" customWidth="1"/>
    <x:col min="7" max="7" width="16.5" hidden="0" customWidth="1"/>
    <x:col min="10" max="10" width="2.75" hidden="0" customWidth="1"/>
  </x:cols>
  <x:sheetData>
    <x:row r="1" ht="27" customHeight="1">
      <x:c r="A1" s="126"/>
      <x:c r="B1" s="126"/>
      <x:c r="C1" s="126"/>
      <x:c r="D1" s="126"/>
      <x:c r="E1" s="126"/>
      <x:c r="F1" s="126"/>
      <x:c r="G1" s="126"/>
      <x:c r="H1" s="126"/>
      <x:c r="I1" s="126"/>
      <x:c r="J1" s="126"/>
    </x:row>
    <x:row r="2" ht="27" customHeight="1">
      <x:c r="A2" s="126"/>
      <x:c r="B2" s="127" t="str">
        <x:v>Astral · ARB Parameters</x:v>
      </x:c>
      <x:c r="C2" s="127" t="str">
        <x:v>Astral · ARB Parameters</x:v>
      </x:c>
      <x:c r="D2" s="127" t="str">
        <x:v>Astral · ARB Parameters</x:v>
      </x:c>
      <x:c r="E2" s="127" t="str">
        <x:v>Astral · ARB Parameters</x:v>
      </x:c>
      <x:c r="F2" s="127" t="str">
        <x:v>Astral · ARB Parameters</x:v>
      </x:c>
      <x:c r="G2" s="127" t="str">
        <x:v>Astral · ARB Parameters</x:v>
      </x:c>
      <x:c r="H2" s="127" t="str">
        <x:v>Astral · ARB Parameters</x:v>
      </x:c>
      <x:c r="I2" s="127" t="str">
        <x:v>Astral · ARB Parameters</x:v>
      </x:c>
      <x:c r="J2" s="126"/>
    </x:row>
    <x:row r="3" ht="27" customHeight="1">
      <x:c r="A3" s="126"/>
      <x:c r="B3" s="127" t="str">
        <x:v>Astral · ARB Parameters</x:v>
      </x:c>
      <x:c r="C3" s="127" t="str">
        <x:v>Astral · ARB Parameters</x:v>
      </x:c>
      <x:c r="D3" s="127" t="str">
        <x:v>Astral · ARB Parameters</x:v>
      </x:c>
      <x:c r="E3" s="127" t="str">
        <x:v>Astral · ARB Parameters</x:v>
      </x:c>
      <x:c r="F3" s="127" t="str">
        <x:v>Astral · ARB Parameters</x:v>
      </x:c>
      <x:c r="G3" s="127" t="str">
        <x:v>Astral · ARB Parameters</x:v>
      </x:c>
      <x:c r="H3" s="127" t="str">
        <x:v>Astral · ARB Parameters</x:v>
      </x:c>
      <x:c r="I3" s="127" t="str">
        <x:v>Astral · ARB Parameters</x:v>
      </x:c>
      <x:c r="J3" s="126"/>
    </x:row>
    <x:row r="4" ht="27" customHeight="1">
      <x:c r="A4" s="126"/>
      <x:c r="B4" s="128" t="str">
        <x:v>黄色单元格为手动输入。</x:v>
      </x:c>
      <x:c r="C4" s="128" t="str">
        <x:v>黄色单元格为手动输入。</x:v>
      </x:c>
      <x:c r="D4" s="128" t="str">
        <x:v>黄色单元格为手动输入。</x:v>
      </x:c>
      <x:c r="E4" s="128" t="str">
        <x:v>黄色单元格为手动输入。</x:v>
      </x:c>
      <x:c r="F4" s="128" t="str">
        <x:v>黄色单元格为手动输入。</x:v>
      </x:c>
      <x:c r="G4" s="128" t="str">
        <x:v>黄色单元格为手动输入。</x:v>
      </x:c>
      <x:c r="H4" s="128" t="str">
        <x:v>黄色单元格为手动输入。</x:v>
      </x:c>
      <x:c r="I4" s="128" t="str">
        <x:v>黄色单元格为手动输入。</x:v>
      </x:c>
      <x:c r="J4" s="126"/>
    </x:row>
    <x:row r="5" ht="27" customHeight="1">
      <x:c r="A5" s="126"/>
      <x:c r="B5" s="126"/>
      <x:c r="C5" s="126"/>
      <x:c r="D5" s="126"/>
      <x:c r="E5" s="126"/>
      <x:c r="F5" s="126"/>
      <x:c r="G5" s="126"/>
      <x:c r="H5" s="126"/>
      <x:c r="I5" s="126"/>
      <x:c r="J5" s="126"/>
    </x:row>
    <x:row r="6" ht="42" customHeight="1">
      <x:c r="A6" s="126"/>
      <x:c r="B6" s="132" t="str">
        <x:v>Axle</x:v>
      </x:c>
      <x:c r="C6" s="132" t="str">
        <x:v>Bar</x:v>
      </x:c>
      <x:c r="D6" s="132" t="str">
        <x:v>Diameter
(mm)</x:v>
      </x:c>
      <x:c r="E6" s="132" t="str">
        <x:v>Torsion
(N·m/rad)</x:v>
      </x:c>
      <x:c r="F6" s="126"/>
      <x:c r="G6" s="126"/>
      <x:c r="H6" s="126"/>
      <x:c r="I6" s="126"/>
      <x:c r="J6" s="126"/>
    </x:row>
    <x:row r="7" ht="27" customHeight="1">
      <x:c r="A7" s="126"/>
      <x:c r="B7" s="134" t="str">
        <x:v>Front</x:v>
      </x:c>
      <x:c r="C7" s="134" t="str">
        <x:v>Soft</x:v>
      </x:c>
      <x:c r="D7" s="139" t="n">
        <x:v>14.6</x:v>
      </x:c>
      <x:c r="E7" s="141">
        <x:f>$E$8*(D7/$D$8)^4</x:f>
        <x:v>941.4063685268464</x:v>
      </x:c>
      <x:c r="F7" s="126"/>
      <x:c r="G7" s="126"/>
      <x:c r="H7" s="126"/>
      <x:c r="I7" s="126"/>
      <x:c r="J7" s="126"/>
    </x:row>
    <x:row r="8" ht="27" customHeight="1">
      <x:c r="A8" s="126"/>
      <x:c r="B8" s="135" t="str">
        <x:v>Front</x:v>
      </x:c>
      <x:c r="C8" s="135" t="str">
        <x:v>Medium</x:v>
      </x:c>
      <x:c r="D8" s="139" t="n">
        <x:v>17.6</x:v>
      </x:c>
      <x:c r="E8" s="140" t="n">
        <x:v>1988</x:v>
      </x:c>
      <x:c r="F8" s="126"/>
      <x:c r="G8" s="126"/>
      <x:c r="H8" s="126"/>
      <x:c r="I8" s="126"/>
      <x:c r="J8" s="126"/>
    </x:row>
    <x:row r="9" ht="27" customHeight="1">
      <x:c r="A9" s="126"/>
      <x:c r="B9" s="134" t="str">
        <x:v>Front</x:v>
      </x:c>
      <x:c r="C9" s="134" t="str">
        <x:v>Hard</x:v>
      </x:c>
      <x:c r="D9" s="139" t="n">
        <x:v>20.5</x:v>
      </x:c>
      <x:c r="E9" s="141">
        <x:f>$E$8*(D9/$D$8)^4</x:f>
        <x:v>3659.1579207191103</x:v>
      </x:c>
      <x:c r="F9" s="126"/>
      <x:c r="G9" s="126"/>
      <x:c r="H9" s="126"/>
      <x:c r="I9" s="126"/>
      <x:c r="J9" s="126"/>
    </x:row>
    <x:row r="10" ht="27" customHeight="1">
      <x:c r="A10" s="126"/>
      <x:c r="B10" s="135" t="str">
        <x:v>Rear</x:v>
      </x:c>
      <x:c r="C10" s="135" t="str">
        <x:v>Soft</x:v>
      </x:c>
      <x:c r="D10" s="139" t="n">
        <x:v>16.2</x:v>
      </x:c>
      <x:c r="E10" s="142">
        <x:f>$E$11*(D10/$D$11)^4</x:f>
        <x:v>1429.067440624532</x:v>
      </x:c>
      <x:c r="F10" s="126"/>
      <x:c r="G10" s="126"/>
      <x:c r="H10" s="126"/>
      <x:c r="I10" s="126"/>
      <x:c r="J10" s="126"/>
    </x:row>
    <x:row r="11" ht="27" customHeight="1">
      <x:c r="A11" s="126"/>
      <x:c r="B11" s="134" t="str">
        <x:v>Rear</x:v>
      </x:c>
      <x:c r="C11" s="134" t="str">
        <x:v>Medium</x:v>
      </x:c>
      <x:c r="D11" s="139" t="n">
        <x:v>19.4</x:v>
      </x:c>
      <x:c r="E11" s="140" t="n">
        <x:v>2939</x:v>
      </x:c>
      <x:c r="F11" s="126"/>
      <x:c r="G11" s="126"/>
      <x:c r="H11" s="126"/>
      <x:c r="I11" s="126"/>
      <x:c r="J11" s="126"/>
    </x:row>
    <x:row r="12" ht="27" customHeight="1">
      <x:c r="A12" s="126"/>
      <x:c r="B12" s="135" t="str">
        <x:v>Rear</x:v>
      </x:c>
      <x:c r="C12" s="135" t="str">
        <x:v>Hard</x:v>
      </x:c>
      <x:c r="D12" s="139" t="n">
        <x:v>22.1</x:v>
      </x:c>
      <x:c r="E12" s="142">
        <x:f>$E$11*(D12/$D$11)^4</x:f>
        <x:v>4949.504929094451</x:v>
      </x:c>
      <x:c r="F12" s="126"/>
      <x:c r="G12" s="126"/>
      <x:c r="H12" s="126"/>
      <x:c r="I12" s="126"/>
      <x:c r="J12" s="126"/>
    </x:row>
    <x:row r="13" ht="27" customHeight="1">
      <x:c r="A13" s="126"/>
      <x:c r="B13" s="126"/>
      <x:c r="C13" s="126"/>
      <x:c r="D13" s="126"/>
      <x:c r="E13" s="126"/>
      <x:c r="F13" s="126"/>
      <x:c r="G13" s="126"/>
      <x:c r="H13" s="126"/>
      <x:c r="I13" s="126"/>
      <x:c r="J13" s="126"/>
    </x:row>
    <x:row r="14" ht="27" customHeight="1">
      <x:c r="A14" s="126"/>
      <x:c r="B14" s="144" t="str">
        <x:v>固定几何 · 生成位置 / 转轴</x:v>
      </x:c>
      <x:c r="C14" s="144" t="str">
        <x:v>固定几何 · 生成位置 / 转轴</x:v>
      </x:c>
      <x:c r="D14" s="144" t="str">
        <x:v>固定几何 · 生成位置 / 转轴</x:v>
      </x:c>
      <x:c r="E14" s="144" t="str">
        <x:v>固定几何 · 生成位置 / 转轴</x:v>
      </x:c>
      <x:c r="F14" s="144" t="str">
        <x:v>固定几何 · 生成位置 / 转轴</x:v>
      </x:c>
      <x:c r="G14" s="144" t="str">
        <x:v>固定几何 · 生成位置 / 转轴</x:v>
      </x:c>
      <x:c r="H14" s="144" t="str">
        <x:v>固定几何 · 生成位置 / 转轴</x:v>
      </x:c>
      <x:c r="I14" s="144" t="str">
        <x:v>固定几何 · 生成位置 / 转轴</x:v>
      </x:c>
      <x:c r="J14" s="126"/>
    </x:row>
    <x:row r="15" ht="27" customHeight="1">
      <x:c r="A15" s="126"/>
      <x:c r="B15" s="145" t="str">
        <x:v>节点使用车身相对坐标（m）；旋转半径按 Y/Z 计算。</x:v>
      </x:c>
      <x:c r="C15" s="145" t="str">
        <x:v>节点使用车身相对坐标（m）；旋转半径按 Y/Z 计算。</x:v>
      </x:c>
      <x:c r="D15" s="145" t="str">
        <x:v>节点使用车身相对坐标（m）；旋转半径按 Y/Z 计算。</x:v>
      </x:c>
      <x:c r="E15" s="145" t="str">
        <x:v>节点使用车身相对坐标（m）；旋转半径按 Y/Z 计算。</x:v>
      </x:c>
      <x:c r="F15" s="145" t="str">
        <x:v>节点使用车身相对坐标（m）；旋转半径按 Y/Z 计算。</x:v>
      </x:c>
      <x:c r="G15" s="145" t="str">
        <x:v>节点使用车身相对坐标（m）；旋转半径按 Y/Z 计算。</x:v>
      </x:c>
      <x:c r="H15" s="145" t="str">
        <x:v>节点使用车身相对坐标（m）；旋转半径按 Y/Z 计算。</x:v>
      </x:c>
      <x:c r="I15" s="145" t="str">
        <x:v>节点使用车身相对坐标（m）；旋转半径按 Y/Z 计算。</x:v>
      </x:c>
      <x:c r="J15" s="126"/>
    </x:row>
    <x:row r="16" ht="42" customHeight="1">
      <x:c r="A16" s="126"/>
      <x:c r="B16" s="132" t="str">
        <x:v>Axle</x:v>
      </x:c>
      <x:c r="C16" s="132" t="str">
        <x:v>arb1 Start Y
(m)</x:v>
      </x:c>
      <x:c r="D16" s="132" t="str">
        <x:v>arb1 Start Z
(m)</x:v>
      </x:c>
      <x:c r="E16" s="132" t="str">
        <x:v>arb2 Y
(m)</x:v>
      </x:c>
      <x:c r="F16" s="132" t="str">
        <x:v>arb2 Z
(m)</x:v>
      </x:c>
      <x:c r="G16" s="132" t="str">
        <x:v>Start angle
(°)</x:v>
      </x:c>
      <x:c r="H16" s="132" t="str">
        <x:v>Radius
(mm)</x:v>
      </x:c>
      <x:c r="I16" s="126"/>
      <x:c r="J16" s="126"/>
    </x:row>
    <x:row r="17" ht="27" customHeight="1">
      <x:c r="A17" s="126"/>
      <x:c r="B17" s="134" t="str">
        <x:v>Front</x:v>
      </x:c>
      <x:c r="C17" s="146" t="n">
        <x:v>-1.061</x:v>
      </x:c>
      <x:c r="D17" s="146" t="n">
        <x:v>0.195</x:v>
      </x:c>
      <x:c r="E17" s="146" t="n">
        <x:v>-0.899</x:v>
      </x:c>
      <x:c r="F17" s="146" t="n">
        <x:v>0.185</x:v>
      </x:c>
      <x:c r="G17" s="147">
        <x:f>IF(COUNT(C17:F17)&lt;4,"",IF(H17=0,"无效半径",IF(D17&lt;F17,-1,1)*DEGREES(ACOS(MAX(-1,MIN(1,(E17-C17)*1000/H17))))))</x:f>
        <x:v>3.532294583890938</x:v>
      </x:c>
      <x:c r="H17" s="149">
        <x:f>IF(COUNT(C17:F17)&lt;4,"",1000*SQRT((C17-E17)^2+(D17-F17)^2))</x:f>
        <x:v>162.30834852218777</x:v>
      </x:c>
      <x:c r="I17" s="126"/>
      <x:c r="J17" s="126"/>
    </x:row>
    <x:row r="18" ht="27" customHeight="1">
      <x:c r="A18" s="126"/>
      <x:c r="B18" s="135" t="str">
        <x:v>Rear</x:v>
      </x:c>
      <x:c r="C18" s="146" t="n">
        <x:v>1.321</x:v>
      </x:c>
      <x:c r="D18" s="146" t="n">
        <x:v>0.186</x:v>
      </x:c>
      <x:c r="E18" s="146" t="n">
        <x:v>1.455</x:v>
      </x:c>
      <x:c r="F18" s="146" t="n">
        <x:v>0.261</x:v>
      </x:c>
      <x:c r="G18" s="148">
        <x:f>IF(COUNT(C18:F18)&lt;4,"",IF(H18=0,"无效半径",IF(D18&lt;F18,-1,1)*DEGREES(ACOS(MAX(-1,MIN(1,(E18-C18)*1000/H18))))))</x:f>
        <x:v>-29.235804568699994</x:v>
      </x:c>
      <x:c r="H18" s="150">
        <x:f>IF(COUNT(C18:F18)&lt;4,"",1000*SQRT((C18-E18)^2+(D18-F18)^2))</x:f>
        <x:v>153.5610627730872</x:v>
      </x:c>
      <x:c r="I18" s="126"/>
      <x:c r="J18" s="126"/>
    </x:row>
    <x:row r="19" ht="27" customHeight="1">
      <x:c r="A19" s="126"/>
      <x:c r="B19" s="126"/>
      <x:c r="C19" s="126"/>
      <x:c r="D19" s="126"/>
      <x:c r="E19" s="126"/>
      <x:c r="F19" s="126"/>
      <x:c r="G19" s="126"/>
      <x:c r="H19" s="126"/>
      <x:c r="I19" s="126"/>
      <x:c r="J19" s="126"/>
    </x:row>
    <x:row r="20" ht="27" customHeight="1">
      <x:c r="A20" s="126"/>
      <x:c r="B20" s="144" t="str">
        <x:v>测量 · 每组填写轮行程和 arb1 终点</x:v>
      </x:c>
      <x:c r="C20" s="144" t="str">
        <x:v>测量 · 每组填写轮行程和 arb1 终点</x:v>
      </x:c>
      <x:c r="D20" s="144" t="str">
        <x:v>测量 · 每组填写轮行程和 arb1 终点</x:v>
      </x:c>
      <x:c r="E20" s="144" t="str">
        <x:v>测量 · 每组填写轮行程和 arb1 终点</x:v>
      </x:c>
      <x:c r="F20" s="144" t="str">
        <x:v>测量 · 每组填写轮行程和 arb1 终点</x:v>
      </x:c>
      <x:c r="G20" s="144" t="str">
        <x:v>测量 · 每组填写轮行程和 arb1 终点</x:v>
      </x:c>
      <x:c r="H20" s="144" t="str">
        <x:v>测量 · 每组填写轮行程和 arb1 终点</x:v>
      </x:c>
      <x:c r="I20" s="144" t="str">
        <x:v>测量 · 每组填写轮行程和 arb1 终点</x:v>
      </x:c>
      <x:c r="J20" s="126"/>
    </x:row>
    <x:row r="21" ht="27" customHeight="1">
      <x:c r="A21" s="126"/>
      <x:c r="B21" s="126"/>
      <x:c r="C21" s="126"/>
      <x:c r="D21" s="126"/>
      <x:c r="E21" s="126"/>
      <x:c r="F21" s="126"/>
      <x:c r="G21" s="126"/>
      <x:c r="H21" s="126"/>
      <x:c r="I21" s="126"/>
      <x:c r="J21" s="126"/>
    </x:row>
    <x:row r="22" ht="42" customHeight="1">
      <x:c r="A22" s="126"/>
      <x:c r="B22" s="132" t="str">
        <x:v>Surface</x:v>
      </x:c>
      <x:c r="C22" s="132" t="str">
        <x:v>Axle</x:v>
      </x:c>
      <x:c r="D22" s="132" t="str">
        <x:v>Position</x:v>
      </x:c>
      <x:c r="E22" s="132" t="str">
        <x:v>Wheel ΔZ
(mm)</x:v>
      </x:c>
      <x:c r="F22" s="132" t="str">
        <x:v>arb1 End Y
(m)</x:v>
      </x:c>
      <x:c r="G22" s="132" t="str">
        <x:v>arb1 End Z
(m)</x:v>
      </x:c>
      <x:c r="H22" s="132" t="str">
        <x:v>End angle
(°)</x:v>
      </x:c>
      <x:c r="I22" s="132" t="str">
        <x:v>Radius
(mm)</x:v>
      </x:c>
      <x:c r="J22" s="126"/>
    </x:row>
    <x:row r="23" ht="27" customHeight="1">
      <x:c r="A23" s="126"/>
      <x:c r="B23" s="134" t="str">
        <x:v>Tarmac</x:v>
      </x:c>
      <x:c r="C23" s="134" t="str">
        <x:v>Front</x:v>
      </x:c>
      <x:c r="D23" s="134" t="str">
        <x:v>Inner</x:v>
      </x:c>
      <x:c r="E23" s="139" t="n">
        <x:v>127</x:v>
      </x:c>
      <x:c r="F23" s="146"/>
      <x:c r="G23" s="146"/>
      <x:c r="H23" s="147" t="str">
        <x:f>IF(COUNT(F23:G23,E17:F17)&lt;4,"",IF(I23=0,"无效半径",IF(G23&lt;F17,-1,1)*DEGREES(ACOS(MAX(-1,MIN(1,(E17-F23)*1000/I23))))))</x:f>
        <x:v/>
      </x:c>
      <x:c r="I23" s="149" t="str">
        <x:f>IF(COUNT(F23:G23,E17:F17)&lt;4,"",1000*SQRT((F23-E17)^2+(G23-F17)^2))</x:f>
        <x:v/>
      </x:c>
      <x:c r="J23" s="126"/>
    </x:row>
    <x:row r="24" ht="27" customHeight="1">
      <x:c r="A24" s="126"/>
      <x:c r="B24" s="135" t="str">
        <x:v>Tarmac</x:v>
      </x:c>
      <x:c r="C24" s="135" t="str">
        <x:v>Front</x:v>
      </x:c>
      <x:c r="D24" s="135" t="str">
        <x:v>Middle</x:v>
      </x:c>
      <x:c r="E24" s="139" t="n">
        <x:v>127</x:v>
      </x:c>
      <x:c r="F24" s="146"/>
      <x:c r="G24" s="146"/>
      <x:c r="H24" s="148" t="str">
        <x:f>IF(COUNT(F24:G24,E17:F17)&lt;4,"",IF(I24=0,"无效半径",IF(G24&lt;F17,-1,1)*DEGREES(ACOS(MAX(-1,MIN(1,(E17-F24)*1000/I24))))))</x:f>
        <x:v/>
      </x:c>
      <x:c r="I24" s="150" t="str">
        <x:f>IF(COUNT(F24:G24,E17:F17)&lt;4,"",1000*SQRT((F24-E17)^2+(G24-F17)^2))</x:f>
        <x:v/>
      </x:c>
      <x:c r="J24" s="126"/>
    </x:row>
    <x:row r="25" ht="27" customHeight="1">
      <x:c r="A25" s="126"/>
      <x:c r="B25" s="134" t="str">
        <x:v>Tarmac</x:v>
      </x:c>
      <x:c r="C25" s="134" t="str">
        <x:v>Front</x:v>
      </x:c>
      <x:c r="D25" s="134" t="str">
        <x:v>Outer</x:v>
      </x:c>
      <x:c r="E25" s="139" t="n">
        <x:v>127</x:v>
      </x:c>
      <x:c r="F25" s="146"/>
      <x:c r="G25" s="146"/>
      <x:c r="H25" s="147" t="str">
        <x:f>IF(COUNT(F25:G25,E17:F17)&lt;4,"",IF(I25=0,"无效半径",IF(G25&lt;F17,-1,1)*DEGREES(ACOS(MAX(-1,MIN(1,(E17-F25)*1000/I25))))))</x:f>
        <x:v/>
      </x:c>
      <x:c r="I25" s="149" t="str">
        <x:f>IF(COUNT(F25:G25,E17:F17)&lt;4,"",1000*SQRT((F25-E17)^2+(G25-F17)^2))</x:f>
        <x:v/>
      </x:c>
      <x:c r="J25" s="126"/>
    </x:row>
    <x:row r="26" ht="27" customHeight="1">
      <x:c r="A26" s="126"/>
      <x:c r="B26" s="135" t="str">
        <x:v>Tarmac</x:v>
      </x:c>
      <x:c r="C26" s="135" t="str">
        <x:v>Rear</x:v>
      </x:c>
      <x:c r="D26" s="135" t="str">
        <x:v>Inner</x:v>
      </x:c>
      <x:c r="E26" s="139" t="n">
        <x:v>136</x:v>
      </x:c>
      <x:c r="F26" s="146"/>
      <x:c r="G26" s="146"/>
      <x:c r="H26" s="148" t="str">
        <x:f>IF(COUNT(F26:G26,E18:F18)&lt;4,"",IF(I26=0,"无效半径",IF(G26&lt;F18,-1,1)*DEGREES(ACOS(MAX(-1,MIN(1,(E18-F26)*1000/I26))))))</x:f>
        <x:v/>
      </x:c>
      <x:c r="I26" s="150" t="str">
        <x:f>IF(COUNT(F26:G26,E18:F18)&lt;4,"",1000*SQRT((F26-E18)^2+(G26-F18)^2))</x:f>
        <x:v/>
      </x:c>
      <x:c r="J26" s="126"/>
    </x:row>
    <x:row r="27" ht="27" customHeight="1">
      <x:c r="A27" s="126"/>
      <x:c r="B27" s="134" t="str">
        <x:v>Tarmac</x:v>
      </x:c>
      <x:c r="C27" s="134" t="str">
        <x:v>Rear</x:v>
      </x:c>
      <x:c r="D27" s="134" t="str">
        <x:v>Middle</x:v>
      </x:c>
      <x:c r="E27" s="139" t="n">
        <x:v>136</x:v>
      </x:c>
      <x:c r="F27" s="146"/>
      <x:c r="G27" s="146"/>
      <x:c r="H27" s="147" t="str">
        <x:f>IF(COUNT(F27:G27,E18:F18)&lt;4,"",IF(I27=0,"无效半径",IF(G27&lt;F18,-1,1)*DEGREES(ACOS(MAX(-1,MIN(1,(E18-F27)*1000/I27))))))</x:f>
        <x:v/>
      </x:c>
      <x:c r="I27" s="149" t="str">
        <x:f>IF(COUNT(F27:G27,E18:F18)&lt;4,"",1000*SQRT((F27-E18)^2+(G27-F18)^2))</x:f>
        <x:v/>
      </x:c>
      <x:c r="J27" s="126"/>
    </x:row>
    <x:row r="28" ht="27" customHeight="1">
      <x:c r="A28" s="126"/>
      <x:c r="B28" s="135" t="str">
        <x:v>Tarmac</x:v>
      </x:c>
      <x:c r="C28" s="135" t="str">
        <x:v>Rear</x:v>
      </x:c>
      <x:c r="D28" s="135" t="str">
        <x:v>Outer</x:v>
      </x:c>
      <x:c r="E28" s="139" t="n">
        <x:v>136</x:v>
      </x:c>
      <x:c r="F28" s="146"/>
      <x:c r="G28" s="146"/>
      <x:c r="H28" s="148" t="str">
        <x:f>IF(COUNT(F28:G28,E18:F18)&lt;4,"",IF(I28=0,"无效半径",IF(G28&lt;F18,-1,1)*DEGREES(ACOS(MAX(-1,MIN(1,(E18-F28)*1000/I28))))))</x:f>
        <x:v/>
      </x:c>
      <x:c r="I28" s="150" t="str">
        <x:f>IF(COUNT(F28:G28,E18:F18)&lt;4,"",1000*SQRT((F28-E18)^2+(G28-F18)^2))</x:f>
        <x:v/>
      </x:c>
      <x:c r="J28" s="126"/>
    </x:row>
    <x:row r="29" ht="27" customHeight="1">
      <x:c r="A29" s="126"/>
      <x:c r="B29" s="134" t="str">
        <x:v>Gravel</x:v>
      </x:c>
      <x:c r="C29" s="134" t="str">
        <x:v>Front</x:v>
      </x:c>
      <x:c r="D29" s="134" t="str">
        <x:v>Inner</x:v>
      </x:c>
      <x:c r="E29" s="139" t="n">
        <x:v>126</x:v>
      </x:c>
      <x:c r="F29" s="146"/>
      <x:c r="G29" s="146"/>
      <x:c r="H29" s="147" t="str">
        <x:f>IF(COUNT(F29:G29,E17:F17)&lt;4,"",IF(I29=0,"无效半径",IF(G29&lt;F17,-1,1)*DEGREES(ACOS(MAX(-1,MIN(1,(E17-F29)*1000/I29))))))</x:f>
        <x:v/>
      </x:c>
      <x:c r="I29" s="149" t="str">
        <x:f>IF(COUNT(F29:G29,E17:F17)&lt;4,"",1000*SQRT((F29-E17)^2+(G29-F17)^2))</x:f>
        <x:v/>
      </x:c>
      <x:c r="J29" s="126"/>
    </x:row>
    <x:row r="30" ht="27" customHeight="1">
      <x:c r="A30" s="126"/>
      <x:c r="B30" s="135" t="str">
        <x:v>Gravel</x:v>
      </x:c>
      <x:c r="C30" s="135" t="str">
        <x:v>Front</x:v>
      </x:c>
      <x:c r="D30" s="135" t="str">
        <x:v>Middle</x:v>
      </x:c>
      <x:c r="E30" s="139" t="n">
        <x:v>126</x:v>
      </x:c>
      <x:c r="F30" s="146"/>
      <x:c r="G30" s="146"/>
      <x:c r="H30" s="148" t="str">
        <x:f>IF(COUNT(F30:G30,E17:F17)&lt;4,"",IF(I30=0,"无效半径",IF(G30&lt;F17,-1,1)*DEGREES(ACOS(MAX(-1,MIN(1,(E17-F30)*1000/I30))))))</x:f>
        <x:v/>
      </x:c>
      <x:c r="I30" s="150" t="str">
        <x:f>IF(COUNT(F30:G30,E17:F17)&lt;4,"",1000*SQRT((F30-E17)^2+(G30-F17)^2))</x:f>
        <x:v/>
      </x:c>
      <x:c r="J30" s="126"/>
    </x:row>
    <x:row r="31" ht="27" customHeight="1">
      <x:c r="A31" s="126"/>
      <x:c r="B31" s="134" t="str">
        <x:v>Gravel</x:v>
      </x:c>
      <x:c r="C31" s="134" t="str">
        <x:v>Front</x:v>
      </x:c>
      <x:c r="D31" s="134" t="str">
        <x:v>Outer</x:v>
      </x:c>
      <x:c r="E31" s="139" t="n">
        <x:v>126</x:v>
      </x:c>
      <x:c r="F31" s="146"/>
      <x:c r="G31" s="146"/>
      <x:c r="H31" s="147" t="str">
        <x:f>IF(COUNT(F31:G31,E17:F17)&lt;4,"",IF(I31=0,"无效半径",IF(G31&lt;F17,-1,1)*DEGREES(ACOS(MAX(-1,MIN(1,(E17-F31)*1000/I31))))))</x:f>
        <x:v/>
      </x:c>
      <x:c r="I31" s="149" t="str">
        <x:f>IF(COUNT(F31:G31,E17:F17)&lt;4,"",1000*SQRT((F31-E17)^2+(G31-F17)^2))</x:f>
        <x:v/>
      </x:c>
      <x:c r="J31" s="126"/>
    </x:row>
    <x:row r="32" ht="27" customHeight="1">
      <x:c r="A32" s="126"/>
      <x:c r="B32" s="135" t="str">
        <x:v>Gravel</x:v>
      </x:c>
      <x:c r="C32" s="135" t="str">
        <x:v>Rear</x:v>
      </x:c>
      <x:c r="D32" s="135" t="str">
        <x:v>Inner</x:v>
      </x:c>
      <x:c r="E32" s="139" t="n">
        <x:v>127</x:v>
      </x:c>
      <x:c r="F32" s="146"/>
      <x:c r="G32" s="146"/>
      <x:c r="H32" s="148" t="str">
        <x:f>IF(COUNT(F32:G32,E18:F18)&lt;4,"",IF(I32=0,"无效半径",IF(G32&lt;F18,-1,1)*DEGREES(ACOS(MAX(-1,MIN(1,(E18-F32)*1000/I32))))))</x:f>
        <x:v/>
      </x:c>
      <x:c r="I32" s="150" t="str">
        <x:f>IF(COUNT(F32:G32,E18:F18)&lt;4,"",1000*SQRT((F32-E18)^2+(G32-F18)^2))</x:f>
        <x:v/>
      </x:c>
      <x:c r="J32" s="126"/>
    </x:row>
    <x:row r="33" ht="27" customHeight="1">
      <x:c r="A33" s="126"/>
      <x:c r="B33" s="134" t="str">
        <x:v>Gravel</x:v>
      </x:c>
      <x:c r="C33" s="134" t="str">
        <x:v>Rear</x:v>
      </x:c>
      <x:c r="D33" s="134" t="str">
        <x:v>Middle</x:v>
      </x:c>
      <x:c r="E33" s="139" t="n">
        <x:v>127</x:v>
      </x:c>
      <x:c r="F33" s="146"/>
      <x:c r="G33" s="146"/>
      <x:c r="H33" s="147" t="str">
        <x:f>IF(COUNT(F33:G33,E18:F18)&lt;4,"",IF(I33=0,"无效半径",IF(G33&lt;F18,-1,1)*DEGREES(ACOS(MAX(-1,MIN(1,(E18-F33)*1000/I33))))))</x:f>
        <x:v/>
      </x:c>
      <x:c r="I33" s="149" t="str">
        <x:f>IF(COUNT(F33:G33,E18:F18)&lt;4,"",1000*SQRT((F33-E18)^2+(G33-F18)^2))</x:f>
        <x:v/>
      </x:c>
      <x:c r="J33" s="126"/>
    </x:row>
    <x:row r="34" ht="27" customHeight="1">
      <x:c r="A34" s="126"/>
      <x:c r="B34" s="135" t="str">
        <x:v>Gravel</x:v>
      </x:c>
      <x:c r="C34" s="135" t="str">
        <x:v>Rear</x:v>
      </x:c>
      <x:c r="D34" s="135" t="str">
        <x:v>Outer</x:v>
      </x:c>
      <x:c r="E34" s="139" t="n">
        <x:v>127</x:v>
      </x:c>
      <x:c r="F34" s="146"/>
      <x:c r="G34" s="146"/>
      <x:c r="H34" s="148" t="str">
        <x:f>IF(COUNT(F34:G34,E18:F18)&lt;4,"",IF(I34=0,"无效半径",IF(G34&lt;F18,-1,1)*DEGREES(ACOS(MAX(-1,MIN(1,(E18-F34)*1000/I34))))))</x:f>
        <x:v/>
      </x:c>
      <x:c r="I34" s="150" t="str">
        <x:f>IF(COUNT(F34:G34,E18:F18)&lt;4,"",1000*SQRT((F34-E18)^2+(G34-F18)^2))</x:f>
        <x:v/>
      </x:c>
      <x:c r="J34" s="126"/>
    </x:row>
    <x:row r="35" ht="27" customHeight="1">
      <x:c r="A35" s="126"/>
      <x:c r="B35" s="126"/>
      <x:c r="C35" s="126"/>
      <x:c r="D35" s="126"/>
      <x:c r="E35" s="126"/>
      <x:c r="F35" s="126"/>
      <x:c r="G35" s="126"/>
      <x:c r="H35" s="126"/>
      <x:c r="I35" s="126"/>
      <x:c r="J35" s="126"/>
    </x:row>
    <x:row r="36" ht="27" customHeight="1">
      <x:c r="A36" s="126"/>
      <x:c r="B36" s="126"/>
      <x:c r="C36" s="126"/>
      <x:c r="D36" s="126"/>
      <x:c r="E36" s="126"/>
      <x:c r="F36" s="126"/>
      <x:c r="G36" s="126"/>
      <x:c r="H36" s="126"/>
      <x:c r="I36" s="126"/>
      <x:c r="J36" s="126"/>
    </x:row>
    <x:row r="37" ht="27" customHeight="1">
      <x:c r="A37" s="126"/>
      <x:c r="B37" s="126"/>
      <x:c r="C37" s="126"/>
      <x:c r="D37" s="126"/>
      <x:c r="E37" s="126"/>
      <x:c r="F37" s="126"/>
      <x:c r="G37" s="126"/>
      <x:c r="H37" s="126"/>
      <x:c r="I37" s="126"/>
      <x:c r="J37" s="126"/>
    </x:row>
    <x:row r="38" ht="27" customHeight="1">
      <x:c r="A38" s="126"/>
      <x:c r="B38" s="144" t="str">
        <x:v>原 Z 测量记录（不参与刚度计算）</x:v>
      </x:c>
      <x:c r="C38" s="144" t="str">
        <x:v>原 Z 测量记录（不参与刚度计算）</x:v>
      </x:c>
      <x:c r="D38" s="144" t="str">
        <x:v>原 Z 测量记录（不参与刚度计算）</x:v>
      </x:c>
      <x:c r="E38" s="144" t="str">
        <x:v>原 Z 测量记录（不参与刚度计算）</x:v>
      </x:c>
      <x:c r="F38" s="144" t="str">
        <x:v>原 Z 测量记录（不参与刚度计算）</x:v>
      </x:c>
      <x:c r="G38" s="144" t="str">
        <x:v>原 Z 测量记录（不参与刚度计算）</x:v>
      </x:c>
      <x:c r="H38" s="144" t="str">
        <x:v>原 Z 测量记录（不参与刚度计算）</x:v>
      </x:c>
      <x:c r="I38" s="144" t="str">
        <x:v>原 Z 测量记录（不参与刚度计算）</x:v>
      </x:c>
      <x:c r="J38" s="126"/>
    </x:row>
    <x:row r="39" ht="42" customHeight="1">
      <x:c r="A39" s="126"/>
      <x:c r="B39" s="132" t="str">
        <x:v>Surface</x:v>
      </x:c>
      <x:c r="C39" s="132" t="str">
        <x:v>Axle</x:v>
      </x:c>
      <x:c r="D39" s="132" t="str">
        <x:v>Position</x:v>
      </x:c>
      <x:c r="E39" s="132" t="str">
        <x:v>ARB ΔZ (mm)</x:v>
      </x:c>
      <x:c r="F39" s="132" t="str">
        <x:v>Original arm (mm)</x:v>
      </x:c>
      <x:c r="G39" s="126"/>
      <x:c r="H39" s="126"/>
      <x:c r="I39" s="126"/>
      <x:c r="J39" s="126"/>
    </x:row>
    <x:row r="40" ht="27" customHeight="1">
      <x:c r="A40" s="126"/>
      <x:c r="B40" s="135" t="str">
        <x:v>Tarmac</x:v>
      </x:c>
      <x:c r="C40" s="135" t="str">
        <x:v>Front</x:v>
      </x:c>
      <x:c r="D40" s="135" t="str">
        <x:v>Inner</x:v>
      </x:c>
      <x:c r="E40" s="150" t="n">
        <x:v>35</x:v>
      </x:c>
      <x:c r="F40" s="150" t="n">
        <x:v>163</x:v>
      </x:c>
      <x:c r="G40" s="126"/>
      <x:c r="H40" s="126"/>
      <x:c r="I40" s="126"/>
      <x:c r="J40" s="126"/>
    </x:row>
    <x:row r="41" ht="27" customHeight="1">
      <x:c r="A41" s="126"/>
      <x:c r="B41" s="134" t="str">
        <x:v>Tarmac</x:v>
      </x:c>
      <x:c r="C41" s="134" t="str">
        <x:v>Front</x:v>
      </x:c>
      <x:c r="D41" s="134" t="str">
        <x:v>Middle</x:v>
      </x:c>
      <x:c r="E41" s="149" t="n">
        <x:v>42</x:v>
      </x:c>
      <x:c r="F41" s="149" t="n">
        <x:v>163</x:v>
      </x:c>
      <x:c r="G41" s="126"/>
      <x:c r="H41" s="126"/>
      <x:c r="I41" s="126"/>
      <x:c r="J41" s="126"/>
    </x:row>
    <x:row r="42" ht="27" customHeight="1">
      <x:c r="A42" s="126"/>
      <x:c r="B42" s="135" t="str">
        <x:v>Tarmac</x:v>
      </x:c>
      <x:c r="C42" s="135" t="str">
        <x:v>Front</x:v>
      </x:c>
      <x:c r="D42" s="135" t="str">
        <x:v>Outer</x:v>
      </x:c>
      <x:c r="E42" s="150" t="n">
        <x:v>46</x:v>
      </x:c>
      <x:c r="F42" s="150" t="n">
        <x:v>163</x:v>
      </x:c>
      <x:c r="G42" s="126"/>
      <x:c r="H42" s="126"/>
      <x:c r="I42" s="126"/>
      <x:c r="J42" s="126"/>
    </x:row>
    <x:row r="43" ht="27" customHeight="1">
      <x:c r="A43" s="126"/>
      <x:c r="B43" s="134" t="str">
        <x:v>Tarmac</x:v>
      </x:c>
      <x:c r="C43" s="134" t="str">
        <x:v>Rear</x:v>
      </x:c>
      <x:c r="D43" s="134" t="str">
        <x:v>Inner</x:v>
      </x:c>
      <x:c r="E43" s="149" t="n">
        <x:v>41</x:v>
      </x:c>
      <x:c r="F43" s="149" t="n">
        <x:v>154</x:v>
      </x:c>
      <x:c r="G43" s="126"/>
      <x:c r="H43" s="126"/>
      <x:c r="I43" s="126"/>
      <x:c r="J43" s="126"/>
    </x:row>
    <x:row r="44" ht="27" customHeight="1">
      <x:c r="A44" s="126"/>
      <x:c r="B44" s="135" t="str">
        <x:v>Tarmac</x:v>
      </x:c>
      <x:c r="C44" s="135" t="str">
        <x:v>Rear</x:v>
      </x:c>
      <x:c r="D44" s="135" t="str">
        <x:v>Middle</x:v>
      </x:c>
      <x:c r="E44" s="150" t="n">
        <x:v>49</x:v>
      </x:c>
      <x:c r="F44" s="150" t="n">
        <x:v>154</x:v>
      </x:c>
      <x:c r="G44" s="126"/>
      <x:c r="H44" s="126"/>
      <x:c r="I44" s="126"/>
      <x:c r="J44" s="126"/>
    </x:row>
    <x:row r="45" ht="27" customHeight="1">
      <x:c r="A45" s="126"/>
      <x:c r="B45" s="134" t="str">
        <x:v>Tarmac</x:v>
      </x:c>
      <x:c r="C45" s="134" t="str">
        <x:v>Rear</x:v>
      </x:c>
      <x:c r="D45" s="134" t="str">
        <x:v>Outer</x:v>
      </x:c>
      <x:c r="E45" s="149" t="n">
        <x:v>54</x:v>
      </x:c>
      <x:c r="F45" s="149" t="n">
        <x:v>154</x:v>
      </x:c>
      <x:c r="G45" s="126"/>
      <x:c r="H45" s="126"/>
      <x:c r="I45" s="126"/>
      <x:c r="J45" s="126"/>
    </x:row>
    <x:row r="46" ht="27" customHeight="1">
      <x:c r="A46" s="126"/>
      <x:c r="B46" s="135" t="str">
        <x:v>Gravel</x:v>
      </x:c>
      <x:c r="C46" s="135" t="str">
        <x:v>Front</x:v>
      </x:c>
      <x:c r="D46" s="135" t="str">
        <x:v>Inner</x:v>
      </x:c>
      <x:c r="E46" s="150" t="n">
        <x:v>32</x:v>
      </x:c>
      <x:c r="F46" s="150" t="n">
        <x:v>163</x:v>
      </x:c>
      <x:c r="G46" s="126"/>
      <x:c r="H46" s="126"/>
      <x:c r="I46" s="126"/>
      <x:c r="J46" s="126"/>
    </x:row>
    <x:row r="47" ht="27" customHeight="1">
      <x:c r="A47" s="126"/>
      <x:c r="B47" s="134" t="str">
        <x:v>Gravel</x:v>
      </x:c>
      <x:c r="C47" s="134" t="str">
        <x:v>Front</x:v>
      </x:c>
      <x:c r="D47" s="134" t="str">
        <x:v>Middle</x:v>
      </x:c>
      <x:c r="E47" s="149" t="n">
        <x:v>40</x:v>
      </x:c>
      <x:c r="F47" s="149" t="n">
        <x:v>163</x:v>
      </x:c>
      <x:c r="G47" s="126"/>
      <x:c r="H47" s="126"/>
      <x:c r="I47" s="126"/>
      <x:c r="J47" s="126"/>
    </x:row>
    <x:row r="48" ht="27" customHeight="1">
      <x:c r="A48" s="126"/>
      <x:c r="B48" s="135" t="str">
        <x:v>Gravel</x:v>
      </x:c>
      <x:c r="C48" s="135" t="str">
        <x:v>Front</x:v>
      </x:c>
      <x:c r="D48" s="135" t="str">
        <x:v>Outer</x:v>
      </x:c>
      <x:c r="E48" s="150" t="n">
        <x:v>45</x:v>
      </x:c>
      <x:c r="F48" s="150" t="n">
        <x:v>163</x:v>
      </x:c>
      <x:c r="G48" s="126"/>
      <x:c r="H48" s="126"/>
      <x:c r="I48" s="126"/>
      <x:c r="J48" s="126"/>
    </x:row>
    <x:row r="49" ht="27" customHeight="1">
      <x:c r="A49" s="126"/>
      <x:c r="B49" s="134" t="str">
        <x:v>Gravel</x:v>
      </x:c>
      <x:c r="C49" s="134" t="str">
        <x:v>Rear</x:v>
      </x:c>
      <x:c r="D49" s="134" t="str">
        <x:v>Inner</x:v>
      </x:c>
      <x:c r="E49" s="149" t="n">
        <x:v>39</x:v>
      </x:c>
      <x:c r="F49" s="149" t="n">
        <x:v>154</x:v>
      </x:c>
      <x:c r="G49" s="126"/>
      <x:c r="H49" s="126"/>
      <x:c r="I49" s="126"/>
      <x:c r="J49" s="126"/>
    </x:row>
    <x:row r="50" ht="27" customHeight="1">
      <x:c r="A50" s="126"/>
      <x:c r="B50" s="135" t="str">
        <x:v>Gravel</x:v>
      </x:c>
      <x:c r="C50" s="135" t="str">
        <x:v>Rear</x:v>
      </x:c>
      <x:c r="D50" s="135" t="str">
        <x:v>Middle</x:v>
      </x:c>
      <x:c r="E50" s="150" t="n">
        <x:v>47</x:v>
      </x:c>
      <x:c r="F50" s="150" t="n">
        <x:v>154</x:v>
      </x:c>
      <x:c r="G50" s="126"/>
      <x:c r="H50" s="126"/>
      <x:c r="I50" s="126"/>
      <x:c r="J50" s="126"/>
    </x:row>
    <x:row r="51" ht="27" customHeight="1">
      <x:c r="A51" s="126"/>
      <x:c r="B51" s="134" t="str">
        <x:v>Gravel</x:v>
      </x:c>
      <x:c r="C51" s="134" t="str">
        <x:v>Rear</x:v>
      </x:c>
      <x:c r="D51" s="134" t="str">
        <x:v>Outer</x:v>
      </x:c>
      <x:c r="E51" s="149" t="n">
        <x:v>51</x:v>
      </x:c>
      <x:c r="F51" s="149" t="n">
        <x:v>154</x:v>
      </x:c>
      <x:c r="G51" s="126"/>
      <x:c r="H51" s="126"/>
      <x:c r="I51" s="126"/>
      <x:c r="J51" s="126"/>
    </x:row>
    <x:row r="52" ht="27" customHeight="1">
      <x:c r="A52" s="126"/>
      <x:c r="B52" s="126"/>
      <x:c r="C52" s="126"/>
      <x:c r="D52" s="126"/>
      <x:c r="E52" s="126"/>
      <x:c r="F52" s="126"/>
      <x:c r="G52" s="126"/>
      <x:c r="H52" s="126"/>
      <x:c r="I52" s="126"/>
      <x:c r="J52" s="126"/>
    </x:row>
    <x:row r="53" ht="27" customHeight="1">
      <x:c r="A53" s="126"/>
      <x:c r="B53" s="126"/>
      <x:c r="C53" s="126"/>
      <x:c r="D53" s="126"/>
      <x:c r="E53" s="126"/>
      <x:c r="F53" s="126"/>
      <x:c r="G53" s="126"/>
      <x:c r="H53" s="126"/>
      <x:c r="I53" s="126"/>
      <x:c r="J53" s="126"/>
    </x:row>
    <x:row r="54" ht="27" customHeight="1">
      <x:c r="A54" s="126"/>
      <x:c r="B54" s="126"/>
      <x:c r="C54" s="126"/>
      <x:c r="D54" s="126"/>
      <x:c r="E54" s="126"/>
      <x:c r="F54" s="126"/>
      <x:c r="G54" s="126"/>
      <x:c r="H54" s="126"/>
      <x:c r="I54" s="126"/>
      <x:c r="J54" s="126"/>
    </x:row>
    <x:row r="55" ht="27" customHeight="1">
      <x:c r="A55" s="126"/>
      <x:c r="B55" s="126"/>
      <x:c r="C55" s="126"/>
      <x:c r="D55" s="126"/>
      <x:c r="E55" s="126"/>
      <x:c r="F55" s="126"/>
      <x:c r="G55" s="126"/>
      <x:c r="H55" s="126"/>
      <x:c r="I55" s="126"/>
      <x:c r="J55" s="126"/>
    </x:row>
    <x:row r="56" ht="27" customHeight="1">
      <x:c r="A56" s="126"/>
      <x:c r="B56" s="126"/>
      <x:c r="C56" s="126"/>
      <x:c r="D56" s="126"/>
      <x:c r="E56" s="126"/>
      <x:c r="F56" s="126"/>
      <x:c r="G56" s="126"/>
      <x:c r="H56" s="126"/>
      <x:c r="I56" s="126"/>
      <x:c r="J56" s="126"/>
    </x:row>
    <x:row r="57" ht="27" customHeight="1">
      <x:c r="A57" s="126"/>
      <x:c r="B57" s="126"/>
      <x:c r="C57" s="126"/>
      <x:c r="D57" s="126"/>
      <x:c r="E57" s="126"/>
      <x:c r="F57" s="126"/>
      <x:c r="G57" s="126"/>
      <x:c r="H57" s="126"/>
      <x:c r="I57" s="126"/>
      <x:c r="J57" s="126"/>
    </x:row>
    <x:row r="58" ht="27" customHeight="1">
      <x:c r="A58" s="126"/>
      <x:c r="B58" s="126"/>
      <x:c r="C58" s="126"/>
      <x:c r="D58" s="126"/>
      <x:c r="E58" s="126"/>
      <x:c r="F58" s="126"/>
      <x:c r="G58" s="126"/>
      <x:c r="H58" s="126"/>
      <x:c r="I58" s="126"/>
      <x:c r="J58" s="126"/>
    </x:row>
    <x:row r="59" ht="27" customHeight="1">
      <x:c r="A59" s="126"/>
      <x:c r="B59" s="126"/>
      <x:c r="C59" s="126"/>
      <x:c r="D59" s="126"/>
      <x:c r="E59" s="126"/>
      <x:c r="F59" s="126"/>
      <x:c r="G59" s="126"/>
      <x:c r="H59" s="126"/>
      <x:c r="I59" s="126"/>
      <x:c r="J59" s="126"/>
    </x:row>
    <x:row r="60" ht="27" customHeight="1">
      <x:c r="A60" s="126"/>
      <x:c r="B60" s="126"/>
      <x:c r="C60" s="126"/>
      <x:c r="D60" s="126"/>
      <x:c r="E60" s="126"/>
      <x:c r="F60" s="126"/>
      <x:c r="G60" s="126"/>
      <x:c r="H60" s="126"/>
      <x:c r="I60" s="126"/>
      <x:c r="J60" s="126"/>
    </x:row>
    <x:row r="61" ht="27" customHeight="1">
      <x:c r="A61" s="126"/>
      <x:c r="B61" s="126"/>
      <x:c r="C61" s="126"/>
      <x:c r="D61" s="126"/>
      <x:c r="E61" s="126"/>
      <x:c r="F61" s="126"/>
      <x:c r="G61" s="126"/>
      <x:c r="H61" s="126"/>
      <x:c r="I61" s="126"/>
      <x:c r="J61" s="126"/>
    </x:row>
    <x:row r="62" ht="27" customHeight="1">
      <x:c r="A62" s="126"/>
      <x:c r="B62" s="126"/>
      <x:c r="C62" s="126"/>
      <x:c r="D62" s="126"/>
      <x:c r="E62" s="126"/>
      <x:c r="F62" s="126"/>
      <x:c r="G62" s="126"/>
      <x:c r="H62" s="126"/>
      <x:c r="I62" s="126"/>
      <x:c r="J62" s="126"/>
    </x:row>
    <x:row r="63" ht="27" customHeight="1">
      <x:c r="A63" s="126"/>
      <x:c r="B63" s="126"/>
      <x:c r="C63" s="126"/>
      <x:c r="D63" s="126"/>
      <x:c r="E63" s="126"/>
      <x:c r="F63" s="126"/>
      <x:c r="G63" s="126"/>
      <x:c r="H63" s="126"/>
      <x:c r="I63" s="126"/>
      <x:c r="J63" s="126"/>
    </x:row>
    <x:row r="64" ht="27" customHeight="1">
      <x:c r="A64" s="126"/>
      <x:c r="B64" s="126"/>
      <x:c r="C64" s="126"/>
      <x:c r="D64" s="126"/>
      <x:c r="E64" s="126"/>
      <x:c r="F64" s="126"/>
      <x:c r="G64" s="126"/>
      <x:c r="H64" s="126"/>
      <x:c r="I64" s="126"/>
      <x:c r="J64" s="126"/>
    </x:row>
    <x:row r="65" ht="27" customHeight="1">
      <x:c r="A65" s="126"/>
      <x:c r="B65" s="126"/>
      <x:c r="C65" s="126"/>
      <x:c r="D65" s="126"/>
      <x:c r="E65" s="126"/>
      <x:c r="F65" s="126"/>
      <x:c r="G65" s="126"/>
      <x:c r="H65" s="126"/>
      <x:c r="I65" s="126"/>
      <x:c r="J65" s="126"/>
    </x:row>
    <x:row r="66" ht="26" customHeight="1">
      <x:c r="A66"/>
      <x:c r="B66"/>
      <x:c r="C66"/>
      <x:c r="D66"/>
      <x:c r="E66"/>
      <x:c r="F66"/>
      <x:c r="G66"/>
      <x:c r="H66"/>
      <x:c r="I66"/>
    </x:row>
    <x:row r="67" ht="26" customHeight="1">
      <x:c r="A67"/>
      <x:c r="B67"/>
      <x:c r="C67"/>
      <x:c r="D67"/>
      <x:c r="E67"/>
      <x:c r="F67"/>
      <x:c r="G67"/>
      <x:c r="H67"/>
      <x:c r="I67"/>
    </x:row>
    <x:row r="68" ht="40" customHeight="1">
      <x:c r="A68"/>
      <x:c r="B68"/>
      <x:c r="C68"/>
      <x:c r="D68"/>
      <x:c r="E68"/>
      <x:c r="F68"/>
      <x:c r="G68"/>
      <x:c r="H68"/>
      <x:c r="I68"/>
    </x:row>
    <x:row r="69" ht="26" customHeight="1">
      <x:c r="A69"/>
      <x:c r="B69"/>
      <x:c r="C69"/>
      <x:c r="D69"/>
      <x:c r="E69"/>
      <x:c r="F69"/>
      <x:c r="G69"/>
      <x:c r="H69"/>
      <x:c r="I69"/>
    </x:row>
    <x:row r="70" ht="26" customHeight="1">
      <x:c r="A70"/>
      <x:c r="B70"/>
      <x:c r="C70"/>
      <x:c r="D70"/>
      <x:c r="E70"/>
      <x:c r="F70"/>
      <x:c r="G70"/>
      <x:c r="H70"/>
      <x:c r="I70"/>
    </x:row>
    <x:row r="71" ht="26" customHeight="1">
      <x:c r="A71"/>
      <x:c r="B71"/>
      <x:c r="C71"/>
      <x:c r="D71"/>
      <x:c r="E71"/>
      <x:c r="F71"/>
      <x:c r="G71"/>
      <x:c r="H71"/>
      <x:c r="I71"/>
    </x:row>
    <x:row r="72" ht="26" customHeight="1">
      <x:c r="A72"/>
      <x:c r="B72"/>
      <x:c r="C72"/>
      <x:c r="D72"/>
      <x:c r="E72"/>
      <x:c r="F72"/>
      <x:c r="G72"/>
      <x:c r="H72"/>
      <x:c r="I72"/>
    </x:row>
    <x:row r="73" ht="26" customHeight="1">
      <x:c r="A73"/>
      <x:c r="B73"/>
      <x:c r="C73"/>
      <x:c r="D73"/>
      <x:c r="E73"/>
      <x:c r="F73"/>
      <x:c r="G73"/>
      <x:c r="H73"/>
      <x:c r="I73"/>
    </x:row>
    <x:row r="74" ht="26" customHeight="1">
      <x:c r="A74"/>
      <x:c r="B74"/>
      <x:c r="C74"/>
      <x:c r="D74"/>
      <x:c r="E74"/>
      <x:c r="F74"/>
      <x:c r="G74"/>
      <x:c r="H74"/>
      <x:c r="I74"/>
    </x:row>
    <x:row r="75" ht="40" customHeight="1">
      <x:c r="A75"/>
      <x:c r="B75"/>
      <x:c r="C75"/>
      <x:c r="D75"/>
      <x:c r="E75"/>
      <x:c r="F75"/>
      <x:c r="G75"/>
      <x:c r="H75"/>
      <x:c r="I75"/>
    </x:row>
    <x:row r="76" ht="26" customHeight="1">
      <x:c r="A76"/>
      <x:c r="B76"/>
      <x:c r="C76"/>
      <x:c r="D76"/>
      <x:c r="E76"/>
      <x:c r="F76"/>
      <x:c r="G76"/>
      <x:c r="H76"/>
      <x:c r="I76"/>
    </x:row>
    <x:row r="77" ht="26" customHeight="1">
      <x:c r="A77"/>
      <x:c r="B77"/>
      <x:c r="C77"/>
      <x:c r="D77"/>
      <x:c r="E77"/>
      <x:c r="F77"/>
      <x:c r="G77"/>
      <x:c r="H77"/>
      <x:c r="I77"/>
    </x:row>
    <x:row r="78" ht="26" customHeight="1">
      <x:c r="A78"/>
      <x:c r="B78"/>
      <x:c r="C78"/>
      <x:c r="D78"/>
      <x:c r="E78"/>
      <x:c r="F78"/>
      <x:c r="G78"/>
      <x:c r="H78"/>
      <x:c r="I78"/>
    </x:row>
    <x:row r="79" ht="26" customHeight="1">
      <x:c r="A79"/>
      <x:c r="B79"/>
      <x:c r="C79"/>
      <x:c r="D79"/>
      <x:c r="E79"/>
      <x:c r="F79"/>
      <x:c r="G79"/>
      <x:c r="H79"/>
      <x:c r="I79"/>
    </x:row>
    <x:row r="80" ht="26" customHeight="1">
      <x:c r="A80"/>
      <x:c r="B80"/>
      <x:c r="C80"/>
      <x:c r="D80"/>
      <x:c r="E80"/>
      <x:c r="F80"/>
      <x:c r="G80"/>
      <x:c r="H80"/>
      <x:c r="I80"/>
    </x:row>
    <x:row r="81" ht="26" customHeight="1">
      <x:c r="A81"/>
      <x:c r="B81"/>
      <x:c r="C81"/>
      <x:c r="D81"/>
      <x:c r="E81"/>
      <x:c r="F81"/>
      <x:c r="G81"/>
      <x:c r="H81"/>
      <x:c r="I81"/>
    </x:row>
    <x:row r="82" ht="40" customHeight="1">
      <x:c r="A82"/>
      <x:c r="B82"/>
      <x:c r="C82"/>
      <x:c r="D82"/>
      <x:c r="E82"/>
      <x:c r="F82"/>
      <x:c r="G82"/>
      <x:c r="H82"/>
      <x:c r="I82"/>
    </x:row>
    <x:row r="83" ht="26" customHeight="1">
      <x:c r="A83"/>
      <x:c r="B83"/>
      <x:c r="C83"/>
      <x:c r="D83"/>
      <x:c r="E83"/>
      <x:c r="F83"/>
      <x:c r="G83"/>
      <x:c r="H83"/>
      <x:c r="I83"/>
    </x:row>
    <x:row r="84" ht="26" customHeight="1">
      <x:c r="A84"/>
      <x:c r="B84"/>
      <x:c r="C84"/>
      <x:c r="D84"/>
      <x:c r="E84"/>
      <x:c r="F84"/>
      <x:c r="G84"/>
      <x:c r="H84"/>
      <x:c r="I84"/>
    </x:row>
    <x:row r="85" ht="26" customHeight="1">
      <x:c r="A85"/>
      <x:c r="B85"/>
      <x:c r="C85"/>
      <x:c r="D85"/>
      <x:c r="E85"/>
      <x:c r="F85"/>
      <x:c r="G85"/>
      <x:c r="H85"/>
      <x:c r="I85"/>
    </x:row>
    <x:row r="86" ht="26" customHeight="1">
      <x:c r="A86"/>
      <x:c r="B86"/>
      <x:c r="C86"/>
      <x:c r="D86"/>
      <x:c r="E86"/>
      <x:c r="F86"/>
      <x:c r="G86"/>
      <x:c r="H86"/>
      <x:c r="I86"/>
    </x:row>
    <x:row r="87" ht="26" customHeight="1">
      <x:c r="A87"/>
      <x:c r="B87"/>
      <x:c r="C87"/>
      <x:c r="D87"/>
      <x:c r="E87"/>
      <x:c r="F87"/>
      <x:c r="G87"/>
      <x:c r="H87"/>
      <x:c r="I87"/>
    </x:row>
    <x:row r="88" ht="26" customHeight="1">
      <x:c r="A88"/>
      <x:c r="B88"/>
      <x:c r="C88"/>
      <x:c r="D88"/>
      <x:c r="E88"/>
      <x:c r="F88"/>
      <x:c r="G88"/>
      <x:c r="H88"/>
      <x:c r="I88"/>
    </x:row>
    <x:row r="89" ht="40" customHeight="1">
      <x:c r="A89"/>
      <x:c r="B89"/>
      <x:c r="C89"/>
      <x:c r="D89"/>
      <x:c r="E89"/>
      <x:c r="F89"/>
      <x:c r="G89"/>
      <x:c r="H89"/>
      <x:c r="I89"/>
    </x:row>
    <x:row r="90" ht="26" customHeight="1">
      <x:c r="A90"/>
      <x:c r="B90"/>
      <x:c r="C90"/>
      <x:c r="D90"/>
      <x:c r="E90"/>
      <x:c r="F90"/>
      <x:c r="G90"/>
      <x:c r="H90"/>
      <x:c r="I90"/>
    </x:row>
    <x:row r="91" ht="26" customHeight="1">
      <x:c r="A91"/>
      <x:c r="B91"/>
      <x:c r="C91"/>
      <x:c r="D91"/>
      <x:c r="E91"/>
      <x:c r="F91"/>
      <x:c r="G91"/>
      <x:c r="H91"/>
      <x:c r="I91"/>
    </x:row>
    <x:row r="92" ht="26" customHeight="1">
      <x:c r="A92"/>
      <x:c r="B92"/>
      <x:c r="C92"/>
      <x:c r="D92"/>
      <x:c r="E92"/>
      <x:c r="F92"/>
      <x:c r="G92"/>
      <x:c r="H92"/>
      <x:c r="I92"/>
    </x:row>
    <x:row r="93" ht="26" customHeight="1">
      <x:c r="A93"/>
      <x:c r="B93"/>
      <x:c r="C93"/>
      <x:c r="D93"/>
      <x:c r="E93"/>
      <x:c r="F93"/>
      <x:c r="G93"/>
      <x:c r="H93"/>
      <x:c r="I93"/>
    </x:row>
    <x:row r="94" ht="26" customHeight="1">
      <x:c r="A94"/>
      <x:c r="B94"/>
      <x:c r="C94"/>
      <x:c r="D94"/>
      <x:c r="E94"/>
      <x:c r="F94"/>
      <x:c r="G94"/>
      <x:c r="H94"/>
      <x:c r="I94"/>
    </x:row>
    <x:row r="95" ht="26" customHeight="1">
      <x:c r="A95"/>
      <x:c r="B95"/>
      <x:c r="C95"/>
      <x:c r="D95"/>
      <x:c r="E95"/>
      <x:c r="F95"/>
      <x:c r="G95"/>
      <x:c r="H95"/>
      <x:c r="I95"/>
    </x:row>
    <x:row r="96" ht="40" customHeight="1">
      <x:c r="A96"/>
      <x:c r="B96"/>
      <x:c r="C96"/>
      <x:c r="D96"/>
      <x:c r="E96"/>
      <x:c r="F96"/>
      <x:c r="G96"/>
      <x:c r="H96"/>
      <x:c r="I96"/>
    </x:row>
    <x:row r="97" ht="26" customHeight="1">
      <x:c r="A97"/>
      <x:c r="B97"/>
      <x:c r="C97"/>
      <x:c r="D97"/>
      <x:c r="E97"/>
      <x:c r="F97"/>
      <x:c r="G97"/>
      <x:c r="H97"/>
      <x:c r="I97"/>
    </x:row>
    <x:row r="98" ht="26" customHeight="1">
      <x:c r="A98"/>
      <x:c r="B98"/>
      <x:c r="C98"/>
      <x:c r="D98"/>
      <x:c r="E98"/>
      <x:c r="F98"/>
      <x:c r="G98"/>
      <x:c r="H98"/>
      <x:c r="I98"/>
    </x:row>
    <x:row r="99" ht="26" customHeight="1">
      <x:c r="A99"/>
      <x:c r="B99"/>
      <x:c r="C99"/>
      <x:c r="D99"/>
      <x:c r="E99"/>
      <x:c r="F99"/>
      <x:c r="G99"/>
      <x:c r="H99"/>
      <x:c r="I99"/>
    </x:row>
    <x:row r="100" ht="26" customHeight="1">
      <x:c r="A100"/>
      <x:c r="B100"/>
      <x:c r="C100"/>
      <x:c r="D100"/>
      <x:c r="E100"/>
      <x:c r="F100"/>
      <x:c r="G100"/>
      <x:c r="H100"/>
      <x:c r="I100"/>
    </x:row>
    <x:row r="101" ht="26" customHeight="1">
      <x:c r="A101"/>
      <x:c r="B101"/>
      <x:c r="C101"/>
      <x:c r="D101"/>
      <x:c r="E101"/>
      <x:c r="F101"/>
      <x:c r="G101"/>
      <x:c r="H101"/>
      <x:c r="I101"/>
    </x:row>
    <x:row r="102" ht="26" customHeight="1">
      <x:c r="A102"/>
      <x:c r="B102"/>
      <x:c r="C102"/>
      <x:c r="D102"/>
      <x:c r="E102"/>
      <x:c r="F102"/>
      <x:c r="G102"/>
      <x:c r="H102"/>
      <x:c r="I102"/>
    </x:row>
    <x:row r="103" ht="40" customHeight="1">
      <x:c r="A103"/>
      <x:c r="B103"/>
      <x:c r="C103"/>
      <x:c r="D103"/>
      <x:c r="E103"/>
      <x:c r="F103"/>
      <x:c r="G103"/>
      <x:c r="H103"/>
      <x:c r="I103"/>
    </x:row>
    <x:row r="104" ht="26" customHeight="1">
      <x:c r="A104"/>
      <x:c r="B104"/>
      <x:c r="C104"/>
      <x:c r="D104"/>
      <x:c r="E104"/>
      <x:c r="F104"/>
      <x:c r="G104"/>
      <x:c r="H104"/>
      <x:c r="I104"/>
    </x:row>
    <x:row r="105" ht="26" customHeight="1">
      <x:c r="A105"/>
      <x:c r="B105"/>
      <x:c r="C105"/>
      <x:c r="D105"/>
      <x:c r="E105"/>
      <x:c r="F105"/>
      <x:c r="G105"/>
      <x:c r="H105"/>
      <x:c r="I105"/>
    </x:row>
    <x:row r="106" ht="26" customHeight="1">
      <x:c r="A106"/>
      <x:c r="B106"/>
      <x:c r="C106"/>
      <x:c r="D106"/>
      <x:c r="E106"/>
      <x:c r="F106"/>
      <x:c r="G106"/>
      <x:c r="H106"/>
      <x:c r="I106"/>
    </x:row>
    <x:row r="107" ht="26" customHeight="1">
      <x:c r="A107"/>
      <x:c r="B107"/>
      <x:c r="C107"/>
      <x:c r="D107"/>
      <x:c r="E107"/>
      <x:c r="F107"/>
      <x:c r="G107"/>
      <x:c r="H107"/>
      <x:c r="I107"/>
    </x:row>
    <x:row r="108" ht="26" customHeight="1">
      <x:c r="A108"/>
      <x:c r="B108"/>
      <x:c r="C108"/>
      <x:c r="D108"/>
      <x:c r="E108"/>
      <x:c r="F108"/>
      <x:c r="G108"/>
      <x:c r="H108"/>
      <x:c r="I108"/>
    </x:row>
    <x:row r="109" ht="26" customHeight="1">
      <x:c r="A109"/>
      <x:c r="B109"/>
      <x:c r="C109"/>
      <x:c r="D109"/>
      <x:c r="E109"/>
      <x:c r="F109"/>
      <x:c r="G109"/>
      <x:c r="H109"/>
      <x:c r="I109"/>
    </x:row>
    <x:row r="110" ht="26" customHeight="1">
      <x:c r="A110"/>
      <x:c r="B110"/>
      <x:c r="C110"/>
      <x:c r="D110"/>
      <x:c r="E110"/>
      <x:c r="F110"/>
      <x:c r="G110"/>
      <x:c r="H110"/>
      <x:c r="I110"/>
    </x:row>
    <x:row r="111" ht="26" customHeight="1">
      <x:c r="A111"/>
      <x:c r="B111"/>
      <x:c r="C111"/>
      <x:c r="D111"/>
      <x:c r="E111"/>
      <x:c r="F111"/>
      <x:c r="G111"/>
      <x:c r="H111"/>
      <x:c r="I111"/>
    </x:row>
    <x:row r="112" ht="26" customHeight="1">
      <x:c r="A112"/>
      <x:c r="B112"/>
      <x:c r="C112"/>
      <x:c r="D112"/>
      <x:c r="E112"/>
      <x:c r="F112"/>
      <x:c r="G112"/>
      <x:c r="H112"/>
      <x:c r="I112"/>
    </x:row>
    <x:row r="113" ht="26" customHeight="1">
      <x:c r="A113"/>
      <x:c r="B113"/>
      <x:c r="C113"/>
      <x:c r="D113"/>
      <x:c r="E113"/>
      <x:c r="F113"/>
      <x:c r="G113"/>
      <x:c r="H113"/>
      <x:c r="I113"/>
    </x:row>
    <x:row r="114" ht="26" customHeight="1">
      <x:c r="A114"/>
      <x:c r="B114"/>
      <x:c r="C114"/>
      <x:c r="D114"/>
      <x:c r="E114"/>
      <x:c r="F114"/>
      <x:c r="G114"/>
      <x:c r="H114"/>
      <x:c r="I114"/>
    </x:row>
    <x:row r="115" ht="26" customHeight="1">
      <x:c r="A115"/>
      <x:c r="B115"/>
      <x:c r="C115"/>
      <x:c r="D115"/>
      <x:c r="E115"/>
      <x:c r="F115"/>
      <x:c r="G115"/>
      <x:c r="H115"/>
      <x:c r="I115"/>
    </x:row>
    <x:row r="116" ht="26" customHeight="1">
      <x:c r="A116"/>
      <x:c r="B116"/>
      <x:c r="C116"/>
      <x:c r="D116"/>
      <x:c r="E116"/>
      <x:c r="F116"/>
      <x:c r="G116"/>
      <x:c r="H116"/>
      <x:c r="I116"/>
    </x:row>
    <x:row r="117" ht="26" customHeight="1">
      <x:c r="A117"/>
      <x:c r="B117"/>
      <x:c r="C117"/>
      <x:c r="D117"/>
      <x:c r="E117"/>
      <x:c r="F117"/>
      <x:c r="G117"/>
      <x:c r="H117"/>
      <x:c r="I117"/>
    </x:row>
    <x:row r="118" ht="26" customHeight="1">
      <x:c r="A118"/>
      <x:c r="B118"/>
      <x:c r="C118"/>
      <x:c r="D118"/>
      <x:c r="E118"/>
      <x:c r="F118"/>
      <x:c r="G118"/>
      <x:c r="H118"/>
      <x:c r="I118"/>
    </x:row>
  </x:sheetData>
  <x:mergeCells>
    <x:mergeCell ref="B2:I3"/>
    <x:mergeCell ref="B4:I4"/>
    <x:mergeCell ref="B14:I14"/>
    <x:mergeCell ref="B15:I15"/>
    <x:mergeCell ref="B20:I20"/>
    <x:mergeCell ref="B38:I3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.75" hidden="0" customWidth="1"/>
    <x:col min="2" max="2" width="12.5" hidden="0" customWidth="1"/>
    <x:col min="3" max="3" width="11" hidden="0" customWidth="1"/>
    <x:col min="4" max="5" width="10.25" customWidth="1"/>
    <x:col min="6" max="8" width="12.25" customWidth="1"/>
    <x:col min="9" max="9" width="12.5" hidden="0" customWidth="1"/>
    <x:col min="10" max="10" width="12.5" hidden="0" customWidth="1"/>
    <x:col min="11" max="11" width="18.1299991607666" hidden="0" customWidth="1"/>
    <x:col min="12" max="12" width="2.75" hidden="0" customWidth="1"/>
    <x:col min="13" max="13" width="2.75" hidden="0" customWidth="1"/>
    <x:col min="14" max="15" width="13" customWidth="1"/>
    <x:col min="16" max="16" width="18" customWidth="1"/>
    <x:col min="17" max="17" width="12" customWidth="1"/>
    <x:col min="18" max="22" width="13" customWidth="1"/>
    <x:col min="4" max="4" width="12" hidden="0" customWidth="1"/>
    <x:col min="5" max="5" width="13.5" hidden="0" customWidth="1"/>
    <x:col min="6" max="6" width="13.75" hidden="0" customWidth="1"/>
    <x:col min="7" max="7" width="15.630000114440918" hidden="0" customWidth="1"/>
    <x:col min="8" max="8" width="12.5" hidden="0" customWidth="1"/>
  </x:cols>
  <x:sheetData>
    <x:row r="1" ht="26" customHeight="1">
      <x:c r="A1" s="25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/>
    </x:row>
    <x:row r="2" ht="26" customHeight="1">
      <x:c r="A2" s="25"/>
      <x:c r="B2" s="26" t="str">
        <x:v>Astral · ARB Calculations</x:v>
      </x:c>
      <x:c r="C2" s="26" t="str">
        <x:v>Astral · ARB Calculations</x:v>
      </x:c>
      <x:c r="D2" s="26" t="str">
        <x:v>Astral · ARB Calculations</x:v>
      </x:c>
      <x:c r="E2" s="26" t="str">
        <x:v>Astral · ARB Calculations</x:v>
      </x:c>
      <x:c r="F2" s="26" t="str">
        <x:v>Astral · ARB Calculations</x:v>
      </x:c>
      <x:c r="G2" s="26" t="str">
        <x:v>Astral · ARB Calculations</x:v>
      </x:c>
      <x:c r="H2" s="26" t="str">
        <x:v>Astral · ARB Calculations</x:v>
      </x:c>
      <x:c r="I2" s="26" t="str">
        <x:v>Astral · ARB Calculations</x:v>
      </x:c>
      <x:c r="J2" s="26" t="str">
        <x:v>Astral · ARB Calculations</x:v>
      </x:c>
      <x:c r="K2" s="26" t="str">
        <x:v>Astral · ARB Calculations</x:v>
      </x:c>
      <x:c r="L2" s="25"/>
      <x:c r="M2" s="25"/>
      <x:c r="N2"/>
    </x:row>
    <x:row r="3" ht="26" customHeight="1">
      <x:c r="A3" s="25"/>
      <x:c r="B3" s="26" t="str">
        <x:v>Astral · ARB Calculations</x:v>
      </x:c>
      <x:c r="C3" s="26" t="str">
        <x:v>Astral · ARB Calculations</x:v>
      </x:c>
      <x:c r="D3" s="26" t="str">
        <x:v>Astral · ARB Calculations</x:v>
      </x:c>
      <x:c r="E3" s="26" t="str">
        <x:v>Astral · ARB Calculations</x:v>
      </x:c>
      <x:c r="F3" s="26" t="str">
        <x:v>Astral · ARB Calculations</x:v>
      </x:c>
      <x:c r="G3" s="26" t="str">
        <x:v>Astral · ARB Calculations</x:v>
      </x:c>
      <x:c r="H3" s="26" t="str">
        <x:v>Astral · ARB Calculations</x:v>
      </x:c>
      <x:c r="I3" s="26" t="str">
        <x:v>Astral · ARB Calculations</x:v>
      </x:c>
      <x:c r="J3" s="26" t="str">
        <x:v>Astral · ARB Calculations</x:v>
      </x:c>
      <x:c r="K3" s="26" t="str">
        <x:v>Astral · ARB Calculations</x:v>
      </x:c>
      <x:c r="L3" s="25"/>
      <x:c r="M3" s="25"/>
      <x:c r="N3"/>
    </x:row>
    <x:row r="4" ht="26" customHeight="1">
      <x:c r="A4" s="25"/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/>
      <x:c r="P4"/>
    </x:row>
    <x:row r="5" ht="40" customHeight="1">
      <x:c r="A5" s="25"/>
      <x:c r="B5" s="32" t="str">
        <x:v>Surface</x:v>
      </x:c>
      <x:c r="C5" s="32" t="str">
        <x:v>Axle</x:v>
      </x:c>
      <x:c r="D5" s="32" t="str">
        <x:v>Position</x:v>
      </x:c>
      <x:c r="E5" s="32" t="str">
        <x:v>Wheel ΔZ
(mm)</x:v>
      </x:c>
      <x:c r="F5" s="32" t="str">
        <x:v>Arm Δθ
(°)</x:v>
      </x:c>
      <x:c r="G5" s="32" t="str">
        <x:v>Angular MR
(rad/mm)</x:v>
      </x:c>
      <x:c r="H5" s="32" t="str">
        <x:v>Soft
(N/mm)</x:v>
      </x:c>
      <x:c r="I5" s="32" t="str">
        <x:v>Medium
(N/mm)</x:v>
      </x:c>
      <x:c r="J5" s="32" t="str">
        <x:v>Hard
(N/mm)</x:v>
      </x:c>
      <x:c r="K5" s="32" t="str">
        <x:v>Input</x:v>
      </x:c>
      <x:c r="L5" s="25"/>
      <x:c r="M5" s="25"/>
      <x:c r="N5"/>
      <x:c r="P5"/>
      <x:c r="Q5"/>
    </x:row>
    <x:row r="6" ht="26" customHeight="1">
      <x:c r="A6" s="25"/>
      <x:c r="B6" s="35" t="str">
        <x:v>Tarmac</x:v>
      </x:c>
      <x:c r="C6" s="35" t="str">
        <x:v>Front</x:v>
      </x:c>
      <x:c r="D6" s="35" t="str">
        <x:v>Inner</x:v>
      </x:c>
      <x:c r="E6" s="52">
        <x:f>IF(ISNUMBER(Parameters!E23),Parameters!E23,"")</x:f>
        <x:v>127</x:v>
      </x:c>
      <x:c r="F6" s="56" t="str">
        <x:f>IF(COUNT(Parameters!G17,Parameters!H23)&lt;2,"",MOD(Parameters!H23-Parameters!G17+180,360)-180)</x:f>
        <x:v/>
      </x:c>
      <x:c r="G6" s="58" t="str">
        <x:f>IF(COUNT(E6:F6)&lt;2,"",IF(E6&lt;=0,"",RADIANS(F6)/E6))</x:f>
        <x:v/>
      </x:c>
      <x:c r="H6" s="50" t="str">
        <x:f>IF(ISNUMBER(G6),1000*Parameters!E7*G6^2,"")</x:f>
        <x:v/>
      </x:c>
      <x:c r="I6" s="50" t="str">
        <x:f>IF(ISNUMBER(G6),1000*Parameters!E8*G6^2,"")</x:f>
        <x:v/>
      </x:c>
      <x:c r="J6" s="50" t="str">
        <x:f>IF(ISNUMBER(G6),1000*Parameters!E9*G6^2,"")</x:f>
        <x:v/>
      </x:c>
      <x:c r="K6" s="60" t="str">
        <x:f>IF(COUNT(Parameters!C17:F17,Parameters!F23:G23)&lt;6,"待补坐标",IF(NOT(ISNUMBER(E6)),"待填轮行程",IF(E6&lt;=0,"轮行程须大于0",IF(COUNT(Parameters!G17,Parameters!H23)&lt;2,"无效半径",""))))</x:f>
        <x:v>待补坐标</x:v>
      </x:c>
      <x:c r="L6" s="25"/>
      <x:c r="M6" s="25"/>
      <x:c r="N6"/>
      <x:c r="P6"/>
      <x:c r="Q6"/>
    </x:row>
    <x:row r="7" ht="26" customHeight="1">
      <x:c r="A7" s="25"/>
      <x:c r="B7" s="34" t="str">
        <x:v>Tarmac</x:v>
      </x:c>
      <x:c r="C7" s="34" t="str">
        <x:v>Front</x:v>
      </x:c>
      <x:c r="D7" s="34" t="str">
        <x:v>Middle</x:v>
      </x:c>
      <x:c r="E7" s="53">
        <x:f>IF(ISNUMBER(Parameters!E24),Parameters!E24,"")</x:f>
        <x:v>127</x:v>
      </x:c>
      <x:c r="F7" s="57" t="str">
        <x:f>IF(COUNT(Parameters!G17,Parameters!H24)&lt;2,"",MOD(Parameters!H24-Parameters!G17+180,360)-180)</x:f>
        <x:v/>
      </x:c>
      <x:c r="G7" s="59" t="str">
        <x:f>IF(COUNT(E7:F7)&lt;2,"",IF(E7&lt;=0,"",RADIANS(F7)/E7))</x:f>
        <x:v/>
      </x:c>
      <x:c r="H7" s="51" t="str">
        <x:f>IF(ISNUMBER(G7),1000*Parameters!E7*G7^2,"")</x:f>
        <x:v/>
      </x:c>
      <x:c r="I7" s="51" t="str">
        <x:f>IF(ISNUMBER(G7),1000*Parameters!E8*G7^2,"")</x:f>
        <x:v/>
      </x:c>
      <x:c r="J7" s="51" t="str">
        <x:f>IF(ISNUMBER(G7),1000*Parameters!E9*G7^2,"")</x:f>
        <x:v/>
      </x:c>
      <x:c r="K7" s="61" t="str">
        <x:f>IF(COUNT(Parameters!C17:F17,Parameters!F24:G24)&lt;6,"待补坐标",IF(NOT(ISNUMBER(E7)),"待填轮行程",IF(E7&lt;=0,"轮行程须大于0",IF(COUNT(Parameters!G17,Parameters!H24)&lt;2,"无效半径",""))))</x:f>
        <x:v>待补坐标</x:v>
      </x:c>
      <x:c r="L7" s="25"/>
      <x:c r="M7" s="25"/>
      <x:c r="N7"/>
      <x:c r="P7"/>
      <x:c r="Q7"/>
    </x:row>
    <x:row r="8" ht="26" customHeight="1">
      <x:c r="A8" s="25"/>
      <x:c r="B8" s="35" t="str">
        <x:v>Tarmac</x:v>
      </x:c>
      <x:c r="C8" s="35" t="str">
        <x:v>Front</x:v>
      </x:c>
      <x:c r="D8" s="35" t="str">
        <x:v>Outer</x:v>
      </x:c>
      <x:c r="E8" s="52">
        <x:f>IF(ISNUMBER(Parameters!E25),Parameters!E25,"")</x:f>
        <x:v>127</x:v>
      </x:c>
      <x:c r="F8" s="56" t="str">
        <x:f>IF(COUNT(Parameters!G17,Parameters!H25)&lt;2,"",MOD(Parameters!H25-Parameters!G17+180,360)-180)</x:f>
        <x:v/>
      </x:c>
      <x:c r="G8" s="58" t="str">
        <x:f>IF(COUNT(E8:F8)&lt;2,"",IF(E8&lt;=0,"",RADIANS(F8)/E8))</x:f>
        <x:v/>
      </x:c>
      <x:c r="H8" s="50" t="str">
        <x:f>IF(ISNUMBER(G8),1000*Parameters!E7*G8^2,"")</x:f>
        <x:v/>
      </x:c>
      <x:c r="I8" s="50" t="str">
        <x:f>IF(ISNUMBER(G8),1000*Parameters!E8*G8^2,"")</x:f>
        <x:v/>
      </x:c>
      <x:c r="J8" s="50" t="str">
        <x:f>IF(ISNUMBER(G8),1000*Parameters!E9*G8^2,"")</x:f>
        <x:v/>
      </x:c>
      <x:c r="K8" s="60" t="str">
        <x:f>IF(COUNT(Parameters!C17:F17,Parameters!F25:G25)&lt;6,"待补坐标",IF(NOT(ISNUMBER(E8)),"待填轮行程",IF(E8&lt;=0,"轮行程须大于0",IF(COUNT(Parameters!G17,Parameters!H25)&lt;2,"无效半径",""))))</x:f>
        <x:v>待补坐标</x:v>
      </x:c>
      <x:c r="L8" s="25"/>
      <x:c r="M8" s="25"/>
      <x:c r="N8"/>
      <x:c r="P8"/>
      <x:c r="Q8"/>
    </x:row>
    <x:row r="9" ht="26" customHeight="1">
      <x:c r="A9" s="25"/>
      <x:c r="B9" s="34" t="str">
        <x:v>Tarmac</x:v>
      </x:c>
      <x:c r="C9" s="34" t="str">
        <x:v>Rear</x:v>
      </x:c>
      <x:c r="D9" s="34" t="str">
        <x:v>Inner</x:v>
      </x:c>
      <x:c r="E9" s="53">
        <x:f>IF(ISNUMBER(Parameters!E26),Parameters!E26,"")</x:f>
        <x:v>136</x:v>
      </x:c>
      <x:c r="F9" s="57" t="str">
        <x:f>IF(COUNT(Parameters!G18,Parameters!H26)&lt;2,"",MOD(Parameters!H26-Parameters!G18+180,360)-180)</x:f>
        <x:v/>
      </x:c>
      <x:c r="G9" s="59" t="str">
        <x:f>IF(COUNT(E9:F9)&lt;2,"",IF(E9&lt;=0,"",RADIANS(F9)/E9))</x:f>
        <x:v/>
      </x:c>
      <x:c r="H9" s="51" t="str">
        <x:f>IF(ISNUMBER(G9),1000*Parameters!E10*G9^2,"")</x:f>
        <x:v/>
      </x:c>
      <x:c r="I9" s="51" t="str">
        <x:f>IF(ISNUMBER(G9),1000*Parameters!E11*G9^2,"")</x:f>
        <x:v/>
      </x:c>
      <x:c r="J9" s="51" t="str">
        <x:f>IF(ISNUMBER(G9),1000*Parameters!E12*G9^2,"")</x:f>
        <x:v/>
      </x:c>
      <x:c r="K9" s="61" t="str">
        <x:f>IF(COUNT(Parameters!C18:F18,Parameters!F26:G26)&lt;6,"待补坐标",IF(NOT(ISNUMBER(E9)),"待填轮行程",IF(E9&lt;=0,"轮行程须大于0",IF(COUNT(Parameters!G18,Parameters!H26)&lt;2,"无效半径",""))))</x:f>
        <x:v>待补坐标</x:v>
      </x:c>
      <x:c r="L9" s="25"/>
      <x:c r="M9" s="25"/>
      <x:c r="N9"/>
      <x:c r="P9"/>
      <x:c r="Q9"/>
    </x:row>
    <x:row r="10" ht="26" customHeight="1">
      <x:c r="A10" s="25"/>
      <x:c r="B10" s="35" t="str">
        <x:v>Tarmac</x:v>
      </x:c>
      <x:c r="C10" s="35" t="str">
        <x:v>Rear</x:v>
      </x:c>
      <x:c r="D10" s="35" t="str">
        <x:v>Middle</x:v>
      </x:c>
      <x:c r="E10" s="52">
        <x:f>IF(ISNUMBER(Parameters!E27),Parameters!E27,"")</x:f>
        <x:v>136</x:v>
      </x:c>
      <x:c r="F10" s="56" t="str">
        <x:f>IF(COUNT(Parameters!G18,Parameters!H27)&lt;2,"",MOD(Parameters!H27-Parameters!G18+180,360)-180)</x:f>
        <x:v/>
      </x:c>
      <x:c r="G10" s="58" t="str">
        <x:f>IF(COUNT(E10:F10)&lt;2,"",IF(E10&lt;=0,"",RADIANS(F10)/E10))</x:f>
        <x:v/>
      </x:c>
      <x:c r="H10" s="50" t="str">
        <x:f>IF(ISNUMBER(G10),1000*Parameters!E10*G10^2,"")</x:f>
        <x:v/>
      </x:c>
      <x:c r="I10" s="50" t="str">
        <x:f>IF(ISNUMBER(G10),1000*Parameters!E11*G10^2,"")</x:f>
        <x:v/>
      </x:c>
      <x:c r="J10" s="50" t="str">
        <x:f>IF(ISNUMBER(G10),1000*Parameters!E12*G10^2,"")</x:f>
        <x:v/>
      </x:c>
      <x:c r="K10" s="60" t="str">
        <x:f>IF(COUNT(Parameters!C18:F18,Parameters!F27:G27)&lt;6,"待补坐标",IF(NOT(ISNUMBER(E10)),"待填轮行程",IF(E10&lt;=0,"轮行程须大于0",IF(COUNT(Parameters!G18,Parameters!H27)&lt;2,"无效半径",""))))</x:f>
        <x:v>待补坐标</x:v>
      </x:c>
      <x:c r="L10" s="25"/>
      <x:c r="M10" s="25"/>
      <x:c r="N10"/>
      <x:c r="P10"/>
      <x:c r="Q10"/>
    </x:row>
    <x:row r="11" ht="26" customHeight="1">
      <x:c r="A11" s="25"/>
      <x:c r="B11" s="34" t="str">
        <x:v>Tarmac</x:v>
      </x:c>
      <x:c r="C11" s="34" t="str">
        <x:v>Rear</x:v>
      </x:c>
      <x:c r="D11" s="34" t="str">
        <x:v>Outer</x:v>
      </x:c>
      <x:c r="E11" s="53">
        <x:f>IF(ISNUMBER(Parameters!E28),Parameters!E28,"")</x:f>
        <x:v>136</x:v>
      </x:c>
      <x:c r="F11" s="57" t="str">
        <x:f>IF(COUNT(Parameters!G18,Parameters!H28)&lt;2,"",MOD(Parameters!H28-Parameters!G18+180,360)-180)</x:f>
        <x:v/>
      </x:c>
      <x:c r="G11" s="59" t="str">
        <x:f>IF(COUNT(E11:F11)&lt;2,"",IF(E11&lt;=0,"",RADIANS(F11)/E11))</x:f>
        <x:v/>
      </x:c>
      <x:c r="H11" s="51" t="str">
        <x:f>IF(ISNUMBER(G11),1000*Parameters!E10*G11^2,"")</x:f>
        <x:v/>
      </x:c>
      <x:c r="I11" s="51" t="str">
        <x:f>IF(ISNUMBER(G11),1000*Parameters!E11*G11^2,"")</x:f>
        <x:v/>
      </x:c>
      <x:c r="J11" s="51" t="str">
        <x:f>IF(ISNUMBER(G11),1000*Parameters!E12*G11^2,"")</x:f>
        <x:v/>
      </x:c>
      <x:c r="K11" s="61" t="str">
        <x:f>IF(COUNT(Parameters!C18:F18,Parameters!F28:G28)&lt;6,"待补坐标",IF(NOT(ISNUMBER(E11)),"待填轮行程",IF(E11&lt;=0,"轮行程须大于0",IF(COUNT(Parameters!G18,Parameters!H28)&lt;2,"无效半径",""))))</x:f>
        <x:v>待补坐标</x:v>
      </x:c>
      <x:c r="L11" s="25"/>
      <x:c r="M11" s="25"/>
      <x:c r="N11"/>
      <x:c r="P11"/>
      <x:c r="Q11"/>
    </x:row>
    <x:row r="12" ht="26" customHeight="1">
      <x:c r="A12" s="25"/>
      <x:c r="B12" s="35" t="str">
        <x:v>Gravel</x:v>
      </x:c>
      <x:c r="C12" s="35" t="str">
        <x:v>Front</x:v>
      </x:c>
      <x:c r="D12" s="35" t="str">
        <x:v>Inner</x:v>
      </x:c>
      <x:c r="E12" s="52">
        <x:f>IF(ISNUMBER(Parameters!E29),Parameters!E29,"")</x:f>
        <x:v>126</x:v>
      </x:c>
      <x:c r="F12" s="56" t="str">
        <x:f>IF(COUNT(Parameters!G17,Parameters!H29)&lt;2,"",MOD(Parameters!H29-Parameters!G17+180,360)-180)</x:f>
        <x:v/>
      </x:c>
      <x:c r="G12" s="58" t="str">
        <x:f>IF(COUNT(E12:F12)&lt;2,"",IF(E12&lt;=0,"",RADIANS(F12)/E12))</x:f>
        <x:v/>
      </x:c>
      <x:c r="H12" s="50" t="str">
        <x:f>IF(ISNUMBER(G12),1000*Parameters!E7*G12^2,"")</x:f>
        <x:v/>
      </x:c>
      <x:c r="I12" s="50" t="str">
        <x:f>IF(ISNUMBER(G12),1000*Parameters!E8*G12^2,"")</x:f>
        <x:v/>
      </x:c>
      <x:c r="J12" s="50" t="str">
        <x:f>IF(ISNUMBER(G12),1000*Parameters!E9*G12^2,"")</x:f>
        <x:v/>
      </x:c>
      <x:c r="K12" s="60" t="str">
        <x:f>IF(COUNT(Parameters!C17:F17,Parameters!F29:G29)&lt;6,"待补坐标",IF(NOT(ISNUMBER(E12)),"待填轮行程",IF(E12&lt;=0,"轮行程须大于0",IF(COUNT(Parameters!G17,Parameters!H29)&lt;2,"无效半径",""))))</x:f>
        <x:v>待补坐标</x:v>
      </x:c>
      <x:c r="L12" s="25"/>
      <x:c r="M12" s="25"/>
      <x:c r="N12"/>
      <x:c r="P12"/>
      <x:c r="Q12"/>
    </x:row>
    <x:row r="13" ht="26" customHeight="1">
      <x:c r="A13" s="25"/>
      <x:c r="B13" s="34" t="str">
        <x:v>Gravel</x:v>
      </x:c>
      <x:c r="C13" s="34" t="str">
        <x:v>Front</x:v>
      </x:c>
      <x:c r="D13" s="34" t="str">
        <x:v>Middle</x:v>
      </x:c>
      <x:c r="E13" s="53">
        <x:f>IF(ISNUMBER(Parameters!E30),Parameters!E30,"")</x:f>
        <x:v>126</x:v>
      </x:c>
      <x:c r="F13" s="57" t="str">
        <x:f>IF(COUNT(Parameters!G17,Parameters!H30)&lt;2,"",MOD(Parameters!H30-Parameters!G17+180,360)-180)</x:f>
        <x:v/>
      </x:c>
      <x:c r="G13" s="59" t="str">
        <x:f>IF(COUNT(E13:F13)&lt;2,"",IF(E13&lt;=0,"",RADIANS(F13)/E13))</x:f>
        <x:v/>
      </x:c>
      <x:c r="H13" s="51" t="str">
        <x:f>IF(ISNUMBER(G13),1000*Parameters!E7*G13^2,"")</x:f>
        <x:v/>
      </x:c>
      <x:c r="I13" s="51" t="str">
        <x:f>IF(ISNUMBER(G13),1000*Parameters!E8*G13^2,"")</x:f>
        <x:v/>
      </x:c>
      <x:c r="J13" s="51" t="str">
        <x:f>IF(ISNUMBER(G13),1000*Parameters!E9*G13^2,"")</x:f>
        <x:v/>
      </x:c>
      <x:c r="K13" s="61" t="str">
        <x:f>IF(COUNT(Parameters!C17:F17,Parameters!F30:G30)&lt;6,"待补坐标",IF(NOT(ISNUMBER(E13)),"待填轮行程",IF(E13&lt;=0,"轮行程须大于0",IF(COUNT(Parameters!G17,Parameters!H30)&lt;2,"无效半径",""))))</x:f>
        <x:v>待补坐标</x:v>
      </x:c>
      <x:c r="L13" s="25"/>
      <x:c r="M13" s="25"/>
      <x:c r="N13"/>
      <x:c r="P13"/>
      <x:c r="Q13"/>
    </x:row>
    <x:row r="14" ht="26" customHeight="1">
      <x:c r="A14" s="25"/>
      <x:c r="B14" s="35" t="str">
        <x:v>Gravel</x:v>
      </x:c>
      <x:c r="C14" s="35" t="str">
        <x:v>Front</x:v>
      </x:c>
      <x:c r="D14" s="35" t="str">
        <x:v>Outer</x:v>
      </x:c>
      <x:c r="E14" s="52">
        <x:f>IF(ISNUMBER(Parameters!E31),Parameters!E31,"")</x:f>
        <x:v>126</x:v>
      </x:c>
      <x:c r="F14" s="56" t="str">
        <x:f>IF(COUNT(Parameters!G17,Parameters!H31)&lt;2,"",MOD(Parameters!H31-Parameters!G17+180,360)-180)</x:f>
        <x:v/>
      </x:c>
      <x:c r="G14" s="58" t="str">
        <x:f>IF(COUNT(E14:F14)&lt;2,"",IF(E14&lt;=0,"",RADIANS(F14)/E14))</x:f>
        <x:v/>
      </x:c>
      <x:c r="H14" s="50" t="str">
        <x:f>IF(ISNUMBER(G14),1000*Parameters!E7*G14^2,"")</x:f>
        <x:v/>
      </x:c>
      <x:c r="I14" s="50" t="str">
        <x:f>IF(ISNUMBER(G14),1000*Parameters!E8*G14^2,"")</x:f>
        <x:v/>
      </x:c>
      <x:c r="J14" s="50" t="str">
        <x:f>IF(ISNUMBER(G14),1000*Parameters!E9*G14^2,"")</x:f>
        <x:v/>
      </x:c>
      <x:c r="K14" s="60" t="str">
        <x:f>IF(COUNT(Parameters!C17:F17,Parameters!F31:G31)&lt;6,"待补坐标",IF(NOT(ISNUMBER(E14)),"待填轮行程",IF(E14&lt;=0,"轮行程须大于0",IF(COUNT(Parameters!G17,Parameters!H31)&lt;2,"无效半径",""))))</x:f>
        <x:v>待补坐标</x:v>
      </x:c>
      <x:c r="L14" s="25"/>
      <x:c r="M14" s="25"/>
      <x:c r="N14"/>
    </x:row>
    <x:row r="15" ht="26" customHeight="1">
      <x:c r="A15" s="25"/>
      <x:c r="B15" s="34" t="str">
        <x:v>Gravel</x:v>
      </x:c>
      <x:c r="C15" s="34" t="str">
        <x:v>Rear</x:v>
      </x:c>
      <x:c r="D15" s="34" t="str">
        <x:v>Inner</x:v>
      </x:c>
      <x:c r="E15" s="53">
        <x:f>IF(ISNUMBER(Parameters!E32),Parameters!E32,"")</x:f>
        <x:v>127</x:v>
      </x:c>
      <x:c r="F15" s="57" t="str">
        <x:f>IF(COUNT(Parameters!G18,Parameters!H32)&lt;2,"",MOD(Parameters!H32-Parameters!G18+180,360)-180)</x:f>
        <x:v/>
      </x:c>
      <x:c r="G15" s="59" t="str">
        <x:f>IF(COUNT(E15:F15)&lt;2,"",IF(E15&lt;=0,"",RADIANS(F15)/E15))</x:f>
        <x:v/>
      </x:c>
      <x:c r="H15" s="51" t="str">
        <x:f>IF(ISNUMBER(G15),1000*Parameters!E10*G15^2,"")</x:f>
        <x:v/>
      </x:c>
      <x:c r="I15" s="51" t="str">
        <x:f>IF(ISNUMBER(G15),1000*Parameters!E11*G15^2,"")</x:f>
        <x:v/>
      </x:c>
      <x:c r="J15" s="51" t="str">
        <x:f>IF(ISNUMBER(G15),1000*Parameters!E12*G15^2,"")</x:f>
        <x:v/>
      </x:c>
      <x:c r="K15" s="61" t="str">
        <x:f>IF(COUNT(Parameters!C18:F18,Parameters!F32:G32)&lt;6,"待补坐标",IF(NOT(ISNUMBER(E15)),"待填轮行程",IF(E15&lt;=0,"轮行程须大于0",IF(COUNT(Parameters!G18,Parameters!H32)&lt;2,"无效半径",""))))</x:f>
        <x:v>待补坐标</x:v>
      </x:c>
      <x:c r="L15" s="25"/>
      <x:c r="M15" s="25"/>
      <x:c r="N15"/>
    </x:row>
    <x:row r="16" ht="26" customHeight="1">
      <x:c r="A16" s="25"/>
      <x:c r="B16" s="35" t="str">
        <x:v>Gravel</x:v>
      </x:c>
      <x:c r="C16" s="35" t="str">
        <x:v>Rear</x:v>
      </x:c>
      <x:c r="D16" s="35" t="str">
        <x:v>Middle</x:v>
      </x:c>
      <x:c r="E16" s="52">
        <x:f>IF(ISNUMBER(Parameters!E33),Parameters!E33,"")</x:f>
        <x:v>127</x:v>
      </x:c>
      <x:c r="F16" s="56" t="str">
        <x:f>IF(COUNT(Parameters!G18,Parameters!H33)&lt;2,"",MOD(Parameters!H33-Parameters!G18+180,360)-180)</x:f>
        <x:v/>
      </x:c>
      <x:c r="G16" s="58" t="str">
        <x:f>IF(COUNT(E16:F16)&lt;2,"",IF(E16&lt;=0,"",RADIANS(F16)/E16))</x:f>
        <x:v/>
      </x:c>
      <x:c r="H16" s="50" t="str">
        <x:f>IF(ISNUMBER(G16),1000*Parameters!E10*G16^2,"")</x:f>
        <x:v/>
      </x:c>
      <x:c r="I16" s="50" t="str">
        <x:f>IF(ISNUMBER(G16),1000*Parameters!E11*G16^2,"")</x:f>
        <x:v/>
      </x:c>
      <x:c r="J16" s="50" t="str">
        <x:f>IF(ISNUMBER(G16),1000*Parameters!E12*G16^2,"")</x:f>
        <x:v/>
      </x:c>
      <x:c r="K16" s="60" t="str">
        <x:f>IF(COUNT(Parameters!C18:F18,Parameters!F33:G33)&lt;6,"待补坐标",IF(NOT(ISNUMBER(E16)),"待填轮行程",IF(E16&lt;=0,"轮行程须大于0",IF(COUNT(Parameters!G18,Parameters!H33)&lt;2,"无效半径",""))))</x:f>
        <x:v>待补坐标</x:v>
      </x:c>
      <x:c r="L16" s="25"/>
      <x:c r="M16" s="25"/>
      <x:c r="N16"/>
    </x:row>
    <x:row r="17" ht="26" customHeight="1">
      <x:c r="A17" s="25"/>
      <x:c r="B17" s="34" t="str">
        <x:v>Gravel</x:v>
      </x:c>
      <x:c r="C17" s="34" t="str">
        <x:v>Rear</x:v>
      </x:c>
      <x:c r="D17" s="34" t="str">
        <x:v>Outer</x:v>
      </x:c>
      <x:c r="E17" s="53">
        <x:f>IF(ISNUMBER(Parameters!E34),Parameters!E34,"")</x:f>
        <x:v>127</x:v>
      </x:c>
      <x:c r="F17" s="57" t="str">
        <x:f>IF(COUNT(Parameters!G18,Parameters!H34)&lt;2,"",MOD(Parameters!H34-Parameters!G18+180,360)-180)</x:f>
        <x:v/>
      </x:c>
      <x:c r="G17" s="59" t="str">
        <x:f>IF(COUNT(E17:F17)&lt;2,"",IF(E17&lt;=0,"",RADIANS(F17)/E17))</x:f>
        <x:v/>
      </x:c>
      <x:c r="H17" s="51" t="str">
        <x:f>IF(ISNUMBER(G17),1000*Parameters!E10*G17^2,"")</x:f>
        <x:v/>
      </x:c>
      <x:c r="I17" s="51" t="str">
        <x:f>IF(ISNUMBER(G17),1000*Parameters!E11*G17^2,"")</x:f>
        <x:v/>
      </x:c>
      <x:c r="J17" s="51" t="str">
        <x:f>IF(ISNUMBER(G17),1000*Parameters!E12*G17^2,"")</x:f>
        <x:v/>
      </x:c>
      <x:c r="K17" s="61" t="str">
        <x:f>IF(COUNT(Parameters!C18:F18,Parameters!F34:G34)&lt;6,"待补坐标",IF(NOT(ISNUMBER(E17)),"待填轮行程",IF(E17&lt;=0,"轮行程须大于0",IF(COUNT(Parameters!G18,Parameters!H34)&lt;2,"无效半径",""))))</x:f>
        <x:v>待补坐标</x:v>
      </x:c>
      <x:c r="L17" s="25"/>
      <x:c r="M17" s="25"/>
      <x:c r="N17"/>
    </x:row>
    <x:row r="18" ht="26" customHeight="1">
      <x:c r="A18" s="25"/>
      <x:c r="B18" s="25"/>
      <x:c r="C18" s="25"/>
      <x:c r="D18" s="25"/>
      <x:c r="E18" s="25"/>
      <x:c r="F18" s="25"/>
      <x:c r="G18" s="25"/>
      <x:c r="H18" s="25"/>
      <x:c r="I18" s="25"/>
      <x:c r="J18" s="25"/>
      <x:c r="K18" s="25"/>
      <x:c r="L18" s="25"/>
      <x:c r="M18" s="25"/>
      <x:c r="N18"/>
    </x:row>
    <x:row r="19" ht="26" customHeight="1">
      <x:c r="A19" s="25"/>
      <x:c r="B19" s="25"/>
      <x:c r="C19" s="25"/>
      <x:c r="D19" s="25"/>
      <x:c r="E19" s="25"/>
      <x:c r="F19" s="25"/>
      <x:c r="G19" s="25"/>
      <x:c r="H19" s="25"/>
      <x:c r="I19" s="25"/>
      <x:c r="J19" s="25"/>
      <x:c r="K19" s="25"/>
      <x:c r="L19" s="25"/>
      <x:c r="M19" s="25"/>
      <x:c r="N19"/>
    </x:row>
    <x:row r="20" ht="26" customHeight="1">
      <x:c r="A20" s="25"/>
      <x:c r="B20" s="25"/>
      <x:c r="C20" s="25"/>
      <x:c r="D20" s="25"/>
      <x:c r="E20" s="25"/>
      <x:c r="F20" s="25"/>
      <x:c r="G20" s="25"/>
      <x:c r="H20" s="25"/>
      <x:c r="I20" s="25"/>
      <x:c r="J20" s="25"/>
      <x:c r="K20" s="25"/>
      <x:c r="L20" s="25"/>
      <x:c r="M20" s="25"/>
      <x:c r="N20"/>
    </x:row>
    <x:row r="21" ht="26" customHeight="1">
      <x:c r="A21" s="25"/>
      <x:c r="B21" s="25"/>
      <x:c r="C21" s="25"/>
      <x:c r="D21" s="25"/>
      <x:c r="E21" s="25"/>
      <x:c r="F21" s="25"/>
      <x:c r="G21" s="25"/>
      <x:c r="H21" s="25"/>
      <x:c r="I21" s="25"/>
      <x:c r="J21" s="25"/>
      <x:c r="K21" s="25"/>
      <x:c r="L21" s="25"/>
      <x:c r="M21" s="25"/>
      <x:c r="N21"/>
    </x:row>
    <x:row r="22" ht="40" customHeight="1">
      <x:c r="A22" s="25"/>
      <x:c r="B22" s="32" t="str">
        <x:v>Setting</x:v>
      </x:c>
      <x:c r="C22" s="32" t="str">
        <x:v>Front</x:v>
      </x:c>
      <x:c r="D22" s="32" t="str">
        <x:v>Rear</x:v>
      </x:c>
      <x:c r="E22" s="25"/>
      <x:c r="F22" s="25"/>
      <x:c r="G22" s="25"/>
      <x:c r="H22" s="25"/>
      <x:c r="I22" s="25"/>
      <x:c r="J22" s="25"/>
      <x:c r="K22" s="25"/>
      <x:c r="L22" s="25"/>
      <x:c r="M22" s="25"/>
      <x:c r="N22"/>
    </x:row>
    <x:row r="23" ht="26" customHeight="1">
      <x:c r="A23" s="25"/>
      <x:c r="B23" s="34" t="str">
        <x:v>Soft Inner</x:v>
      </x:c>
      <x:c r="C23" s="51" t="e">
        <x:f>IF(ISNUMBER(H12),H12,NA())</x:f>
        <x:v>#N/A</x:v>
      </x:c>
      <x:c r="D23" s="51" t="e">
        <x:f>IF(ISNUMBER(H15),H15,NA())</x:f>
        <x:v>#N/A</x:v>
      </x:c>
      <x:c r="E23" s="25"/>
      <x:c r="F23" s="25"/>
      <x:c r="G23" s="25"/>
      <x:c r="H23" s="25"/>
      <x:c r="I23" s="25"/>
      <x:c r="J23" s="25"/>
      <x:c r="K23" s="25"/>
      <x:c r="L23" s="25"/>
      <x:c r="M23" s="25"/>
      <x:c r="N23"/>
    </x:row>
    <x:row r="24" ht="26" customHeight="1">
      <x:c r="A24" s="25"/>
      <x:c r="B24" s="35" t="str">
        <x:v>Soft Middle</x:v>
      </x:c>
      <x:c r="C24" s="50" t="e">
        <x:f>IF(ISNUMBER(H13),H13,NA())</x:f>
        <x:v>#N/A</x:v>
      </x:c>
      <x:c r="D24" s="50" t="e">
        <x:f>IF(ISNUMBER(H16),H16,NA())</x:f>
        <x:v>#N/A</x:v>
      </x:c>
      <x:c r="E24" s="25"/>
      <x:c r="F24" s="25"/>
      <x:c r="G24" s="25"/>
      <x:c r="H24" s="25"/>
      <x:c r="I24" s="25"/>
      <x:c r="J24" s="25"/>
      <x:c r="K24" s="25"/>
      <x:c r="L24" s="25"/>
      <x:c r="M24" s="25"/>
      <x:c r="N24"/>
    </x:row>
    <x:row r="25" ht="26" customHeight="1">
      <x:c r="A25" s="25"/>
      <x:c r="B25" s="34" t="str">
        <x:v>Soft Outer</x:v>
      </x:c>
      <x:c r="C25" s="51" t="e">
        <x:f>IF(ISNUMBER(H14),H14,NA())</x:f>
        <x:v>#N/A</x:v>
      </x:c>
      <x:c r="D25" s="51" t="e">
        <x:f>IF(ISNUMBER(H17),H17,NA())</x:f>
        <x:v>#N/A</x:v>
      </x:c>
      <x:c r="E25" s="25"/>
      <x:c r="F25" s="25"/>
      <x:c r="G25" s="25"/>
      <x:c r="H25" s="25"/>
      <x:c r="I25" s="25"/>
      <x:c r="J25" s="25"/>
      <x:c r="K25" s="25"/>
      <x:c r="L25" s="25"/>
      <x:c r="M25" s="25"/>
      <x:c r="N25"/>
    </x:row>
    <x:row r="26" ht="26" customHeight="1">
      <x:c r="A26" s="25"/>
      <x:c r="B26" s="35" t="str">
        <x:v>Medium Inner</x:v>
      </x:c>
      <x:c r="C26" s="50" t="e">
        <x:f>IF(ISNUMBER(I12),I12,NA())</x:f>
        <x:v>#N/A</x:v>
      </x:c>
      <x:c r="D26" s="50" t="e">
        <x:f>IF(ISNUMBER(I15),I15,NA())</x:f>
        <x:v>#N/A</x:v>
      </x:c>
      <x:c r="E26" s="25"/>
      <x:c r="F26" s="25"/>
      <x:c r="G26" s="25"/>
      <x:c r="H26" s="25"/>
      <x:c r="I26" s="25"/>
      <x:c r="J26" s="25"/>
      <x:c r="K26" s="25"/>
      <x:c r="L26" s="25"/>
      <x:c r="M26" s="25"/>
      <x:c r="N26"/>
    </x:row>
    <x:row r="27" ht="26" customHeight="1">
      <x:c r="A27" s="25"/>
      <x:c r="B27" s="34" t="str">
        <x:v>Medium Middle</x:v>
      </x:c>
      <x:c r="C27" s="51" t="e">
        <x:f>IF(ISNUMBER(I13),I13,NA())</x:f>
        <x:v>#N/A</x:v>
      </x:c>
      <x:c r="D27" s="51" t="e">
        <x:f>IF(ISNUMBER(I16),I16,NA())</x:f>
        <x:v>#N/A</x:v>
      </x:c>
      <x:c r="E27" s="25"/>
      <x:c r="F27" s="25"/>
      <x:c r="G27" s="25"/>
      <x:c r="H27" s="25"/>
      <x:c r="I27" s="25"/>
      <x:c r="J27" s="25"/>
      <x:c r="K27" s="25"/>
      <x:c r="L27" s="25"/>
      <x:c r="M27" s="25"/>
      <x:c r="N27"/>
    </x:row>
    <x:row r="28" ht="26" customHeight="1">
      <x:c r="A28" s="25"/>
      <x:c r="B28" s="35" t="str">
        <x:v>Medium Outer</x:v>
      </x:c>
      <x:c r="C28" s="50" t="e">
        <x:f>IF(ISNUMBER(I14),I14,NA())</x:f>
        <x:v>#N/A</x:v>
      </x:c>
      <x:c r="D28" s="50" t="e">
        <x:f>IF(ISNUMBER(I17),I17,NA())</x:f>
        <x:v>#N/A</x:v>
      </x:c>
      <x:c r="E28" s="25"/>
      <x:c r="F28" s="25"/>
      <x:c r="G28" s="25"/>
      <x:c r="H28" s="25"/>
      <x:c r="I28" s="25"/>
      <x:c r="J28" s="25"/>
      <x:c r="K28" s="25"/>
      <x:c r="L28" s="25"/>
      <x:c r="M28" s="25"/>
      <x:c r="N28"/>
    </x:row>
    <x:row r="29" ht="26" customHeight="1">
      <x:c r="A29" s="25"/>
      <x:c r="B29" s="34" t="str">
        <x:v>Hard Inner</x:v>
      </x:c>
      <x:c r="C29" s="51" t="e">
        <x:f>IF(ISNUMBER(J12),J12,NA())</x:f>
        <x:v>#N/A</x:v>
      </x:c>
      <x:c r="D29" s="51" t="e">
        <x:f>IF(ISNUMBER(J15),J15,NA())</x:f>
        <x:v>#N/A</x:v>
      </x:c>
      <x:c r="E29" s="25"/>
      <x:c r="F29" s="25"/>
      <x:c r="G29" s="25"/>
      <x:c r="H29" s="25"/>
      <x:c r="I29" s="25"/>
      <x:c r="J29" s="25"/>
      <x:c r="K29" s="25"/>
      <x:c r="L29" s="25"/>
      <x:c r="M29" s="25"/>
      <x:c r="N29"/>
    </x:row>
    <x:row r="30" ht="26" customHeight="1">
      <x:c r="A30" s="25"/>
      <x:c r="B30" s="35" t="str">
        <x:v>Hard Middle</x:v>
      </x:c>
      <x:c r="C30" s="50" t="e">
        <x:f>IF(ISNUMBER(J13),J13,NA())</x:f>
        <x:v>#N/A</x:v>
      </x:c>
      <x:c r="D30" s="50" t="e">
        <x:f>IF(ISNUMBER(J16),J16,NA())</x:f>
        <x:v>#N/A</x:v>
      </x:c>
      <x:c r="E30" s="25"/>
      <x:c r="F30" s="25"/>
      <x:c r="G30" s="25"/>
      <x:c r="H30" s="25"/>
      <x:c r="I30" s="25"/>
      <x:c r="J30" s="25"/>
      <x:c r="K30" s="25"/>
      <x:c r="L30" s="25"/>
      <x:c r="M30" s="25"/>
      <x:c r="N30"/>
    </x:row>
    <x:row r="31" ht="26" customHeight="1">
      <x:c r="A31" s="25"/>
      <x:c r="B31" s="34" t="str">
        <x:v>Hard Outer</x:v>
      </x:c>
      <x:c r="C31" s="51" t="e">
        <x:f>IF(ISNUMBER(J14),J14,NA())</x:f>
        <x:v>#N/A</x:v>
      </x:c>
      <x:c r="D31" s="51" t="e">
        <x:f>IF(ISNUMBER(J17),J17,NA())</x:f>
        <x:v>#N/A</x:v>
      </x:c>
      <x:c r="E31" s="25"/>
      <x:c r="F31" s="25"/>
      <x:c r="G31" s="25"/>
      <x:c r="H31" s="25"/>
      <x:c r="I31" s="25"/>
      <x:c r="J31" s="25"/>
      <x:c r="K31" s="25"/>
      <x:c r="L31" s="25"/>
      <x:c r="M31" s="25"/>
      <x:c r="N31"/>
    </x:row>
    <x:row r="32" ht="26" customHeight="1">
      <x:c r="A32" s="25"/>
      <x:c r="B32" s="25"/>
      <x:c r="C32" s="25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/>
    </x:row>
    <x:row r="33" ht="26" customHeight="1">
      <x:c r="A33" s="25"/>
      <x:c r="B33" s="25"/>
      <x:c r="C33" s="25"/>
      <x:c r="D33" s="25"/>
      <x:c r="E33" s="25"/>
      <x:c r="F33" s="25"/>
      <x:c r="G33" s="25"/>
      <x:c r="H33" s="25"/>
      <x:c r="I33" s="25"/>
      <x:c r="J33" s="25"/>
      <x:c r="K33" s="25"/>
      <x:c r="L33" s="25"/>
      <x:c r="M33" s="25"/>
      <x:c r="N33"/>
    </x:row>
    <x:row r="34" ht="26" customHeight="1">
      <x:c r="A34" s="25"/>
      <x:c r="B34" s="25"/>
      <x:c r="C34" s="25"/>
      <x:c r="D34" s="25"/>
      <x:c r="E34" s="25"/>
      <x:c r="F34" s="25"/>
      <x:c r="G34" s="25"/>
      <x:c r="H34" s="25"/>
      <x:c r="I34" s="25"/>
      <x:c r="J34" s="25"/>
      <x:c r="K34" s="25"/>
      <x:c r="L34" s="25"/>
      <x:c r="M34" s="25"/>
      <x:c r="N34"/>
    </x:row>
    <x:row r="35" ht="40" customHeight="1">
      <x:c r="A35" s="25"/>
      <x:c r="B35" s="32" t="str">
        <x:v>Setting</x:v>
      </x:c>
      <x:c r="C35" s="32" t="str">
        <x:v>Front</x:v>
      </x:c>
      <x:c r="D35" s="32" t="str">
        <x:v>Rear</x:v>
      </x:c>
      <x:c r="E35" s="25"/>
      <x:c r="F35" s="25"/>
      <x:c r="G35" s="25"/>
      <x:c r="H35" s="25"/>
      <x:c r="I35" s="25"/>
      <x:c r="J35" s="25"/>
      <x:c r="K35" s="25"/>
      <x:c r="L35" s="25"/>
      <x:c r="M35" s="25"/>
      <x:c r="N35"/>
    </x:row>
    <x:row r="36" ht="26" customHeight="1">
      <x:c r="A36" s="25"/>
      <x:c r="B36" s="35" t="str">
        <x:v>Soft Inner</x:v>
      </x:c>
      <x:c r="C36" s="50" t="e">
        <x:f>IF(ISNUMBER(H6),H6,NA())</x:f>
        <x:v>#N/A</x:v>
      </x:c>
      <x:c r="D36" s="50" t="e">
        <x:f>IF(ISNUMBER(H9),H9,NA())</x:f>
        <x:v>#N/A</x:v>
      </x:c>
      <x:c r="E36" s="25"/>
      <x:c r="F36" s="25"/>
      <x:c r="G36" s="25"/>
      <x:c r="H36" s="25"/>
      <x:c r="I36" s="25"/>
      <x:c r="J36" s="25"/>
      <x:c r="K36" s="25"/>
      <x:c r="L36" s="25"/>
      <x:c r="M36" s="25"/>
      <x:c r="N36"/>
    </x:row>
    <x:row r="37" ht="26" customHeight="1">
      <x:c r="A37" s="25"/>
      <x:c r="B37" s="34" t="str">
        <x:v>Soft Middle</x:v>
      </x:c>
      <x:c r="C37" s="51" t="e">
        <x:f>IF(ISNUMBER(H7),H7,NA())</x:f>
        <x:v>#N/A</x:v>
      </x:c>
      <x:c r="D37" s="51" t="e">
        <x:f>IF(ISNUMBER(H10),H10,NA())</x:f>
        <x:v>#N/A</x:v>
      </x:c>
      <x:c r="E37" s="25"/>
      <x:c r="F37" s="25"/>
      <x:c r="G37" s="25"/>
      <x:c r="H37" s="25"/>
      <x:c r="I37" s="25"/>
      <x:c r="J37" s="25"/>
      <x:c r="K37" s="25"/>
      <x:c r="L37" s="25"/>
      <x:c r="M37" s="25"/>
      <x:c r="N37"/>
    </x:row>
    <x:row r="38" ht="26" customHeight="1">
      <x:c r="A38" s="25"/>
      <x:c r="B38" s="35" t="str">
        <x:v>Soft Outer</x:v>
      </x:c>
      <x:c r="C38" s="50" t="e">
        <x:f>IF(ISNUMBER(H8),H8,NA())</x:f>
        <x:v>#N/A</x:v>
      </x:c>
      <x:c r="D38" s="50" t="e">
        <x:f>IF(ISNUMBER(H11),H11,NA())</x:f>
        <x:v>#N/A</x:v>
      </x:c>
      <x:c r="E38" s="25"/>
      <x:c r="F38" s="25"/>
      <x:c r="G38" s="25"/>
      <x:c r="H38" s="25"/>
      <x:c r="I38" s="25"/>
      <x:c r="J38" s="25"/>
      <x:c r="K38" s="25"/>
      <x:c r="L38" s="25"/>
      <x:c r="M38" s="25"/>
      <x:c r="N38"/>
    </x:row>
    <x:row r="39" ht="26" customHeight="1">
      <x:c r="A39" s="25"/>
      <x:c r="B39" s="34" t="str">
        <x:v>Medium Inner</x:v>
      </x:c>
      <x:c r="C39" s="51" t="e">
        <x:f>IF(ISNUMBER(I6),I6,NA())</x:f>
        <x:v>#N/A</x:v>
      </x:c>
      <x:c r="D39" s="51" t="e">
        <x:f>IF(ISNUMBER(I9),I9,NA())</x:f>
        <x:v>#N/A</x:v>
      </x:c>
      <x:c r="E39" s="25"/>
      <x:c r="F39" s="25"/>
      <x:c r="G39" s="25"/>
      <x:c r="H39" s="25"/>
      <x:c r="I39" s="25"/>
      <x:c r="J39" s="25"/>
      <x:c r="K39" s="25"/>
      <x:c r="L39" s="25"/>
      <x:c r="M39" s="25"/>
      <x:c r="N39"/>
    </x:row>
    <x:row r="40" ht="26" customHeight="1">
      <x:c r="A40" s="25"/>
      <x:c r="B40" s="35" t="str">
        <x:v>Medium Middle</x:v>
      </x:c>
      <x:c r="C40" s="50" t="e">
        <x:f>IF(ISNUMBER(I7),I7,NA())</x:f>
        <x:v>#N/A</x:v>
      </x:c>
      <x:c r="D40" s="50" t="e">
        <x:f>IF(ISNUMBER(I10),I10,NA())</x:f>
        <x:v>#N/A</x:v>
      </x:c>
      <x:c r="E40" s="25"/>
      <x:c r="F40" s="25"/>
      <x:c r="G40" s="25"/>
      <x:c r="H40" s="25"/>
      <x:c r="I40" s="25"/>
      <x:c r="J40" s="25"/>
      <x:c r="K40" s="25"/>
      <x:c r="L40" s="25"/>
      <x:c r="M40" s="25"/>
      <x:c r="N40"/>
    </x:row>
    <x:row r="41" ht="26" customHeight="1">
      <x:c r="A41" s="25"/>
      <x:c r="B41" s="34" t="str">
        <x:v>Medium Outer</x:v>
      </x:c>
      <x:c r="C41" s="51" t="e">
        <x:f>IF(ISNUMBER(I8),I8,NA())</x:f>
        <x:v>#N/A</x:v>
      </x:c>
      <x:c r="D41" s="51" t="e">
        <x:f>IF(ISNUMBER(I11),I11,NA())</x:f>
        <x:v>#N/A</x:v>
      </x:c>
      <x:c r="E41" s="25"/>
      <x:c r="F41" s="25"/>
      <x:c r="G41" s="25"/>
      <x:c r="H41" s="25"/>
      <x:c r="I41" s="25"/>
      <x:c r="J41" s="25"/>
      <x:c r="K41" s="25"/>
      <x:c r="L41" s="25"/>
      <x:c r="M41" s="25"/>
      <x:c r="N41"/>
    </x:row>
    <x:row r="42" ht="26" customHeight="1">
      <x:c r="A42" s="25"/>
      <x:c r="B42" s="35" t="str">
        <x:v>Hard Inner</x:v>
      </x:c>
      <x:c r="C42" s="50" t="e">
        <x:f>IF(ISNUMBER(J6),J6,NA())</x:f>
        <x:v>#N/A</x:v>
      </x:c>
      <x:c r="D42" s="50" t="e">
        <x:f>IF(ISNUMBER(J9),J9,NA())</x:f>
        <x:v>#N/A</x:v>
      </x:c>
      <x:c r="E42" s="25"/>
      <x:c r="F42" s="25"/>
      <x:c r="G42" s="25"/>
      <x:c r="H42" s="25"/>
      <x:c r="I42" s="25"/>
      <x:c r="J42" s="25"/>
      <x:c r="K42" s="25"/>
      <x:c r="L42" s="25"/>
      <x:c r="M42" s="25"/>
      <x:c r="N42"/>
    </x:row>
    <x:row r="43" ht="26" customHeight="1">
      <x:c r="A43" s="25"/>
      <x:c r="B43" s="34" t="str">
        <x:v>Hard Middle</x:v>
      </x:c>
      <x:c r="C43" s="51" t="e">
        <x:f>IF(ISNUMBER(J7),J7,NA())</x:f>
        <x:v>#N/A</x:v>
      </x:c>
      <x:c r="D43" s="51" t="e">
        <x:f>IF(ISNUMBER(J10),J10,NA())</x:f>
        <x:v>#N/A</x:v>
      </x:c>
      <x:c r="E43" s="25"/>
      <x:c r="F43" s="25"/>
      <x:c r="G43" s="25"/>
      <x:c r="H43" s="25"/>
      <x:c r="I43" s="25"/>
      <x:c r="J43" s="25"/>
      <x:c r="K43" s="25"/>
      <x:c r="L43" s="25"/>
      <x:c r="M43" s="25"/>
      <x:c r="N43"/>
    </x:row>
    <x:row r="44" ht="26" customHeight="1">
      <x:c r="A44" s="25"/>
      <x:c r="B44" s="35" t="str">
        <x:v>Hard Outer</x:v>
      </x:c>
      <x:c r="C44" s="50" t="e">
        <x:f>IF(ISNUMBER(J8),J8,NA())</x:f>
        <x:v>#N/A</x:v>
      </x:c>
      <x:c r="D44" s="50" t="e">
        <x:f>IF(ISNUMBER(J11),J11,NA())</x:f>
        <x:v>#N/A</x:v>
      </x:c>
      <x:c r="E44" s="25"/>
      <x:c r="F44" s="25"/>
      <x:c r="G44" s="25"/>
      <x:c r="H44" s="25"/>
      <x:c r="I44" s="25"/>
      <x:c r="J44" s="25"/>
      <x:c r="K44" s="25"/>
      <x:c r="L44" s="25"/>
      <x:c r="M44" s="25"/>
      <x:c r="N44"/>
    </x:row>
    <x:row r="45" ht="26" customHeight="1">
      <x:c r="A45" s="25"/>
      <x:c r="B45" s="25"/>
      <x:c r="C45" s="25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/>
    </x:row>
    <x:row r="46" ht="26" customHeight="1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/>
    </x:row>
    <x:row r="47" ht="26" customHeight="1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/>
    </x:row>
    <x:row r="48" ht="26" customHeight="1">
      <x:c r="A48" s="25"/>
      <x:c r="B48" s="25"/>
      <x:c r="C48" s="25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/>
    </x:row>
    <x:row r="49" ht="26" customHeight="1">
      <x:c r="A49" s="25"/>
      <x:c r="B49" s="55" t="str">
        <x:v>旧表原值</x:v>
      </x:c>
      <x:c r="C49" s="55" t="inlineStr">
        <x:is>
          <x:t>旧表原值</x:t>
        </x:is>
      </x:c>
      <x:c r="D49" s="55" t="inlineStr">
        <x:is>
          <x:t>旧表原值</x:t>
        </x:is>
      </x:c>
      <x:c r="E49" s="25"/>
      <x:c r="F49" s="25"/>
      <x:c r="G49" s="25"/>
      <x:c r="H49" s="25"/>
      <x:c r="I49" s="25"/>
      <x:c r="J49" s="25"/>
      <x:c r="K49" s="25"/>
      <x:c r="L49" s="25"/>
      <x:c r="M49" s="25"/>
      <x:c r="N49"/>
    </x:row>
    <x:row r="50" ht="26" customHeight="1">
      <x:c r="A50" s="25"/>
      <x:c r="B50" s="25" t="str">
        <x:v>Tarmac!I19</x:v>
      </x:c>
      <x:c r="C50" s="25">
        <x:v>223</x:v>
      </x:c>
      <x:c r="D50" s="25"/>
      <x:c r="E50" s="25"/>
      <x:c r="F50" s="25"/>
      <x:c r="G50" s="25"/>
      <x:c r="H50" s="25"/>
      <x:c r="I50" s="25"/>
      <x:c r="J50" s="25"/>
      <x:c r="K50" s="25"/>
      <x:c r="L50" s="25"/>
      <x:c r="M50" s="25"/>
      <x:c r="N50"/>
    </x:row>
    <x:row r="51" ht="26" customHeight="1">
      <x:c r="A51" s="25"/>
      <x:c r="B51" s="25" t="str">
        <x:v>Tarmac!J19</x:v>
      </x:c>
      <x:c r="C51" s="25">
        <x:v>267</x:v>
      </x:c>
      <x:c r="D51" s="25"/>
      <x:c r="E51" s="25"/>
      <x:c r="F51" s="25"/>
      <x:c r="G51" s="25"/>
      <x:c r="H51" s="25"/>
      <x:c r="I51" s="25"/>
      <x:c r="J51" s="25"/>
      <x:c r="K51" s="25"/>
      <x:c r="L51" s="25"/>
      <x:c r="M51" s="25"/>
      <x:c r="N51"/>
    </x:row>
    <x:row r="52" ht="26" customHeight="1">
      <x:c r="A52" s="25"/>
      <x:c r="B52" s="25" t="str">
        <x:v>Tarmac!K19</x:v>
      </x:c>
      <x:c r="C52" s="25">
        <x:v>236</x:v>
      </x:c>
      <x:c r="D52" s="25"/>
      <x:c r="E52" s="25"/>
      <x:c r="F52" s="25"/>
      <x:c r="G52" s="25"/>
      <x:c r="H52" s="25"/>
      <x:c r="I52" s="25"/>
      <x:c r="J52" s="25"/>
      <x:c r="K52" s="25"/>
      <x:c r="L52" s="25"/>
      <x:c r="M52" s="25"/>
      <x:c r="N52"/>
    </x:row>
    <x:row r="53" ht="26" customHeight="1">
      <x:c r="A53" s="25"/>
      <x:c r="B53" s="25" t="str">
        <x:v>Tarmac!I20</x:v>
      </x:c>
      <x:c r="C53" s="25">
        <x:v>238</x:v>
      </x:c>
      <x:c r="D53" s="25"/>
      <x:c r="E53" s="25"/>
      <x:c r="F53" s="25"/>
      <x:c r="G53" s="25"/>
      <x:c r="H53" s="25"/>
      <x:c r="I53" s="25"/>
      <x:c r="J53" s="25"/>
      <x:c r="K53" s="25"/>
      <x:c r="L53" s="25"/>
      <x:c r="M53" s="25"/>
      <x:c r="N53"/>
    </x:row>
    <x:row r="54" ht="26" customHeight="1">
      <x:c r="A54" s="25"/>
      <x:c r="B54" s="25" t="str">
        <x:v>Tarmac!J20</x:v>
      </x:c>
      <x:c r="C54" s="25">
        <x:v>279</x:v>
      </x:c>
      <x:c r="D54" s="25"/>
      <x:c r="E54" s="25"/>
      <x:c r="F54" s="25"/>
      <x:c r="G54" s="25"/>
      <x:c r="H54" s="25"/>
      <x:c r="I54" s="25"/>
      <x:c r="J54" s="25"/>
      <x:c r="K54" s="25"/>
      <x:c r="L54" s="25"/>
      <x:c r="M54" s="25"/>
      <x:c r="N54"/>
    </x:row>
    <x:row r="55" ht="26" customHeight="1">
      <x:c r="A55" s="25"/>
      <x:c r="B55" s="25" t="str">
        <x:v>Gravel!K6</x:v>
      </x:c>
      <x:c r="C55" s="25" t="n">
        <x:v>16</x:v>
      </x:c>
      <x:c r="D55" s="25"/>
      <x:c r="E55" s="25"/>
      <x:c r="F55" s="25"/>
      <x:c r="G55" s="25"/>
      <x:c r="H55" s="25"/>
      <x:c r="I55" s="25"/>
      <x:c r="J55" s="25"/>
      <x:c r="K55" s="25"/>
      <x:c r="L55" s="25"/>
      <x:c r="M55" s="25"/>
      <x:c r="N55"/>
    </x:row>
    <x:row r="56" ht="26" customHeight="1">
      <x:c r="A56" s="25"/>
      <x:c r="B56" s="25" t="str">
        <x:v>Gravel!K7</x:v>
      </x:c>
      <x:c r="C56" s="25" t="n">
        <x:v>23</x:v>
      </x:c>
      <x:c r="D56" s="25"/>
      <x:c r="E56" s="25"/>
      <x:c r="F56" s="25"/>
      <x:c r="G56" s="25"/>
      <x:c r="H56" s="25"/>
      <x:c r="I56" s="25"/>
      <x:c r="J56" s="25"/>
      <x:c r="K56" s="25"/>
      <x:c r="L56" s="25"/>
      <x:c r="M56" s="25"/>
      <x:c r="N56"/>
    </x:row>
    <x:row r="57" ht="26" customHeight="1">
      <x:c r="A57" s="25"/>
      <x:c r="B57" s="25" t="str">
        <x:v>Gravel!K8</x:v>
      </x:c>
      <x:c r="C57" s="25" t="n">
        <x:v>24</x:v>
      </x:c>
      <x:c r="D57" s="25"/>
      <x:c r="E57" s="25"/>
      <x:c r="F57" s="25"/>
      <x:c r="G57" s="25"/>
      <x:c r="H57" s="25"/>
      <x:c r="I57" s="25"/>
      <x:c r="J57" s="25"/>
      <x:c r="K57" s="25"/>
      <x:c r="L57" s="25"/>
      <x:c r="M57" s="25"/>
      <x:c r="N57"/>
    </x:row>
    <x:row r="58" ht="26" customHeight="1">
      <x:c r="A58" s="25"/>
      <x:c r="B58" s="25"/>
      <x:c r="C58" s="25"/>
      <x:c r="D58" s="25"/>
      <x:c r="E58" s="25"/>
      <x:c r="F58" s="25"/>
      <x:c r="G58" s="25"/>
      <x:c r="H58" s="25"/>
      <x:c r="I58" s="25"/>
      <x:c r="J58" s="25"/>
      <x:c r="K58" s="25"/>
      <x:c r="L58" s="25"/>
      <x:c r="M58" s="25"/>
      <x:c r="N58"/>
    </x:row>
    <x:row r="59" ht="26" customHeight="1">
      <x:c r="A59" s="25"/>
      <x:c r="B59" s="25"/>
      <x:c r="C59" s="25"/>
      <x:c r="D59" s="25"/>
      <x:c r="E59" s="25"/>
      <x:c r="F59" s="25"/>
      <x:c r="G59" s="25"/>
      <x:c r="H59" s="25"/>
      <x:c r="I59" s="25"/>
      <x:c r="J59" s="25"/>
      <x:c r="K59" s="25"/>
      <x:c r="L59" s="25"/>
      <x:c r="M59" s="25"/>
      <x:c r="N59"/>
    </x:row>
    <x:row r="60" ht="26" customHeight="1">
      <x:c r="A60" s="25"/>
      <x:c r="B60" s="25"/>
      <x:c r="C60" s="25"/>
      <x:c r="D60" s="25"/>
      <x:c r="E60" s="25"/>
      <x:c r="F60" s="25"/>
      <x:c r="G60" s="25"/>
      <x:c r="H60" s="25"/>
      <x:c r="I60" s="25"/>
      <x:c r="J60" s="25"/>
      <x:c r="K60" s="25"/>
      <x:c r="L60" s="25"/>
      <x:c r="M60" s="25"/>
      <x:c r="N60"/>
    </x:row>
    <x:row r="61" ht="26" customHeight="1">
      <x:c r="A61" s="25"/>
      <x:c r="B61" s="25"/>
      <x:c r="C61" s="25"/>
      <x:c r="D61" s="25"/>
      <x:c r="E61" s="25"/>
      <x:c r="F61" s="25"/>
      <x:c r="G61" s="25"/>
      <x:c r="H61" s="25"/>
      <x:c r="I61" s="25"/>
      <x:c r="J61" s="25"/>
      <x:c r="K61" s="25"/>
      <x:c r="L61" s="25"/>
      <x:c r="M61" s="25"/>
      <x:c r="N61"/>
    </x:row>
    <x:row r="62" ht="26" customHeight="1">
      <x:c r="A62" s="25"/>
      <x:c r="B62" s="25"/>
      <x:c r="C62" s="25"/>
      <x:c r="D62" s="25"/>
      <x:c r="E62" s="25"/>
      <x:c r="F62" s="25"/>
      <x:c r="G62" s="25"/>
      <x:c r="H62" s="25"/>
      <x:c r="I62" s="25"/>
      <x:c r="J62" s="25"/>
      <x:c r="K62" s="25"/>
      <x:c r="L62" s="25"/>
      <x:c r="M62" s="25"/>
      <x:c r="N62"/>
    </x:row>
    <x:row r="63" ht="26" customHeight="1">
      <x:c r="A63" s="25"/>
      <x:c r="B63" s="25"/>
      <x:c r="C63" s="25"/>
      <x:c r="D63" s="25"/>
      <x:c r="E63" s="25"/>
      <x:c r="F63" s="25"/>
      <x:c r="G63" s="25"/>
      <x:c r="H63" s="25"/>
      <x:c r="I63" s="25"/>
      <x:c r="J63" s="25"/>
      <x:c r="K63" s="25"/>
      <x:c r="L63" s="25"/>
      <x:c r="M63" s="25"/>
      <x:c r="N63"/>
    </x:row>
    <x:row r="64" ht="26" customHeight="1">
      <x:c r="A64" s="25"/>
      <x:c r="B64" s="25"/>
      <x:c r="C64" s="25"/>
      <x:c r="D64" s="25"/>
      <x:c r="E64" s="25"/>
      <x:c r="F64" s="25"/>
      <x:c r="G64" s="25"/>
      <x:c r="H64" s="25"/>
      <x:c r="I64" s="25"/>
      <x:c r="J64" s="25"/>
      <x:c r="K64" s="25"/>
      <x:c r="L64" s="25"/>
      <x:c r="M64" s="25"/>
      <x:c r="N64"/>
    </x:row>
    <x:row r="65" ht="26" customHeight="1">
      <x:c r="A65" s="25"/>
      <x:c r="B65" s="25"/>
      <x:c r="C65" s="25"/>
      <x:c r="D65" s="25"/>
      <x:c r="E65" s="25"/>
      <x:c r="F65" s="25"/>
      <x:c r="G65" s="25"/>
      <x:c r="H65" s="25"/>
      <x:c r="I65" s="25"/>
      <x:c r="J65" s="25"/>
      <x:c r="K65" s="25"/>
      <x:c r="L65" s="25"/>
      <x:c r="M65" s="25"/>
      <x:c r="N65"/>
    </x:row>
    <x:row r="66" ht="26" customHeight="1">
      <x:c r="A66" s="25"/>
      <x:c r="B66" s="25"/>
      <x:c r="C66" s="25"/>
      <x:c r="D66" s="25"/>
      <x:c r="E66" s="25"/>
      <x:c r="F66" s="25"/>
      <x:c r="G66" s="25"/>
      <x:c r="H66" s="25"/>
      <x:c r="I66" s="25"/>
      <x:c r="J66" s="25"/>
      <x:c r="K66" s="25"/>
      <x:c r="L66" s="25"/>
      <x:c r="M66" s="25"/>
      <x:c r="N66"/>
    </x:row>
    <x:row r="67" ht="26" customHeight="1">
      <x:c r="A67" s="25"/>
      <x:c r="B67" s="25"/>
      <x:c r="C67" s="25"/>
      <x:c r="D67" s="25"/>
      <x:c r="E67" s="25"/>
      <x:c r="F67" s="25"/>
      <x:c r="G67" s="25"/>
      <x:c r="H67" s="25"/>
      <x:c r="I67" s="25"/>
      <x:c r="J67" s="25"/>
      <x:c r="K67" s="25"/>
      <x:c r="L67" s="25"/>
      <x:c r="M67" s="25"/>
      <x:c r="N67"/>
    </x:row>
    <x:row r="68" ht="26" customHeight="1">
      <x:c r="A68" s="25"/>
      <x:c r="B68" s="25"/>
      <x:c r="C68" s="25"/>
      <x:c r="D68" s="25"/>
      <x:c r="E68" s="25"/>
      <x:c r="F68" s="25"/>
      <x:c r="G68" s="25"/>
      <x:c r="H68" s="25"/>
      <x:c r="I68" s="25"/>
      <x:c r="J68" s="25"/>
      <x:c r="K68" s="25"/>
      <x:c r="L68" s="25"/>
      <x:c r="M68" s="25"/>
      <x:c r="N68"/>
    </x:row>
    <x:row r="69" ht="26" customHeight="1">
      <x:c r="A69" s="25"/>
      <x:c r="B69" s="25"/>
      <x:c r="C69" s="25"/>
      <x:c r="D69" s="25"/>
      <x:c r="E69" s="25"/>
      <x:c r="F69" s="25"/>
      <x:c r="G69" s="25"/>
      <x:c r="H69" s="25"/>
      <x:c r="I69" s="25"/>
      <x:c r="J69" s="25"/>
      <x:c r="K69" s="25"/>
      <x:c r="L69" s="25"/>
      <x:c r="M69" s="25"/>
      <x:c r="N69"/>
    </x:row>
    <x:row r="70" ht="26" customHeight="1">
      <x:c r="A70" s="25"/>
      <x:c r="B70" s="25"/>
      <x:c r="C70" s="25"/>
      <x:c r="D70" s="25"/>
      <x:c r="E70" s="25"/>
      <x:c r="F70" s="25"/>
      <x:c r="G70" s="25"/>
      <x:c r="H70" s="25"/>
      <x:c r="I70" s="25"/>
      <x:c r="J70" s="25"/>
      <x:c r="K70" s="25"/>
      <x:c r="L70" s="25"/>
      <x:c r="M70" s="25"/>
      <x:c r="N70"/>
    </x:row>
    <x:row r="71" ht="26" customHeight="1">
      <x:c r="A71" s="25"/>
      <x:c r="B71" s="25"/>
      <x:c r="C71" s="25"/>
      <x:c r="D71" s="25"/>
      <x:c r="E71" s="25"/>
      <x:c r="F71" s="25"/>
      <x:c r="G71" s="25"/>
      <x:c r="H71" s="25"/>
      <x:c r="I71" s="25"/>
      <x:c r="J71" s="25"/>
      <x:c r="K71" s="25"/>
      <x:c r="L71" s="25"/>
      <x:c r="M71" s="25"/>
      <x:c r="N71"/>
    </x:row>
    <x:row r="72" ht="26" customHeight="1">
      <x:c r="A72" s="25"/>
      <x:c r="B72" s="25"/>
      <x:c r="C72" s="25"/>
      <x:c r="D72" s="25"/>
      <x:c r="E72" s="25"/>
      <x:c r="F72" s="25"/>
      <x:c r="G72" s="25"/>
      <x:c r="H72" s="25"/>
      <x:c r="I72" s="25"/>
      <x:c r="J72" s="25"/>
      <x:c r="K72" s="25"/>
      <x:c r="L72" s="25"/>
      <x:c r="M72" s="25"/>
    </x:row>
    <x:row r="73" ht="26" customHeight="1">
      <x:c r="A73" s="25"/>
      <x:c r="B73" s="25"/>
      <x:c r="C73" s="25"/>
      <x:c r="D73" s="25"/>
      <x:c r="E73" s="25"/>
      <x:c r="F73" s="25"/>
      <x:c r="G73" s="25"/>
      <x:c r="H73" s="25"/>
      <x:c r="I73" s="25"/>
      <x:c r="J73" s="25"/>
      <x:c r="K73" s="25"/>
      <x:c r="L73" s="25"/>
      <x:c r="M73" s="25"/>
    </x:row>
    <x:row r="74" ht="26" customHeight="1">
      <x:c r="A74" s="25"/>
      <x:c r="B74" s="25"/>
      <x:c r="C74" s="25"/>
      <x:c r="D74" s="25"/>
      <x:c r="E74" s="25"/>
      <x:c r="F74" s="25"/>
      <x:c r="G74" s="25"/>
      <x:c r="H74" s="25"/>
      <x:c r="I74" s="25"/>
      <x:c r="J74" s="25"/>
      <x:c r="K74" s="25"/>
      <x:c r="L74" s="25"/>
      <x:c r="M74" s="25"/>
    </x:row>
    <x:row r="75" ht="26" customHeight="1">
      <x:c r="A75" s="25"/>
      <x:c r="B75" s="25"/>
      <x:c r="C75" s="25"/>
      <x:c r="D75" s="25"/>
      <x:c r="E75" s="25"/>
      <x:c r="F75" s="25"/>
      <x:c r="G75" s="25"/>
      <x:c r="H75" s="25"/>
      <x:c r="I75" s="25"/>
      <x:c r="J75" s="25"/>
      <x:c r="K75" s="25"/>
      <x:c r="L75" s="25"/>
      <x:c r="M75" s="25"/>
    </x:row>
    <x:row r="76" ht="26" customHeight="1">
      <x:c r="A76" s="25"/>
      <x:c r="B76" s="25"/>
      <x:c r="C76" s="25"/>
      <x:c r="D76" s="25"/>
      <x:c r="E76" s="25"/>
      <x:c r="F76" s="25"/>
      <x:c r="G76" s="25"/>
      <x:c r="H76" s="25"/>
      <x:c r="I76" s="25"/>
      <x:c r="J76" s="25"/>
      <x:c r="K76" s="25"/>
      <x:c r="L76" s="25"/>
      <x:c r="M76" s="25"/>
    </x:row>
    <x:row r="77" ht="26" customHeight="1">
      <x:c r="A77" s="25"/>
      <x:c r="B77" s="25"/>
      <x:c r="C77" s="25"/>
      <x:c r="D77" s="25"/>
      <x:c r="E77" s="25"/>
      <x:c r="F77" s="25"/>
      <x:c r="G77" s="25"/>
      <x:c r="H77" s="25"/>
      <x:c r="I77" s="25"/>
      <x:c r="J77" s="25"/>
      <x:c r="K77" s="25"/>
      <x:c r="L77" s="25"/>
      <x:c r="M77" s="25"/>
    </x:row>
    <x:row r="78" ht="26" customHeight="1">
      <x:c r="A78" s="25"/>
      <x:c r="B78" s="25"/>
      <x:c r="C78" s="25"/>
      <x:c r="D78" s="25"/>
      <x:c r="E78" s="25"/>
      <x:c r="F78" s="25"/>
      <x:c r="G78" s="25"/>
      <x:c r="H78" s="25"/>
      <x:c r="I78" s="25"/>
      <x:c r="J78" s="25"/>
      <x:c r="K78" s="25"/>
      <x:c r="L78" s="25"/>
      <x:c r="M78" s="25"/>
    </x:row>
    <x:row r="79" ht="26" customHeight="1">
      <x:c r="A79" s="25"/>
      <x:c r="B79" s="25"/>
      <x:c r="C79" s="25"/>
      <x:c r="D79" s="25"/>
      <x:c r="E79" s="25"/>
      <x:c r="F79" s="25"/>
      <x:c r="G79" s="25"/>
      <x:c r="H79" s="25"/>
      <x:c r="I79" s="25"/>
      <x:c r="J79" s="25"/>
      <x:c r="K79" s="25"/>
      <x:c r="L79" s="25"/>
      <x:c r="M79" s="25"/>
    </x:row>
    <x:row r="80" ht="26" customHeight="1">
      <x:c r="A80" s="25"/>
      <x:c r="B80" s="25"/>
      <x:c r="C80" s="25"/>
      <x:c r="D80" s="25"/>
      <x:c r="E80" s="25"/>
      <x:c r="F80" s="25"/>
      <x:c r="G80" s="25"/>
      <x:c r="H80" s="25"/>
      <x:c r="I80" s="25"/>
      <x:c r="J80" s="25"/>
      <x:c r="K80" s="25"/>
      <x:c r="L80" s="25"/>
      <x:c r="M80" s="25"/>
    </x:row>
    <x:row r="81" ht="26" customHeight="1">
      <x:c r="A81" s="25"/>
      <x:c r="B81" s="25"/>
      <x:c r="C81" s="25"/>
      <x:c r="D81" s="25"/>
      <x:c r="E81" s="25"/>
      <x:c r="F81" s="25"/>
      <x:c r="G81" s="25"/>
      <x:c r="H81" s="25"/>
      <x:c r="I81" s="25"/>
      <x:c r="J81" s="25"/>
      <x:c r="K81" s="25"/>
      <x:c r="L81" s="25"/>
      <x:c r="M81" s="25"/>
    </x:row>
    <x:row r="82" ht="26" customHeight="1">
      <x:c r="A82" s="25"/>
      <x:c r="B82" s="25"/>
      <x:c r="C82" s="25"/>
      <x:c r="D82" s="25"/>
      <x:c r="E82" s="25"/>
      <x:c r="F82" s="25"/>
      <x:c r="G82" s="25"/>
      <x:c r="H82" s="25"/>
      <x:c r="I82" s="25"/>
      <x:c r="J82" s="25"/>
      <x:c r="K82" s="25"/>
      <x:c r="L82" s="25"/>
      <x:c r="M82" s="25"/>
    </x:row>
    <x:row r="83" ht="26" customHeight="1">
      <x:c r="A83" s="25"/>
      <x:c r="B83" s="25"/>
      <x:c r="C83" s="25"/>
      <x:c r="D83" s="25"/>
      <x:c r="E83" s="25"/>
      <x:c r="F83" s="25"/>
      <x:c r="G83" s="25"/>
      <x:c r="H83" s="25"/>
      <x:c r="I83" s="25"/>
      <x:c r="J83" s="25"/>
      <x:c r="K83" s="25"/>
      <x:c r="L83" s="25"/>
      <x:c r="M83" s="25"/>
    </x:row>
    <x:row r="84" ht="26" customHeight="1">
      <x:c r="A84" s="25"/>
      <x:c r="B84" s="25"/>
      <x:c r="C84" s="25"/>
      <x:c r="D84" s="25"/>
      <x:c r="E84" s="25"/>
      <x:c r="F84" s="25"/>
      <x:c r="G84" s="25"/>
      <x:c r="H84" s="25"/>
      <x:c r="I84" s="25"/>
      <x:c r="J84" s="25"/>
      <x:c r="K84" s="25"/>
      <x:c r="L84" s="25"/>
      <x:c r="M84" s="25"/>
    </x:row>
    <x:row r="85" ht="26" customHeight="1">
      <x:c r="A85" s="25"/>
      <x:c r="B85" s="25"/>
      <x:c r="C85" s="25"/>
      <x:c r="D85" s="25"/>
      <x:c r="E85" s="25"/>
      <x:c r="F85" s="25"/>
      <x:c r="G85" s="25"/>
      <x:c r="H85" s="25"/>
      <x:c r="I85" s="25"/>
      <x:c r="J85" s="25"/>
      <x:c r="K85" s="25"/>
      <x:c r="L85" s="25"/>
      <x:c r="M85" s="25"/>
    </x:row>
    <x:row r="86" ht="26" customHeight="1">
      <x:c r="A86" s="25"/>
      <x:c r="B86" s="25"/>
      <x:c r="C86" s="25"/>
      <x:c r="D86" s="25"/>
      <x:c r="E86" s="25"/>
      <x:c r="F86" s="25"/>
      <x:c r="G86" s="25"/>
      <x:c r="H86" s="25"/>
      <x:c r="I86" s="25"/>
      <x:c r="J86" s="25"/>
      <x:c r="K86" s="25"/>
      <x:c r="L86" s="25"/>
      <x:c r="M86" s="25"/>
    </x:row>
    <x:row r="87" ht="26" customHeight="1">
      <x:c r="A87" s="25"/>
      <x:c r="B87" s="25"/>
      <x:c r="C87" s="25"/>
      <x:c r="D87" s="25"/>
      <x:c r="E87" s="25"/>
      <x:c r="F87" s="25"/>
      <x:c r="G87" s="25"/>
      <x:c r="H87" s="25"/>
      <x:c r="I87" s="25"/>
      <x:c r="J87" s="25"/>
      <x:c r="K87" s="25"/>
      <x:c r="L87" s="25"/>
      <x:c r="M87" s="25"/>
    </x:row>
    <x:row r="88" ht="26" customHeight="1">
      <x:c r="A88" s="25"/>
      <x:c r="B88" s="25"/>
      <x:c r="C88" s="25"/>
      <x:c r="D88" s="25"/>
      <x:c r="E88" s="25"/>
      <x:c r="F88" s="25"/>
      <x:c r="G88" s="25"/>
      <x:c r="H88" s="25"/>
      <x:c r="I88" s="25"/>
      <x:c r="J88" s="25"/>
      <x:c r="K88" s="25"/>
      <x:c r="L88" s="25"/>
      <x:c r="M88" s="25"/>
    </x:row>
    <x:row r="89" ht="26" customHeight="1">
      <x:c r="A89" s="25"/>
      <x:c r="B89" s="25"/>
      <x:c r="C89" s="25"/>
      <x:c r="D89" s="25"/>
      <x:c r="E89" s="25"/>
      <x:c r="F89" s="25"/>
      <x:c r="G89" s="25"/>
      <x:c r="H89" s="25"/>
      <x:c r="I89" s="25"/>
      <x:c r="J89" s="25"/>
      <x:c r="K89" s="25"/>
      <x:c r="L89" s="25"/>
      <x:c r="M89" s="25"/>
    </x:row>
    <x:row r="90" ht="26" customHeight="1">
      <x:c r="A90" s="25"/>
      <x:c r="B90" s="25"/>
      <x:c r="C90" s="25"/>
      <x:c r="D90" s="25"/>
      <x:c r="E90" s="25"/>
      <x:c r="F90" s="25"/>
      <x:c r="G90" s="25"/>
      <x:c r="H90" s="25"/>
      <x:c r="I90" s="25"/>
      <x:c r="J90" s="25"/>
      <x:c r="K90" s="25"/>
      <x:c r="L90" s="25"/>
      <x:c r="M90" s="25"/>
    </x:row>
    <x:row r="91" ht="21.950000762939453" customHeight="1"/>
    <x:row r="92" ht="21.950000762939453" customHeight="1"/>
    <x:row r="93" ht="21.950000762939453" customHeight="1"/>
    <x:row r="94" ht="21.950000762939453" customHeight="1"/>
    <x:row r="95" ht="21.950000762939453" customHeight="1"/>
    <x:row r="96" ht="21.950000762939453" customHeight="1"/>
    <x:row r="97" ht="21.950000762939453" customHeight="1"/>
    <x:row r="98" ht="21.950000762939453" customHeight="1"/>
    <x:row r="99" ht="21.950000762939453" customHeight="1"/>
    <x:row r="100" ht="21.950000762939453" customHeight="1"/>
    <x:row r="101" ht="21.950000762939453" customHeight="1"/>
    <x:row r="102" ht="21.950000762939453" customHeight="1"/>
    <x:row r="103" ht="21.950000762939453" customHeight="1"/>
    <x:row r="104" ht="21.950000762939453" customHeight="1"/>
    <x:row r="105" ht="21.950000762939453" customHeight="1"/>
    <x:row r="106" ht="21.950000762939453" customHeight="1"/>
    <x:row r="107" ht="21.950000762939453" customHeight="1"/>
    <x:row r="108" ht="21.950000762939453" customHeight="1"/>
    <x:row r="109" ht="21.950000762939453" customHeight="1"/>
    <x:row r="110" ht="21.950000762939453" customHeight="1"/>
    <x:row r="111" ht="21.950000762939453" customHeight="1"/>
    <x:row r="112" ht="21.950000762939453" customHeight="1"/>
    <x:row r="113" ht="21.950000762939453" customHeight="1"/>
    <x:row r="114" ht="21.950000762939453" customHeight="1"/>
    <x:row r="115" ht="21.950000762939453" customHeight="1"/>
    <x:row r="116" ht="21.950000762939453" customHeight="1"/>
    <x:row r="117" ht="21.950000762939453" customHeight="1"/>
    <x:row r="118" ht="21.950000762939453" customHeight="1"/>
    <x:row r="119" ht="21.950000762939453" customHeight="1"/>
    <x:row r="120" ht="21.950000762939453" customHeight="1"/>
    <x:row r="121" ht="21.950000762939453" customHeight="1"/>
    <x:row r="122" ht="21.950000762939453" customHeight="1"/>
    <x:row r="123" ht="21.950000762939453" customHeight="1"/>
    <x:row r="124" ht="35.099998474121094" customHeight="1"/>
    <x:row r="125" ht="21.950000762939453" customHeight="1"/>
    <x:row r="126" ht="21.950000762939453" customHeight="1"/>
    <x:row r="127" ht="21.950000762939453" customHeight="1"/>
    <x:row r="128" ht="21.950000762939453" customHeight="1"/>
    <x:row r="129" ht="21.950000762939453" customHeight="1"/>
    <x:row r="130" ht="21.950000762939453" customHeight="1"/>
    <x:row r="131" ht="21.950000762939453" customHeight="1"/>
    <x:row r="132" ht="21.950000762939453" customHeight="1"/>
    <x:row r="133" ht="21.950000762939453" customHeight="1"/>
    <x:row r="134" ht="21.950000762939453" customHeight="1"/>
    <x:row r="135" ht="21.950000762939453" customHeight="1"/>
    <x:row r="136" ht="21.950000762939453" customHeight="1"/>
    <x:row r="137" ht="21.950000762939453" customHeight="1"/>
    <x:row r="138" ht="21.950000762939453" customHeight="1"/>
    <x:row r="139" ht="21.950000762939453" customHeight="1"/>
    <x:row r="140" ht="21.950000762939453" customHeight="1"/>
    <x:row r="141" ht="21.950000762939453" customHeight="1"/>
    <x:row r="142" ht="21.950000762939453" customHeight="1"/>
    <x:row r="143" ht="21.950000762939453" customHeight="1"/>
    <x:row r="144" ht="21.950000762939453" customHeight="1"/>
    <x:row r="145" ht="21.950000762939453" customHeight="1"/>
    <x:row r="146" ht="21.950000762939453" customHeight="1"/>
    <x:row r="147" ht="21.950000762939453" customHeight="1"/>
    <x:row r="148" ht="21.950000762939453" customHeight="1"/>
    <x:row r="149" ht="21.950000762939453" customHeight="1"/>
    <x:row r="150" ht="21.950000762939453" customHeight="1"/>
    <x:row r="151" ht="21.950000762939453" customHeight="1"/>
    <x:row r="152" ht="21.950000762939453" customHeight="1"/>
    <x:row r="153" ht="21.950000762939453" customHeight="1"/>
    <x:row r="154" ht="21.950000762939453" customHeight="1"/>
    <x:row r="155" ht="21.950000762939453" customHeight="1"/>
    <x:row r="156" ht="21.950000762939453" customHeight="1"/>
    <x:row r="157" ht="21.950000762939453" customHeight="1"/>
  </x:sheetData>
  <x:mergeCells>
    <x:mergeCell ref="B2:K3"/>
    <x:mergeCell ref="B49:D49"/>
  </x:mergeCells>
  <x:pageMargins left="0.7" right="0.7" top="0.75" bottom="0.75" header="0.3" footer="0.3"/>
</x:worksheet>
</file>