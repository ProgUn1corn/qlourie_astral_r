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1a293408b47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arison" sheetId="1" r:id="Rf2e377b4a9bc473b"/>
    <x:sheet xmlns:r="http://schemas.openxmlformats.org/officeDocument/2006/relationships" name="Parameters" sheetId="5" r:id="R5f54db16a07b4deb"/>
    <x:sheet xmlns:r="http://schemas.openxmlformats.org/officeDocument/2006/relationships" name="Samples" sheetId="7" r:id="Rbd6412fa933841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%"/>
    <x:numFmt numFmtId="201" formatCode="0.###"/>
    <x:numFmt numFmtId="202" formatCode="0"/>
    <x:numFmt numFmtId="203" formatCode="0.000"/>
    <x:numFmt numFmtId="204" formatCode="@"/>
    <x:numFmt numFmtId="205" formatCode="0.00"/>
    <x:numFmt numFmtId="206" formatCode="0.0"/>
    <x:numFmt numFmtId="207" formatCode="0.0000"/>
  </x:numFmts>
  <x:fonts count="19">
    <x:font>
      <x:sz val="11"/>
      <x:name val="Carlito"/>
    </x:font>
    <x:font>
      <x:sz val="11"/>
      <x:color rgb="FF283C50"/>
      <x:name val="Arial"/>
    </x:font>
    <x:font>
      <x:b/>
      <x:sz val="20"/>
      <x:color rgb="FF283C50"/>
      <x:name val="Arial"/>
    </x:font>
    <x:font>
      <x:sz val="11"/>
      <x:color rgb="FF667B91"/>
      <x:name val="Arial"/>
    </x:font>
    <x:font>
      <x:b/>
      <x:sz val="11"/>
      <x:color rgb="FFFFFFFF"/>
      <x:name val="Arial"/>
    </x:font>
    <x:font>
      <x:sz val="11"/>
      <x:color rgb="FF195DB1"/>
      <x:name val="Arial"/>
    </x:font>
    <x:font>
      <x:sz val="10"/>
      <x:color rgb="FF283C50"/>
      <x:name val="Arial"/>
    </x:font>
    <x:font>
      <x:sz val="10"/>
      <x:color rgb="FF667B91"/>
      <x:name val="Arial"/>
    </x:font>
    <x:font>
      <x:b/>
      <x:sz val="10"/>
      <x:color rgb="FFFFFFFF"/>
      <x:name val="Arial"/>
    </x:font>
    <x:font>
      <x:b/>
      <x:sz val="10"/>
      <x:color rgb="FF283C50"/>
      <x:name val="Arial"/>
    </x:font>
    <x:font>
      <x:b/>
      <x:sz val="11"/>
      <x:color rgb="FFFFFFFF"/>
      <x:name val="Carlito"/>
    </x:font>
    <x:font>
      <x:b/>
      <x:sz val="18"/>
      <x:color rgb="FF283C50"/>
      <x:name val="Arial"/>
    </x:font>
    <x:font>
      <x:sz val="11"/>
      <x:color rgb="FF243B53"/>
      <x:name val="Arial"/>
    </x:font>
    <x:font>
      <x:b/>
      <x:sz val="22"/>
      <x:color rgb="FF243B53"/>
      <x:name val="Arial"/>
    </x:font>
    <x:font>
      <x:sz val="11"/>
      <x:color rgb="FF627D98"/>
      <x:name val="Arial"/>
    </x:font>
    <x:font>
      <x:sz val="11"/>
      <x:color rgb="FF4472C4"/>
      <x:name val="Arial"/>
    </x:font>
    <x:font>
      <x:sz val="12"/>
      <x:color rgb="FF243B53"/>
      <x:name val="Arial"/>
    </x:font>
    <x:font>
      <x:sz val="11"/>
      <x:color rgb="FF243B53"/>
      <x:name val="Arial"/>
    </x:font>
    <x:font>
      <x:sz val="10"/>
      <x:color rgb="FF627D98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31475E"/>
      </x:patternFill>
    </x:fill>
    <x:fill>
      <x:patternFill patternType="solid">
        <x:fgColor rgb="FFFFF2CC"/>
      </x:patternFill>
    </x:fill>
    <x:fill>
      <x:patternFill patternType="solid">
        <x:fgColor rgb="FFF0F4F8"/>
      </x:patternFill>
    </x:fill>
    <x:fill>
      <x:patternFill patternType="solid">
        <x:fgColor rgb="FFFFFFFF"/>
      </x:patternFill>
    </x:fill>
    <x:fill>
      <x:patternFill patternType="solid">
        <x:fgColor rgb="FF243B53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204" fontId="5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/>
    <x:xf numFmtId="0" fontId="9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wrapText="1"/>
    </x:xf>
    <x:xf numFmtId="205" fontId="6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/>
    <x:xf numFmtId="205" fontId="5" fillId="3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10" fillId="2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12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206" fontId="15" fillId="7" borderId="0" xfId="0" applyNumberFormat="1" applyFont="1" applyFill="1" applyBorder="1" applyAlignment="1">
      <x:alignment vertical="center"/>
    </x:xf>
    <x:xf numFmtId="202" fontId="15" fillId="7" borderId="0" xfId="0" applyNumberFormat="1" applyFont="1" applyFill="1" applyBorder="1" applyAlignment="1">
      <x:alignment vertical="center"/>
    </x:xf>
    <x:xf numFmtId="0" fontId="16" fillId="5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vertical="center" wrapText="1"/>
    </x:xf>
    <x:xf numFmtId="202" fontId="12" fillId="5" borderId="0" xfId="0" applyNumberFormat="1" applyFont="1" applyFill="1" applyBorder="1" applyAlignment="1">
      <x:alignment vertical="center"/>
    </x:xf>
    <x:xf numFmtId="0" fontId="18" fillId="5" borderId="0" xfId="0" applyNumberFormat="1" applyFont="1" applyFill="1" applyBorder="1" applyAlignment="1">
      <x:alignment vertical="center"/>
    </x:xf>
    <x:xf numFmtId="0" fontId="18" fillId="5" borderId="0" xfId="0" applyNumberFormat="1" applyFont="1" applyFill="1" applyBorder="1" applyAlignment="1">
      <x:alignment vertical="center" wrapText="1"/>
    </x:xf>
    <x:xf numFmtId="206" fontId="12" fillId="5" borderId="0" xfId="0" applyNumberFormat="1" applyFont="1" applyFill="1" applyBorder="1" applyAlignment="1">
      <x:alignment vertical="center"/>
    </x:xf>
    <x:xf numFmtId="207" fontId="12" fillId="5" borderId="0" xfId="0" applyNumberFormat="1" applyFont="1" applyFill="1" applyBorder="1" applyAlignment="1">
      <x:alignment vertical="center"/>
    </x:xf>
    <x:xf numFmtId="205" fontId="12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c5c7f76fd46a8" /><Relationship Type="http://schemas.openxmlformats.org/officeDocument/2006/relationships/theme" Target="/xl/theme/theme1.xml" Id="R87062002a4b44cba" /><Relationship Type="http://schemas.openxmlformats.org/officeDocument/2006/relationships/sharedStrings" Target="/xl/sharedStrings.xml" Id="R7f9cebfec7064d3f" /><Relationship Type="http://schemas.openxmlformats.org/officeDocument/2006/relationships/worksheet" Target="/xl/worksheets/sheet1.xml" Id="Rf2e377b4a9bc473b" /><Relationship Type="http://schemas.openxmlformats.org/officeDocument/2006/relationships/worksheet" Target="/xl/worksheets/sheet2.xml" Id="R5f54db16a07b4deb" /><Relationship Type="http://schemas.openxmlformats.org/officeDocument/2006/relationships/worksheet" Target="/xl/worksheets/sheet3.xml" Id="Rbd6412fa933841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ecc2f810dc4ba2" /><Relationship Type="http://schemas.openxmlformats.org/officeDocument/2006/relationships/chart" Target="/xl/drawings/charts/chart2.xml" Id="Rf1dac38b03d64873" /></Relationships>
</file>

<file path=xl/drawings/charts/chart1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1275">
                <ns1:latin typeface="Arial"/>
                <ns1:ea typeface="Arial"/>
                <ns1:cs typeface="Arial"/>
              </ns1:rPr>
              <ns1:t>Front</ns1:t>
            </ns1:r>
          </ns1:p>
        </ns0:rich>
      </ns0:tx>
      <ns0:overlay val="0"/>
      <ns0:txPr>
        <ns1:bodyPr anchorCtr="1"/>
        <ns1:lstStyle/>
        <ns1:p>
          <ns1:pPr>
            <ns1:defRPr sz="1275">
              <ns1:latin typeface="Arial"/>
              <ns1:ea typeface="Arial"/>
              <ns1:cs typeface="Arial"/>
            </ns1:defRPr>
          </ns1:pPr>
        </ns1:p>
      </ns0:txPr>
    </ns0:title>
    <ns0:plotArea>
      <ns0:barChart>
        <ns0:barDir val="col"/>
        <ns0:grouping val="clustered"/>
        <ns0:varyColors val="0"/>
        <ns0:ser>
          <ns0:idx val="0"/>
          <ns0:order val="0"/>
          <ns0:tx>
            <ns0:v>Tarmac</ns0:v>
          </ns0:tx>
          <ns0:spPr>
            <ns1:solidFill>
              <ns1:srgbClr val="4472C4"/>
            </ns1:solidFill>
          </ns0:spPr>
          <ns0:invertIfNegative val="0"/>
          <ns0:cat>
            <ns0:strRef>
              <ns0:f>'Samples'!$B$46:$B$54</ns0:f>
              <ns0:strCache>
                <ns0:ptCount val="9"/>
                <ns0:pt idx="0">
                  <ns0:v>Soft Inner</ns0:v>
                </ns0:pt>
                <ns0:pt idx="1">
                  <ns0:v>Soft Middle</ns0:v>
                </ns0:pt>
                <ns0:pt idx="2">
                  <ns0:v>Soft Outer</ns0:v>
                </ns0:pt>
                <ns0:pt idx="3">
                  <ns0:v>Medium Inner</ns0:v>
                </ns0:pt>
                <ns0:pt idx="4">
                  <ns0:v>Medium Middle</ns0:v>
                </ns0:pt>
                <ns0:pt idx="5">
                  <ns0:v>Medium Outer</ns0:v>
                </ns0:pt>
                <ns0:pt idx="6">
                  <ns0:v>Hard Inner</ns0:v>
                </ns0:pt>
                <ns0:pt idx="7">
                  <ns0:v>Hard Middle</ns0:v>
                </ns0:pt>
                <ns0:pt idx="8">
                  <ns0:v>Hard Outer</ns0:v>
                </ns0:pt>
              </ns0:strCache>
            </ns0:strRef>
          </ns0:cat>
          <ns0:val>
            <ns0:numRef>
              <ns0:f>'Samples'!$C$46:$C$54</ns0:f>
              <ns0:numCache>
                <ns0:formatCode>0.00</ns0:formatCode>
                <ns0:ptCount val="9"/>
                <ns0:pt idx="0">
                  <ns0:v>2.672791299137493</ns0:v>
                </ns0:pt>
                <ns0:pt idx="1">
                  <ns0:v>3.8488194707579906</ns0:v>
                </ns0:pt>
                <ns0:pt idx="2">
                  <ns0:v>4.616837868550968</ns0:v>
                </ns0:pt>
                <ns0:pt idx="3">
                  <ns0:v>5.682897436027098</ns0:v>
                </ns0:pt>
                <ns0:pt idx="4">
                  <ns0:v>8.183372307879022</ns0:v>
                </ns0:pt>
                <ns0:pt idx="5">
                  <ns0:v>9.816335489496604</ns0:v>
                </ns0:pt>
                <ns0:pt idx="6">
                  <ns0:v>10.368143360397529</ns0:v>
                </ns0:pt>
                <ns0:pt idx="7">
                  <ns0:v>14.93012643897244</ns0:v>
                </ns0:pt>
                <ns0:pt idx="8">
                  <ns0:v>17.9093806943683</ns0:v>
                </ns0:pt>
              </ns0:numCache>
            </ns0:numRef>
          </ns0:val>
        </ns0:ser>
        <ns0:ser>
          <ns0:idx val="1"/>
          <ns0:order val="1"/>
          <ns0:tx>
            <ns0:v>Gravel</ns0:v>
          </ns0:tx>
          <ns0:spPr>
            <ns1:solidFill>
              <ns1:srgbClr val="ED7D31"/>
            </ns1:solidFill>
          </ns0:spPr>
          <ns0:invertIfNegative val="0"/>
          <ns0:cat>
            <ns0:strRef>
              <ns0:f>'Samples'!$B$46:$B$54</ns0:f>
              <ns0:strCache>
                <ns0:ptCount val="9"/>
                <ns0:pt idx="0">
                  <ns0:v>Soft Inner</ns0:v>
                </ns0:pt>
                <ns0:pt idx="1">
                  <ns0:v>Soft Middle</ns0:v>
                </ns0:pt>
                <ns0:pt idx="2">
                  <ns0:v>Soft Outer</ns0:v>
                </ns0:pt>
                <ns0:pt idx="3">
                  <ns0:v>Medium Inner</ns0:v>
                </ns0:pt>
                <ns0:pt idx="4">
                  <ns0:v>Medium Middle</ns0:v>
                </ns0:pt>
                <ns0:pt idx="5">
                  <ns0:v>Medium Outer</ns0:v>
                </ns0:pt>
                <ns0:pt idx="6">
                  <ns0:v>Hard Inner</ns0:v>
                </ns0:pt>
                <ns0:pt idx="7">
                  <ns0:v>Hard Middle</ns0:v>
                </ns0:pt>
                <ns0:pt idx="8">
                  <ns0:v>Hard Outer</ns0:v>
                </ns0:pt>
              </ns0:strCache>
            </ns0:strRef>
          </ns0:cat>
          <ns0:val>
            <ns0:numRef>
              <ns0:f>'Samples'!$D$46:$D$54</ns0:f>
              <ns0:numCache>
                <ns0:formatCode>0.00</ns0:formatCode>
                <ns0:ptCount val="9"/>
                <ns0:pt idx="0">
                  <ns0:v>2.269840122403708</ns0:v>
                </ns0:pt>
                <ns0:pt idx="1">
                  <ns0:v>3.546625191255793</ns0:v>
                </ns0:pt>
                <ns0:pt idx="2">
                  <ns0:v>4.488697507683114</ns0:v>
                </ns0:pt>
                <ns0:pt idx="3">
                  <ns0:v>4.826141351164247</ns0:v>
                </ns0:pt>
                <ns0:pt idx="4">
                  <ns0:v>7.540845861194136</ns0:v>
                </ns0:pt>
                <ns0:pt idx="5">
                  <ns0:v>9.54388304307383</ns0:v>
                </ns0:pt>
                <ns0:pt idx="6">
                  <ns0:v>8.805037565730746</ns0:v>
                </ns0:pt>
                <ns0:pt idx="7">
                  <ns0:v>13.757871196454293</ns0:v>
                </ns0:pt>
                <ns0:pt idx="8">
                  <ns0:v>17.412305733012463</ns0:v>
                </ns0:pt>
              </ns0:numCache>
            </ns0:numRef>
          </ns0:val>
        </ns0:ser>
        <ns0:gapWidth val="70"/>
        <ns0:overlap val="0"/>
        <ns0:axId val="48650112"/>
        <ns0:axId val="48672768"/>
      </ns0:b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title>
          <ns0:tx>
            <ns0:rich>
              <ns1:bodyPr/>
              <ns1:lstStyle/>
              <ns1:p>
                <ns1:r>
                  <ns1:t>Equivalent wheel rate (N/mm)</ns1:t>
                </ns1:r>
              </ns1:p>
            </ns0:rich>
          </ns0:tx>
          <ns0:overlay val="0"/>
        </ns0:title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900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t"/>
      <ns0:overlay val="0"/>
      <ns0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charts/chart2.xml><?xml version="1.0" encoding="utf-8"?>
<ns0:chartSpace xmlns:ns0="http://schemas.openxmlformats.org/drawingml/2006/chart" xmlns:ns1="http://schemas.openxmlformats.org/drawingml/2006/main">
  <ns0:lang val="en-US"/>
  <ns0:roundedCorners val="0"/>
  <ns0:chart>
    <ns0:title>
      <ns0:tx>
        <ns0:rich>
          <ns1:bodyPr/>
          <ns1:lstStyle/>
          <ns1:p>
            <ns1:r>
              <ns1:rPr sz="1275">
                <ns1:latin typeface="Arial"/>
                <ns1:ea typeface="Arial"/>
                <ns1:cs typeface="Arial"/>
              </ns1:rPr>
              <ns1:t>Rear</ns1:t>
            </ns1:r>
          </ns1:p>
        </ns0:rich>
      </ns0:tx>
      <ns0:overlay val="0"/>
      <ns0:txPr>
        <ns1:bodyPr anchorCtr="1"/>
        <ns1:lstStyle/>
        <ns1:p>
          <ns1:pPr>
            <ns1:defRPr sz="1275">
              <ns1:latin typeface="Arial"/>
              <ns1:ea typeface="Arial"/>
              <ns1:cs typeface="Arial"/>
            </ns1:defRPr>
          </ns1:pPr>
        </ns1:p>
      </ns0:txPr>
    </ns0:title>
    <ns0:plotArea>
      <ns0:barChart>
        <ns0:barDir val="col"/>
        <ns0:grouping val="clustered"/>
        <ns0:varyColors val="0"/>
        <ns0:ser>
          <ns0:idx val="0"/>
          <ns0:order val="0"/>
          <ns0:tx>
            <ns0:v>Tarmac</ns0:v>
          </ns0:tx>
          <ns0:spPr>
            <ns1:solidFill>
              <ns1:srgbClr val="4472C4"/>
            </ns1:solidFill>
          </ns0:spPr>
          <ns0:invertIfNegative val="0"/>
          <ns0:cat>
            <ns0:strRef>
              <ns0:f>'Samples'!$B$60:$B$68</ns0:f>
              <ns0:strCache>
                <ns0:ptCount val="9"/>
                <ns0:pt idx="0">
                  <ns0:v>Soft Inner</ns0:v>
                </ns0:pt>
                <ns0:pt idx="1">
                  <ns0:v>Soft Middle</ns0:v>
                </ns0:pt>
                <ns0:pt idx="2">
                  <ns0:v>Soft Outer</ns0:v>
                </ns0:pt>
                <ns0:pt idx="3">
                  <ns0:v>Medium Inner</ns0:v>
                </ns0:pt>
                <ns0:pt idx="4">
                  <ns0:v>Medium Middle</ns0:v>
                </ns0:pt>
                <ns0:pt idx="5">
                  <ns0:v>Medium Outer</ns0:v>
                </ns0:pt>
                <ns0:pt idx="6">
                  <ns0:v>Hard Inner</ns0:v>
                </ns0:pt>
                <ns0:pt idx="7">
                  <ns0:v>Hard Middle</ns0:v>
                </ns0:pt>
                <ns0:pt idx="8">
                  <ns0:v>Hard Outer</ns0:v>
                </ns0:pt>
              </ns0:strCache>
            </ns0:strRef>
          </ns0:cat>
          <ns0:val>
            <ns0:numRef>
              <ns0:f>'Samples'!$C$60:$C$68</ns0:f>
              <ns0:numCache>
                <ns0:formatCode>0.00</ns0:formatCode>
                <ns0:ptCount val="9"/>
                <ns0:pt idx="0">
                  <ns0:v>5.4532242223578775</ns0:v>
                </ns0:pt>
                <ns0:pt idx="1">
                  <ns0:v>7.78893001658612</ns0:v>
                </ns0:pt>
                <ns0:pt idx="2">
                  <ns0:v>9.459608466624374</ns0:v>
                </ns0:pt>
                <ns0:pt idx="3">
                  <ns0:v>11.262843281454536</ns0:v>
                </ns0:pt>
                <ns0:pt idx="4">
                  <ns0:v>16.086904651262547</ns0:v>
                </ns0:pt>
                <ns0:pt idx="5">
                  <ns0:v>19.53744854772244</ns0:v>
                </ns0:pt>
                <ns0:pt idx="6">
                  <ns0:v>18.82377890388046</ns0:v>
                </ns0:pt>
                <ns0:pt idx="7">
                  <ns0:v>26.88631359203866</ns0:v>
                </ns0:pt>
                <ns0:pt idx="8">
                  <ns0:v>32.653265487040706</ns0:v>
                </ns0:pt>
              </ns0:numCache>
            </ns0:numRef>
          </ns0:val>
        </ns0:ser>
        <ns0:ser>
          <ns0:idx val="1"/>
          <ns0:order val="1"/>
          <ns0:tx>
            <ns0:v>Gravel</ns0:v>
          </ns0:tx>
          <ns0:spPr>
            <ns1:solidFill>
              <ns1:srgbClr val="ED7D31"/>
            </ns1:solidFill>
          </ns0:spPr>
          <ns0:invertIfNegative val="0"/>
          <ns0:cat>
            <ns0:strRef>
              <ns0:f>'Samples'!$B$60:$B$68</ns0:f>
              <ns0:strCache>
                <ns0:ptCount val="9"/>
                <ns0:pt idx="0">
                  <ns0:v>Soft Inner</ns0:v>
                </ns0:pt>
                <ns0:pt idx="1">
                  <ns0:v>Soft Middle</ns0:v>
                </ns0:pt>
                <ns0:pt idx="2">
                  <ns0:v>Soft Outer</ns0:v>
                </ns0:pt>
                <ns0:pt idx="3">
                  <ns0:v>Medium Inner</ns0:v>
                </ns0:pt>
                <ns0:pt idx="4">
                  <ns0:v>Medium Middle</ns0:v>
                </ns0:pt>
                <ns0:pt idx="5">
                  <ns0:v>Medium Outer</ns0:v>
                </ns0:pt>
                <ns0:pt idx="6">
                  <ns0:v>Hard Inner</ns0:v>
                </ns0:pt>
                <ns0:pt idx="7">
                  <ns0:v>Hard Middle</ns0:v>
                </ns0:pt>
                <ns0:pt idx="8">
                  <ns0:v>Hard Outer</ns0:v>
                </ns0:pt>
              </ns0:strCache>
            </ns0:strRef>
          </ns0:cat>
          <ns0:val>
            <ns0:numRef>
              <ns0:f>'Samples'!$D$60:$D$68</ns0:f>
              <ns0:numCache>
                <ns0:formatCode>0.00</ns0:formatCode>
                <ns0:ptCount val="9"/>
                <ns0:pt idx="0">
                  <ns0:v>5.658290368697451</ns0:v>
                </ns0:pt>
                <ns0:pt idx="1">
                  <ns0:v>8.217727432250276</ns0:v>
                </ns0:pt>
                <ns0:pt idx="2">
                  <ns0:v>9.676011340553632</ns0:v>
                </ns0:pt>
                <ns0:pt idx="3">
                  <ns0:v>11.686377648349833</ns0:v>
                </ns0:pt>
                <ns0:pt idx="4">
                  <ns0:v>16.972523487971586</ns0:v>
                </ns0:pt>
                <ns0:pt idx="5">
                  <ns0:v>19.984397280314212</ns0:v>
                </ns0:pt>
                <ns0:pt idx="6">
                  <ns0:v>19.53163899581299</ns0:v>
                </ns0:pt>
                <ns0:pt idx="7">
                  <ns0:v>28.36646320956666</ns0:v>
                </ns0:pt>
                <ns0:pt idx="8">
                  <ns0:v>33.40025840112399</ns0:v>
                </ns0:pt>
              </ns0:numCache>
            </ns0:numRef>
          </ns0:val>
        </ns0:ser>
        <ns0:gapWidth val="70"/>
        <ns0:overlap val="0"/>
        <ns0:axId val="48650112"/>
        <ns0:axId val="48672768"/>
      </ns0:barChart>
      <ns0:catAx>
        <ns0:axId val="48650112"/>
        <ns0:scaling>
          <ns0:orientation val="minMax"/>
        </ns0:scaling>
        <ns0:delete val="0"/>
        <ns0:axPos val="b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numFmt formatCode="General"/>
        <ns0:majorTickMark val="none"/>
        <ns0:minorTickMark val="none"/>
        <ns0:tickLblPos val="nextTo"/>
        <ns0:txPr>
          <ns1:bodyPr anchorCtr="1"/>
          <ns1:lstStyle/>
          <ns1:p>
            <ns1:pPr>
              <ns1:defRPr sz="825">
                <ns1:latin typeface="Arial"/>
                <ns1:ea typeface="Arial"/>
                <ns1:cs typeface="Arial"/>
              </ns1:defRPr>
            </ns1:pPr>
          </ns1:p>
        </ns0:txPr>
        <ns0:crossAx val="48672768"/>
      </ns0:catAx>
      <ns0:valAx>
        <ns0:axId val="48672768"/>
        <ns0:scaling>
          <ns0:orientation val="minMax"/>
        </ns0:scaling>
        <ns0:delete val="0"/>
        <ns0:axPos val="l"/>
        <ns0:majorGridlines>
          <ns0:spPr>
            <ns1:ln w="9525">
              <ns1:solidFill>
                <ns1:srgbClr val="CCCCCC"/>
              </ns1:solidFill>
              <ns1:prstDash val="dash"/>
            </ns1:ln>
          </ns0:spPr>
        </ns0:majorGridlines>
        <ns0:title>
          <ns0:tx>
            <ns0:rich>
              <ns1:bodyPr/>
              <ns1:lstStyle/>
              <ns1:p>
                <ns1:r>
                  <ns1:t>Equivalent wheel rate (N/mm)</ns1:t>
                </ns1:r>
              </ns1:p>
            </ns0:rich>
          </ns0:tx>
          <ns0:overlay val="0"/>
        </ns0:title>
        <ns0:numFmt formatCode="0" sourceLinked="0"/>
        <ns0:majorTickMark val="none"/>
        <ns0:minorTickMark val="none"/>
        <ns0:txPr>
          <ns1:bodyPr anchorCtr="1"/>
          <ns1:lstStyle/>
          <ns1:p>
            <ns1:pPr>
              <ns1:defRPr sz="900">
                <ns1:latin typeface="Arial"/>
                <ns1:ea typeface="Arial"/>
                <ns1:cs typeface="Arial"/>
              </ns1:defRPr>
            </ns1:pPr>
          </ns1:p>
        </ns0:txPr>
        <ns0:crossAx val="48650112"/>
        <ns0:crossBetween val="between"/>
      </ns0:valAx>
    </ns0:plotArea>
    <ns0:legend>
      <ns0:legendPos val="t"/>
      <ns0:overlay val="0"/>
      <ns0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ns0:txPr>
    </ns0:legend>
    <ns0:plotVisOnly val="1"/>
  </ns0:chart>
  <ns0:spPr>
    <ns1:ln w="9525">
      <ns1:solidFill>
        <ns1:srgbClr val="D9D9D9"/>
      </ns1:solidFill>
      <ns1:prstDash val="solid"/>
    </ns1:ln>
  </ns0:spPr>
</ns0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5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ecc2f810dc4ba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15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dac38b03d6487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8b80968be8d4019" /></Relationships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/>
  </x:sheetViews>
  <x:sheetFormatPr defaultRowHeight="15"/>
  <x:cols>
    <x:col min="1" max="1" width="2.75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.5" hidden="0" customWidth="1"/>
  </x:cols>
  <x:sheetData>
    <x:row r="1" ht="24" customHeight="1">
      <x:c r="A1" s="41"/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</x:row>
    <x:row r="2" ht="24" customHeight="1">
      <x:c r="A2" s="41"/>
      <x:c r="B2" s="42" t="str">
        <x:v>Astral · Anti-Roll Bar Stiffness</x:v>
      </x:c>
      <x:c r="C2" s="42" t="str">
        <x:v>Astral · Anti-Roll Bar Stiffness</x:v>
      </x:c>
      <x:c r="D2" s="42" t="str">
        <x:v>Astral · Anti-Roll Bar Stiffness</x:v>
      </x:c>
      <x:c r="E2" s="42" t="str">
        <x:v>Astral · Anti-Roll Bar Stiffness</x:v>
      </x:c>
      <x:c r="F2" s="42" t="str">
        <x:v>Astral · Anti-Roll Bar Stiffness</x:v>
      </x:c>
      <x:c r="G2" s="42" t="str">
        <x:v>Astral · Anti-Roll Bar Stiffness</x:v>
      </x:c>
      <x:c r="H2" s="42" t="str">
        <x:v>Astral · Anti-Roll Bar Stiffness</x:v>
      </x:c>
      <x:c r="I2" s="42" t="str">
        <x:v>Astral · Anti-Roll Bar Stiffness</x:v>
      </x:c>
      <x:c r="J2" s="42" t="str">
        <x:v>Astral · Anti-Roll Bar Stiffness</x:v>
      </x:c>
      <x:c r="K2" s="42" t="str">
        <x:v>Astral · Anti-Roll Bar Stiffness</x:v>
      </x:c>
      <x:c r="L2" s="42" t="str">
        <x:v>Astral · Anti-Roll Bar Stiffness</x:v>
      </x:c>
      <x:c r="M2" s="42" t="str">
        <x:v>Astral · Anti-Roll Bar Stiffness</x:v>
      </x:c>
      <x:c r="N2" s="42" t="str">
        <x:v>Astral · Anti-Roll Bar Stiffness</x:v>
      </x:c>
      <x:c r="O2" s="41"/>
    </x:row>
    <x:row r="3" ht="24" customHeight="1">
      <x:c r="A3" s="41"/>
      <x:c r="B3" s="42" t="str">
        <x:v>Astral · Anti-Roll Bar Stiffness</x:v>
      </x:c>
      <x:c r="C3" s="42" t="str">
        <x:v>Astral · Anti-Roll Bar Stiffness</x:v>
      </x:c>
      <x:c r="D3" s="42" t="str">
        <x:v>Astral · Anti-Roll Bar Stiffness</x:v>
      </x:c>
      <x:c r="E3" s="42" t="str">
        <x:v>Astral · Anti-Roll Bar Stiffness</x:v>
      </x:c>
      <x:c r="F3" s="42" t="str">
        <x:v>Astral · Anti-Roll Bar Stiffness</x:v>
      </x:c>
      <x:c r="G3" s="42" t="str">
        <x:v>Astral · Anti-Roll Bar Stiffness</x:v>
      </x:c>
      <x:c r="H3" s="42" t="str">
        <x:v>Astral · Anti-Roll Bar Stiffness</x:v>
      </x:c>
      <x:c r="I3" s="42" t="str">
        <x:v>Astral · Anti-Roll Bar Stiffness</x:v>
      </x:c>
      <x:c r="J3" s="42" t="str">
        <x:v>Astral · Anti-Roll Bar Stiffness</x:v>
      </x:c>
      <x:c r="K3" s="42" t="str">
        <x:v>Astral · Anti-Roll Bar Stiffness</x:v>
      </x:c>
      <x:c r="L3" s="42" t="str">
        <x:v>Astral · Anti-Roll Bar Stiffness</x:v>
      </x:c>
      <x:c r="M3" s="42" t="str">
        <x:v>Astral · Anti-Roll Bar Stiffness</x:v>
      </x:c>
      <x:c r="N3" s="42" t="str">
        <x:v>Astral · Anti-Roll Bar Stiffness</x:v>
      </x:c>
      <x:c r="O3" s="41"/>
    </x:row>
    <x:row r="4" ht="24" customHeight="1">
      <x:c r="A4" s="41"/>
      <x:c r="B4" s="43" t="str">
        <x:v>Front / Rear · Tarmac / Gravel</x:v>
      </x:c>
      <x:c r="C4" s="43" t="str">
        <x:v>Front / Rear · Tarmac / Gravel</x:v>
      </x:c>
      <x:c r="D4" s="43" t="str">
        <x:v>Front / Rear · Tarmac / Gravel</x:v>
      </x:c>
      <x:c r="E4" s="43" t="str">
        <x:v>Front / Rear · Tarmac / Gravel</x:v>
      </x:c>
      <x:c r="F4" s="43" t="str">
        <x:v>Front / Rear · Tarmac / Gravel</x:v>
      </x:c>
      <x:c r="G4" s="43" t="str">
        <x:v>Front / Rear · Tarmac / Gravel</x:v>
      </x:c>
      <x:c r="H4" s="43" t="str">
        <x:v>Front / Rear · Tarmac / Gravel</x:v>
      </x:c>
      <x:c r="I4" s="43" t="str">
        <x:v>Front / Rear · Tarmac / Gravel</x:v>
      </x:c>
      <x:c r="J4" s="43" t="str">
        <x:v>Front / Rear · Tarmac / Gravel</x:v>
      </x:c>
      <x:c r="K4" s="43" t="str">
        <x:v>Front / Rear · Tarmac / Gravel</x:v>
      </x:c>
      <x:c r="L4" s="43" t="str">
        <x:v>Front / Rear · Tarmac / Gravel</x:v>
      </x:c>
      <x:c r="M4" s="43" t="str">
        <x:v>Front / Rear · Tarmac / Gravel</x:v>
      </x:c>
      <x:c r="N4" s="43" t="str">
        <x:v>Front / Rear · Tarmac / Gravel</x:v>
      </x:c>
      <x:c r="O4" s="41"/>
    </x:row>
    <x:row r="5" ht="24" customHeight="1">
      <x:c r="A5" s="41"/>
      <x:c r="B5" s="41"/>
      <x:c r="C5" s="41"/>
      <x:c r="D5" s="41"/>
      <x:c r="E5" s="41"/>
      <x:c r="F5" s="41"/>
      <x:c r="G5" s="41"/>
      <x:c r="H5" s="41"/>
      <x:c r="I5" s="41"/>
      <x:c r="J5" s="41"/>
      <x:c r="K5" s="41"/>
      <x:c r="L5" s="41"/>
      <x:c r="M5" s="41"/>
      <x:c r="N5" s="41"/>
      <x:c r="O5" s="41"/>
    </x:row>
    <x:row r="6" ht="24" customHeight="1">
      <x:c r="A6" s="41"/>
      <x:c r="B6" s="41"/>
      <x:c r="C6" s="41"/>
      <x:c r="D6" s="41"/>
      <x:c r="E6" s="41"/>
      <x:c r="F6" s="41"/>
      <x:c r="G6" s="41"/>
      <x:c r="H6" s="41"/>
      <x:c r="I6" s="41"/>
      <x:c r="J6" s="41"/>
      <x:c r="K6" s="41"/>
      <x:c r="L6" s="41"/>
      <x:c r="M6" s="41"/>
      <x:c r="N6" s="41"/>
      <x:c r="O6" s="41"/>
    </x:row>
    <x:row r="7" ht="24" customHeight="1">
      <x:c r="A7" s="41"/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</x:row>
    <x:row r="8" ht="24" customHeight="1">
      <x:c r="A8" s="41"/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</x:row>
    <x:row r="9" ht="24" customHeight="1">
      <x:c r="A9" s="41"/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</x:row>
    <x:row r="10" ht="24" customHeight="1">
      <x:c r="A10" s="41"/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</x:row>
    <x:row r="11" ht="24" customHeight="1">
      <x:c r="A11" s="41"/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</x:row>
    <x:row r="12" ht="24" customHeight="1">
      <x:c r="A12" s="41"/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</x:row>
    <x:row r="13" ht="24" customHeight="1">
      <x:c r="A13" s="41"/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</x:row>
    <x:row r="14" ht="24" customHeight="1">
      <x:c r="A14" s="41"/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1"/>
    </x:row>
    <x:row r="15" ht="24" customHeight="1">
      <x:c r="A15" s="41"/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</x:row>
    <x:row r="16" ht="24" customHeight="1">
      <x:c r="A16" s="41"/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</x:row>
    <x:row r="17" ht="24" customHeight="1">
      <x:c r="A17" s="41"/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</x:row>
    <x:row r="18" ht="24" customHeight="1">
      <x:c r="A18" s="41"/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1"/>
    </x:row>
    <x:row r="19" ht="24" customHeight="1">
      <x:c r="A19" s="41"/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</x:row>
    <x:row r="20" ht="24" customHeight="1">
      <x:c r="A20" s="41"/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1"/>
    </x:row>
    <x:row r="21" ht="24" customHeight="1">
      <x:c r="A21" s="41"/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</x:row>
    <x:row r="22" ht="24" customHeight="1">
      <x:c r="A22" s="41"/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1"/>
    </x:row>
    <x:row r="23" ht="24" customHeight="1">
      <x:c r="A23" s="41"/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</x:row>
    <x:row r="24" ht="24" customHeight="1">
      <x:c r="A24" s="41"/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</x:row>
    <x:row r="25" ht="24" customHeight="1">
      <x:c r="A25" s="41"/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</x:row>
    <x:row r="26" ht="24" customHeight="1">
      <x:c r="A26" s="41"/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1"/>
    </x:row>
    <x:row r="27" ht="24" customHeight="1">
      <x:c r="A27" s="41"/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</x:row>
    <x:row r="28" ht="24" customHeight="1">
      <x:c r="A28" s="41"/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1"/>
    </x:row>
    <x:row r="29" ht="24" customHeight="1">
      <x:c r="A29" s="41"/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</x:row>
    <x:row r="30" ht="24" customHeight="1">
      <x:c r="A30" s="41"/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1"/>
    </x:row>
    <x:row r="31" ht="24" customHeight="1">
      <x:c r="A31" s="41"/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</x:row>
    <x:row r="32" ht="24" customHeight="1">
      <x:c r="A32" s="41"/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</x:row>
    <x:row r="33" ht="24" customHeight="1">
      <x:c r="A33" s="41"/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</x:row>
    <x:row r="34" ht="24" customHeight="1">
      <x:c r="A34" s="41"/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1"/>
    </x:row>
    <x:row r="35" ht="24" customHeight="1">
      <x:c r="A35" s="41"/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</x:row>
    <x:row r="36" ht="24" customHeight="1">
      <x:c r="A36" s="41"/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1"/>
    </x:row>
    <x:row r="37" ht="24" customHeight="1">
      <x:c r="A37" s="41"/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</x:row>
    <x:row r="38" ht="24" customHeight="1">
      <x:c r="A38" s="41"/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1"/>
    </x:row>
    <x:row r="39" ht="24" customHeight="1">
      <x:c r="A39" s="41"/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</x:row>
    <x:row r="40" ht="24" customHeight="1">
      <x:c r="A40" s="41"/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1"/>
    </x:row>
    <x:row r="41" ht="24" customHeight="1">
      <x:c r="A41" s="41"/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</x:row>
    <x:row r="42" ht="24" customHeight="1">
      <x:c r="A42" s="41"/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1"/>
    </x:row>
    <x:row r="43" ht="24" customHeight="1">
      <x:c r="A43" s="41"/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</x:row>
    <x:row r="44" ht="24" customHeight="1">
      <x:c r="A44" s="41"/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1"/>
    </x:row>
    <x:row r="45" ht="24" customHeight="1">
      <x:c r="A45" s="41"/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</x:row>
    <x:row r="46" ht="24" customHeight="1">
      <x:c r="A46" s="41"/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1"/>
    </x:row>
    <x:row r="47" ht="24" customHeight="1">
      <x:c r="A47" s="41"/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</x:row>
    <x:row r="48" ht="24" customHeight="1">
      <x:c r="A48" s="41"/>
      <x:c r="B48" s="55" t="str">
        <x:v>按原实测运动比换算 · 参数在 Parameters · 计算在 Samples</x:v>
      </x:c>
      <x:c r="C48" s="55" t="str">
        <x:v>按原实测运动比换算 · 参数在 Parameters · 计算在 Samples</x:v>
      </x:c>
      <x:c r="D48" s="55" t="str">
        <x:v>按原实测运动比换算 · 参数在 Parameters · 计算在 Samples</x:v>
      </x:c>
      <x:c r="E48" s="55" t="str">
        <x:v>按原实测运动比换算 · 参数在 Parameters · 计算在 Samples</x:v>
      </x:c>
      <x:c r="F48" s="55" t="str">
        <x:v>按原实测运动比换算 · 参数在 Parameters · 计算在 Samples</x:v>
      </x:c>
      <x:c r="G48" s="55" t="str">
        <x:v>按原实测运动比换算 · 参数在 Parameters · 计算在 Samples</x:v>
      </x:c>
      <x:c r="H48" s="55" t="str">
        <x:v>按原实测运动比换算 · 参数在 Parameters · 计算在 Samples</x:v>
      </x:c>
      <x:c r="I48" s="55" t="str">
        <x:v>按原实测运动比换算 · 参数在 Parameters · 计算在 Samples</x:v>
      </x:c>
      <x:c r="J48" s="55" t="str">
        <x:v>按原实测运动比换算 · 参数在 Parameters · 计算在 Samples</x:v>
      </x:c>
      <x:c r="K48" s="55" t="str">
        <x:v>按原实测运动比换算 · 参数在 Parameters · 计算在 Samples</x:v>
      </x:c>
      <x:c r="L48" s="55" t="str">
        <x:v>按原实测运动比换算 · 参数在 Parameters · 计算在 Samples</x:v>
      </x:c>
      <x:c r="M48" s="55" t="str">
        <x:v>按原实测运动比换算 · 参数在 Parameters · 计算在 Samples</x:v>
      </x:c>
      <x:c r="N48" s="55" t="str">
        <x:v>按原实测运动比换算 · 参数在 Parameters · 计算在 Samples</x:v>
      </x:c>
      <x:c r="O48" s="41"/>
    </x:row>
  </x:sheetData>
  <x:mergeCells>
    <x:mergeCell ref="B2:N3"/>
    <x:mergeCell ref="B4:N4"/>
    <x:mergeCell ref="B48:N48"/>
  </x:mergeCells>
  <x:pageMargins left="0.7" right="0.7" top="0.75" bottom="0.75" header="0.3" footer="0.3"/>
  <x:drawing xmlns:r="http://schemas.openxmlformats.org/officeDocument/2006/relationships" r:id="R78b80968be8d4019"/>
</x:worksheet>
</file>

<file path=xl/worksheets/sheet2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.75" hidden="0" customWidth="1"/>
    <x:col min="2" max="2" width="14" hidden="0" customWidth="1"/>
    <x:col min="3" max="3" width="12.880000114440918" hidden="0" customWidth="1"/>
    <x:col min="4" max="4" width="16.75" hidden="0" customWidth="1"/>
    <x:col min="5" max="5" width="18.5" hidden="0" customWidth="1"/>
    <x:col min="6" max="6" width="18.5" hidden="0" customWidth="1"/>
    <x:col min="7" max="7" width="18.5" hidden="0" customWidth="1"/>
    <x:col min="8" max="8" width="15" hidden="0" customWidth="1"/>
    <x:col min="9" max="9" width="3.75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.5" hidden="0" customWidth="1"/>
  </x:cols>
  <x:sheetData>
    <x:row r="1" ht="24" customHeight="1">
      <x:c r="A1" s="41"/>
      <x:c r="B1" s="41"/>
      <x:c r="C1" s="41"/>
      <x:c r="D1" s="41"/>
      <x:c r="E1" s="41"/>
      <x:c r="F1" s="41"/>
      <x:c r="G1" s="41"/>
      <x:c r="H1" s="41"/>
      <x:c r="I1" s="41"/>
      <x:c r="J1"/>
      <x:c r="K1"/>
      <x:c r="L1"/>
      <x:c r="M1"/>
      <x:c r="N1"/>
      <x:c r="O1"/>
    </x:row>
    <x:row r="2" ht="24" customHeight="1">
      <x:c r="A2" s="41"/>
      <x:c r="B2" s="42" t="str">
        <x:v>Astral · ARB Parameters</x:v>
      </x:c>
      <x:c r="C2" s="42" t="str">
        <x:v>Astral · ARB Parameters</x:v>
      </x:c>
      <x:c r="D2" s="42" t="str">
        <x:v>Astral · ARB Parameters</x:v>
      </x:c>
      <x:c r="E2" s="42" t="str">
        <x:v>Astral · ARB Parameters</x:v>
      </x:c>
      <x:c r="F2" s="42" t="str">
        <x:v>Astral · ARB Parameters</x:v>
      </x:c>
      <x:c r="G2" s="42" t="str">
        <x:v>Astral · ARB Parameters</x:v>
      </x:c>
      <x:c r="H2" s="42" t="str">
        <x:v>Astral · ARB Parameters</x:v>
      </x:c>
      <x:c r="I2" s="41"/>
      <x:c r="J2"/>
      <x:c r="K2"/>
      <x:c r="L2"/>
      <x:c r="M2"/>
      <x:c r="N2"/>
      <x:c r="O2"/>
    </x:row>
    <x:row r="3" ht="24" customHeight="1">
      <x:c r="A3" s="41"/>
      <x:c r="B3" s="42" t="str">
        <x:v>Astral · ARB Parameters</x:v>
      </x:c>
      <x:c r="C3" s="42" t="str">
        <x:v>Astral · ARB Parameters</x:v>
      </x:c>
      <x:c r="D3" s="42" t="str">
        <x:v>Astral · ARB Parameters</x:v>
      </x:c>
      <x:c r="E3" s="42" t="str">
        <x:v>Astral · ARB Parameters</x:v>
      </x:c>
      <x:c r="F3" s="42" t="str">
        <x:v>Astral · ARB Parameters</x:v>
      </x:c>
      <x:c r="G3" s="42" t="str">
        <x:v>Astral · ARB Parameters</x:v>
      </x:c>
      <x:c r="H3" s="42" t="str">
        <x:v>Astral · ARB Parameters</x:v>
      </x:c>
      <x:c r="I3" s="41"/>
      <x:c r="J3"/>
      <x:c r="K3"/>
      <x:c r="L3"/>
      <x:c r="M3"/>
      <x:c r="N3"/>
      <x:c r="O3"/>
    </x:row>
    <x:row r="4" ht="24" customHeight="1">
      <x:c r="A4" s="41"/>
      <x:c r="B4" s="43" t="str">
        <x:v>黄色单元格为输入；杆径、扭转系数及实测位移沿用原表。</x:v>
      </x:c>
      <x:c r="C4" s="43" t="str">
        <x:v>黄色单元格为输入；杆径、扭转系数及实测位移沿用原表。</x:v>
      </x:c>
      <x:c r="D4" s="43" t="str">
        <x:v>黄色单元格为输入；杆径、扭转系数及实测位移沿用原表。</x:v>
      </x:c>
      <x:c r="E4" s="43" t="str">
        <x:v>黄色单元格为输入；杆径、扭转系数及实测位移沿用原表。</x:v>
      </x:c>
      <x:c r="F4" s="43" t="str">
        <x:v>黄色单元格为输入；杆径、扭转系数及实测位移沿用原表。</x:v>
      </x:c>
      <x:c r="G4" s="43" t="str">
        <x:v>黄色单元格为输入；杆径、扭转系数及实测位移沿用原表。</x:v>
      </x:c>
      <x:c r="H4" s="43" t="str">
        <x:v>黄色单元格为输入；杆径、扭转系数及实测位移沿用原表。</x:v>
      </x:c>
      <x:c r="I4" s="41"/>
      <x:c r="J4"/>
      <x:c r="K4"/>
      <x:c r="L4"/>
      <x:c r="M4"/>
      <x:c r="N4"/>
      <x:c r="O4"/>
    </x:row>
    <x:row r="5" ht="24" customHeight="1">
      <x:c r="A5" s="41"/>
      <x:c r="B5" s="41"/>
      <x:c r="C5" s="41"/>
      <x:c r="D5" s="41"/>
      <x:c r="E5" s="41"/>
      <x:c r="F5" s="41"/>
      <x:c r="G5" s="41"/>
      <x:c r="H5" s="41"/>
      <x:c r="I5" s="41"/>
      <x:c r="J5"/>
      <x:c r="K5"/>
      <x:c r="L5"/>
      <x:c r="M5"/>
      <x:c r="N5"/>
      <x:c r="O5"/>
    </x:row>
    <x:row r="6" ht="32" customHeight="1">
      <x:c r="A6" s="41"/>
      <x:c r="B6" s="46" t="str">
        <x:v>Axle</x:v>
      </x:c>
      <x:c r="C6" s="46" t="str">
        <x:v>Bar</x:v>
      </x:c>
      <x:c r="D6" s="46" t="str">
        <x:v>Diameter (mm)</x:v>
      </x:c>
      <x:c r="E6" s="46" t="str">
        <x:v>Torsion (N·m/rad)</x:v>
      </x:c>
      <x:c r="F6" s="41"/>
      <x:c r="G6" s="41"/>
      <x:c r="H6" s="41"/>
      <x:c r="I6" s="41"/>
      <x:c r="J6"/>
      <x:c r="K6"/>
      <x:c r="L6"/>
      <x:c r="M6"/>
      <x:c r="N6"/>
      <x:c r="O6"/>
    </x:row>
    <x:row r="7" ht="24" customHeight="1">
      <x:c r="A7" s="41"/>
      <x:c r="B7" s="41" t="str">
        <x:v>Front</x:v>
      </x:c>
      <x:c r="C7" s="41" t="str">
        <x:v>Soft</x:v>
      </x:c>
      <x:c r="D7" s="49" t="n">
        <x:v>14.6</x:v>
      </x:c>
      <x:c r="E7" s="50" t="n">
        <x:v>935</x:v>
      </x:c>
      <x:c r="F7" s="41"/>
      <x:c r="G7" s="41"/>
      <x:c r="H7" s="41"/>
      <x:c r="I7" s="41"/>
      <x:c r="J7"/>
      <x:c r="K7"/>
      <x:c r="L7"/>
      <x:c r="M7"/>
      <x:c r="N7"/>
      <x:c r="O7"/>
    </x:row>
    <x:row r="8" ht="24" customHeight="1">
      <x:c r="A8" s="41"/>
      <x:c r="B8" s="41" t="str">
        <x:v>Front</x:v>
      </x:c>
      <x:c r="C8" s="41" t="str">
        <x:v>Medium</x:v>
      </x:c>
      <x:c r="D8" s="49" t="n">
        <x:v>17.6</x:v>
      </x:c>
      <x:c r="E8" s="50" t="n">
        <x:v>1988</x:v>
      </x:c>
      <x:c r="F8" s="41"/>
      <x:c r="G8" s="41"/>
      <x:c r="H8" s="41"/>
      <x:c r="I8" s="41"/>
      <x:c r="J8"/>
      <x:c r="K8"/>
      <x:c r="L8"/>
      <x:c r="M8"/>
      <x:c r="N8"/>
      <x:c r="O8"/>
    </x:row>
    <x:row r="9" ht="24" customHeight="1">
      <x:c r="A9" s="41"/>
      <x:c r="B9" s="41" t="str">
        <x:v>Front</x:v>
      </x:c>
      <x:c r="C9" s="41" t="str">
        <x:v>Hard</x:v>
      </x:c>
      <x:c r="D9" s="49" t="n">
        <x:v>20.5</x:v>
      </x:c>
      <x:c r="E9" s="50" t="n">
        <x:v>3627</x:v>
      </x:c>
      <x:c r="F9" s="41"/>
      <x:c r="G9" s="41"/>
      <x:c r="H9" s="41"/>
      <x:c r="I9" s="41"/>
      <x:c r="J9"/>
      <x:c r="K9"/>
      <x:c r="L9"/>
      <x:c r="M9"/>
      <x:c r="N9"/>
      <x:c r="O9"/>
    </x:row>
    <x:row r="10" ht="24" customHeight="1">
      <x:c r="A10" s="41"/>
      <x:c r="B10" s="41" t="str">
        <x:v>Rear</x:v>
      </x:c>
      <x:c r="C10" s="41" t="str">
        <x:v>Soft</x:v>
      </x:c>
      <x:c r="D10" s="49" t="n">
        <x:v>16.2</x:v>
      </x:c>
      <x:c r="E10" s="50" t="n">
        <x:v>1423</x:v>
      </x:c>
      <x:c r="F10" s="41"/>
      <x:c r="G10" s="41"/>
      <x:c r="H10" s="41"/>
      <x:c r="I10" s="41"/>
      <x:c r="J10"/>
      <x:c r="K10"/>
      <x:c r="L10"/>
      <x:c r="M10"/>
      <x:c r="N10"/>
      <x:c r="O10"/>
    </x:row>
    <x:row r="11" ht="24" customHeight="1">
      <x:c r="A11" s="41"/>
      <x:c r="B11" s="41" t="str">
        <x:v>Rear</x:v>
      </x:c>
      <x:c r="C11" s="41" t="str">
        <x:v>Medium</x:v>
      </x:c>
      <x:c r="D11" s="49" t="n">
        <x:v>19.4</x:v>
      </x:c>
      <x:c r="E11" s="50" t="n">
        <x:v>2939</x:v>
      </x:c>
      <x:c r="F11" s="41"/>
      <x:c r="G11" s="41"/>
      <x:c r="H11" s="41"/>
      <x:c r="I11" s="41"/>
      <x:c r="J11"/>
      <x:c r="K11"/>
      <x:c r="L11"/>
      <x:c r="M11"/>
      <x:c r="N11"/>
      <x:c r="O11"/>
    </x:row>
    <x:row r="12" ht="24" customHeight="1">
      <x:c r="A12" s="41"/>
      <x:c r="B12" s="41" t="str">
        <x:v>Rear</x:v>
      </x:c>
      <x:c r="C12" s="41" t="str">
        <x:v>Hard</x:v>
      </x:c>
      <x:c r="D12" s="49" t="n">
        <x:v>22.1</x:v>
      </x:c>
      <x:c r="E12" s="50" t="n">
        <x:v>4912</x:v>
      </x:c>
      <x:c r="F12" s="41"/>
      <x:c r="G12" s="41"/>
      <x:c r="H12" s="41"/>
      <x:c r="I12" s="41"/>
      <x:c r="J12"/>
      <x:c r="K12"/>
      <x:c r="L12"/>
      <x:c r="M12"/>
      <x:c r="N12"/>
      <x:c r="O12"/>
    </x:row>
    <x:row r="13" ht="24" customHeight="1">
      <x:c r="A13" s="41"/>
      <x:c r="B13" s="41"/>
      <x:c r="C13" s="41"/>
      <x:c r="D13" s="41"/>
      <x:c r="E13" s="41"/>
      <x:c r="F13" s="41"/>
      <x:c r="G13" s="41"/>
      <x:c r="H13" s="41"/>
      <x:c r="I13" s="41"/>
      <x:c r="J13"/>
      <x:c r="K13"/>
      <x:c r="L13"/>
      <x:c r="M13"/>
      <x:c r="N13"/>
      <x:c r="O13"/>
    </x:row>
    <x:row r="14" ht="24" customHeight="1">
      <x:c r="A14" s="41"/>
      <x:c r="B14" s="51" t="str">
        <x:v>几何测量 · 全伸展至静态车高 · 当前为原大倾角连杆的测试数据</x:v>
      </x:c>
      <x:c r="C14" s="51" t="str">
        <x:v>几何测量 · 全伸展至静态车高 · 当前为原大倾角连杆的测试数据</x:v>
      </x:c>
      <x:c r="D14" s="51" t="str">
        <x:v>几何测量 · 全伸展至静态车高 · 当前为原大倾角连杆的测试数据</x:v>
      </x:c>
      <x:c r="E14" s="51" t="str">
        <x:v>几何测量 · 全伸展至静态车高 · 当前为原大倾角连杆的测试数据</x:v>
      </x:c>
      <x:c r="F14" s="51" t="str">
        <x:v>几何测量 · 全伸展至静态车高 · 当前为原大倾角连杆的测试数据</x:v>
      </x:c>
      <x:c r="G14" s="51" t="str">
        <x:v>几何测量 · 全伸展至静态车高 · 当前为原大倾角连杆的测试数据</x:v>
      </x:c>
      <x:c r="H14" s="51" t="str">
        <x:v>几何测量 · 全伸展至静态车高 · 当前为原大倾角连杆的测试数据</x:v>
      </x:c>
      <x:c r="I14" s="41"/>
      <x:c r="J14"/>
      <x:c r="K14"/>
      <x:c r="L14"/>
      <x:c r="M14"/>
      <x:c r="N14"/>
      <x:c r="O14"/>
    </x:row>
    <x:row r="15" ht="24" customHeight="1">
      <x:c r="A15" s="41"/>
      <x:c r="B15" s="41"/>
      <x:c r="C15" s="41"/>
      <x:c r="D15" s="41"/>
      <x:c r="E15" s="41"/>
      <x:c r="F15" s="41"/>
      <x:c r="G15" s="41"/>
      <x:c r="H15" s="41"/>
      <x:c r="I15" s="41"/>
      <x:c r="J15"/>
      <x:c r="K15"/>
      <x:c r="L15"/>
      <x:c r="M15"/>
      <x:c r="N15"/>
      <x:c r="O15"/>
    </x:row>
    <x:row r="16" ht="40" customHeight="1">
      <x:c r="A16" s="41"/>
      <x:c r="B16" s="46" t="str">
        <x:v>Surface</x:v>
      </x:c>
      <x:c r="C16" s="46" t="str">
        <x:v>Axle</x:v>
      </x:c>
      <x:c r="D16" s="46" t="str">
        <x:v>Position</x:v>
      </x:c>
      <x:c r="E16" s="46" t="str">
        <x:v>Wheel travel (mm)</x:v>
      </x:c>
      <x:c r="F16" s="46" t="str">
        <x:v>ARB travel (mm)</x:v>
      </x:c>
      <x:c r="G16" s="46" t="str">
        <x:v>Effective arm (mm)</x:v>
      </x:c>
      <x:c r="H16" s="41"/>
      <x:c r="I16" s="41"/>
      <x:c r="J16"/>
      <x:c r="K16"/>
      <x:c r="L16"/>
      <x:c r="M16"/>
      <x:c r="N16"/>
      <x:c r="O16"/>
    </x:row>
    <x:row r="17" ht="24" customHeight="1">
      <x:c r="A17" s="41"/>
      <x:c r="B17" s="41" t="str">
        <x:v>Tarmac</x:v>
      </x:c>
      <x:c r="C17" s="41" t="str">
        <x:v>Front</x:v>
      </x:c>
      <x:c r="D17" s="41" t="str">
        <x:v>Inner</x:v>
      </x:c>
      <x:c r="E17" s="49" t="n">
        <x:v>127</x:v>
      </x:c>
      <x:c r="F17" s="49" t="n">
        <x:v>35</x:v>
      </x:c>
      <x:c r="G17" s="49" t="n">
        <x:v>163</x:v>
      </x:c>
      <x:c r="H17" s="41"/>
      <x:c r="I17" s="41"/>
      <x:c r="J17"/>
      <x:c r="K17"/>
      <x:c r="L17"/>
      <x:c r="M17"/>
      <x:c r="N17"/>
      <x:c r="O17"/>
    </x:row>
    <x:row r="18" ht="24" customHeight="1">
      <x:c r="A18" s="41"/>
      <x:c r="B18" s="41" t="str">
        <x:v>Tarmac</x:v>
      </x:c>
      <x:c r="C18" s="41" t="str">
        <x:v>Front</x:v>
      </x:c>
      <x:c r="D18" s="41" t="str">
        <x:v>Middle</x:v>
      </x:c>
      <x:c r="E18" s="49" t="n">
        <x:v>127</x:v>
      </x:c>
      <x:c r="F18" s="49" t="n">
        <x:v>42</x:v>
      </x:c>
      <x:c r="G18" s="49" t="n">
        <x:v>163</x:v>
      </x:c>
      <x:c r="H18" s="41"/>
      <x:c r="I18" s="41"/>
      <x:c r="J18"/>
      <x:c r="K18"/>
      <x:c r="L18"/>
      <x:c r="M18"/>
      <x:c r="N18"/>
      <x:c r="O18"/>
    </x:row>
    <x:row r="19" ht="24" customHeight="1">
      <x:c r="A19" s="41"/>
      <x:c r="B19" s="41" t="str">
        <x:v>Tarmac</x:v>
      </x:c>
      <x:c r="C19" s="41" t="str">
        <x:v>Front</x:v>
      </x:c>
      <x:c r="D19" s="41" t="str">
        <x:v>Outer</x:v>
      </x:c>
      <x:c r="E19" s="49" t="n">
        <x:v>127</x:v>
      </x:c>
      <x:c r="F19" s="49" t="n">
        <x:v>46</x:v>
      </x:c>
      <x:c r="G19" s="49" t="n">
        <x:v>163</x:v>
      </x:c>
      <x:c r="H19" s="41"/>
      <x:c r="I19" s="41"/>
      <x:c r="J19"/>
      <x:c r="K19"/>
      <x:c r="L19"/>
      <x:c r="M19"/>
      <x:c r="N19"/>
      <x:c r="O19"/>
    </x:row>
    <x:row r="20" ht="24" customHeight="1">
      <x:c r="A20" s="41"/>
      <x:c r="B20" s="41" t="str">
        <x:v>Tarmac</x:v>
      </x:c>
      <x:c r="C20" s="41" t="str">
        <x:v>Rear</x:v>
      </x:c>
      <x:c r="D20" s="41" t="str">
        <x:v>Inner</x:v>
      </x:c>
      <x:c r="E20" s="49" t="n">
        <x:v>136</x:v>
      </x:c>
      <x:c r="F20" s="49" t="n">
        <x:v>41</x:v>
      </x:c>
      <x:c r="G20" s="49" t="n">
        <x:v>154</x:v>
      </x:c>
      <x:c r="H20" s="41"/>
      <x:c r="I20" s="41"/>
      <x:c r="J20"/>
      <x:c r="K20"/>
      <x:c r="L20"/>
      <x:c r="M20"/>
      <x:c r="N20"/>
      <x:c r="O20"/>
    </x:row>
    <x:row r="21" ht="24" customHeight="1">
      <x:c r="A21" s="41"/>
      <x:c r="B21" s="41" t="str">
        <x:v>Tarmac</x:v>
      </x:c>
      <x:c r="C21" s="41" t="str">
        <x:v>Rear</x:v>
      </x:c>
      <x:c r="D21" s="41" t="str">
        <x:v>Middle</x:v>
      </x:c>
      <x:c r="E21" s="49" t="n">
        <x:v>136</x:v>
      </x:c>
      <x:c r="F21" s="49" t="n">
        <x:v>49</x:v>
      </x:c>
      <x:c r="G21" s="49" t="n">
        <x:v>154</x:v>
      </x:c>
      <x:c r="H21" s="41"/>
      <x:c r="I21" s="41"/>
      <x:c r="J21"/>
      <x:c r="K21"/>
      <x:c r="L21"/>
      <x:c r="M21"/>
      <x:c r="N21"/>
      <x:c r="O21"/>
    </x:row>
    <x:row r="22" ht="24" customHeight="1">
      <x:c r="A22" s="41"/>
      <x:c r="B22" s="41" t="str">
        <x:v>Tarmac</x:v>
      </x:c>
      <x:c r="C22" s="41" t="str">
        <x:v>Rear</x:v>
      </x:c>
      <x:c r="D22" s="41" t="str">
        <x:v>Outer</x:v>
      </x:c>
      <x:c r="E22" s="49" t="n">
        <x:v>136</x:v>
      </x:c>
      <x:c r="F22" s="49" t="n">
        <x:v>54</x:v>
      </x:c>
      <x:c r="G22" s="49" t="n">
        <x:v>154</x:v>
      </x:c>
      <x:c r="H22" s="41"/>
      <x:c r="I22" s="41"/>
      <x:c r="J22"/>
      <x:c r="K22"/>
      <x:c r="L22"/>
      <x:c r="M22"/>
      <x:c r="N22"/>
      <x:c r="O22"/>
    </x:row>
    <x:row r="23" ht="24" customHeight="1">
      <x:c r="A23" s="41"/>
      <x:c r="B23" s="41" t="str">
        <x:v>Gravel</x:v>
      </x:c>
      <x:c r="C23" s="41" t="str">
        <x:v>Front</x:v>
      </x:c>
      <x:c r="D23" s="41" t="str">
        <x:v>Inner</x:v>
      </x:c>
      <x:c r="E23" s="49" t="n">
        <x:v>126</x:v>
      </x:c>
      <x:c r="F23" s="49" t="n">
        <x:v>32</x:v>
      </x:c>
      <x:c r="G23" s="49" t="n">
        <x:v>163</x:v>
      </x:c>
      <x:c r="H23" s="41"/>
      <x:c r="I23" s="41"/>
      <x:c r="J23"/>
      <x:c r="K23"/>
      <x:c r="L23"/>
      <x:c r="M23"/>
      <x:c r="N23"/>
      <x:c r="O23"/>
    </x:row>
    <x:row r="24" ht="24" customHeight="1">
      <x:c r="A24" s="41"/>
      <x:c r="B24" s="41" t="str">
        <x:v>Gravel</x:v>
      </x:c>
      <x:c r="C24" s="41" t="str">
        <x:v>Front</x:v>
      </x:c>
      <x:c r="D24" s="41" t="str">
        <x:v>Middle</x:v>
      </x:c>
      <x:c r="E24" s="49" t="n">
        <x:v>126</x:v>
      </x:c>
      <x:c r="F24" s="49" t="n">
        <x:v>40</x:v>
      </x:c>
      <x:c r="G24" s="49" t="n">
        <x:v>163</x:v>
      </x:c>
      <x:c r="H24" s="41"/>
      <x:c r="I24" s="41"/>
      <x:c r="J24"/>
      <x:c r="K24"/>
      <x:c r="L24"/>
      <x:c r="M24"/>
      <x:c r="N24"/>
      <x:c r="O24"/>
    </x:row>
    <x:row r="25" ht="24" customHeight="1">
      <x:c r="A25" s="41"/>
      <x:c r="B25" s="41" t="str">
        <x:v>Gravel</x:v>
      </x:c>
      <x:c r="C25" s="41" t="str">
        <x:v>Front</x:v>
      </x:c>
      <x:c r="D25" s="41" t="str">
        <x:v>Outer</x:v>
      </x:c>
      <x:c r="E25" s="49" t="n">
        <x:v>126</x:v>
      </x:c>
      <x:c r="F25" s="49" t="n">
        <x:v>45</x:v>
      </x:c>
      <x:c r="G25" s="49" t="n">
        <x:v>163</x:v>
      </x:c>
      <x:c r="H25" s="41"/>
      <x:c r="I25" s="41"/>
      <x:c r="J25"/>
      <x:c r="K25"/>
      <x:c r="L25"/>
      <x:c r="M25"/>
      <x:c r="N25"/>
      <x:c r="O25"/>
    </x:row>
    <x:row r="26" ht="24" customHeight="1">
      <x:c r="A26" s="41"/>
      <x:c r="B26" s="41" t="str">
        <x:v>Gravel</x:v>
      </x:c>
      <x:c r="C26" s="41" t="str">
        <x:v>Rear</x:v>
      </x:c>
      <x:c r="D26" s="41" t="str">
        <x:v>Inner</x:v>
      </x:c>
      <x:c r="E26" s="49" t="n">
        <x:v>127</x:v>
      </x:c>
      <x:c r="F26" s="49" t="n">
        <x:v>39</x:v>
      </x:c>
      <x:c r="G26" s="49" t="n">
        <x:v>154</x:v>
      </x:c>
      <x:c r="H26" s="41"/>
      <x:c r="I26" s="41"/>
      <x:c r="J26"/>
      <x:c r="K26"/>
      <x:c r="L26"/>
      <x:c r="M26"/>
      <x:c r="N26"/>
      <x:c r="O26"/>
    </x:row>
    <x:row r="27" ht="24" customHeight="1">
      <x:c r="A27" s="41"/>
      <x:c r="B27" s="41" t="str">
        <x:v>Gravel</x:v>
      </x:c>
      <x:c r="C27" s="41" t="str">
        <x:v>Rear</x:v>
      </x:c>
      <x:c r="D27" s="41" t="str">
        <x:v>Middle</x:v>
      </x:c>
      <x:c r="E27" s="49" t="n">
        <x:v>127</x:v>
      </x:c>
      <x:c r="F27" s="49" t="n">
        <x:v>47</x:v>
      </x:c>
      <x:c r="G27" s="49" t="n">
        <x:v>154</x:v>
      </x:c>
      <x:c r="H27" s="41"/>
      <x:c r="I27" s="41"/>
      <x:c r="J27"/>
      <x:c r="K27"/>
      <x:c r="L27"/>
      <x:c r="M27"/>
      <x:c r="N27"/>
      <x:c r="O27"/>
    </x:row>
    <x:row r="28" ht="24" customHeight="1">
      <x:c r="A28" s="41"/>
      <x:c r="B28" s="41" t="str">
        <x:v>Gravel</x:v>
      </x:c>
      <x:c r="C28" s="41" t="str">
        <x:v>Rear</x:v>
      </x:c>
      <x:c r="D28" s="41" t="str">
        <x:v>Outer</x:v>
      </x:c>
      <x:c r="E28" s="49" t="n">
        <x:v>127</x:v>
      </x:c>
      <x:c r="F28" s="49" t="n">
        <x:v>51</x:v>
      </x:c>
      <x:c r="G28" s="49" t="n">
        <x:v>154</x:v>
      </x:c>
      <x:c r="H28" s="41"/>
      <x:c r="I28" s="41"/>
      <x:c r="J28"/>
      <x:c r="K28"/>
      <x:c r="L28"/>
      <x:c r="M28"/>
      <x:c r="N28"/>
      <x:c r="O28"/>
    </x:row>
    <x:row r="29" ht="24" customHeight="1">
      <x:c r="A29" s="41"/>
      <x:c r="B29" s="41"/>
      <x:c r="C29" s="41"/>
      <x:c r="D29" s="41"/>
      <x:c r="E29" s="41"/>
      <x:c r="F29" s="41"/>
      <x:c r="G29" s="41"/>
      <x:c r="H29" s="41"/>
      <x:c r="I29" s="41"/>
      <x:c r="J29"/>
      <x:c r="K29"/>
      <x:c r="L29"/>
      <x:c r="M29"/>
      <x:c r="N29"/>
      <x:c r="O29"/>
    </x:row>
    <x:row r="30" ht="24" customHeight="1">
      <x:c r="A30" s="41"/>
      <x:c r="B30" s="51" t="str">
        <x:v>计算口径</x:v>
      </x:c>
      <x:c r="C30" s="51" t="str">
        <x:v>计算口径</x:v>
      </x:c>
      <x:c r="D30" s="51" t="str">
        <x:v>计算口径</x:v>
      </x:c>
      <x:c r="E30" s="51" t="str">
        <x:v>计算口径</x:v>
      </x:c>
      <x:c r="F30" s="51" t="str">
        <x:v>计算口径</x:v>
      </x:c>
      <x:c r="G30" s="51" t="str">
        <x:v>计算口径</x:v>
      </x:c>
      <x:c r="H30" s="51" t="str">
        <x:v>计算口径</x:v>
      </x:c>
      <x:c r="I30" s="41"/>
      <x:c r="J30"/>
      <x:c r="K30"/>
      <x:c r="L30"/>
      <x:c r="M30"/>
      <x:c r="N30"/>
      <x:c r="O30"/>
    </x:row>
    <x:row r="31" ht="24" customHeight="1">
      <x:c r="A31" s="41"/>
      <x:c r="B31" s="53" t="str">
        <x:v>MR = ARB travel / Wheel travel；等效轮端刚度 k = 1000 × Torsion × MR² / Effective arm²（N/mm）。</x:v>
      </x:c>
      <x:c r="C31" s="53" t="str">
        <x:v>MR = ARB travel / Wheel travel；等效轮端刚度 k = 1000 × Torsion × MR² / Effective arm²（N/mm）。</x:v>
      </x:c>
      <x:c r="D31" s="53" t="str">
        <x:v>MR = ARB travel / Wheel travel；等效轮端刚度 k = 1000 × Torsion × MR² / Effective arm²（N/mm）。</x:v>
      </x:c>
      <x:c r="E31" s="53" t="str">
        <x:v>MR = ARB travel / Wheel travel；等效轮端刚度 k = 1000 × Torsion × MR² / Effective arm²（N/mm）。</x:v>
      </x:c>
      <x:c r="F31" s="53" t="str">
        <x:v>MR = ARB travel / Wheel travel；等效轮端刚度 k = 1000 × Torsion × MR² / Effective arm²（N/mm）。</x:v>
      </x:c>
      <x:c r="G31" s="53" t="str">
        <x:v>MR = ARB travel / Wheel travel；等效轮端刚度 k = 1000 × Torsion × MR² / Effective arm²（N/mm）。</x:v>
      </x:c>
      <x:c r="H31" s="53" t="str">
        <x:v>MR = ARB travel / Wheel travel；等效轮端刚度 k = 1000 × Torsion × MR² / Effective arm²（N/mm）。</x:v>
      </x:c>
      <x:c r="I31" s="41"/>
      <x:c r="J31"/>
      <x:c r="K31"/>
      <x:c r="L31"/>
      <x:c r="M31"/>
      <x:c r="N31"/>
      <x:c r="O31"/>
    </x:row>
    <x:row r="32" ht="24" customHeight="1">
      <x:c r="A32" s="41"/>
      <x:c r="B32" s="53" t="str">
        <x:v>MR = ARB travel / Wheel travel；等效轮端刚度 k = 1000 × Torsion × MR² / Effective arm²（N/mm）。</x:v>
      </x:c>
      <x:c r="C32" s="53" t="str">
        <x:v>MR = ARB travel / Wheel travel；等效轮端刚度 k = 1000 × Torsion × MR² / Effective arm²（N/mm）。</x:v>
      </x:c>
      <x:c r="D32" s="53" t="str">
        <x:v>MR = ARB travel / Wheel travel；等效轮端刚度 k = 1000 × Torsion × MR² / Effective arm²（N/mm）。</x:v>
      </x:c>
      <x:c r="E32" s="53" t="str">
        <x:v>MR = ARB travel / Wheel travel；等效轮端刚度 k = 1000 × Torsion × MR² / Effective arm²（N/mm）。</x:v>
      </x:c>
      <x:c r="F32" s="53" t="str">
        <x:v>MR = ARB travel / Wheel travel；等效轮端刚度 k = 1000 × Torsion × MR² / Effective arm²（N/mm）。</x:v>
      </x:c>
      <x:c r="G32" s="53" t="str">
        <x:v>MR = ARB travel / Wheel travel；等效轮端刚度 k = 1000 × Torsion × MR² / Effective arm²（N/mm）。</x:v>
      </x:c>
      <x:c r="H32" s="53" t="str">
        <x:v>MR = ARB travel / Wheel travel；等效轮端刚度 k = 1000 × Torsion × MR² / Effective arm²（N/mm）。</x:v>
      </x:c>
      <x:c r="I32" s="41"/>
      <x:c r="J32"/>
      <x:c r="K32"/>
      <x:c r="L32"/>
      <x:c r="M32"/>
      <x:c r="N32"/>
      <x:c r="O32"/>
    </x:row>
    <x:row r="33" ht="24" customHeight="1">
      <x:c r="A33" s="41"/>
      <x:c r="B33" s="53" t="str">
        <x:v>基准为对侧轮固定。现有 MR 是全伸展至车高的平均值；采用刚性、小角度、切向位移近似，不代表车高附近的局部刚度。</x:v>
      </x:c>
      <x:c r="C33" s="53" t="str">
        <x:v>基准为对侧轮固定。现有 MR 是全伸展至车高的平均值；采用刚性、小角度、切向位移近似，不代表车高附近的局部刚度。</x:v>
      </x:c>
      <x:c r="D33" s="53" t="str">
        <x:v>基准为对侧轮固定。现有 MR 是全伸展至车高的平均值；采用刚性、小角度、切向位移近似，不代表车高附近的局部刚度。</x:v>
      </x:c>
      <x:c r="E33" s="53" t="str">
        <x:v>基准为对侧轮固定。现有 MR 是全伸展至车高的平均值；采用刚性、小角度、切向位移近似，不代表车高附近的局部刚度。</x:v>
      </x:c>
      <x:c r="F33" s="53" t="str">
        <x:v>基准为对侧轮固定。现有 MR 是全伸展至车高的平均值；采用刚性、小角度、切向位移近似，不代表车高附近的局部刚度。</x:v>
      </x:c>
      <x:c r="G33" s="53" t="str">
        <x:v>基准为对侧轮固定。现有 MR 是全伸展至车高的平均值；采用刚性、小角度、切向位移近似，不代表车高附近的局部刚度。</x:v>
      </x:c>
      <x:c r="H33" s="53" t="str">
        <x:v>基准为对侧轮固定。现有 MR 是全伸展至车高的平均值；采用刚性、小角度、切向位移近似，不代表车高附近的局部刚度。</x:v>
      </x:c>
      <x:c r="I33" s="41"/>
      <x:c r="J33"/>
      <x:c r="K33"/>
      <x:c r="L33"/>
      <x:c r="M33"/>
      <x:c r="N33"/>
      <x:c r="O33"/>
    </x:row>
    <x:row r="34" ht="24" customHeight="1">
      <x:c r="A34" s="41"/>
      <x:c r="B34" s="53" t="str">
        <x:v>基准为对侧轮固定。现有 MR 是全伸展至车高的平均值；采用刚性、小角度、切向位移近似，不代表车高附近的局部刚度。</x:v>
      </x:c>
      <x:c r="C34" s="53" t="str">
        <x:v>基准为对侧轮固定。现有 MR 是全伸展至车高的平均值；采用刚性、小角度、切向位移近似，不代表车高附近的局部刚度。</x:v>
      </x:c>
      <x:c r="D34" s="53" t="str">
        <x:v>基准为对侧轮固定。现有 MR 是全伸展至车高的平均值；采用刚性、小角度、切向位移近似，不代表车高附近的局部刚度。</x:v>
      </x:c>
      <x:c r="E34" s="53" t="str">
        <x:v>基准为对侧轮固定。现有 MR 是全伸展至车高的平均值；采用刚性、小角度、切向位移近似，不代表车高附近的局部刚度。</x:v>
      </x:c>
      <x:c r="F34" s="53" t="str">
        <x:v>基准为对侧轮固定。现有 MR 是全伸展至车高的平均值；采用刚性、小角度、切向位移近似，不代表车高附近的局部刚度。</x:v>
      </x:c>
      <x:c r="G34" s="53" t="str">
        <x:v>基准为对侧轮固定。现有 MR 是全伸展至车高的平均值；采用刚性、小角度、切向位移近似，不代表车高附近的局部刚度。</x:v>
      </x:c>
      <x:c r="H34" s="53" t="str">
        <x:v>基准为对侧轮固定。现有 MR 是全伸展至车高的平均值；采用刚性、小角度、切向位移近似，不代表车高附近的局部刚度。</x:v>
      </x:c>
      <x:c r="I34" s="41"/>
      <x:c r="J34"/>
      <x:c r="K34"/>
      <x:c r="L34"/>
      <x:c r="M34"/>
      <x:c r="N34"/>
      <x:c r="O34"/>
    </x:row>
    <x:row r="35" ht="24" customHeight="1">
      <x:c r="A35" s="41"/>
      <x:c r="B35" s="53" t="str">
        <x:v>同材质、同有效扭转长度的实心圆杆：K₂ / K₁ = (d₂ / d₁)⁴。Torsion 保留为独立标定值，修改 Diameter 不会自动覆盖它。</x:v>
      </x:c>
      <x:c r="C35" s="53" t="str">
        <x:v>同材质、同有效扭转长度的实心圆杆：K₂ / K₁ = (d₂ / d₁)⁴。Torsion 保留为独立标定值，修改 Diameter 不会自动覆盖它。</x:v>
      </x:c>
      <x:c r="D35" s="53" t="str">
        <x:v>同材质、同有效扭转长度的实心圆杆：K₂ / K₁ = (d₂ / d₁)⁴。Torsion 保留为独立标定值，修改 Diameter 不会自动覆盖它。</x:v>
      </x:c>
      <x:c r="E35" s="53" t="str">
        <x:v>同材质、同有效扭转长度的实心圆杆：K₂ / K₁ = (d₂ / d₁)⁴。Torsion 保留为独立标定值，修改 Diameter 不会自动覆盖它。</x:v>
      </x:c>
      <x:c r="F35" s="53" t="str">
        <x:v>同材质、同有效扭转长度的实心圆杆：K₂ / K₁ = (d₂ / d₁)⁴。Torsion 保留为独立标定值，修改 Diameter 不会自动覆盖它。</x:v>
      </x:c>
      <x:c r="G35" s="53" t="str">
        <x:v>同材质、同有效扭转长度的实心圆杆：K₂ / K₁ = (d₂ / d₁)⁴。Torsion 保留为独立标定值，修改 Diameter 不会自动覆盖它。</x:v>
      </x:c>
      <x:c r="H35" s="53" t="str">
        <x:v>同材质、同有效扭转长度的实心圆杆：K₂ / K₁ = (d₂ / d₁)⁴。Torsion 保留为独立标定值，修改 Diameter 不会自动覆盖它。</x:v>
      </x:c>
      <x:c r="I35" s="41"/>
      <x:c r="J35"/>
      <x:c r="K35"/>
      <x:c r="L35"/>
      <x:c r="M35"/>
      <x:c r="N35"/>
      <x:c r="O35"/>
    </x:row>
    <x:row r="36" ht="24" customHeight="1">
      <x:c r="A36" s="41"/>
      <x:c r="B36" s="53" t="str">
        <x:v>同材质、同有效扭转长度的实心圆杆：K₂ / K₁ = (d₂ / d₁)⁴。Torsion 保留为独立标定值，修改 Diameter 不会自动覆盖它。</x:v>
      </x:c>
      <x:c r="C36" s="53" t="str">
        <x:v>同材质、同有效扭转长度的实心圆杆：K₂ / K₁ = (d₂ / d₁)⁴。Torsion 保留为独立标定值，修改 Diameter 不会自动覆盖它。</x:v>
      </x:c>
      <x:c r="D36" s="53" t="str">
        <x:v>同材质、同有效扭转长度的实心圆杆：K₂ / K₁ = (d₂ / d₁)⁴。Torsion 保留为独立标定值，修改 Diameter 不会自动覆盖它。</x:v>
      </x:c>
      <x:c r="E36" s="53" t="str">
        <x:v>同材质、同有效扭转长度的实心圆杆：K₂ / K₁ = (d₂ / d₁)⁴。Torsion 保留为独立标定值，修改 Diameter 不会自动覆盖它。</x:v>
      </x:c>
      <x:c r="F36" s="53" t="str">
        <x:v>同材质、同有效扭转长度的实心圆杆：K₂ / K₁ = (d₂ / d₁)⁴。Torsion 保留为独立标定值，修改 Diameter 不会自动覆盖它。</x:v>
      </x:c>
      <x:c r="G36" s="53" t="str">
        <x:v>同材质、同有效扭转长度的实心圆杆：K₂ / K₁ = (d₂ / d₁)⁴。Torsion 保留为独立标定值，修改 Diameter 不会自动覆盖它。</x:v>
      </x:c>
      <x:c r="H36" s="53" t="str">
        <x:v>同材质、同有效扭转长度的实心圆杆：K₂ / K₁ = (d₂ / d₁)⁴。Torsion 保留为独立标定值，修改 Diameter 不会自动覆盖它。</x:v>
      </x:c>
      <x:c r="I36" s="41"/>
      <x:c r="J36"/>
      <x:c r="K36"/>
      <x:c r="L36"/>
      <x:c r="M36"/>
      <x:c r="N36"/>
      <x:c r="O36"/>
    </x:row>
    <x:row r="37" ht="24" customHeight="1">
      <x:c r="A37" s="41"/>
      <x:c r="B37" s="41"/>
      <x:c r="C37" s="41"/>
      <x:c r="D37" s="41"/>
      <x:c r="E37" s="41"/>
      <x:c r="F37" s="41"/>
      <x:c r="G37" s="41"/>
      <x:c r="H37" s="41"/>
      <x:c r="I37" s="41"/>
      <x:c r="J37"/>
      <x:c r="K37"/>
      <x:c r="L37"/>
      <x:c r="M37"/>
      <x:c r="N37"/>
      <x:c r="O37"/>
    </x:row>
    <x:row r="38" ht="24" customHeight="1">
      <x:c r="A38" s="41"/>
      <x:c r="B38" s="51" t="str">
        <x:v>原表附记（未标明含义，原值保留）</x:v>
      </x:c>
      <x:c r="C38" s="51" t="str">
        <x:v>原表附记（未标明含义，原值保留）</x:v>
      </x:c>
      <x:c r="D38" s="51" t="str">
        <x:v>原表附记（未标明含义，原值保留）</x:v>
      </x:c>
      <x:c r="E38" s="51" t="str">
        <x:v>原表附记（未标明含义，原值保留）</x:v>
      </x:c>
      <x:c r="F38" s="51" t="str">
        <x:v>原表附记（未标明含义，原值保留）</x:v>
      </x:c>
      <x:c r="G38" s="51" t="str">
        <x:v>原表附记（未标明含义，原值保留）</x:v>
      </x:c>
      <x:c r="H38" s="51" t="str">
        <x:v>原表附记（未标明含义，原值保留）</x:v>
      </x:c>
      <x:c r="I38" s="41"/>
      <x:c r="J38"/>
      <x:c r="K38"/>
      <x:c r="L38"/>
      <x:c r="M38"/>
      <x:c r="N38"/>
      <x:c r="O38"/>
    </x:row>
    <x:row r="39" ht="32" customHeight="1">
      <x:c r="A39" s="41"/>
      <x:c r="B39" s="46" t="str">
        <x:v>Source cell</x:v>
      </x:c>
      <x:c r="C39" s="46" t="str">
        <x:v>Value</x:v>
      </x:c>
      <x:c r="D39" s="41"/>
      <x:c r="E39" s="41"/>
      <x:c r="F39" s="41"/>
      <x:c r="G39" s="41"/>
      <x:c r="H39" s="41"/>
      <x:c r="I39" s="41"/>
      <x:c r="J39"/>
      <x:c r="K39"/>
      <x:c r="L39"/>
      <x:c r="M39"/>
      <x:c r="N39"/>
      <x:c r="O39"/>
    </x:row>
    <x:row r="40" ht="24" customHeight="1">
      <x:c r="A40" s="41"/>
      <x:c r="B40" s="41" t="str">
        <x:v>Tarmac!I19</x:v>
      </x:c>
      <x:c r="C40" s="54" t="n">
        <x:v>223</x:v>
      </x:c>
      <x:c r="D40" s="41"/>
      <x:c r="E40" s="41"/>
      <x:c r="F40" s="41"/>
      <x:c r="G40" s="41"/>
      <x:c r="H40" s="41"/>
      <x:c r="I40" s="41"/>
      <x:c r="J40"/>
      <x:c r="K40"/>
      <x:c r="L40"/>
      <x:c r="M40"/>
      <x:c r="N40"/>
      <x:c r="O40"/>
    </x:row>
    <x:row r="41" ht="24" customHeight="1">
      <x:c r="A41" s="41"/>
      <x:c r="B41" s="41" t="str">
        <x:v>Tarmac!J19</x:v>
      </x:c>
      <x:c r="C41" s="54" t="n">
        <x:v>267</x:v>
      </x:c>
      <x:c r="D41" s="41"/>
      <x:c r="E41" s="41"/>
      <x:c r="F41" s="41"/>
      <x:c r="G41" s="41"/>
      <x:c r="H41" s="41"/>
      <x:c r="I41" s="41"/>
      <x:c r="J41"/>
      <x:c r="K41"/>
      <x:c r="L41"/>
      <x:c r="M41"/>
      <x:c r="N41"/>
      <x:c r="O41"/>
    </x:row>
    <x:row r="42" ht="24" customHeight="1">
      <x:c r="A42" s="41"/>
      <x:c r="B42" s="41" t="str">
        <x:v>Tarmac!K19</x:v>
      </x:c>
      <x:c r="C42" s="54" t="n">
        <x:v>236</x:v>
      </x:c>
      <x:c r="D42" s="41"/>
      <x:c r="E42" s="41"/>
      <x:c r="F42" s="41"/>
      <x:c r="G42" s="41"/>
      <x:c r="H42" s="41"/>
      <x:c r="I42" s="41"/>
      <x:c r="J42"/>
      <x:c r="K42"/>
      <x:c r="L42"/>
      <x:c r="M42"/>
      <x:c r="N42"/>
      <x:c r="O42"/>
    </x:row>
    <x:row r="43" ht="24" customHeight="1">
      <x:c r="A43" s="41"/>
      <x:c r="B43" s="41" t="str">
        <x:v>Tarmac!I20</x:v>
      </x:c>
      <x:c r="C43" s="54" t="n">
        <x:v>238</x:v>
      </x:c>
      <x:c r="D43" s="41"/>
      <x:c r="E43" s="41"/>
      <x:c r="F43" s="41"/>
      <x:c r="G43" s="41"/>
      <x:c r="H43" s="41"/>
      <x:c r="I43" s="41"/>
    </x:row>
    <x:row r="44" ht="24" customHeight="1">
      <x:c r="A44" s="41"/>
      <x:c r="B44" s="41" t="str">
        <x:v>Tarmac!J20</x:v>
      </x:c>
      <x:c r="C44" s="54" t="n">
        <x:v>279</x:v>
      </x:c>
      <x:c r="D44" s="41"/>
      <x:c r="E44" s="41"/>
      <x:c r="F44" s="41"/>
      <x:c r="G44" s="41"/>
      <x:c r="H44" s="41"/>
      <x:c r="I44" s="41"/>
    </x:row>
    <x:row r="45" ht="24" customHeight="1">
      <x:c r="A45" s="41"/>
      <x:c r="B45" s="41" t="str">
        <x:v>Gravel!K6</x:v>
      </x:c>
      <x:c r="C45" s="54" t="n">
        <x:v>16</x:v>
      </x:c>
      <x:c r="D45" s="41"/>
      <x:c r="E45" s="41"/>
      <x:c r="F45" s="41"/>
      <x:c r="G45" s="41"/>
      <x:c r="H45" s="41"/>
      <x:c r="I45" s="41"/>
    </x:row>
    <x:row r="46" ht="24" customHeight="1">
      <x:c r="A46" s="41"/>
      <x:c r="B46" s="41" t="str">
        <x:v>Gravel!K7</x:v>
      </x:c>
      <x:c r="C46" s="54" t="n">
        <x:v>23</x:v>
      </x:c>
      <x:c r="D46" s="41"/>
      <x:c r="E46" s="41"/>
      <x:c r="F46" s="41"/>
      <x:c r="G46" s="41"/>
      <x:c r="H46" s="41"/>
      <x:c r="I46" s="41"/>
    </x:row>
    <x:row r="47" ht="24" customHeight="1">
      <x:c r="A47" s="41"/>
      <x:c r="B47" s="41" t="str">
        <x:v>Gravel!K8</x:v>
      </x:c>
      <x:c r="C47" s="54" t="n">
        <x:v>24</x:v>
      </x:c>
      <x:c r="D47" s="41"/>
      <x:c r="E47" s="41"/>
      <x:c r="F47" s="41"/>
      <x:c r="G47" s="41"/>
      <x:c r="H47" s="41"/>
      <x:c r="I47" s="41"/>
    </x:row>
    <x:row r="48" ht="24" customHeight="1">
      <x:c r="A48" s="41"/>
      <x:c r="B48" s="41"/>
      <x:c r="C48" s="41"/>
      <x:c r="D48" s="41"/>
      <x:c r="E48" s="41"/>
      <x:c r="F48" s="41"/>
      <x:c r="G48" s="41"/>
      <x:c r="H48" s="41"/>
      <x:c r="I48" s="41"/>
    </x:row>
    <x:row r="49" ht="24" customHeight="1">
      <x:c r="A49" s="41"/>
      <x:c r="B49" s="53" t="str">
        <x:v>来源：原 arb_stiffness.xlsx 的 Tarmac / Gravel；相同几何的重复行已合并，原始测量值不变。</x:v>
      </x:c>
      <x:c r="C49" s="53" t="str">
        <x:v>来源：原 arb_stiffness.xlsx 的 Tarmac / Gravel；相同几何的重复行已合并，原始测量值不变。</x:v>
      </x:c>
      <x:c r="D49" s="53" t="str">
        <x:v>来源：原 arb_stiffness.xlsx 的 Tarmac / Gravel；相同几何的重复行已合并，原始测量值不变。</x:v>
      </x:c>
      <x:c r="E49" s="53" t="str">
        <x:v>来源：原 arb_stiffness.xlsx 的 Tarmac / Gravel；相同几何的重复行已合并，原始测量值不变。</x:v>
      </x:c>
      <x:c r="F49" s="53" t="str">
        <x:v>来源：原 arb_stiffness.xlsx 的 Tarmac / Gravel；相同几何的重复行已合并，原始测量值不变。</x:v>
      </x:c>
      <x:c r="G49" s="53" t="str">
        <x:v>来源：原 arb_stiffness.xlsx 的 Tarmac / Gravel；相同几何的重复行已合并，原始测量值不变。</x:v>
      </x:c>
      <x:c r="H49" s="53" t="str">
        <x:v>来源：原 arb_stiffness.xlsx 的 Tarmac / Gravel；相同几何的重复行已合并，原始测量值不变。</x:v>
      </x:c>
      <x:c r="I49" s="41"/>
    </x:row>
    <x:row r="50" ht="24" customHeight="1">
      <x:c r="A50" s="41"/>
      <x:c r="B50" s="53" t="str">
        <x:v>来源：原 arb_stiffness.xlsx 的 Tarmac / Gravel；相同几何的重复行已合并，原始测量值不变。</x:v>
      </x:c>
      <x:c r="C50" s="53" t="str">
        <x:v>来源：原 arb_stiffness.xlsx 的 Tarmac / Gravel；相同几何的重复行已合并，原始测量值不变。</x:v>
      </x:c>
      <x:c r="D50" s="53" t="str">
        <x:v>来源：原 arb_stiffness.xlsx 的 Tarmac / Gravel；相同几何的重复行已合并，原始测量值不变。</x:v>
      </x:c>
      <x:c r="E50" s="53" t="str">
        <x:v>来源：原 arb_stiffness.xlsx 的 Tarmac / Gravel；相同几何的重复行已合并，原始测量值不变。</x:v>
      </x:c>
      <x:c r="F50" s="53" t="str">
        <x:v>来源：原 arb_stiffness.xlsx 的 Tarmac / Gravel；相同几何的重复行已合并，原始测量值不变。</x:v>
      </x:c>
      <x:c r="G50" s="53" t="str">
        <x:v>来源：原 arb_stiffness.xlsx 的 Tarmac / Gravel；相同几何的重复行已合并，原始测量值不变。</x:v>
      </x:c>
      <x:c r="H50" s="53" t="str">
        <x:v>来源：原 arb_stiffness.xlsx 的 Tarmac / Gravel；相同几何的重复行已合并，原始测量值不变。</x:v>
      </x:c>
      <x:c r="I50" s="41"/>
    </x:row>
    <x:row r="51" ht="24" customHeight="1">
      <x:c r="A51" s="41"/>
      <x:c r="B51" s="41"/>
      <x:c r="C51" s="41"/>
      <x:c r="D51" s="41"/>
      <x:c r="E51" s="41"/>
      <x:c r="F51" s="41"/>
      <x:c r="G51" s="41"/>
      <x:c r="H51" s="41"/>
      <x:c r="I51" s="41"/>
    </x:row>
    <x:row r="52" ht="24" customHeight="1">
      <x:c r="A52" s="41"/>
      <x:c r="B52" s="56" t="str">
        <x:v>扭转系数单位：BeamNG torsionbars 文档。
https://docs.beamng.com/modding/vehicle/sections/torsionbars/</x:v>
      </x:c>
      <x:c r="C52" s="56" t="str">
        <x:v>扭转系数单位：BeamNG torsionbars 文档。
https://docs.beamng.com/modding/vehicle/sections/torsionbars/</x:v>
      </x:c>
      <x:c r="D52" s="56" t="str">
        <x:v>扭转系数单位：BeamNG torsionbars 文档。
https://docs.beamng.com/modding/vehicle/sections/torsionbars/</x:v>
      </x:c>
      <x:c r="E52" s="56" t="str">
        <x:v>扭转系数单位：BeamNG torsionbars 文档。
https://docs.beamng.com/modding/vehicle/sections/torsionbars/</x:v>
      </x:c>
      <x:c r="F52" s="56" t="str">
        <x:v>扭转系数单位：BeamNG torsionbars 文档。
https://docs.beamng.com/modding/vehicle/sections/torsionbars/</x:v>
      </x:c>
      <x:c r="G52" s="56" t="str">
        <x:v>扭转系数单位：BeamNG torsionbars 文档。
https://docs.beamng.com/modding/vehicle/sections/torsionbars/</x:v>
      </x:c>
      <x:c r="H52" s="56" t="str">
        <x:v>扭转系数单位：BeamNG torsionbars 文档。
https://docs.beamng.com/modding/vehicle/sections/torsionbars/</x:v>
      </x:c>
      <x:c r="I52" s="41"/>
    </x:row>
    <x:row r="53" ht="24" customHeight="1">
      <x:c r="A53" s="41"/>
      <x:c r="B53" s="56" t="str">
        <x:v>扭转系数单位：BeamNG torsionbars 文档。
https://docs.beamng.com/modding/vehicle/sections/torsionbars/</x:v>
      </x:c>
      <x:c r="C53" s="56" t="str">
        <x:v>扭转系数单位：BeamNG torsionbars 文档。
https://docs.beamng.com/modding/vehicle/sections/torsionbars/</x:v>
      </x:c>
      <x:c r="D53" s="56" t="str">
        <x:v>扭转系数单位：BeamNG torsionbars 文档。
https://docs.beamng.com/modding/vehicle/sections/torsionbars/</x:v>
      </x:c>
      <x:c r="E53" s="56" t="str">
        <x:v>扭转系数单位：BeamNG torsionbars 文档。
https://docs.beamng.com/modding/vehicle/sections/torsionbars/</x:v>
      </x:c>
      <x:c r="F53" s="56" t="str">
        <x:v>扭转系数单位：BeamNG torsionbars 文档。
https://docs.beamng.com/modding/vehicle/sections/torsionbars/</x:v>
      </x:c>
      <x:c r="G53" s="56" t="str">
        <x:v>扭转系数单位：BeamNG torsionbars 文档。
https://docs.beamng.com/modding/vehicle/sections/torsionbars/</x:v>
      </x:c>
      <x:c r="H53" s="56" t="str">
        <x:v>扭转系数单位：BeamNG torsionbars 文档。
https://docs.beamng.com/modding/vehicle/sections/torsionbars/</x:v>
      </x:c>
      <x:c r="I53" s="41"/>
    </x:row>
    <x:row r="54" ht="24" customHeight="1">
      <x:c r="A54" s="41"/>
      <x:c r="B54" s="56" t="str">
        <x:v>实心轴扭转：MIT Engineering Mechanics for Structures, Chapter 6.
https://web.mit.edu/course/other/emech/admin/OldFiles/dontindex-build/full-text/emechbk_6.pdf</x:v>
      </x:c>
      <x:c r="C54" s="56" t="str">
        <x:v>实心轴扭转：MIT Engineering Mechanics for Structures, Chapter 6.
https://web.mit.edu/course/other/emech/admin/OldFiles/dontindex-build/full-text/emechbk_6.pdf</x:v>
      </x:c>
      <x:c r="D54" s="56" t="str">
        <x:v>实心轴扭转：MIT Engineering Mechanics for Structures, Chapter 6.
https://web.mit.edu/course/other/emech/admin/OldFiles/dontindex-build/full-text/emechbk_6.pdf</x:v>
      </x:c>
      <x:c r="E54" s="56" t="str">
        <x:v>实心轴扭转：MIT Engineering Mechanics for Structures, Chapter 6.
https://web.mit.edu/course/other/emech/admin/OldFiles/dontindex-build/full-text/emechbk_6.pdf</x:v>
      </x:c>
      <x:c r="F54" s="56" t="str">
        <x:v>实心轴扭转：MIT Engineering Mechanics for Structures, Chapter 6.
https://web.mit.edu/course/other/emech/admin/OldFiles/dontindex-build/full-text/emechbk_6.pdf</x:v>
      </x:c>
      <x:c r="G54" s="56" t="str">
        <x:v>实心轴扭转：MIT Engineering Mechanics for Structures, Chapter 6.
https://web.mit.edu/course/other/emech/admin/OldFiles/dontindex-build/full-text/emechbk_6.pdf</x:v>
      </x:c>
      <x:c r="H54" s="56" t="str">
        <x:v>实心轴扭转：MIT Engineering Mechanics for Structures, Chapter 6.
https://web.mit.edu/course/other/emech/admin/OldFiles/dontindex-build/full-text/emechbk_6.pdf</x:v>
      </x:c>
      <x:c r="I54" s="41"/>
    </x:row>
    <x:row r="55" ht="24" customHeight="1">
      <x:c r="A55" s="41"/>
      <x:c r="B55" s="56" t="str">
        <x:v>实心轴扭转：MIT Engineering Mechanics for Structures, Chapter 6.
https://web.mit.edu/course/other/emech/admin/OldFiles/dontindex-build/full-text/emechbk_6.pdf</x:v>
      </x:c>
      <x:c r="C55" s="56" t="str">
        <x:v>实心轴扭转：MIT Engineering Mechanics for Structures, Chapter 6.
https://web.mit.edu/course/other/emech/admin/OldFiles/dontindex-build/full-text/emechbk_6.pdf</x:v>
      </x:c>
      <x:c r="D55" s="56" t="str">
        <x:v>实心轴扭转：MIT Engineering Mechanics for Structures, Chapter 6.
https://web.mit.edu/course/other/emech/admin/OldFiles/dontindex-build/full-text/emechbk_6.pdf</x:v>
      </x:c>
      <x:c r="E55" s="56" t="str">
        <x:v>实心轴扭转：MIT Engineering Mechanics for Structures, Chapter 6.
https://web.mit.edu/course/other/emech/admin/OldFiles/dontindex-build/full-text/emechbk_6.pdf</x:v>
      </x:c>
      <x:c r="F55" s="56" t="str">
        <x:v>实心轴扭转：MIT Engineering Mechanics for Structures, Chapter 6.
https://web.mit.edu/course/other/emech/admin/OldFiles/dontindex-build/full-text/emechbk_6.pdf</x:v>
      </x:c>
      <x:c r="G55" s="56" t="str">
        <x:v>实心轴扭转：MIT Engineering Mechanics for Structures, Chapter 6.
https://web.mit.edu/course/other/emech/admin/OldFiles/dontindex-build/full-text/emechbk_6.pdf</x:v>
      </x:c>
      <x:c r="H55" s="56" t="str">
        <x:v>实心轴扭转：MIT Engineering Mechanics for Structures, Chapter 6.
https://web.mit.edu/course/other/emech/admin/OldFiles/dontindex-build/full-text/emechbk_6.pdf</x:v>
      </x:c>
      <x:c r="I55" s="41"/>
    </x:row>
    <x:row r="56" ht="24" customHeight="1">
      <x:c r="A56" s="41"/>
      <x:c r="B56" s="41"/>
      <x:c r="C56" s="41"/>
      <x:c r="D56" s="41"/>
      <x:c r="E56" s="41"/>
      <x:c r="F56" s="41"/>
      <x:c r="G56" s="41"/>
      <x:c r="H56" s="41"/>
      <x:c r="I56" s="41"/>
    </x:row>
  </x:sheetData>
  <x:mergeCells>
    <x:mergeCell ref="B2:H3"/>
    <x:mergeCell ref="B4:H4"/>
    <x:mergeCell ref="B14:H14"/>
    <x:mergeCell ref="B30:H30"/>
    <x:mergeCell ref="B31:H32"/>
    <x:mergeCell ref="B33:H34"/>
    <x:mergeCell ref="B35:H36"/>
    <x:mergeCell ref="B38:H38"/>
    <x:mergeCell ref="B49:H50"/>
    <x:mergeCell ref="B52:H53"/>
    <x:mergeCell ref="B54:H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75" hidden="0" customWidth="1"/>
    <x:col min="2" max="2" width="18.1299991607666" hidden="0" customWidth="1"/>
    <x:col min="3" max="3" width="9.630000114440918" hidden="0" customWidth="1"/>
    <x:col min="4" max="4" width="10.25" hidden="0" customWidth="1"/>
    <x:col min="5" max="5" width="10.25" hidden="0" customWidth="1"/>
    <x:col min="6" max="6" width="12.25" hidden="0" customWidth="1"/>
    <x:col min="7" max="7" width="12.25" hidden="0" customWidth="1"/>
    <x:col min="8" max="8" width="12.25" hidden="0" customWidth="1"/>
    <x:col min="9" max="9" width="11.25" hidden="0" customWidth="1"/>
    <x:col min="10" max="10" width="14.5" hidden="0" customWidth="1"/>
    <x:col min="11" max="11" width="16.25" hidden="0" customWidth="1"/>
    <x:col min="12" max="12" width="13.75" hidden="0" customWidth="1"/>
    <x:col min="13" max="13" width="22.5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</x:cols>
  <x:sheetData>
    <x:row r="1" ht="24" customHeight="1">
      <x:c r="A1" s="41"/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/>
      <x:c r="P1"/>
      <x:c r="Q1"/>
      <x:c r="R1"/>
      <x:c r="S1"/>
      <x:c r="T1"/>
      <x:c r="U1"/>
      <x:c r="V1"/>
    </x:row>
    <x:row r="2" ht="24" customHeight="1">
      <x:c r="A2" s="41"/>
      <x:c r="B2" s="42" t="str">
        <x:v>Astral · ARB Calculations</x:v>
      </x:c>
      <x:c r="C2" s="42" t="str">
        <x:v>Astral · ARB Calculations</x:v>
      </x:c>
      <x:c r="D2" s="42" t="str">
        <x:v>Astral · ARB Calculations</x:v>
      </x:c>
      <x:c r="E2" s="42" t="str">
        <x:v>Astral · ARB Calculations</x:v>
      </x:c>
      <x:c r="F2" s="42" t="str">
        <x:v>Astral · ARB Calculations</x:v>
      </x:c>
      <x:c r="G2" s="42" t="str">
        <x:v>Astral · ARB Calculations</x:v>
      </x:c>
      <x:c r="H2" s="42" t="str">
        <x:v>Astral · ARB Calculations</x:v>
      </x:c>
      <x:c r="I2" s="42" t="str">
        <x:v>Astral · ARB Calculations</x:v>
      </x:c>
      <x:c r="J2" s="42" t="str">
        <x:v>Astral · ARB Calculations</x:v>
      </x:c>
      <x:c r="K2" s="42" t="str">
        <x:v>Astral · ARB Calculations</x:v>
      </x:c>
      <x:c r="L2" s="42" t="str">
        <x:v>Astral · ARB Calculations</x:v>
      </x:c>
      <x:c r="M2" s="42" t="str">
        <x:v>Astral · ARB Calculations</x:v>
      </x:c>
      <x:c r="N2" s="41"/>
      <x:c r="O2"/>
      <x:c r="P2"/>
      <x:c r="Q2"/>
      <x:c r="R2"/>
      <x:c r="S2"/>
      <x:c r="T2"/>
      <x:c r="U2"/>
      <x:c r="V2"/>
    </x:row>
    <x:row r="3" ht="24" customHeight="1">
      <x:c r="A3" s="41"/>
      <x:c r="B3" s="42" t="str">
        <x:v>Astral · ARB Calculations</x:v>
      </x:c>
      <x:c r="C3" s="42" t="str">
        <x:v>Astral · ARB Calculations</x:v>
      </x:c>
      <x:c r="D3" s="42" t="str">
        <x:v>Astral · ARB Calculations</x:v>
      </x:c>
      <x:c r="E3" s="42" t="str">
        <x:v>Astral · ARB Calculations</x:v>
      </x:c>
      <x:c r="F3" s="42" t="str">
        <x:v>Astral · ARB Calculations</x:v>
      </x:c>
      <x:c r="G3" s="42" t="str">
        <x:v>Astral · ARB Calculations</x:v>
      </x:c>
      <x:c r="H3" s="42" t="str">
        <x:v>Astral · ARB Calculations</x:v>
      </x:c>
      <x:c r="I3" s="42" t="str">
        <x:v>Astral · ARB Calculations</x:v>
      </x:c>
      <x:c r="J3" s="42" t="str">
        <x:v>Astral · ARB Calculations</x:v>
      </x:c>
      <x:c r="K3" s="42" t="str">
        <x:v>Astral · ARB Calculations</x:v>
      </x:c>
      <x:c r="L3" s="42" t="str">
        <x:v>Astral · ARB Calculations</x:v>
      </x:c>
      <x:c r="M3" s="42" t="str">
        <x:v>Astral · ARB Calculations</x:v>
      </x:c>
      <x:c r="N3" s="41"/>
      <x:c r="O3"/>
      <x:c r="P3"/>
      <x:c r="Q3"/>
      <x:c r="R3"/>
      <x:c r="S3"/>
      <x:c r="T3"/>
      <x:c r="U3"/>
      <x:c r="V3"/>
    </x:row>
    <x:row r="4" ht="24" customHeight="1">
      <x:c r="A4" s="41"/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/>
      <x:c r="P4"/>
      <x:c r="Q4"/>
      <x:c r="R4"/>
      <x:c r="S4"/>
      <x:c r="T4"/>
      <x:c r="U4"/>
      <x:c r="V4"/>
    </x:row>
    <x:row r="5" ht="42" customHeight="1">
      <x:c r="A5" s="41"/>
      <x:c r="B5" s="46" t="str">
        <x:v>Surface</x:v>
      </x:c>
      <x:c r="C5" s="46" t="str">
        <x:v>Axle</x:v>
      </x:c>
      <x:c r="D5" s="46" t="str">
        <x:v>Bar</x:v>
      </x:c>
      <x:c r="E5" s="46" t="str">
        <x:v>Position</x:v>
      </x:c>
      <x:c r="F5" s="46" t="str">
        <x:v>Diameter
(mm)</x:v>
      </x:c>
      <x:c r="G5" s="46" t="str">
        <x:v>Wheel
(mm)</x:v>
      </x:c>
      <x:c r="H5" s="46" t="str">
        <x:v>ARB
(mm)</x:v>
      </x:c>
      <x:c r="I5" s="46" t="str">
        <x:v>MR</x:v>
      </x:c>
      <x:c r="J5" s="46" t="str">
        <x:v>Arm
(mm)</x:v>
      </x:c>
      <x:c r="K5" s="46" t="str">
        <x:v>Torsion
(N·m/rad)</x:v>
      </x:c>
      <x:c r="L5" s="46" t="str">
        <x:v>Rate
(N/mm)</x:v>
      </x:c>
      <x:c r="M5" s="46" t="str">
        <x:v>Original row</x:v>
      </x:c>
      <x:c r="N5" s="41"/>
      <x:c r="O5"/>
      <x:c r="P5"/>
      <x:c r="Q5"/>
      <x:c r="R5"/>
      <x:c r="S5"/>
      <x:c r="T5"/>
      <x:c r="U5"/>
      <x:c r="V5"/>
    </x:row>
    <x:row r="6" ht="24" customHeight="1">
      <x:c r="A6" s="41"/>
      <x:c r="B6" s="41" t="str">
        <x:v>Tarmac</x:v>
      </x:c>
      <x:c r="C6" s="41" t="str">
        <x:v>Front</x:v>
      </x:c>
      <x:c r="D6" s="41" t="str">
        <x:v>Soft</x:v>
      </x:c>
      <x:c r="E6" s="41" t="str">
        <x:v>Inner</x:v>
      </x:c>
      <x:c r="F6" s="57" t="n">
        <x:f>'Parameters'!D7</x:f>
        <x:v>14.6</x:v>
      </x:c>
      <x:c r="G6" s="57" t="n">
        <x:f>'Parameters'!E17</x:f>
        <x:v>127</x:v>
      </x:c>
      <x:c r="H6" s="57" t="n">
        <x:f>'Parameters'!F17</x:f>
        <x:v>35</x:v>
      </x:c>
      <x:c r="I6" s="58" t="n">
        <x:f>H6/G6</x:f>
        <x:v>0.2755905511811024</x:v>
      </x:c>
      <x:c r="J6" s="57" t="n">
        <x:f>'Parameters'!G17</x:f>
        <x:v>163</x:v>
      </x:c>
      <x:c r="K6" s="54" t="n">
        <x:f>'Parameters'!E7</x:f>
        <x:v>935</x:v>
      </x:c>
      <x:c r="L6" s="59" t="n">
        <x:f>1000*K6*I6^2/J6^2</x:f>
        <x:v>2.672791299137493</x:v>
      </x:c>
      <x:c r="M6" s="41" t="str">
        <x:v>Tarmac!A3:G3</x:v>
      </x:c>
      <x:c r="N6" s="41"/>
      <x:c r="O6"/>
      <x:c r="P6"/>
      <x:c r="Q6"/>
      <x:c r="R6"/>
      <x:c r="S6"/>
      <x:c r="T6"/>
      <x:c r="U6"/>
      <x:c r="V6"/>
    </x:row>
    <x:row r="7" ht="24" customHeight="1">
      <x:c r="A7" s="41"/>
      <x:c r="B7" s="41" t="str">
        <x:v>Tarmac</x:v>
      </x:c>
      <x:c r="C7" s="41" t="str">
        <x:v>Front</x:v>
      </x:c>
      <x:c r="D7" s="41" t="str">
        <x:v>Soft</x:v>
      </x:c>
      <x:c r="E7" s="41" t="str">
        <x:v>Middle</x:v>
      </x:c>
      <x:c r="F7" s="57" t="n">
        <x:f>'Parameters'!D7</x:f>
        <x:v>14.6</x:v>
      </x:c>
      <x:c r="G7" s="57" t="n">
        <x:f>'Parameters'!E18</x:f>
        <x:v>127</x:v>
      </x:c>
      <x:c r="H7" s="57" t="n">
        <x:f>'Parameters'!F18</x:f>
        <x:v>42</x:v>
      </x:c>
      <x:c r="I7" s="58" t="n">
        <x:f>H7/G7</x:f>
        <x:v>0.33070866141732286</x:v>
      </x:c>
      <x:c r="J7" s="57" t="n">
        <x:f>'Parameters'!G18</x:f>
        <x:v>163</x:v>
      </x:c>
      <x:c r="K7" s="54" t="n">
        <x:f>'Parameters'!E7</x:f>
        <x:v>935</x:v>
      </x:c>
      <x:c r="L7" s="59" t="n">
        <x:f>1000*K7*I7^2/J7^2</x:f>
        <x:v>3.8488194707579906</x:v>
      </x:c>
      <x:c r="M7" s="41" t="str">
        <x:v>Tarmac!A4:G4</x:v>
      </x:c>
      <x:c r="N7" s="41"/>
      <x:c r="O7"/>
      <x:c r="P7"/>
      <x:c r="Q7"/>
      <x:c r="R7"/>
      <x:c r="S7"/>
      <x:c r="T7"/>
      <x:c r="U7"/>
      <x:c r="V7"/>
    </x:row>
    <x:row r="8" ht="24" customHeight="1">
      <x:c r="A8" s="41"/>
      <x:c r="B8" s="41" t="str">
        <x:v>Tarmac</x:v>
      </x:c>
      <x:c r="C8" s="41" t="str">
        <x:v>Front</x:v>
      </x:c>
      <x:c r="D8" s="41" t="str">
        <x:v>Soft</x:v>
      </x:c>
      <x:c r="E8" s="41" t="str">
        <x:v>Outer</x:v>
      </x:c>
      <x:c r="F8" s="57" t="n">
        <x:f>'Parameters'!D7</x:f>
        <x:v>14.6</x:v>
      </x:c>
      <x:c r="G8" s="57" t="n">
        <x:f>'Parameters'!E19</x:f>
        <x:v>127</x:v>
      </x:c>
      <x:c r="H8" s="57" t="n">
        <x:f>'Parameters'!F19</x:f>
        <x:v>46</x:v>
      </x:c>
      <x:c r="I8" s="58" t="n">
        <x:f>H8/G8</x:f>
        <x:v>0.36220472440944884</x:v>
      </x:c>
      <x:c r="J8" s="57" t="n">
        <x:f>'Parameters'!G19</x:f>
        <x:v>163</x:v>
      </x:c>
      <x:c r="K8" s="54" t="n">
        <x:f>'Parameters'!E7</x:f>
        <x:v>935</x:v>
      </x:c>
      <x:c r="L8" s="59" t="n">
        <x:f>1000*K8*I8^2/J8^2</x:f>
        <x:v>4.616837868550968</x:v>
      </x:c>
      <x:c r="M8" s="41" t="str">
        <x:v>Tarmac!A5:G5</x:v>
      </x:c>
      <x:c r="N8" s="41"/>
      <x:c r="O8"/>
      <x:c r="P8"/>
      <x:c r="Q8"/>
      <x:c r="R8"/>
      <x:c r="S8"/>
      <x:c r="T8"/>
      <x:c r="U8"/>
      <x:c r="V8"/>
    </x:row>
    <x:row r="9" ht="24" customHeight="1">
      <x:c r="A9" s="41"/>
      <x:c r="B9" s="41" t="str">
        <x:v>Tarmac</x:v>
      </x:c>
      <x:c r="C9" s="41" t="str">
        <x:v>Front</x:v>
      </x:c>
      <x:c r="D9" s="41" t="str">
        <x:v>Medium</x:v>
      </x:c>
      <x:c r="E9" s="41" t="str">
        <x:v>Inner</x:v>
      </x:c>
      <x:c r="F9" s="57" t="n">
        <x:f>'Parameters'!D8</x:f>
        <x:v>17.6</x:v>
      </x:c>
      <x:c r="G9" s="57" t="n">
        <x:f>'Parameters'!E17</x:f>
        <x:v>127</x:v>
      </x:c>
      <x:c r="H9" s="57" t="n">
        <x:f>'Parameters'!F17</x:f>
        <x:v>35</x:v>
      </x:c>
      <x:c r="I9" s="58" t="n">
        <x:f>H9/G9</x:f>
        <x:v>0.2755905511811024</x:v>
      </x:c>
      <x:c r="J9" s="57" t="n">
        <x:f>'Parameters'!G17</x:f>
        <x:v>163</x:v>
      </x:c>
      <x:c r="K9" s="54" t="n">
        <x:f>'Parameters'!E8</x:f>
        <x:v>1988</x:v>
      </x:c>
      <x:c r="L9" s="59" t="n">
        <x:f>1000*K9*I9^2/J9^2</x:f>
        <x:v>5.682897436027098</x:v>
      </x:c>
      <x:c r="M9" s="41" t="str">
        <x:v>Tarmac!A11:G11</x:v>
      </x:c>
      <x:c r="N9" s="41"/>
      <x:c r="O9"/>
      <x:c r="P9"/>
      <x:c r="Q9"/>
      <x:c r="R9"/>
      <x:c r="S9"/>
      <x:c r="T9"/>
      <x:c r="U9"/>
      <x:c r="V9"/>
    </x:row>
    <x:row r="10" ht="24" customHeight="1">
      <x:c r="A10" s="41"/>
      <x:c r="B10" s="41" t="str">
        <x:v>Tarmac</x:v>
      </x:c>
      <x:c r="C10" s="41" t="str">
        <x:v>Front</x:v>
      </x:c>
      <x:c r="D10" s="41" t="str">
        <x:v>Medium</x:v>
      </x:c>
      <x:c r="E10" s="41" t="str">
        <x:v>Middle</x:v>
      </x:c>
      <x:c r="F10" s="57" t="n">
        <x:f>'Parameters'!D8</x:f>
        <x:v>17.6</x:v>
      </x:c>
      <x:c r="G10" s="57" t="n">
        <x:f>'Parameters'!E18</x:f>
        <x:v>127</x:v>
      </x:c>
      <x:c r="H10" s="57" t="n">
        <x:f>'Parameters'!F18</x:f>
        <x:v>42</x:v>
      </x:c>
      <x:c r="I10" s="58" t="n">
        <x:f>H10/G10</x:f>
        <x:v>0.33070866141732286</x:v>
      </x:c>
      <x:c r="J10" s="57" t="n">
        <x:f>'Parameters'!G18</x:f>
        <x:v>163</x:v>
      </x:c>
      <x:c r="K10" s="54" t="n">
        <x:f>'Parameters'!E8</x:f>
        <x:v>1988</x:v>
      </x:c>
      <x:c r="L10" s="59" t="n">
        <x:f>1000*K10*I10^2/J10^2</x:f>
        <x:v>8.183372307879022</x:v>
      </x:c>
      <x:c r="M10" s="41" t="str">
        <x:v>Tarmac!A12:G12</x:v>
      </x:c>
      <x:c r="N10" s="41"/>
      <x:c r="O10"/>
      <x:c r="P10"/>
      <x:c r="Q10"/>
      <x:c r="R10"/>
      <x:c r="S10"/>
      <x:c r="T10"/>
      <x:c r="U10"/>
      <x:c r="V10"/>
    </x:row>
    <x:row r="11" ht="24" customHeight="1">
      <x:c r="A11" s="41"/>
      <x:c r="B11" s="41" t="str">
        <x:v>Tarmac</x:v>
      </x:c>
      <x:c r="C11" s="41" t="str">
        <x:v>Front</x:v>
      </x:c>
      <x:c r="D11" s="41" t="str">
        <x:v>Medium</x:v>
      </x:c>
      <x:c r="E11" s="41" t="str">
        <x:v>Outer</x:v>
      </x:c>
      <x:c r="F11" s="57" t="n">
        <x:f>'Parameters'!D8</x:f>
        <x:v>17.6</x:v>
      </x:c>
      <x:c r="G11" s="57" t="n">
        <x:f>'Parameters'!E19</x:f>
        <x:v>127</x:v>
      </x:c>
      <x:c r="H11" s="57" t="n">
        <x:f>'Parameters'!F19</x:f>
        <x:v>46</x:v>
      </x:c>
      <x:c r="I11" s="58" t="n">
        <x:f>H11/G11</x:f>
        <x:v>0.36220472440944884</x:v>
      </x:c>
      <x:c r="J11" s="57" t="n">
        <x:f>'Parameters'!G19</x:f>
        <x:v>163</x:v>
      </x:c>
      <x:c r="K11" s="54" t="n">
        <x:f>'Parameters'!E8</x:f>
        <x:v>1988</x:v>
      </x:c>
      <x:c r="L11" s="59" t="n">
        <x:f>1000*K11*I11^2/J11^2</x:f>
        <x:v>9.816335489496604</x:v>
      </x:c>
      <x:c r="M11" s="41" t="str">
        <x:v>Tarmac!A13:G13</x:v>
      </x:c>
      <x:c r="N11" s="41"/>
      <x:c r="O11"/>
      <x:c r="P11"/>
      <x:c r="Q11"/>
      <x:c r="R11"/>
      <x:c r="S11"/>
      <x:c r="T11"/>
      <x:c r="U11"/>
      <x:c r="V11"/>
    </x:row>
    <x:row r="12" ht="24" customHeight="1">
      <x:c r="A12" s="41"/>
      <x:c r="B12" s="41" t="str">
        <x:v>Tarmac</x:v>
      </x:c>
      <x:c r="C12" s="41" t="str">
        <x:v>Front</x:v>
      </x:c>
      <x:c r="D12" s="41" t="str">
        <x:v>Hard</x:v>
      </x:c>
      <x:c r="E12" s="41" t="str">
        <x:v>Inner</x:v>
      </x:c>
      <x:c r="F12" s="57" t="n">
        <x:f>'Parameters'!D9</x:f>
        <x:v>20.5</x:v>
      </x:c>
      <x:c r="G12" s="57" t="n">
        <x:f>'Parameters'!E17</x:f>
        <x:v>127</x:v>
      </x:c>
      <x:c r="H12" s="57" t="n">
        <x:f>'Parameters'!F17</x:f>
        <x:v>35</x:v>
      </x:c>
      <x:c r="I12" s="58" t="n">
        <x:f>H12/G12</x:f>
        <x:v>0.2755905511811024</x:v>
      </x:c>
      <x:c r="J12" s="57" t="n">
        <x:f>'Parameters'!G17</x:f>
        <x:v>163</x:v>
      </x:c>
      <x:c r="K12" s="54" t="n">
        <x:f>'Parameters'!E9</x:f>
        <x:v>3627</x:v>
      </x:c>
      <x:c r="L12" s="59" t="n">
        <x:f>1000*K12*I12^2/J12^2</x:f>
        <x:v>10.368143360397529</x:v>
      </x:c>
      <x:c r="M12" s="41" t="str">
        <x:v>Tarmac!A19:G19</x:v>
      </x:c>
      <x:c r="N12" s="41"/>
      <x:c r="O12"/>
      <x:c r="P12"/>
      <x:c r="Q12"/>
      <x:c r="R12"/>
      <x:c r="S12"/>
      <x:c r="T12"/>
      <x:c r="U12"/>
      <x:c r="V12"/>
    </x:row>
    <x:row r="13" ht="24" customHeight="1">
      <x:c r="A13" s="41"/>
      <x:c r="B13" s="41" t="str">
        <x:v>Tarmac</x:v>
      </x:c>
      <x:c r="C13" s="41" t="str">
        <x:v>Front</x:v>
      </x:c>
      <x:c r="D13" s="41" t="str">
        <x:v>Hard</x:v>
      </x:c>
      <x:c r="E13" s="41" t="str">
        <x:v>Middle</x:v>
      </x:c>
      <x:c r="F13" s="57" t="n">
        <x:f>'Parameters'!D9</x:f>
        <x:v>20.5</x:v>
      </x:c>
      <x:c r="G13" s="57" t="n">
        <x:f>'Parameters'!E18</x:f>
        <x:v>127</x:v>
      </x:c>
      <x:c r="H13" s="57" t="n">
        <x:f>'Parameters'!F18</x:f>
        <x:v>42</x:v>
      </x:c>
      <x:c r="I13" s="58" t="n">
        <x:f>H13/G13</x:f>
        <x:v>0.33070866141732286</x:v>
      </x:c>
      <x:c r="J13" s="57" t="n">
        <x:f>'Parameters'!G18</x:f>
        <x:v>163</x:v>
      </x:c>
      <x:c r="K13" s="54" t="n">
        <x:f>'Parameters'!E9</x:f>
        <x:v>3627</x:v>
      </x:c>
      <x:c r="L13" s="59" t="n">
        <x:f>1000*K13*I13^2/J13^2</x:f>
        <x:v>14.93012643897244</x:v>
      </x:c>
      <x:c r="M13" s="41" t="str">
        <x:v>Tarmac!A20:G20</x:v>
      </x:c>
      <x:c r="N13" s="41"/>
      <x:c r="O13"/>
      <x:c r="P13"/>
      <x:c r="Q13"/>
      <x:c r="R13"/>
      <x:c r="S13"/>
      <x:c r="T13"/>
      <x:c r="U13"/>
      <x:c r="V13"/>
    </x:row>
    <x:row r="14" ht="24" customHeight="1">
      <x:c r="A14" s="41"/>
      <x:c r="B14" s="41" t="str">
        <x:v>Tarmac</x:v>
      </x:c>
      <x:c r="C14" s="41" t="str">
        <x:v>Front</x:v>
      </x:c>
      <x:c r="D14" s="41" t="str">
        <x:v>Hard</x:v>
      </x:c>
      <x:c r="E14" s="41" t="str">
        <x:v>Outer</x:v>
      </x:c>
      <x:c r="F14" s="57" t="n">
        <x:f>'Parameters'!D9</x:f>
        <x:v>20.5</x:v>
      </x:c>
      <x:c r="G14" s="57" t="n">
        <x:f>'Parameters'!E19</x:f>
        <x:v>127</x:v>
      </x:c>
      <x:c r="H14" s="57" t="n">
        <x:f>'Parameters'!F19</x:f>
        <x:v>46</x:v>
      </x:c>
      <x:c r="I14" s="58" t="n">
        <x:f>H14/G14</x:f>
        <x:v>0.36220472440944884</x:v>
      </x:c>
      <x:c r="J14" s="57" t="n">
        <x:f>'Parameters'!G19</x:f>
        <x:v>163</x:v>
      </x:c>
      <x:c r="K14" s="54" t="n">
        <x:f>'Parameters'!E9</x:f>
        <x:v>3627</x:v>
      </x:c>
      <x:c r="L14" s="59" t="n">
        <x:f>1000*K14*I14^2/J14^2</x:f>
        <x:v>17.9093806943683</x:v>
      </x:c>
      <x:c r="M14" s="41" t="str">
        <x:v>Tarmac!A21:G21</x:v>
      </x:c>
      <x:c r="N14" s="41"/>
      <x:c r="O14"/>
      <x:c r="P14"/>
      <x:c r="Q14"/>
      <x:c r="R14"/>
      <x:c r="S14"/>
      <x:c r="T14"/>
      <x:c r="U14"/>
      <x:c r="V14"/>
    </x:row>
    <x:row r="15" ht="24" customHeight="1">
      <x:c r="A15" s="41"/>
      <x:c r="B15" s="41" t="str">
        <x:v>Tarmac</x:v>
      </x:c>
      <x:c r="C15" s="41" t="str">
        <x:v>Rear</x:v>
      </x:c>
      <x:c r="D15" s="41" t="str">
        <x:v>Soft</x:v>
      </x:c>
      <x:c r="E15" s="41" t="str">
        <x:v>Inner</x:v>
      </x:c>
      <x:c r="F15" s="57" t="n">
        <x:f>'Parameters'!D10</x:f>
        <x:v>16.2</x:v>
      </x:c>
      <x:c r="G15" s="57" t="n">
        <x:f>'Parameters'!E20</x:f>
        <x:v>136</x:v>
      </x:c>
      <x:c r="H15" s="57" t="n">
        <x:f>'Parameters'!F20</x:f>
        <x:v>41</x:v>
      </x:c>
      <x:c r="I15" s="58" t="n">
        <x:f>H15/G15</x:f>
        <x:v>0.3014705882352941</x:v>
      </x:c>
      <x:c r="J15" s="57" t="n">
        <x:f>'Parameters'!G20</x:f>
        <x:v>154</x:v>
      </x:c>
      <x:c r="K15" s="54" t="n">
        <x:f>'Parameters'!E10</x:f>
        <x:v>1423</x:v>
      </x:c>
      <x:c r="L15" s="59" t="n">
        <x:f>1000*K15*I15^2/J15^2</x:f>
        <x:v>5.4532242223578775</x:v>
      </x:c>
      <x:c r="M15" s="41" t="str">
        <x:v>Tarmac!A6:G6</x:v>
      </x:c>
      <x:c r="N15" s="41"/>
      <x:c r="O15"/>
      <x:c r="P15"/>
      <x:c r="Q15"/>
      <x:c r="R15"/>
      <x:c r="S15"/>
      <x:c r="T15"/>
      <x:c r="U15"/>
      <x:c r="V15"/>
    </x:row>
    <x:row r="16" ht="24" customHeight="1">
      <x:c r="A16" s="41"/>
      <x:c r="B16" s="41" t="str">
        <x:v>Tarmac</x:v>
      </x:c>
      <x:c r="C16" s="41" t="str">
        <x:v>Rear</x:v>
      </x:c>
      <x:c r="D16" s="41" t="str">
        <x:v>Soft</x:v>
      </x:c>
      <x:c r="E16" s="41" t="str">
        <x:v>Middle</x:v>
      </x:c>
      <x:c r="F16" s="57" t="n">
        <x:f>'Parameters'!D10</x:f>
        <x:v>16.2</x:v>
      </x:c>
      <x:c r="G16" s="57" t="n">
        <x:f>'Parameters'!E21</x:f>
        <x:v>136</x:v>
      </x:c>
      <x:c r="H16" s="57" t="n">
        <x:f>'Parameters'!F21</x:f>
        <x:v>49</x:v>
      </x:c>
      <x:c r="I16" s="58" t="n">
        <x:f>H16/G16</x:f>
        <x:v>0.3602941176470588</x:v>
      </x:c>
      <x:c r="J16" s="57" t="n">
        <x:f>'Parameters'!G21</x:f>
        <x:v>154</x:v>
      </x:c>
      <x:c r="K16" s="54" t="n">
        <x:f>'Parameters'!E10</x:f>
        <x:v>1423</x:v>
      </x:c>
      <x:c r="L16" s="59" t="n">
        <x:f>1000*K16*I16^2/J16^2</x:f>
        <x:v>7.78893001658612</x:v>
      </x:c>
      <x:c r="M16" s="41" t="str">
        <x:v>Tarmac!A7:G7</x:v>
      </x:c>
      <x:c r="N16" s="41"/>
      <x:c r="O16"/>
      <x:c r="P16"/>
      <x:c r="Q16"/>
      <x:c r="R16"/>
      <x:c r="S16"/>
      <x:c r="T16"/>
      <x:c r="U16"/>
      <x:c r="V16"/>
    </x:row>
    <x:row r="17" ht="24" customHeight="1">
      <x:c r="A17" s="41"/>
      <x:c r="B17" s="41" t="str">
        <x:v>Tarmac</x:v>
      </x:c>
      <x:c r="C17" s="41" t="str">
        <x:v>Rear</x:v>
      </x:c>
      <x:c r="D17" s="41" t="str">
        <x:v>Soft</x:v>
      </x:c>
      <x:c r="E17" s="41" t="str">
        <x:v>Outer</x:v>
      </x:c>
      <x:c r="F17" s="57" t="n">
        <x:f>'Parameters'!D10</x:f>
        <x:v>16.2</x:v>
      </x:c>
      <x:c r="G17" s="57" t="n">
        <x:f>'Parameters'!E22</x:f>
        <x:v>136</x:v>
      </x:c>
      <x:c r="H17" s="57" t="n">
        <x:f>'Parameters'!F22</x:f>
        <x:v>54</x:v>
      </x:c>
      <x:c r="I17" s="58" t="n">
        <x:f>H17/G17</x:f>
        <x:v>0.39705882352941174</x:v>
      </x:c>
      <x:c r="J17" s="57" t="n">
        <x:f>'Parameters'!G22</x:f>
        <x:v>154</x:v>
      </x:c>
      <x:c r="K17" s="54" t="n">
        <x:f>'Parameters'!E10</x:f>
        <x:v>1423</x:v>
      </x:c>
      <x:c r="L17" s="59" t="n">
        <x:f>1000*K17*I17^2/J17^2</x:f>
        <x:v>9.459608466624374</x:v>
      </x:c>
      <x:c r="M17" s="41" t="str">
        <x:v>Tarmac!A8:G8</x:v>
      </x:c>
      <x:c r="N17" s="41"/>
      <x:c r="O17"/>
      <x:c r="P17"/>
      <x:c r="Q17"/>
      <x:c r="R17"/>
      <x:c r="S17"/>
      <x:c r="T17"/>
      <x:c r="U17"/>
      <x:c r="V17"/>
    </x:row>
    <x:row r="18" ht="24" customHeight="1">
      <x:c r="A18" s="41"/>
      <x:c r="B18" s="41" t="str">
        <x:v>Tarmac</x:v>
      </x:c>
      <x:c r="C18" s="41" t="str">
        <x:v>Rear</x:v>
      </x:c>
      <x:c r="D18" s="41" t="str">
        <x:v>Medium</x:v>
      </x:c>
      <x:c r="E18" s="41" t="str">
        <x:v>Inner</x:v>
      </x:c>
      <x:c r="F18" s="57" t="n">
        <x:f>'Parameters'!D11</x:f>
        <x:v>19.4</x:v>
      </x:c>
      <x:c r="G18" s="57" t="n">
        <x:f>'Parameters'!E20</x:f>
        <x:v>136</x:v>
      </x:c>
      <x:c r="H18" s="57" t="n">
        <x:f>'Parameters'!F20</x:f>
        <x:v>41</x:v>
      </x:c>
      <x:c r="I18" s="58" t="n">
        <x:f>H18/G18</x:f>
        <x:v>0.3014705882352941</x:v>
      </x:c>
      <x:c r="J18" s="57" t="n">
        <x:f>'Parameters'!G20</x:f>
        <x:v>154</x:v>
      </x:c>
      <x:c r="K18" s="54" t="n">
        <x:f>'Parameters'!E11</x:f>
        <x:v>2939</x:v>
      </x:c>
      <x:c r="L18" s="59" t="n">
        <x:f>1000*K18*I18^2/J18^2</x:f>
        <x:v>11.262843281454536</x:v>
      </x:c>
      <x:c r="M18" s="41" t="str">
        <x:v>Tarmac!A14:G14</x:v>
      </x:c>
      <x:c r="N18" s="41"/>
      <x:c r="O18"/>
      <x:c r="P18"/>
      <x:c r="Q18"/>
      <x:c r="R18"/>
      <x:c r="S18"/>
      <x:c r="T18"/>
      <x:c r="U18"/>
      <x:c r="V18"/>
    </x:row>
    <x:row r="19" ht="24" customHeight="1">
      <x:c r="A19" s="41"/>
      <x:c r="B19" s="41" t="str">
        <x:v>Tarmac</x:v>
      </x:c>
      <x:c r="C19" s="41" t="str">
        <x:v>Rear</x:v>
      </x:c>
      <x:c r="D19" s="41" t="str">
        <x:v>Medium</x:v>
      </x:c>
      <x:c r="E19" s="41" t="str">
        <x:v>Middle</x:v>
      </x:c>
      <x:c r="F19" s="57" t="n">
        <x:f>'Parameters'!D11</x:f>
        <x:v>19.4</x:v>
      </x:c>
      <x:c r="G19" s="57" t="n">
        <x:f>'Parameters'!E21</x:f>
        <x:v>136</x:v>
      </x:c>
      <x:c r="H19" s="57" t="n">
        <x:f>'Parameters'!F21</x:f>
        <x:v>49</x:v>
      </x:c>
      <x:c r="I19" s="58" t="n">
        <x:f>H19/G19</x:f>
        <x:v>0.3602941176470588</x:v>
      </x:c>
      <x:c r="J19" s="57" t="n">
        <x:f>'Parameters'!G21</x:f>
        <x:v>154</x:v>
      </x:c>
      <x:c r="K19" s="54" t="n">
        <x:f>'Parameters'!E11</x:f>
        <x:v>2939</x:v>
      </x:c>
      <x:c r="L19" s="59" t="n">
        <x:f>1000*K19*I19^2/J19^2</x:f>
        <x:v>16.086904651262547</x:v>
      </x:c>
      <x:c r="M19" s="41" t="str">
        <x:v>Tarmac!A15:G15</x:v>
      </x:c>
      <x:c r="N19" s="41"/>
      <x:c r="O19"/>
      <x:c r="P19"/>
      <x:c r="Q19"/>
      <x:c r="R19"/>
      <x:c r="S19"/>
      <x:c r="T19"/>
      <x:c r="U19"/>
      <x:c r="V19"/>
    </x:row>
    <x:row r="20" ht="24" customHeight="1">
      <x:c r="A20" s="41"/>
      <x:c r="B20" s="41" t="str">
        <x:v>Tarmac</x:v>
      </x:c>
      <x:c r="C20" s="41" t="str">
        <x:v>Rear</x:v>
      </x:c>
      <x:c r="D20" s="41" t="str">
        <x:v>Medium</x:v>
      </x:c>
      <x:c r="E20" s="41" t="str">
        <x:v>Outer</x:v>
      </x:c>
      <x:c r="F20" s="57" t="n">
        <x:f>'Parameters'!D11</x:f>
        <x:v>19.4</x:v>
      </x:c>
      <x:c r="G20" s="57" t="n">
        <x:f>'Parameters'!E22</x:f>
        <x:v>136</x:v>
      </x:c>
      <x:c r="H20" s="57" t="n">
        <x:f>'Parameters'!F22</x:f>
        <x:v>54</x:v>
      </x:c>
      <x:c r="I20" s="58" t="n">
        <x:f>H20/G20</x:f>
        <x:v>0.39705882352941174</x:v>
      </x:c>
      <x:c r="J20" s="57" t="n">
        <x:f>'Parameters'!G22</x:f>
        <x:v>154</x:v>
      </x:c>
      <x:c r="K20" s="54" t="n">
        <x:f>'Parameters'!E11</x:f>
        <x:v>2939</x:v>
      </x:c>
      <x:c r="L20" s="59" t="n">
        <x:f>1000*K20*I20^2/J20^2</x:f>
        <x:v>19.53744854772244</x:v>
      </x:c>
      <x:c r="M20" s="41" t="str">
        <x:v>Tarmac!A16:G16</x:v>
      </x:c>
      <x:c r="N20" s="41"/>
      <x:c r="O20"/>
      <x:c r="P20"/>
      <x:c r="Q20"/>
      <x:c r="R20"/>
      <x:c r="S20"/>
      <x:c r="T20"/>
      <x:c r="U20"/>
      <x:c r="V20"/>
    </x:row>
    <x:row r="21" ht="24" customHeight="1">
      <x:c r="A21" s="41"/>
      <x:c r="B21" s="41" t="str">
        <x:v>Tarmac</x:v>
      </x:c>
      <x:c r="C21" s="41" t="str">
        <x:v>Rear</x:v>
      </x:c>
      <x:c r="D21" s="41" t="str">
        <x:v>Hard</x:v>
      </x:c>
      <x:c r="E21" s="41" t="str">
        <x:v>Inner</x:v>
      </x:c>
      <x:c r="F21" s="57" t="n">
        <x:f>'Parameters'!D12</x:f>
        <x:v>22.1</x:v>
      </x:c>
      <x:c r="G21" s="57" t="n">
        <x:f>'Parameters'!E20</x:f>
        <x:v>136</x:v>
      </x:c>
      <x:c r="H21" s="57" t="n">
        <x:f>'Parameters'!F20</x:f>
        <x:v>41</x:v>
      </x:c>
      <x:c r="I21" s="58" t="n">
        <x:f>H21/G21</x:f>
        <x:v>0.3014705882352941</x:v>
      </x:c>
      <x:c r="J21" s="57" t="n">
        <x:f>'Parameters'!G20</x:f>
        <x:v>154</x:v>
      </x:c>
      <x:c r="K21" s="54" t="n">
        <x:f>'Parameters'!E12</x:f>
        <x:v>4912</x:v>
      </x:c>
      <x:c r="L21" s="59" t="n">
        <x:f>1000*K21*I21^2/J21^2</x:f>
        <x:v>18.82377890388046</x:v>
      </x:c>
      <x:c r="M21" s="41" t="str">
        <x:v>Tarmac!A22:G22</x:v>
      </x:c>
      <x:c r="N21" s="41"/>
      <x:c r="O21"/>
      <x:c r="P21"/>
      <x:c r="Q21"/>
      <x:c r="R21"/>
      <x:c r="S21"/>
      <x:c r="T21"/>
      <x:c r="U21"/>
      <x:c r="V21"/>
    </x:row>
    <x:row r="22" ht="24" customHeight="1">
      <x:c r="A22" s="41"/>
      <x:c r="B22" s="41" t="str">
        <x:v>Tarmac</x:v>
      </x:c>
      <x:c r="C22" s="41" t="str">
        <x:v>Rear</x:v>
      </x:c>
      <x:c r="D22" s="41" t="str">
        <x:v>Hard</x:v>
      </x:c>
      <x:c r="E22" s="41" t="str">
        <x:v>Middle</x:v>
      </x:c>
      <x:c r="F22" s="57" t="n">
        <x:f>'Parameters'!D12</x:f>
        <x:v>22.1</x:v>
      </x:c>
      <x:c r="G22" s="57" t="n">
        <x:f>'Parameters'!E21</x:f>
        <x:v>136</x:v>
      </x:c>
      <x:c r="H22" s="57" t="n">
        <x:f>'Parameters'!F21</x:f>
        <x:v>49</x:v>
      </x:c>
      <x:c r="I22" s="58" t="n">
        <x:f>H22/G22</x:f>
        <x:v>0.3602941176470588</x:v>
      </x:c>
      <x:c r="J22" s="57" t="n">
        <x:f>'Parameters'!G21</x:f>
        <x:v>154</x:v>
      </x:c>
      <x:c r="K22" s="54" t="n">
        <x:f>'Parameters'!E12</x:f>
        <x:v>4912</x:v>
      </x:c>
      <x:c r="L22" s="59" t="n">
        <x:f>1000*K22*I22^2/J22^2</x:f>
        <x:v>26.88631359203866</x:v>
      </x:c>
      <x:c r="M22" s="41" t="str">
        <x:v>Tarmac!A23:G23</x:v>
      </x:c>
      <x:c r="N22" s="41"/>
      <x:c r="O22"/>
      <x:c r="P22"/>
      <x:c r="Q22"/>
      <x:c r="R22"/>
      <x:c r="S22"/>
      <x:c r="T22"/>
      <x:c r="U22"/>
      <x:c r="V22"/>
    </x:row>
    <x:row r="23" ht="24" customHeight="1">
      <x:c r="A23" s="41"/>
      <x:c r="B23" s="41" t="str">
        <x:v>Tarmac</x:v>
      </x:c>
      <x:c r="C23" s="41" t="str">
        <x:v>Rear</x:v>
      </x:c>
      <x:c r="D23" s="41" t="str">
        <x:v>Hard</x:v>
      </x:c>
      <x:c r="E23" s="41" t="str">
        <x:v>Outer</x:v>
      </x:c>
      <x:c r="F23" s="57" t="n">
        <x:f>'Parameters'!D12</x:f>
        <x:v>22.1</x:v>
      </x:c>
      <x:c r="G23" s="57" t="n">
        <x:f>'Parameters'!E22</x:f>
        <x:v>136</x:v>
      </x:c>
      <x:c r="H23" s="57" t="n">
        <x:f>'Parameters'!F22</x:f>
        <x:v>54</x:v>
      </x:c>
      <x:c r="I23" s="58" t="n">
        <x:f>H23/G23</x:f>
        <x:v>0.39705882352941174</x:v>
      </x:c>
      <x:c r="J23" s="57" t="n">
        <x:f>'Parameters'!G22</x:f>
        <x:v>154</x:v>
      </x:c>
      <x:c r="K23" s="54" t="n">
        <x:f>'Parameters'!E12</x:f>
        <x:v>4912</x:v>
      </x:c>
      <x:c r="L23" s="59" t="n">
        <x:f>1000*K23*I23^2/J23^2</x:f>
        <x:v>32.653265487040706</x:v>
      </x:c>
      <x:c r="M23" s="41" t="str">
        <x:v>Tarmac!A24:G24</x:v>
      </x:c>
      <x:c r="N23" s="41"/>
      <x:c r="O23"/>
      <x:c r="P23"/>
      <x:c r="Q23"/>
      <x:c r="R23"/>
      <x:c r="S23"/>
      <x:c r="T23"/>
      <x:c r="U23"/>
      <x:c r="V23"/>
    </x:row>
    <x:row r="24" ht="24" customHeight="1">
      <x:c r="A24" s="41"/>
      <x:c r="B24" s="41" t="str">
        <x:v>Gravel</x:v>
      </x:c>
      <x:c r="C24" s="41" t="str">
        <x:v>Front</x:v>
      </x:c>
      <x:c r="D24" s="41" t="str">
        <x:v>Soft</x:v>
      </x:c>
      <x:c r="E24" s="41" t="str">
        <x:v>Inner</x:v>
      </x:c>
      <x:c r="F24" s="57" t="n">
        <x:f>'Parameters'!D7</x:f>
        <x:v>14.6</x:v>
      </x:c>
      <x:c r="G24" s="57" t="n">
        <x:f>'Parameters'!E23</x:f>
        <x:v>126</x:v>
      </x:c>
      <x:c r="H24" s="57" t="n">
        <x:f>'Parameters'!F23</x:f>
        <x:v>32</x:v>
      </x:c>
      <x:c r="I24" s="58" t="n">
        <x:f>H24/G24</x:f>
        <x:v>0.25396825396825395</x:v>
      </x:c>
      <x:c r="J24" s="57" t="n">
        <x:f>'Parameters'!G23</x:f>
        <x:v>163</x:v>
      </x:c>
      <x:c r="K24" s="54" t="n">
        <x:f>'Parameters'!E7</x:f>
        <x:v>935</x:v>
      </x:c>
      <x:c r="L24" s="59" t="n">
        <x:f>1000*K24*I24^2/J24^2</x:f>
        <x:v>2.269840122403708</x:v>
      </x:c>
      <x:c r="M24" s="41" t="str">
        <x:v>Gravel!A3:G3</x:v>
      </x:c>
      <x:c r="N24" s="41"/>
      <x:c r="O24"/>
      <x:c r="P24"/>
      <x:c r="Q24"/>
      <x:c r="R24"/>
      <x:c r="S24"/>
      <x:c r="T24"/>
      <x:c r="U24"/>
      <x:c r="V24"/>
    </x:row>
    <x:row r="25" ht="24" customHeight="1">
      <x:c r="A25" s="41"/>
      <x:c r="B25" s="41" t="str">
        <x:v>Gravel</x:v>
      </x:c>
      <x:c r="C25" s="41" t="str">
        <x:v>Front</x:v>
      </x:c>
      <x:c r="D25" s="41" t="str">
        <x:v>Soft</x:v>
      </x:c>
      <x:c r="E25" s="41" t="str">
        <x:v>Middle</x:v>
      </x:c>
      <x:c r="F25" s="57" t="n">
        <x:f>'Parameters'!D7</x:f>
        <x:v>14.6</x:v>
      </x:c>
      <x:c r="G25" s="57" t="n">
        <x:f>'Parameters'!E24</x:f>
        <x:v>126</x:v>
      </x:c>
      <x:c r="H25" s="57" t="n">
        <x:f>'Parameters'!F24</x:f>
        <x:v>40</x:v>
      </x:c>
      <x:c r="I25" s="58" t="n">
        <x:f>H25/G25</x:f>
        <x:v>0.31746031746031744</x:v>
      </x:c>
      <x:c r="J25" s="57" t="n">
        <x:f>'Parameters'!G24</x:f>
        <x:v>163</x:v>
      </x:c>
      <x:c r="K25" s="54" t="n">
        <x:f>'Parameters'!E7</x:f>
        <x:v>935</x:v>
      </x:c>
      <x:c r="L25" s="59" t="n">
        <x:f>1000*K25*I25^2/J25^2</x:f>
        <x:v>3.546625191255793</x:v>
      </x:c>
      <x:c r="M25" s="41" t="str">
        <x:v>Gravel!A4:G4</x:v>
      </x:c>
      <x:c r="N25" s="41"/>
      <x:c r="O25"/>
      <x:c r="P25"/>
      <x:c r="Q25"/>
      <x:c r="R25"/>
      <x:c r="S25"/>
      <x:c r="T25"/>
      <x:c r="U25"/>
      <x:c r="V25"/>
    </x:row>
    <x:row r="26" ht="24" customHeight="1">
      <x:c r="A26" s="41"/>
      <x:c r="B26" s="41" t="str">
        <x:v>Gravel</x:v>
      </x:c>
      <x:c r="C26" s="41" t="str">
        <x:v>Front</x:v>
      </x:c>
      <x:c r="D26" s="41" t="str">
        <x:v>Soft</x:v>
      </x:c>
      <x:c r="E26" s="41" t="str">
        <x:v>Outer</x:v>
      </x:c>
      <x:c r="F26" s="57" t="n">
        <x:f>'Parameters'!D7</x:f>
        <x:v>14.6</x:v>
      </x:c>
      <x:c r="G26" s="57" t="n">
        <x:f>'Parameters'!E25</x:f>
        <x:v>126</x:v>
      </x:c>
      <x:c r="H26" s="57" t="n">
        <x:f>'Parameters'!F25</x:f>
        <x:v>45</x:v>
      </x:c>
      <x:c r="I26" s="58" t="n">
        <x:f>H26/G26</x:f>
        <x:v>0.35714285714285715</x:v>
      </x:c>
      <x:c r="J26" s="57" t="n">
        <x:f>'Parameters'!G25</x:f>
        <x:v>163</x:v>
      </x:c>
      <x:c r="K26" s="54" t="n">
        <x:f>'Parameters'!E7</x:f>
        <x:v>935</x:v>
      </x:c>
      <x:c r="L26" s="59" t="n">
        <x:f>1000*K26*I26^2/J26^2</x:f>
        <x:v>4.488697507683114</x:v>
      </x:c>
      <x:c r="M26" s="41" t="str">
        <x:v>Gravel!A5:G5</x:v>
      </x:c>
      <x:c r="N26" s="41"/>
      <x:c r="O26"/>
      <x:c r="P26"/>
      <x:c r="Q26"/>
      <x:c r="R26"/>
      <x:c r="S26"/>
      <x:c r="T26"/>
      <x:c r="U26"/>
      <x:c r="V26"/>
    </x:row>
    <x:row r="27" ht="24" customHeight="1">
      <x:c r="A27" s="41"/>
      <x:c r="B27" s="41" t="str">
        <x:v>Gravel</x:v>
      </x:c>
      <x:c r="C27" s="41" t="str">
        <x:v>Front</x:v>
      </x:c>
      <x:c r="D27" s="41" t="str">
        <x:v>Medium</x:v>
      </x:c>
      <x:c r="E27" s="41" t="str">
        <x:v>Inner</x:v>
      </x:c>
      <x:c r="F27" s="57" t="n">
        <x:f>'Parameters'!D8</x:f>
        <x:v>17.6</x:v>
      </x:c>
      <x:c r="G27" s="57" t="n">
        <x:f>'Parameters'!E23</x:f>
        <x:v>126</x:v>
      </x:c>
      <x:c r="H27" s="57" t="n">
        <x:f>'Parameters'!F23</x:f>
        <x:v>32</x:v>
      </x:c>
      <x:c r="I27" s="58" t="n">
        <x:f>H27/G27</x:f>
        <x:v>0.25396825396825395</x:v>
      </x:c>
      <x:c r="J27" s="57" t="n">
        <x:f>'Parameters'!G23</x:f>
        <x:v>163</x:v>
      </x:c>
      <x:c r="K27" s="54" t="n">
        <x:f>'Parameters'!E8</x:f>
        <x:v>1988</x:v>
      </x:c>
      <x:c r="L27" s="59" t="n">
        <x:f>1000*K27*I27^2/J27^2</x:f>
        <x:v>4.826141351164247</x:v>
      </x:c>
      <x:c r="M27" s="41" t="str">
        <x:v>Gravel!A11:G11</x:v>
      </x:c>
      <x:c r="N27" s="41"/>
      <x:c r="O27"/>
      <x:c r="P27"/>
      <x:c r="Q27"/>
      <x:c r="R27"/>
      <x:c r="S27"/>
      <x:c r="T27"/>
      <x:c r="U27"/>
      <x:c r="V27"/>
    </x:row>
    <x:row r="28" ht="24" customHeight="1">
      <x:c r="A28" s="41"/>
      <x:c r="B28" s="41" t="str">
        <x:v>Gravel</x:v>
      </x:c>
      <x:c r="C28" s="41" t="str">
        <x:v>Front</x:v>
      </x:c>
      <x:c r="D28" s="41" t="str">
        <x:v>Medium</x:v>
      </x:c>
      <x:c r="E28" s="41" t="str">
        <x:v>Middle</x:v>
      </x:c>
      <x:c r="F28" s="57" t="n">
        <x:f>'Parameters'!D8</x:f>
        <x:v>17.6</x:v>
      </x:c>
      <x:c r="G28" s="57" t="n">
        <x:f>'Parameters'!E24</x:f>
        <x:v>126</x:v>
      </x:c>
      <x:c r="H28" s="57" t="n">
        <x:f>'Parameters'!F24</x:f>
        <x:v>40</x:v>
      </x:c>
      <x:c r="I28" s="58" t="n">
        <x:f>H28/G28</x:f>
        <x:v>0.31746031746031744</x:v>
      </x:c>
      <x:c r="J28" s="57" t="n">
        <x:f>'Parameters'!G24</x:f>
        <x:v>163</x:v>
      </x:c>
      <x:c r="K28" s="54" t="n">
        <x:f>'Parameters'!E8</x:f>
        <x:v>1988</x:v>
      </x:c>
      <x:c r="L28" s="59" t="n">
        <x:f>1000*K28*I28^2/J28^2</x:f>
        <x:v>7.540845861194136</x:v>
      </x:c>
      <x:c r="M28" s="41" t="str">
        <x:v>Gravel!A12:G12</x:v>
      </x:c>
      <x:c r="N28" s="41"/>
      <x:c r="O28"/>
      <x:c r="P28"/>
      <x:c r="Q28"/>
      <x:c r="R28"/>
      <x:c r="S28"/>
      <x:c r="T28"/>
      <x:c r="U28"/>
      <x:c r="V28"/>
    </x:row>
    <x:row r="29" ht="24" customHeight="1">
      <x:c r="A29" s="41"/>
      <x:c r="B29" s="41" t="str">
        <x:v>Gravel</x:v>
      </x:c>
      <x:c r="C29" s="41" t="str">
        <x:v>Front</x:v>
      </x:c>
      <x:c r="D29" s="41" t="str">
        <x:v>Medium</x:v>
      </x:c>
      <x:c r="E29" s="41" t="str">
        <x:v>Outer</x:v>
      </x:c>
      <x:c r="F29" s="57" t="n">
        <x:f>'Parameters'!D8</x:f>
        <x:v>17.6</x:v>
      </x:c>
      <x:c r="G29" s="57" t="n">
        <x:f>'Parameters'!E25</x:f>
        <x:v>126</x:v>
      </x:c>
      <x:c r="H29" s="57" t="n">
        <x:f>'Parameters'!F25</x:f>
        <x:v>45</x:v>
      </x:c>
      <x:c r="I29" s="58" t="n">
        <x:f>H29/G29</x:f>
        <x:v>0.35714285714285715</x:v>
      </x:c>
      <x:c r="J29" s="57" t="n">
        <x:f>'Parameters'!G25</x:f>
        <x:v>163</x:v>
      </x:c>
      <x:c r="K29" s="54" t="n">
        <x:f>'Parameters'!E8</x:f>
        <x:v>1988</x:v>
      </x:c>
      <x:c r="L29" s="59" t="n">
        <x:f>1000*K29*I29^2/J29^2</x:f>
        <x:v>9.54388304307383</x:v>
      </x:c>
      <x:c r="M29" s="41" t="str">
        <x:v>Gravel!A13:G13</x:v>
      </x:c>
      <x:c r="N29" s="41"/>
      <x:c r="O29"/>
      <x:c r="P29"/>
      <x:c r="Q29"/>
      <x:c r="R29"/>
      <x:c r="S29"/>
      <x:c r="T29"/>
      <x:c r="U29"/>
      <x:c r="V29"/>
    </x:row>
    <x:row r="30" ht="24" customHeight="1">
      <x:c r="A30" s="41"/>
      <x:c r="B30" s="41" t="str">
        <x:v>Gravel</x:v>
      </x:c>
      <x:c r="C30" s="41" t="str">
        <x:v>Front</x:v>
      </x:c>
      <x:c r="D30" s="41" t="str">
        <x:v>Hard</x:v>
      </x:c>
      <x:c r="E30" s="41" t="str">
        <x:v>Inner</x:v>
      </x:c>
      <x:c r="F30" s="57" t="n">
        <x:f>'Parameters'!D9</x:f>
        <x:v>20.5</x:v>
      </x:c>
      <x:c r="G30" s="57" t="n">
        <x:f>'Parameters'!E23</x:f>
        <x:v>126</x:v>
      </x:c>
      <x:c r="H30" s="57" t="n">
        <x:f>'Parameters'!F23</x:f>
        <x:v>32</x:v>
      </x:c>
      <x:c r="I30" s="58" t="n">
        <x:f>H30/G30</x:f>
        <x:v>0.25396825396825395</x:v>
      </x:c>
      <x:c r="J30" s="57" t="n">
        <x:f>'Parameters'!G23</x:f>
        <x:v>163</x:v>
      </x:c>
      <x:c r="K30" s="54" t="n">
        <x:f>'Parameters'!E9</x:f>
        <x:v>3627</x:v>
      </x:c>
      <x:c r="L30" s="59" t="n">
        <x:f>1000*K30*I30^2/J30^2</x:f>
        <x:v>8.805037565730746</x:v>
      </x:c>
      <x:c r="M30" s="41" t="str">
        <x:v>Gravel!A19:G19</x:v>
      </x:c>
      <x:c r="N30" s="41"/>
      <x:c r="O30"/>
      <x:c r="P30"/>
      <x:c r="Q30"/>
      <x:c r="R30"/>
      <x:c r="S30"/>
      <x:c r="T30"/>
      <x:c r="U30"/>
      <x:c r="V30"/>
    </x:row>
    <x:row r="31" ht="24" customHeight="1">
      <x:c r="A31" s="41"/>
      <x:c r="B31" s="41" t="str">
        <x:v>Gravel</x:v>
      </x:c>
      <x:c r="C31" s="41" t="str">
        <x:v>Front</x:v>
      </x:c>
      <x:c r="D31" s="41" t="str">
        <x:v>Hard</x:v>
      </x:c>
      <x:c r="E31" s="41" t="str">
        <x:v>Middle</x:v>
      </x:c>
      <x:c r="F31" s="57" t="n">
        <x:f>'Parameters'!D9</x:f>
        <x:v>20.5</x:v>
      </x:c>
      <x:c r="G31" s="57" t="n">
        <x:f>'Parameters'!E24</x:f>
        <x:v>126</x:v>
      </x:c>
      <x:c r="H31" s="57" t="n">
        <x:f>'Parameters'!F24</x:f>
        <x:v>40</x:v>
      </x:c>
      <x:c r="I31" s="58" t="n">
        <x:f>H31/G31</x:f>
        <x:v>0.31746031746031744</x:v>
      </x:c>
      <x:c r="J31" s="57" t="n">
        <x:f>'Parameters'!G24</x:f>
        <x:v>163</x:v>
      </x:c>
      <x:c r="K31" s="54" t="n">
        <x:f>'Parameters'!E9</x:f>
        <x:v>3627</x:v>
      </x:c>
      <x:c r="L31" s="59" t="n">
        <x:f>1000*K31*I31^2/J31^2</x:f>
        <x:v>13.757871196454293</x:v>
      </x:c>
      <x:c r="M31" s="41" t="str">
        <x:v>Gravel!A20:G20</x:v>
      </x:c>
      <x:c r="N31" s="41"/>
      <x:c r="O31"/>
      <x:c r="P31"/>
      <x:c r="Q31"/>
      <x:c r="R31"/>
      <x:c r="S31"/>
      <x:c r="T31"/>
      <x:c r="U31"/>
      <x:c r="V31"/>
    </x:row>
    <x:row r="32" ht="24" customHeight="1">
      <x:c r="A32" s="41"/>
      <x:c r="B32" s="41" t="str">
        <x:v>Gravel</x:v>
      </x:c>
      <x:c r="C32" s="41" t="str">
        <x:v>Front</x:v>
      </x:c>
      <x:c r="D32" s="41" t="str">
        <x:v>Hard</x:v>
      </x:c>
      <x:c r="E32" s="41" t="str">
        <x:v>Outer</x:v>
      </x:c>
      <x:c r="F32" s="57" t="n">
        <x:f>'Parameters'!D9</x:f>
        <x:v>20.5</x:v>
      </x:c>
      <x:c r="G32" s="57" t="n">
        <x:f>'Parameters'!E25</x:f>
        <x:v>126</x:v>
      </x:c>
      <x:c r="H32" s="57" t="n">
        <x:f>'Parameters'!F25</x:f>
        <x:v>45</x:v>
      </x:c>
      <x:c r="I32" s="58" t="n">
        <x:f>H32/G32</x:f>
        <x:v>0.35714285714285715</x:v>
      </x:c>
      <x:c r="J32" s="57" t="n">
        <x:f>'Parameters'!G25</x:f>
        <x:v>163</x:v>
      </x:c>
      <x:c r="K32" s="54" t="n">
        <x:f>'Parameters'!E9</x:f>
        <x:v>3627</x:v>
      </x:c>
      <x:c r="L32" s="59" t="n">
        <x:f>1000*K32*I32^2/J32^2</x:f>
        <x:v>17.412305733012463</x:v>
      </x:c>
      <x:c r="M32" s="41" t="str">
        <x:v>Gravel!A21:G21</x:v>
      </x:c>
      <x:c r="N32" s="41"/>
      <x:c r="O32"/>
      <x:c r="P32"/>
      <x:c r="Q32"/>
      <x:c r="R32"/>
      <x:c r="S32"/>
      <x:c r="T32"/>
      <x:c r="U32"/>
      <x:c r="V32"/>
    </x:row>
    <x:row r="33" ht="24" customHeight="1">
      <x:c r="A33" s="41"/>
      <x:c r="B33" s="41" t="str">
        <x:v>Gravel</x:v>
      </x:c>
      <x:c r="C33" s="41" t="str">
        <x:v>Rear</x:v>
      </x:c>
      <x:c r="D33" s="41" t="str">
        <x:v>Soft</x:v>
      </x:c>
      <x:c r="E33" s="41" t="str">
        <x:v>Inner</x:v>
      </x:c>
      <x:c r="F33" s="57" t="n">
        <x:f>'Parameters'!D10</x:f>
        <x:v>16.2</x:v>
      </x:c>
      <x:c r="G33" s="57" t="n">
        <x:f>'Parameters'!E26</x:f>
        <x:v>127</x:v>
      </x:c>
      <x:c r="H33" s="57" t="n">
        <x:f>'Parameters'!F26</x:f>
        <x:v>39</x:v>
      </x:c>
      <x:c r="I33" s="58" t="n">
        <x:f>H33/G33</x:f>
        <x:v>0.30708661417322836</x:v>
      </x:c>
      <x:c r="J33" s="57" t="n">
        <x:f>'Parameters'!G26</x:f>
        <x:v>154</x:v>
      </x:c>
      <x:c r="K33" s="54" t="n">
        <x:f>'Parameters'!E10</x:f>
        <x:v>1423</x:v>
      </x:c>
      <x:c r="L33" s="59" t="n">
        <x:f>1000*K33*I33^2/J33^2</x:f>
        <x:v>5.658290368697451</x:v>
      </x:c>
      <x:c r="M33" s="41" t="str">
        <x:v>Gravel!A6:G6</x:v>
      </x:c>
      <x:c r="N33" s="41"/>
      <x:c r="O33"/>
      <x:c r="P33"/>
      <x:c r="Q33"/>
      <x:c r="R33"/>
      <x:c r="S33"/>
      <x:c r="T33"/>
      <x:c r="U33"/>
      <x:c r="V33"/>
    </x:row>
    <x:row r="34" ht="24" customHeight="1">
      <x:c r="A34" s="41"/>
      <x:c r="B34" s="41" t="str">
        <x:v>Gravel</x:v>
      </x:c>
      <x:c r="C34" s="41" t="str">
        <x:v>Rear</x:v>
      </x:c>
      <x:c r="D34" s="41" t="str">
        <x:v>Soft</x:v>
      </x:c>
      <x:c r="E34" s="41" t="str">
        <x:v>Middle</x:v>
      </x:c>
      <x:c r="F34" s="57" t="n">
        <x:f>'Parameters'!D10</x:f>
        <x:v>16.2</x:v>
      </x:c>
      <x:c r="G34" s="57" t="n">
        <x:f>'Parameters'!E27</x:f>
        <x:v>127</x:v>
      </x:c>
      <x:c r="H34" s="57" t="n">
        <x:f>'Parameters'!F27</x:f>
        <x:v>47</x:v>
      </x:c>
      <x:c r="I34" s="58" t="n">
        <x:f>H34/G34</x:f>
        <x:v>0.3700787401574803</x:v>
      </x:c>
      <x:c r="J34" s="57" t="n">
        <x:f>'Parameters'!G27</x:f>
        <x:v>154</x:v>
      </x:c>
      <x:c r="K34" s="54" t="n">
        <x:f>'Parameters'!E10</x:f>
        <x:v>1423</x:v>
      </x:c>
      <x:c r="L34" s="59" t="n">
        <x:f>1000*K34*I34^2/J34^2</x:f>
        <x:v>8.217727432250276</x:v>
      </x:c>
      <x:c r="M34" s="41" t="str">
        <x:v>Gravel!A7:G7</x:v>
      </x:c>
      <x:c r="N34" s="41"/>
      <x:c r="O34"/>
      <x:c r="P34"/>
      <x:c r="Q34"/>
      <x:c r="R34"/>
      <x:c r="S34"/>
      <x:c r="T34"/>
      <x:c r="U34"/>
      <x:c r="V34"/>
    </x:row>
    <x:row r="35" ht="24" customHeight="1">
      <x:c r="A35" s="41"/>
      <x:c r="B35" s="41" t="str">
        <x:v>Gravel</x:v>
      </x:c>
      <x:c r="C35" s="41" t="str">
        <x:v>Rear</x:v>
      </x:c>
      <x:c r="D35" s="41" t="str">
        <x:v>Soft</x:v>
      </x:c>
      <x:c r="E35" s="41" t="str">
        <x:v>Outer</x:v>
      </x:c>
      <x:c r="F35" s="57" t="n">
        <x:f>'Parameters'!D10</x:f>
        <x:v>16.2</x:v>
      </x:c>
      <x:c r="G35" s="57" t="n">
        <x:f>'Parameters'!E28</x:f>
        <x:v>127</x:v>
      </x:c>
      <x:c r="H35" s="57" t="n">
        <x:f>'Parameters'!F28</x:f>
        <x:v>51</x:v>
      </x:c>
      <x:c r="I35" s="58" t="n">
        <x:f>H35/G35</x:f>
        <x:v>0.4015748031496063</x:v>
      </x:c>
      <x:c r="J35" s="57" t="n">
        <x:f>'Parameters'!G28</x:f>
        <x:v>154</x:v>
      </x:c>
      <x:c r="K35" s="54" t="n">
        <x:f>'Parameters'!E10</x:f>
        <x:v>1423</x:v>
      </x:c>
      <x:c r="L35" s="59" t="n">
        <x:f>1000*K35*I35^2/J35^2</x:f>
        <x:v>9.676011340553632</x:v>
      </x:c>
      <x:c r="M35" s="41" t="str">
        <x:v>Gravel!A8:G8</x:v>
      </x:c>
      <x:c r="N35" s="41"/>
      <x:c r="O35"/>
      <x:c r="P35"/>
      <x:c r="Q35"/>
      <x:c r="R35"/>
      <x:c r="S35"/>
      <x:c r="T35"/>
      <x:c r="U35"/>
      <x:c r="V35"/>
    </x:row>
    <x:row r="36" ht="24" customHeight="1">
      <x:c r="A36" s="41"/>
      <x:c r="B36" s="41" t="str">
        <x:v>Gravel</x:v>
      </x:c>
      <x:c r="C36" s="41" t="str">
        <x:v>Rear</x:v>
      </x:c>
      <x:c r="D36" s="41" t="str">
        <x:v>Medium</x:v>
      </x:c>
      <x:c r="E36" s="41" t="str">
        <x:v>Inner</x:v>
      </x:c>
      <x:c r="F36" s="57" t="n">
        <x:f>'Parameters'!D11</x:f>
        <x:v>19.4</x:v>
      </x:c>
      <x:c r="G36" s="57" t="n">
        <x:f>'Parameters'!E26</x:f>
        <x:v>127</x:v>
      </x:c>
      <x:c r="H36" s="57" t="n">
        <x:f>'Parameters'!F26</x:f>
        <x:v>39</x:v>
      </x:c>
      <x:c r="I36" s="58" t="n">
        <x:f>H36/G36</x:f>
        <x:v>0.30708661417322836</x:v>
      </x:c>
      <x:c r="J36" s="57" t="n">
        <x:f>'Parameters'!G26</x:f>
        <x:v>154</x:v>
      </x:c>
      <x:c r="K36" s="54" t="n">
        <x:f>'Parameters'!E11</x:f>
        <x:v>2939</x:v>
      </x:c>
      <x:c r="L36" s="59" t="n">
        <x:f>1000*K36*I36^2/J36^2</x:f>
        <x:v>11.686377648349833</x:v>
      </x:c>
      <x:c r="M36" s="41" t="str">
        <x:v>Gravel!A14:G14</x:v>
      </x:c>
      <x:c r="N36" s="41"/>
      <x:c r="O36"/>
      <x:c r="P36"/>
      <x:c r="Q36"/>
      <x:c r="R36"/>
      <x:c r="S36"/>
      <x:c r="T36"/>
      <x:c r="U36"/>
      <x:c r="V36"/>
    </x:row>
    <x:row r="37" ht="24" customHeight="1">
      <x:c r="A37" s="41"/>
      <x:c r="B37" s="41" t="str">
        <x:v>Gravel</x:v>
      </x:c>
      <x:c r="C37" s="41" t="str">
        <x:v>Rear</x:v>
      </x:c>
      <x:c r="D37" s="41" t="str">
        <x:v>Medium</x:v>
      </x:c>
      <x:c r="E37" s="41" t="str">
        <x:v>Middle</x:v>
      </x:c>
      <x:c r="F37" s="57" t="n">
        <x:f>'Parameters'!D11</x:f>
        <x:v>19.4</x:v>
      </x:c>
      <x:c r="G37" s="57" t="n">
        <x:f>'Parameters'!E27</x:f>
        <x:v>127</x:v>
      </x:c>
      <x:c r="H37" s="57" t="n">
        <x:f>'Parameters'!F27</x:f>
        <x:v>47</x:v>
      </x:c>
      <x:c r="I37" s="58" t="n">
        <x:f>H37/G37</x:f>
        <x:v>0.3700787401574803</x:v>
      </x:c>
      <x:c r="J37" s="57" t="n">
        <x:f>'Parameters'!G27</x:f>
        <x:v>154</x:v>
      </x:c>
      <x:c r="K37" s="54" t="n">
        <x:f>'Parameters'!E11</x:f>
        <x:v>2939</x:v>
      </x:c>
      <x:c r="L37" s="59" t="n">
        <x:f>1000*K37*I37^2/J37^2</x:f>
        <x:v>16.972523487971586</x:v>
      </x:c>
      <x:c r="M37" s="41" t="str">
        <x:v>Gravel!A15:G15</x:v>
      </x:c>
      <x:c r="N37" s="41"/>
      <x:c r="O37"/>
      <x:c r="P37"/>
      <x:c r="Q37"/>
      <x:c r="R37"/>
      <x:c r="S37"/>
      <x:c r="T37"/>
      <x:c r="U37"/>
      <x:c r="V37"/>
    </x:row>
    <x:row r="38" ht="24" customHeight="1">
      <x:c r="A38" s="41"/>
      <x:c r="B38" s="41" t="str">
        <x:v>Gravel</x:v>
      </x:c>
      <x:c r="C38" s="41" t="str">
        <x:v>Rear</x:v>
      </x:c>
      <x:c r="D38" s="41" t="str">
        <x:v>Medium</x:v>
      </x:c>
      <x:c r="E38" s="41" t="str">
        <x:v>Outer</x:v>
      </x:c>
      <x:c r="F38" s="57" t="n">
        <x:f>'Parameters'!D11</x:f>
        <x:v>19.4</x:v>
      </x:c>
      <x:c r="G38" s="57" t="n">
        <x:f>'Parameters'!E28</x:f>
        <x:v>127</x:v>
      </x:c>
      <x:c r="H38" s="57" t="n">
        <x:f>'Parameters'!F28</x:f>
        <x:v>51</x:v>
      </x:c>
      <x:c r="I38" s="58" t="n">
        <x:f>H38/G38</x:f>
        <x:v>0.4015748031496063</x:v>
      </x:c>
      <x:c r="J38" s="57" t="n">
        <x:f>'Parameters'!G28</x:f>
        <x:v>154</x:v>
      </x:c>
      <x:c r="K38" s="54" t="n">
        <x:f>'Parameters'!E11</x:f>
        <x:v>2939</x:v>
      </x:c>
      <x:c r="L38" s="59" t="n">
        <x:f>1000*K38*I38^2/J38^2</x:f>
        <x:v>19.984397280314212</x:v>
      </x:c>
      <x:c r="M38" s="41" t="str">
        <x:v>Gravel!A16:G16</x:v>
      </x:c>
      <x:c r="N38" s="41"/>
      <x:c r="O38"/>
      <x:c r="P38"/>
      <x:c r="Q38"/>
      <x:c r="R38"/>
      <x:c r="S38"/>
      <x:c r="T38"/>
      <x:c r="U38"/>
      <x:c r="V38"/>
    </x:row>
    <x:row r="39" ht="24" customHeight="1">
      <x:c r="A39" s="41"/>
      <x:c r="B39" s="41" t="str">
        <x:v>Gravel</x:v>
      </x:c>
      <x:c r="C39" s="41" t="str">
        <x:v>Rear</x:v>
      </x:c>
      <x:c r="D39" s="41" t="str">
        <x:v>Hard</x:v>
      </x:c>
      <x:c r="E39" s="41" t="str">
        <x:v>Inner</x:v>
      </x:c>
      <x:c r="F39" s="57" t="n">
        <x:f>'Parameters'!D12</x:f>
        <x:v>22.1</x:v>
      </x:c>
      <x:c r="G39" s="57" t="n">
        <x:f>'Parameters'!E26</x:f>
        <x:v>127</x:v>
      </x:c>
      <x:c r="H39" s="57" t="n">
        <x:f>'Parameters'!F26</x:f>
        <x:v>39</x:v>
      </x:c>
      <x:c r="I39" s="58" t="n">
        <x:f>H39/G39</x:f>
        <x:v>0.30708661417322836</x:v>
      </x:c>
      <x:c r="J39" s="57" t="n">
        <x:f>'Parameters'!G26</x:f>
        <x:v>154</x:v>
      </x:c>
      <x:c r="K39" s="54" t="n">
        <x:f>'Parameters'!E12</x:f>
        <x:v>4912</x:v>
      </x:c>
      <x:c r="L39" s="59" t="n">
        <x:f>1000*K39*I39^2/J39^2</x:f>
        <x:v>19.53163899581299</x:v>
      </x:c>
      <x:c r="M39" s="41" t="str">
        <x:v>Gravel!A22:G22</x:v>
      </x:c>
      <x:c r="N39" s="41"/>
      <x:c r="O39"/>
      <x:c r="P39"/>
      <x:c r="Q39"/>
      <x:c r="R39"/>
      <x:c r="S39"/>
      <x:c r="T39"/>
      <x:c r="U39"/>
      <x:c r="V39"/>
    </x:row>
    <x:row r="40" ht="24" customHeight="1">
      <x:c r="A40" s="41"/>
      <x:c r="B40" s="41" t="str">
        <x:v>Gravel</x:v>
      </x:c>
      <x:c r="C40" s="41" t="str">
        <x:v>Rear</x:v>
      </x:c>
      <x:c r="D40" s="41" t="str">
        <x:v>Hard</x:v>
      </x:c>
      <x:c r="E40" s="41" t="str">
        <x:v>Middle</x:v>
      </x:c>
      <x:c r="F40" s="57" t="n">
        <x:f>'Parameters'!D12</x:f>
        <x:v>22.1</x:v>
      </x:c>
      <x:c r="G40" s="57" t="n">
        <x:f>'Parameters'!E27</x:f>
        <x:v>127</x:v>
      </x:c>
      <x:c r="H40" s="57" t="n">
        <x:f>'Parameters'!F27</x:f>
        <x:v>47</x:v>
      </x:c>
      <x:c r="I40" s="58" t="n">
        <x:f>H40/G40</x:f>
        <x:v>0.3700787401574803</x:v>
      </x:c>
      <x:c r="J40" s="57" t="n">
        <x:f>'Parameters'!G27</x:f>
        <x:v>154</x:v>
      </x:c>
      <x:c r="K40" s="54" t="n">
        <x:f>'Parameters'!E12</x:f>
        <x:v>4912</x:v>
      </x:c>
      <x:c r="L40" s="59" t="n">
        <x:f>1000*K40*I40^2/J40^2</x:f>
        <x:v>28.36646320956666</x:v>
      </x:c>
      <x:c r="M40" s="41" t="str">
        <x:v>Gravel!A23:G23</x:v>
      </x:c>
      <x:c r="N40" s="41"/>
      <x:c r="O40"/>
      <x:c r="P40"/>
      <x:c r="Q40"/>
      <x:c r="R40"/>
      <x:c r="S40"/>
      <x:c r="T40"/>
      <x:c r="U40"/>
      <x:c r="V40"/>
    </x:row>
    <x:row r="41" ht="24" customHeight="1">
      <x:c r="A41" s="41"/>
      <x:c r="B41" s="41" t="str">
        <x:v>Gravel</x:v>
      </x:c>
      <x:c r="C41" s="41" t="str">
        <x:v>Rear</x:v>
      </x:c>
      <x:c r="D41" s="41" t="str">
        <x:v>Hard</x:v>
      </x:c>
      <x:c r="E41" s="41" t="str">
        <x:v>Outer</x:v>
      </x:c>
      <x:c r="F41" s="57" t="n">
        <x:f>'Parameters'!D12</x:f>
        <x:v>22.1</x:v>
      </x:c>
      <x:c r="G41" s="57" t="n">
        <x:f>'Parameters'!E28</x:f>
        <x:v>127</x:v>
      </x:c>
      <x:c r="H41" s="57" t="n">
        <x:f>'Parameters'!F28</x:f>
        <x:v>51</x:v>
      </x:c>
      <x:c r="I41" s="58" t="n">
        <x:f>H41/G41</x:f>
        <x:v>0.4015748031496063</x:v>
      </x:c>
      <x:c r="J41" s="57" t="n">
        <x:f>'Parameters'!G28</x:f>
        <x:v>154</x:v>
      </x:c>
      <x:c r="K41" s="54" t="n">
        <x:f>'Parameters'!E12</x:f>
        <x:v>4912</x:v>
      </x:c>
      <x:c r="L41" s="59" t="n">
        <x:f>1000*K41*I41^2/J41^2</x:f>
        <x:v>33.40025840112399</x:v>
      </x:c>
      <x:c r="M41" s="41" t="str">
        <x:v>Gravel!A24:G24</x:v>
      </x:c>
      <x:c r="N41" s="41"/>
      <x:c r="O41"/>
      <x:c r="P41"/>
      <x:c r="Q41"/>
      <x:c r="R41"/>
      <x:c r="S41"/>
      <x:c r="T41"/>
      <x:c r="U41"/>
      <x:c r="V41"/>
    </x:row>
    <x:row r="42" ht="24" customHeight="1">
      <x:c r="A42" s="41"/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/>
      <x:c r="P42"/>
      <x:c r="Q42"/>
      <x:c r="R42"/>
      <x:c r="S42"/>
      <x:c r="T42"/>
      <x:c r="U42"/>
      <x:c r="V42"/>
    </x:row>
    <x:row r="43" ht="24" customHeight="1">
      <x:c r="A43" s="41"/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/>
      <x:c r="P43"/>
      <x:c r="Q43"/>
      <x:c r="R43"/>
      <x:c r="S43"/>
      <x:c r="T43"/>
      <x:c r="U43"/>
      <x:c r="V43"/>
    </x:row>
    <x:row r="44" ht="24" customHeight="1">
      <x:c r="A44" s="41"/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/>
      <x:c r="P44"/>
      <x:c r="Q44"/>
      <x:c r="R44"/>
      <x:c r="S44"/>
      <x:c r="T44"/>
      <x:c r="U44"/>
      <x:c r="V44"/>
    </x:row>
    <x:row r="45" ht="32" customHeight="1">
      <x:c r="A45" s="41"/>
      <x:c r="B45" s="46" t="str">
        <x:v>Setting</x:v>
      </x:c>
      <x:c r="C45" s="46" t="str">
        <x:v>Tarmac</x:v>
      </x:c>
      <x:c r="D45" s="46" t="str">
        <x:v>Gravel</x:v>
      </x:c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/>
      <x:c r="P45"/>
      <x:c r="Q45"/>
      <x:c r="R45"/>
      <x:c r="S45"/>
      <x:c r="T45"/>
      <x:c r="U45"/>
      <x:c r="V45"/>
    </x:row>
    <x:row r="46" ht="24" customHeight="1">
      <x:c r="A46" s="41"/>
      <x:c r="B46" s="41" t="str">
        <x:v>Soft Inner</x:v>
      </x:c>
      <x:c r="C46" s="59" t="n">
        <x:f>L6</x:f>
        <x:v>2.672791299137493</x:v>
      </x:c>
      <x:c r="D46" s="59" t="n">
        <x:f>L24</x:f>
        <x:v>2.269840122403708</x:v>
      </x:c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/>
      <x:c r="P46"/>
      <x:c r="Q46"/>
      <x:c r="R46"/>
      <x:c r="S46"/>
      <x:c r="T46"/>
      <x:c r="U46"/>
      <x:c r="V46"/>
    </x:row>
    <x:row r="47" ht="24" customHeight="1">
      <x:c r="A47" s="41"/>
      <x:c r="B47" s="41" t="str">
        <x:v>Soft Middle</x:v>
      </x:c>
      <x:c r="C47" s="59" t="n">
        <x:f>L7</x:f>
        <x:v>3.8488194707579906</x:v>
      </x:c>
      <x:c r="D47" s="59" t="n">
        <x:f>L25</x:f>
        <x:v>3.546625191255793</x:v>
      </x:c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/>
      <x:c r="P47"/>
      <x:c r="Q47"/>
      <x:c r="R47"/>
      <x:c r="S47"/>
      <x:c r="T47"/>
      <x:c r="U47"/>
      <x:c r="V47"/>
    </x:row>
    <x:row r="48" ht="24" customHeight="1">
      <x:c r="A48" s="41"/>
      <x:c r="B48" s="41" t="str">
        <x:v>Soft Outer</x:v>
      </x:c>
      <x:c r="C48" s="59" t="n">
        <x:f>L8</x:f>
        <x:v>4.616837868550968</x:v>
      </x:c>
      <x:c r="D48" s="59" t="n">
        <x:f>L26</x:f>
        <x:v>4.488697507683114</x:v>
      </x:c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/>
      <x:c r="P48"/>
      <x:c r="Q48"/>
      <x:c r="R48"/>
      <x:c r="S48"/>
      <x:c r="T48"/>
      <x:c r="U48"/>
      <x:c r="V48"/>
    </x:row>
    <x:row r="49" ht="24" customHeight="1">
      <x:c r="A49" s="41"/>
      <x:c r="B49" s="41" t="str">
        <x:v>Medium Inner</x:v>
      </x:c>
      <x:c r="C49" s="59" t="n">
        <x:f>L9</x:f>
        <x:v>5.682897436027098</x:v>
      </x:c>
      <x:c r="D49" s="59" t="n">
        <x:f>L27</x:f>
        <x:v>4.826141351164247</x:v>
      </x:c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/>
      <x:c r="P49"/>
      <x:c r="Q49"/>
      <x:c r="R49"/>
      <x:c r="S49"/>
      <x:c r="T49"/>
      <x:c r="U49"/>
      <x:c r="V49"/>
    </x:row>
    <x:row r="50" ht="24" customHeight="1">
      <x:c r="A50" s="41"/>
      <x:c r="B50" s="41" t="str">
        <x:v>Medium Middle</x:v>
      </x:c>
      <x:c r="C50" s="59" t="n">
        <x:f>L10</x:f>
        <x:v>8.183372307879022</x:v>
      </x:c>
      <x:c r="D50" s="59" t="n">
        <x:f>L28</x:f>
        <x:v>7.540845861194136</x:v>
      </x:c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/>
      <x:c r="P50"/>
      <x:c r="Q50"/>
      <x:c r="R50"/>
      <x:c r="S50"/>
      <x:c r="T50"/>
      <x:c r="U50"/>
      <x:c r="V50"/>
    </x:row>
    <x:row r="51" ht="24" customHeight="1">
      <x:c r="A51" s="41"/>
      <x:c r="B51" s="41" t="str">
        <x:v>Medium Outer</x:v>
      </x:c>
      <x:c r="C51" s="59" t="n">
        <x:f>L11</x:f>
        <x:v>9.816335489496604</x:v>
      </x:c>
      <x:c r="D51" s="59" t="n">
        <x:f>L29</x:f>
        <x:v>9.54388304307383</x:v>
      </x:c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/>
      <x:c r="P51"/>
      <x:c r="Q51"/>
      <x:c r="R51"/>
      <x:c r="S51"/>
      <x:c r="T51"/>
      <x:c r="U51"/>
      <x:c r="V51"/>
    </x:row>
    <x:row r="52" ht="24" customHeight="1">
      <x:c r="A52" s="41"/>
      <x:c r="B52" s="41" t="str">
        <x:v>Hard Inner</x:v>
      </x:c>
      <x:c r="C52" s="59" t="n">
        <x:f>L12</x:f>
        <x:v>10.368143360397529</x:v>
      </x:c>
      <x:c r="D52" s="59" t="n">
        <x:f>L30</x:f>
        <x:v>8.805037565730746</x:v>
      </x:c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/>
      <x:c r="P52"/>
      <x:c r="Q52"/>
      <x:c r="R52"/>
      <x:c r="S52"/>
      <x:c r="T52"/>
      <x:c r="U52"/>
      <x:c r="V52"/>
    </x:row>
    <x:row r="53" ht="24" customHeight="1">
      <x:c r="A53" s="41"/>
      <x:c r="B53" s="41" t="str">
        <x:v>Hard Middle</x:v>
      </x:c>
      <x:c r="C53" s="59" t="n">
        <x:f>L13</x:f>
        <x:v>14.93012643897244</x:v>
      </x:c>
      <x:c r="D53" s="59" t="n">
        <x:f>L31</x:f>
        <x:v>13.757871196454293</x:v>
      </x:c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/>
      <x:c r="P53"/>
      <x:c r="Q53"/>
      <x:c r="R53"/>
      <x:c r="S53"/>
      <x:c r="T53"/>
      <x:c r="U53"/>
      <x:c r="V53"/>
    </x:row>
    <x:row r="54" ht="24" customHeight="1">
      <x:c r="A54" s="41"/>
      <x:c r="B54" s="41" t="str">
        <x:v>Hard Outer</x:v>
      </x:c>
      <x:c r="C54" s="59" t="n">
        <x:f>L14</x:f>
        <x:v>17.9093806943683</x:v>
      </x:c>
      <x:c r="D54" s="59" t="n">
        <x:f>L32</x:f>
        <x:v>17.412305733012463</x:v>
      </x:c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/>
      <x:c r="P54"/>
      <x:c r="Q54"/>
      <x:c r="R54"/>
      <x:c r="S54"/>
      <x:c r="T54"/>
      <x:c r="U54"/>
      <x:c r="V54"/>
    </x:row>
    <x:row r="55" ht="24" customHeight="1">
      <x:c r="A55" s="41"/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/>
      <x:c r="P55"/>
      <x:c r="Q55"/>
      <x:c r="R55"/>
      <x:c r="S55"/>
      <x:c r="T55"/>
      <x:c r="U55"/>
      <x:c r="V55"/>
    </x:row>
    <x:row r="56" ht="24" customHeight="1">
      <x:c r="A56" s="41"/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/>
      <x:c r="P56"/>
      <x:c r="Q56"/>
      <x:c r="R56"/>
      <x:c r="S56"/>
      <x:c r="T56"/>
      <x:c r="U56"/>
      <x:c r="V56"/>
    </x:row>
    <x:row r="57" ht="24" customHeight="1">
      <x:c r="A57" s="41"/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/>
      <x:c r="P57"/>
      <x:c r="Q57"/>
      <x:c r="R57"/>
      <x:c r="S57"/>
      <x:c r="T57"/>
      <x:c r="U57"/>
      <x:c r="V57"/>
    </x:row>
    <x:row r="58" ht="24" customHeight="1">
      <x:c r="A58" s="41"/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/>
      <x:c r="P58"/>
      <x:c r="Q58"/>
      <x:c r="R58"/>
      <x:c r="S58"/>
      <x:c r="T58"/>
      <x:c r="U58"/>
      <x:c r="V58"/>
    </x:row>
    <x:row r="59" ht="32" customHeight="1">
      <x:c r="A59" s="41"/>
      <x:c r="B59" s="46" t="str">
        <x:v>Setting</x:v>
      </x:c>
      <x:c r="C59" s="46" t="str">
        <x:v>Tarmac</x:v>
      </x:c>
      <x:c r="D59" s="46" t="str">
        <x:v>Gravel</x:v>
      </x:c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/>
      <x:c r="P59"/>
      <x:c r="Q59"/>
      <x:c r="R59"/>
      <x:c r="S59"/>
      <x:c r="T59"/>
      <x:c r="U59"/>
      <x:c r="V59"/>
    </x:row>
    <x:row r="60" ht="24" customHeight="1">
      <x:c r="A60" s="41"/>
      <x:c r="B60" s="41" t="str">
        <x:v>Soft Inner</x:v>
      </x:c>
      <x:c r="C60" s="59" t="n">
        <x:f>L15</x:f>
        <x:v>5.4532242223578775</x:v>
      </x:c>
      <x:c r="D60" s="59" t="n">
        <x:f>L33</x:f>
        <x:v>5.658290368697451</x:v>
      </x:c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/>
      <x:c r="P60"/>
      <x:c r="Q60"/>
      <x:c r="R60"/>
      <x:c r="S60"/>
      <x:c r="T60"/>
      <x:c r="U60"/>
      <x:c r="V60"/>
    </x:row>
    <x:row r="61" ht="24" customHeight="1">
      <x:c r="A61" s="41"/>
      <x:c r="B61" s="41" t="str">
        <x:v>Soft Middle</x:v>
      </x:c>
      <x:c r="C61" s="59" t="n">
        <x:f>L16</x:f>
        <x:v>7.78893001658612</x:v>
      </x:c>
      <x:c r="D61" s="59" t="n">
        <x:f>L34</x:f>
        <x:v>8.217727432250276</x:v>
      </x:c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/>
      <x:c r="P61"/>
      <x:c r="Q61"/>
      <x:c r="R61"/>
      <x:c r="S61"/>
      <x:c r="T61"/>
      <x:c r="U61"/>
      <x:c r="V61"/>
    </x:row>
    <x:row r="62" ht="24" customHeight="1">
      <x:c r="A62" s="41"/>
      <x:c r="B62" s="41" t="str">
        <x:v>Soft Outer</x:v>
      </x:c>
      <x:c r="C62" s="59" t="n">
        <x:f>L17</x:f>
        <x:v>9.459608466624374</x:v>
      </x:c>
      <x:c r="D62" s="59" t="n">
        <x:f>L35</x:f>
        <x:v>9.676011340553632</x:v>
      </x:c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/>
      <x:c r="P62"/>
      <x:c r="Q62"/>
      <x:c r="R62"/>
      <x:c r="S62"/>
      <x:c r="T62"/>
      <x:c r="U62"/>
      <x:c r="V62"/>
    </x:row>
    <x:row r="63" ht="24" customHeight="1">
      <x:c r="A63" s="41"/>
      <x:c r="B63" s="41" t="str">
        <x:v>Medium Inner</x:v>
      </x:c>
      <x:c r="C63" s="59" t="n">
        <x:f>L18</x:f>
        <x:v>11.262843281454536</x:v>
      </x:c>
      <x:c r="D63" s="59" t="n">
        <x:f>L36</x:f>
        <x:v>11.686377648349833</x:v>
      </x:c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/>
      <x:c r="P63"/>
      <x:c r="Q63"/>
      <x:c r="R63"/>
      <x:c r="S63"/>
      <x:c r="T63"/>
      <x:c r="U63"/>
      <x:c r="V63"/>
    </x:row>
    <x:row r="64" ht="24" customHeight="1">
      <x:c r="A64" s="41"/>
      <x:c r="B64" s="41" t="str">
        <x:v>Medium Middle</x:v>
      </x:c>
      <x:c r="C64" s="59" t="n">
        <x:f>L19</x:f>
        <x:v>16.086904651262547</x:v>
      </x:c>
      <x:c r="D64" s="59" t="n">
        <x:f>L37</x:f>
        <x:v>16.972523487971586</x:v>
      </x:c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/>
      <x:c r="P64"/>
      <x:c r="Q64"/>
      <x:c r="R64"/>
      <x:c r="S64"/>
      <x:c r="T64"/>
      <x:c r="U64"/>
      <x:c r="V64"/>
    </x:row>
    <x:row r="65" ht="24" customHeight="1">
      <x:c r="A65" s="41"/>
      <x:c r="B65" s="41" t="str">
        <x:v>Medium Outer</x:v>
      </x:c>
      <x:c r="C65" s="59" t="n">
        <x:f>L20</x:f>
        <x:v>19.53744854772244</x:v>
      </x:c>
      <x:c r="D65" s="59" t="n">
        <x:f>L38</x:f>
        <x:v>19.984397280314212</x:v>
      </x:c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/>
      <x:c r="P65"/>
      <x:c r="Q65"/>
      <x:c r="R65"/>
      <x:c r="S65"/>
      <x:c r="T65"/>
      <x:c r="U65"/>
      <x:c r="V65"/>
    </x:row>
    <x:row r="66" ht="24" customHeight="1">
      <x:c r="A66" s="41"/>
      <x:c r="B66" s="41" t="str">
        <x:v>Hard Inner</x:v>
      </x:c>
      <x:c r="C66" s="59" t="n">
        <x:f>L21</x:f>
        <x:v>18.82377890388046</x:v>
      </x:c>
      <x:c r="D66" s="59" t="n">
        <x:f>L39</x:f>
        <x:v>19.53163899581299</x:v>
      </x:c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/>
      <x:c r="P66"/>
      <x:c r="Q66"/>
      <x:c r="R66"/>
      <x:c r="S66"/>
      <x:c r="T66"/>
      <x:c r="U66"/>
      <x:c r="V66"/>
    </x:row>
    <x:row r="67" ht="24" customHeight="1">
      <x:c r="A67" s="41"/>
      <x:c r="B67" s="41" t="str">
        <x:v>Hard Middle</x:v>
      </x:c>
      <x:c r="C67" s="59" t="n">
        <x:f>L22</x:f>
        <x:v>26.88631359203866</x:v>
      </x:c>
      <x:c r="D67" s="59" t="n">
        <x:f>L40</x:f>
        <x:v>28.36646320956666</x:v>
      </x:c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/>
      <x:c r="P67"/>
      <x:c r="Q67"/>
      <x:c r="R67"/>
      <x:c r="S67"/>
      <x:c r="T67"/>
      <x:c r="U67"/>
      <x:c r="V67"/>
    </x:row>
    <x:row r="68" ht="24" customHeight="1">
      <x:c r="A68" s="41"/>
      <x:c r="B68" s="41" t="str">
        <x:v>Hard Outer</x:v>
      </x:c>
      <x:c r="C68" s="59" t="n">
        <x:f>L23</x:f>
        <x:v>32.653265487040706</x:v>
      </x:c>
      <x:c r="D68" s="59" t="n">
        <x:f>L41</x:f>
        <x:v>33.40025840112399</x:v>
      </x:c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/>
      <x:c r="P68"/>
      <x:c r="Q68"/>
      <x:c r="R68"/>
      <x:c r="S68"/>
      <x:c r="T68"/>
      <x:c r="U68"/>
      <x:c r="V68"/>
    </x:row>
    <x:row r="69" ht="24" customHeight="1">
      <x:c r="A69" s="41"/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/>
      <x:c r="P69"/>
      <x:c r="Q69"/>
      <x:c r="R69"/>
      <x:c r="S69"/>
      <x:c r="T69"/>
      <x:c r="U69"/>
      <x:c r="V69"/>
    </x:row>
    <x:row r="70" ht="24" customHeight="1">
      <x:c r="A70" s="41"/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/>
      <x:c r="P70"/>
      <x:c r="Q70"/>
      <x:c r="R70"/>
      <x:c r="S70"/>
      <x:c r="T70"/>
      <x:c r="U70"/>
      <x:c r="V70"/>
    </x:row>
    <x:row r="71" ht="24" customHeight="1">
      <x:c r="A71" s="41"/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/>
      <x:c r="P71"/>
      <x:c r="Q71"/>
      <x:c r="R71"/>
      <x:c r="S71"/>
      <x:c r="T71"/>
      <x:c r="U71"/>
      <x:c r="V71"/>
    </x:row>
    <x:row r="72" ht="22" customHeight="1"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</x:row>
    <x:row r="73" ht="22" customHeight="1"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</x:row>
    <x:row r="74" ht="22" customHeight="1"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</x:row>
    <x:row r="75" ht="22" customHeight="1"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</x:row>
    <x:row r="76" ht="22" customHeight="1"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</x:row>
    <x:row r="77" ht="22" customHeight="1"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</x:row>
    <x:row r="78" ht="22" customHeight="1"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</x:row>
    <x:row r="79" ht="22" customHeight="1"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</x:row>
    <x:row r="80" ht="22" customHeight="1"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</x:row>
    <x:row r="81" ht="22" customHeight="1"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</x:row>
    <x:row r="82" ht="22" customHeight="1"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</x:row>
    <x:row r="83" ht="22" customHeight="1"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</x:row>
    <x:row r="84" ht="35" customHeight="1"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</x:row>
    <x:row r="85" ht="22" customHeight="1"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</x:row>
    <x:row r="86" ht="22" customHeight="1"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</x:row>
    <x:row r="87" ht="22" customHeight="1"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</x:row>
    <x:row r="88" ht="22" customHeight="1"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</x:row>
    <x:row r="89" ht="22" customHeight="1"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</x:row>
    <x:row r="90" ht="22" customHeight="1"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</x:row>
    <x:row r="91" ht="22" customHeight="1"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</x:row>
    <x:row r="92" ht="22" customHeight="1"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</x:row>
    <x:row r="93" ht="22" customHeight="1"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</x:row>
    <x:row r="94" ht="22" customHeight="1"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</x:row>
    <x:row r="95" ht="22" customHeight="1"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</x:row>
    <x:row r="96" ht="22" customHeight="1"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</x:row>
    <x:row r="97" ht="22" customHeight="1"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</x:row>
    <x:row r="98" ht="22" customHeight="1"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</x:row>
    <x:row r="99" ht="22" customHeight="1"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</x:row>
    <x:row r="100" ht="22" customHeight="1"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</x:row>
    <x:row r="101" ht="22" customHeight="1"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</x:row>
    <x:row r="102" ht="22" customHeight="1"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</x:row>
    <x:row r="103" ht="22" customHeight="1"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</x:row>
    <x:row r="104" ht="22" customHeight="1"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</x:row>
    <x:row r="105" ht="22" customHeight="1"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</x:row>
    <x:row r="106" ht="22" customHeight="1"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</x:row>
    <x:row r="107" ht="22" customHeight="1"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</x:row>
    <x:row r="108" ht="22" customHeight="1"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</x:row>
    <x:row r="109" ht="22" customHeight="1"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</x:row>
    <x:row r="110" ht="22" customHeight="1"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</x:row>
    <x:row r="111" ht="22" customHeight="1"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</x:row>
    <x:row r="112" ht="22" customHeight="1"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</x:row>
    <x:row r="113" ht="22" customHeight="1"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</x:row>
    <x:row r="114" ht="22" customHeight="1"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</x:row>
    <x:row r="115" ht="22" customHeight="1"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</x:row>
    <x:row r="116" ht="22" customHeight="1"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</x:row>
    <x:row r="117" ht="22" customHeight="1"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</x:row>
    <x:row r="118" ht="22" customHeight="1"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</x:row>
    <x:row r="119" ht="22" customHeight="1"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</x:row>
    <x:row r="120" ht="22" customHeight="1"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</x:row>
    <x:row r="121" ht="22" customHeight="1"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</x:row>
    <x:row r="122" ht="22" customHeight="1"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</x:row>
    <x:row r="123" ht="22" customHeight="1"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</x:row>
    <x:row r="124" ht="35" customHeight="1"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</x:row>
    <x:row r="125" ht="22" customHeight="1"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</x:row>
    <x:row r="126" ht="22" customHeight="1"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</x:row>
    <x:row r="127" ht="22" customHeight="1"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</x:row>
    <x:row r="128" ht="22" customHeight="1"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</x:row>
    <x:row r="129" ht="22" customHeight="1"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</x:row>
    <x:row r="130" ht="22" customHeight="1"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</x:row>
    <x:row r="131" ht="22" customHeight="1"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</x:row>
    <x:row r="132" ht="22" customHeight="1"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</x:row>
    <x:row r="133" ht="22" customHeight="1"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</x:row>
    <x:row r="134" ht="22" customHeight="1"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</x:row>
    <x:row r="135" ht="22" customHeight="1"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</x:row>
    <x:row r="136" ht="22" customHeight="1"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</x:row>
    <x:row r="137" ht="22" customHeight="1"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</x:row>
    <x:row r="138" ht="22" customHeight="1"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</x:row>
    <x:row r="139" ht="22" customHeight="1"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</x:row>
    <x:row r="140" ht="22" customHeight="1"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</x:row>
    <x:row r="141" ht="22" customHeight="1"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</x:row>
    <x:row r="142" ht="22" customHeight="1"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</x:row>
    <x:row r="143" ht="22" customHeight="1"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</x:row>
    <x:row r="144" ht="22" customHeight="1"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</x:row>
    <x:row r="145" ht="22" customHeight="1"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</x:row>
    <x:row r="146" ht="22" customHeight="1"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</x:row>
    <x:row r="147" ht="22" customHeight="1"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</x:row>
    <x:row r="148" ht="22" customHeight="1"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</x:row>
    <x:row r="149" ht="22" customHeight="1"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</x:row>
    <x:row r="150" ht="22" customHeight="1"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</x:row>
    <x:row r="151" ht="22" customHeight="1"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</x:row>
    <x:row r="152" ht="22" customHeight="1"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</x:row>
    <x:row r="153" ht="22" customHeight="1"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</x:row>
    <x:row r="154" ht="22" customHeight="1"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</x:row>
    <x:row r="155" ht="22" customHeight="1"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</x:row>
    <x:row r="156" ht="22" customHeight="1"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</x:row>
    <x:row r="157" ht="22" customHeight="1"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</x:row>
    <x:row r="161"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</x:row>
    <x:row r="164"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</x:row>
    <x:row r="165"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</x:row>
  </x:sheetData>
  <x:mergeCells>
    <x:mergeCell ref="B2:M3"/>
  </x:mergeCells>
  <x:pageMargins left="0.7" right="0.7" top="0.75" bottom="0.75" header="0.3" footer="0.3"/>
</x:worksheet>
</file>