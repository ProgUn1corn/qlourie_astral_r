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E51F443B-77A7-4BE7-9B97-A0E6A49A2D17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omparison" sheetId="1" r:id="rId1"/>
    <sheet name="Parameters" sheetId="5" r:id="rId2"/>
    <sheet name="Locale" sheetId="8" state="hidden" r:id="rId3"/>
    <sheet name="Samples" sheetId="7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N17" i="7"/>
  <c r="M17" i="7"/>
  <c r="L17" i="7"/>
  <c r="F17" i="7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F14" i="7" s="1"/>
  <c r="E14" i="7"/>
  <c r="O13" i="7"/>
  <c r="N13" i="7"/>
  <c r="L13" i="7" s="1"/>
  <c r="M13" i="7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B15" i="5" s="1"/>
  <c r="D30" i="8"/>
  <c r="D29" i="8"/>
  <c r="E5" i="7" s="1"/>
  <c r="D28" i="8"/>
  <c r="D27" i="8"/>
  <c r="D26" i="8"/>
  <c r="B5" i="7" s="1"/>
  <c r="D25" i="8"/>
  <c r="N5" i="7" s="1"/>
  <c r="D24" i="8"/>
  <c r="L5" i="7" s="1"/>
  <c r="D23" i="8"/>
  <c r="D22" i="8"/>
  <c r="D21" i="8"/>
  <c r="D5" i="7" s="1"/>
  <c r="D20" i="8"/>
  <c r="D19" i="8"/>
  <c r="D18" i="8"/>
  <c r="K5" i="7" s="1"/>
  <c r="D17" i="8"/>
  <c r="D16" i="8"/>
  <c r="D15" i="8"/>
  <c r="D14" i="8"/>
  <c r="D13" i="8"/>
  <c r="O5" i="7" s="1"/>
  <c r="D12" i="8"/>
  <c r="M5" i="7" s="1"/>
  <c r="D11" i="8"/>
  <c r="D10" i="8"/>
  <c r="C5" i="7" s="1"/>
  <c r="D9" i="8"/>
  <c r="F5" i="7" s="1"/>
  <c r="D8" i="8"/>
  <c r="D7" i="8"/>
  <c r="D6" i="8"/>
  <c r="G22" i="5" s="1"/>
  <c r="D5" i="8"/>
  <c r="D4" i="8"/>
  <c r="D3" i="8"/>
  <c r="D2" i="8"/>
  <c r="G5" i="7" s="1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F39" i="5"/>
  <c r="E39" i="5"/>
  <c r="D39" i="5"/>
  <c r="C39" i="5"/>
  <c r="B39" i="5"/>
  <c r="I38" i="5"/>
  <c r="H38" i="5"/>
  <c r="G38" i="5"/>
  <c r="F38" i="5"/>
  <c r="E38" i="5"/>
  <c r="D38" i="5"/>
  <c r="C38" i="5"/>
  <c r="B38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I22" i="5"/>
  <c r="H22" i="5"/>
  <c r="F22" i="5"/>
  <c r="E22" i="5"/>
  <c r="D22" i="5"/>
  <c r="C22" i="5"/>
  <c r="B22" i="5"/>
  <c r="B21" i="5"/>
  <c r="I20" i="5"/>
  <c r="H20" i="5"/>
  <c r="G20" i="5"/>
  <c r="F20" i="5"/>
  <c r="E20" i="5"/>
  <c r="D20" i="5"/>
  <c r="C20" i="5"/>
  <c r="B20" i="5"/>
  <c r="B18" i="5"/>
  <c r="B17" i="5"/>
  <c r="B16" i="5"/>
  <c r="I15" i="5"/>
  <c r="H15" i="5"/>
  <c r="G15" i="5"/>
  <c r="F15" i="5"/>
  <c r="E15" i="5"/>
  <c r="D15" i="5"/>
  <c r="C15" i="5"/>
  <c r="I14" i="5"/>
  <c r="H14" i="5"/>
  <c r="G14" i="5"/>
  <c r="F14" i="5"/>
  <c r="E14" i="5"/>
  <c r="D14" i="5"/>
  <c r="C14" i="5"/>
  <c r="B14" i="5"/>
  <c r="E12" i="5"/>
  <c r="B12" i="5"/>
  <c r="E11" i="5"/>
  <c r="B11" i="5"/>
  <c r="E10" i="5"/>
  <c r="B10" i="5"/>
  <c r="E9" i="5"/>
  <c r="B9" i="5"/>
  <c r="B8" i="5"/>
  <c r="E7" i="5"/>
  <c r="B7" i="5"/>
  <c r="E6" i="5"/>
  <c r="D6" i="5"/>
  <c r="C6" i="5"/>
  <c r="B6" i="5"/>
  <c r="I4" i="5"/>
  <c r="H4" i="5"/>
  <c r="G4" i="5"/>
  <c r="F4" i="5"/>
  <c r="E4" i="5"/>
  <c r="D4" i="5"/>
  <c r="C4" i="5"/>
  <c r="B4" i="5"/>
  <c r="I3" i="5"/>
  <c r="H3" i="5"/>
  <c r="G3" i="5"/>
  <c r="F3" i="5"/>
  <c r="E3" i="5"/>
  <c r="D3" i="5"/>
  <c r="C3" i="5"/>
  <c r="B3" i="5"/>
  <c r="I2" i="5"/>
  <c r="H2" i="5"/>
  <c r="G2" i="5"/>
  <c r="F2" i="5"/>
  <c r="E2" i="5"/>
  <c r="D2" i="5"/>
  <c r="C2" i="5"/>
  <c r="B2" i="5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" i="1"/>
  <c r="M4" i="1"/>
  <c r="L4" i="1"/>
  <c r="K4" i="1"/>
  <c r="J4" i="1"/>
  <c r="I4" i="1"/>
  <c r="H4" i="1"/>
  <c r="G4" i="1"/>
  <c r="F4" i="1"/>
  <c r="E4" i="1"/>
  <c r="D4" i="1"/>
  <c r="C4" i="1"/>
  <c r="B4" i="1"/>
  <c r="N3" i="1"/>
  <c r="M3" i="1"/>
  <c r="L3" i="1"/>
  <c r="K3" i="1"/>
  <c r="J3" i="1"/>
  <c r="I3" i="1"/>
  <c r="H3" i="1"/>
  <c r="G3" i="1"/>
  <c r="F3" i="1"/>
  <c r="E3" i="1"/>
  <c r="D3" i="1"/>
  <c r="C3" i="1"/>
  <c r="B3" i="1"/>
  <c r="N2" i="1"/>
  <c r="M2" i="1"/>
  <c r="L2" i="1"/>
  <c r="K2" i="1"/>
  <c r="J2" i="1"/>
  <c r="I2" i="1"/>
  <c r="H2" i="1"/>
  <c r="G2" i="1"/>
  <c r="F2" i="1"/>
  <c r="E2" i="1"/>
  <c r="D2" i="1"/>
  <c r="C2" i="1"/>
  <c r="B2" i="1"/>
  <c r="F12" i="7" l="1"/>
  <c r="G12" i="7" s="1"/>
  <c r="F11" i="7"/>
  <c r="G11" i="7" s="1"/>
  <c r="F13" i="7"/>
  <c r="G13" i="7" s="1"/>
  <c r="F10" i="7"/>
  <c r="G10" i="7" s="1"/>
  <c r="F16" i="7"/>
  <c r="G16" i="7" s="1"/>
  <c r="F6" i="7"/>
  <c r="G6" i="7" s="1"/>
  <c r="F8" i="7"/>
  <c r="G8" i="7" s="1"/>
  <c r="F7" i="7"/>
  <c r="G7" i="7" s="1"/>
  <c r="K9" i="7"/>
  <c r="F9" i="7"/>
  <c r="G9" i="7" s="1"/>
  <c r="K17" i="7"/>
  <c r="G17" i="7"/>
  <c r="K16" i="7"/>
  <c r="K15" i="7"/>
  <c r="K14" i="7"/>
  <c r="G14" i="7"/>
  <c r="K13" i="7"/>
  <c r="K12" i="7"/>
  <c r="K11" i="7"/>
  <c r="K10" i="7"/>
  <c r="K8" i="7"/>
  <c r="K7" i="7"/>
  <c r="K6" i="7"/>
  <c r="B2" i="7"/>
  <c r="D2" i="7"/>
  <c r="C3" i="7"/>
  <c r="B3" i="7"/>
  <c r="I2" i="7"/>
  <c r="K2" i="7"/>
  <c r="H3" i="7"/>
  <c r="E2" i="7"/>
  <c r="I3" i="7"/>
  <c r="D3" i="7"/>
  <c r="G2" i="7"/>
  <c r="K3" i="7"/>
  <c r="F3" i="7"/>
  <c r="J2" i="7"/>
  <c r="H2" i="7"/>
  <c r="F2" i="7"/>
  <c r="C2" i="7"/>
  <c r="E3" i="7"/>
  <c r="J3" i="7"/>
  <c r="G3" i="7"/>
  <c r="B9" i="7"/>
  <c r="B11" i="7"/>
  <c r="B8" i="7"/>
  <c r="B10" i="7"/>
  <c r="B7" i="7"/>
  <c r="B6" i="7"/>
  <c r="B35" i="7"/>
  <c r="B22" i="7"/>
  <c r="C10" i="7"/>
  <c r="D22" i="7"/>
  <c r="C16" i="7"/>
  <c r="C11" i="7"/>
  <c r="D35" i="7"/>
  <c r="C9" i="7"/>
  <c r="C15" i="7"/>
  <c r="C17" i="7"/>
  <c r="B49" i="7"/>
  <c r="D49" i="7"/>
  <c r="C49" i="7"/>
  <c r="B14" i="7"/>
  <c r="B16" i="7"/>
  <c r="B17" i="7"/>
  <c r="B12" i="7"/>
  <c r="B13" i="7"/>
  <c r="B15" i="7"/>
  <c r="C35" i="7"/>
  <c r="C12" i="7"/>
  <c r="C14" i="7"/>
  <c r="C22" i="7"/>
  <c r="C8" i="7"/>
  <c r="C6" i="7"/>
  <c r="C7" i="7"/>
  <c r="C13" i="7"/>
  <c r="F15" i="7"/>
  <c r="G15" i="7" s="1"/>
  <c r="I9" i="7" l="1"/>
  <c r="D39" i="7" s="1"/>
  <c r="J9" i="7"/>
  <c r="D42" i="7" s="1"/>
  <c r="H9" i="7"/>
  <c r="D36" i="7" s="1"/>
  <c r="H17" i="7"/>
  <c r="D25" i="7" s="1"/>
  <c r="I17" i="7"/>
  <c r="D28" i="7" s="1"/>
  <c r="J17" i="7"/>
  <c r="D31" i="7" s="1"/>
  <c r="H16" i="7"/>
  <c r="D24" i="7" s="1"/>
  <c r="I16" i="7"/>
  <c r="D27" i="7" s="1"/>
  <c r="J16" i="7"/>
  <c r="D30" i="7" s="1"/>
  <c r="I15" i="7"/>
  <c r="D26" i="7" s="1"/>
  <c r="J15" i="7"/>
  <c r="D29" i="7" s="1"/>
  <c r="H15" i="7"/>
  <c r="D23" i="7" s="1"/>
  <c r="H14" i="7"/>
  <c r="C25" i="7" s="1"/>
  <c r="I14" i="7"/>
  <c r="C28" i="7" s="1"/>
  <c r="J14" i="7"/>
  <c r="C31" i="7" s="1"/>
  <c r="H13" i="7"/>
  <c r="C24" i="7" s="1"/>
  <c r="I13" i="7"/>
  <c r="C27" i="7" s="1"/>
  <c r="J13" i="7"/>
  <c r="C30" i="7" s="1"/>
  <c r="H12" i="7"/>
  <c r="C23" i="7" s="1"/>
  <c r="J12" i="7"/>
  <c r="C29" i="7" s="1"/>
  <c r="I12" i="7"/>
  <c r="C26" i="7" s="1"/>
  <c r="I11" i="7"/>
  <c r="D41" i="7" s="1"/>
  <c r="H11" i="7"/>
  <c r="D38" i="7" s="1"/>
  <c r="J11" i="7"/>
  <c r="D44" i="7" s="1"/>
  <c r="H10" i="7"/>
  <c r="D37" i="7" s="1"/>
  <c r="I10" i="7"/>
  <c r="D40" i="7" s="1"/>
  <c r="J10" i="7"/>
  <c r="D43" i="7" s="1"/>
  <c r="H8" i="7"/>
  <c r="C38" i="7" s="1"/>
  <c r="I8" i="7"/>
  <c r="C41" i="7" s="1"/>
  <c r="J8" i="7"/>
  <c r="C44" i="7" s="1"/>
  <c r="H7" i="7"/>
  <c r="C37" i="7" s="1"/>
  <c r="I7" i="7"/>
  <c r="C40" i="7" s="1"/>
  <c r="J7" i="7"/>
  <c r="C43" i="7" s="1"/>
  <c r="I6" i="7"/>
  <c r="C39" i="7" s="1"/>
  <c r="H6" i="7"/>
  <c r="J6" i="7"/>
  <c r="C42" i="7" s="1"/>
  <c r="B5" i="1" l="1"/>
  <c r="C36" i="7"/>
</calcChain>
</file>

<file path=xl/sharedStrings.xml><?xml version="1.0" encoding="utf-8"?>
<sst xmlns="http://schemas.openxmlformats.org/spreadsheetml/2006/main" count="221" uniqueCount="174">
  <si>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</si>
  <si>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</si>
  <si>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</si>
  <si>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</si>
  <si>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</si>
  <si>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</si>
  <si>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</si>
  <si>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</si>
  <si>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</si>
  <si>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</si>
  <si>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</si>
  <si>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</si>
  <si>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</si>
  <si>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</si>
  <si>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</si>
  <si>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</si>
  <si>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</si>
  <si>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</si>
  <si>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</si>
  <si>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</si>
  <si>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</si>
  <si>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</si>
  <si>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</si>
  <si>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</si>
  <si>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</si>
  <si>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</si>
  <si>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</si>
  <si>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</si>
  <si>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</si>
  <si>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</si>
  <si>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</si>
  <si>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</si>
  <si>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</si>
  <si>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</si>
  <si>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</si>
  <si>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</si>
  <si>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</si>
  <si>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</si>
  <si>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</si>
  <si>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</si>
  <si>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</si>
  <si>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</si>
  <si>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</si>
  <si>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</si>
  <si>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</si>
  <si>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</si>
  <si>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</si>
  <si>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</si>
  <si>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</si>
  <si>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</si>
  <si>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</si>
  <si>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</si>
  <si>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</si>
  <si>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</si>
  <si>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</si>
  <si>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</si>
  <si>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</si>
  <si>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</si>
  <si>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</si>
  <si>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</si>
  <si>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</si>
  <si>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</si>
  <si>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</si>
  <si>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</si>
  <si>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</si>
  <si>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</si>
  <si>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</si>
  <si>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</si>
  <si>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M</t>
    <phoneticPr fontId="8" type="noConversion"/>
  </si>
  <si>
    <t>Language / 语言</t>
  </si>
  <si>
    <t>简体中文</t>
  </si>
  <si>
    <t>key</t>
  </si>
  <si>
    <t>en-US</t>
  </si>
  <si>
    <t>zh-CN</t>
  </si>
  <si>
    <t>Active</t>
  </si>
  <si>
    <t>label.angularMotionRatio</t>
  </si>
  <si>
    <t>角运动比
(rad/mm)</t>
  </si>
  <si>
    <t>label.arb1EndYM</t>
  </si>
  <si>
    <t>arb1 终点 Y
(m)</t>
  </si>
  <si>
    <t>label.arb1EndZM</t>
  </si>
  <si>
    <t>arb1 终点 Z
(m)</t>
  </si>
  <si>
    <t>label.arb1StartYM</t>
  </si>
  <si>
    <t>arb1 起点 Y
(m)</t>
  </si>
  <si>
    <t>label.arb1StartZM</t>
  </si>
  <si>
    <t>arb1 起点 Z
(m)</t>
  </si>
  <si>
    <t>label.arbBar</t>
  </si>
  <si>
    <t>防倾杆</t>
  </si>
  <si>
    <t>label.arbDeltaZ</t>
  </si>
  <si>
    <t>防倾杆 ΔZ (mm)</t>
  </si>
  <si>
    <t>label.armDeltaAngle</t>
  </si>
  <si>
    <t>摇臂 Δθ
(°)</t>
  </si>
  <si>
    <t>label.axle</t>
  </si>
  <si>
    <t>车轴</t>
  </si>
  <si>
    <t>label.diameterMm</t>
  </si>
  <si>
    <t>直径
(mm)</t>
  </si>
  <si>
    <t>label.endAngleDeg</t>
  </si>
  <si>
    <t>终点角度
(°)</t>
  </si>
  <si>
    <t>label.endRadiusMm</t>
  </si>
  <si>
    <t>终点半径
(mm)</t>
  </si>
  <si>
    <t>label.equivalentWheelRate</t>
  </si>
  <si>
    <t>Equivalent wheel rate (N/mm)</t>
  </si>
  <si>
    <t>等效轮端刚度 (N/mm)</t>
  </si>
  <si>
    <t>label.fixedPivotAxis</t>
  </si>
  <si>
    <t>Fixed pivot axis</t>
  </si>
  <si>
    <t>label.front</t>
  </si>
  <si>
    <t>前轴</t>
  </si>
  <si>
    <t>label.gravel</t>
  </si>
  <si>
    <t>砂石</t>
  </si>
  <si>
    <t>label.input</t>
  </si>
  <si>
    <t>输入</t>
  </si>
  <si>
    <t>label.originalArmMm</t>
  </si>
  <si>
    <t>原始臂长 (mm)</t>
  </si>
  <si>
    <t>label.originalTableValue</t>
  </si>
  <si>
    <t>Original table value</t>
  </si>
  <si>
    <t>label.position</t>
  </si>
  <si>
    <t>位置</t>
  </si>
  <si>
    <t>label.rear</t>
  </si>
  <si>
    <t>后轴</t>
  </si>
  <si>
    <t>label.setting</t>
  </si>
  <si>
    <t>设定</t>
  </si>
  <si>
    <t>label.startAngleDegMultiline</t>
  </si>
  <si>
    <t>起点角度
(°)</t>
  </si>
  <si>
    <t>label.startRadiusMmMultiline</t>
  </si>
  <si>
    <t>起点半径
(mm)</t>
  </si>
  <si>
    <t>label.surface</t>
  </si>
  <si>
    <t>路面</t>
  </si>
  <si>
    <t>label.tarmac</t>
  </si>
  <si>
    <t>柏油</t>
  </si>
  <si>
    <t>label.torsionNmRadMultiline</t>
  </si>
  <si>
    <t>扭转刚度
(N·m/rad)</t>
  </si>
  <si>
    <t>label.wheelDeltaZMmMultiline</t>
  </si>
  <si>
    <t>车轮 ΔZ
(mm)</t>
  </si>
  <si>
    <t>note.bodyCoordinatesYzRadius</t>
  </si>
  <si>
    <t>Nodes use body-relative coordinates (m); rotation radius is calculated from Y/Z.</t>
  </si>
  <si>
    <t>note.bodyRelativeCoordinates</t>
  </si>
  <si>
    <t>Nodes use body-relative coordinates (m).</t>
  </si>
  <si>
    <t>note.enterTravelArb1End</t>
  </si>
  <si>
    <t>Measurements · enter wheel travel and arb1 end position for each set</t>
  </si>
  <si>
    <t>note.intervalMotionRatio</t>
  </si>
  <si>
    <t>Converted using the full-interval angular motion ratio; does not represent instantaneous stiffness at every travel position.</t>
  </si>
  <si>
    <t>note.intervalWheelStiffness</t>
  </si>
  <si>
    <t>Interval equivalent wheel stiffness · full-interval angular motion ratio · opposite wheel fixed</t>
  </si>
  <si>
    <t>note.originalZMeasurements</t>
  </si>
  <si>
    <t>Original Z measurements (excluded from stiffness calculation)</t>
  </si>
  <si>
    <t>note.wheeljackStartPosition</t>
  </si>
  <si>
    <t>Start position is recorded after lifting with wheeljack and stabilizing at full extension; wheel travel uses the same start position.</t>
  </si>
  <si>
    <t>note.yellowInputs</t>
  </si>
  <si>
    <t>Yellow cells are manual inputs.</t>
  </si>
  <si>
    <t>status.coordinatesNeeded</t>
  </si>
  <si>
    <t>Coordinates needed</t>
  </si>
  <si>
    <t>待补坐标</t>
  </si>
  <si>
    <t>status.invalidRadius</t>
  </si>
  <si>
    <t>Invalid radius</t>
  </si>
  <si>
    <t>无效半径</t>
  </si>
  <si>
    <t>status.nodeCoordinatesNeeded</t>
  </si>
  <si>
    <t>Node coordinates needed; no stiffness result yet.</t>
  </si>
  <si>
    <t>待补节点坐标；暂无刚度结果。</t>
  </si>
  <si>
    <t>status.positiveWheelTravel</t>
  </si>
  <si>
    <t>Wheel travel must be greater than 0</t>
  </si>
  <si>
    <t>轮行程须大于0</t>
  </si>
  <si>
    <t>status.wheelTravelNeeded</t>
  </si>
  <si>
    <t>Enter wheel travel</t>
  </si>
  <si>
    <t>待填轮行程</t>
  </si>
  <si>
    <t>title.arbCalculations</t>
  </si>
  <si>
    <t>Astral · 防倾杆计算</t>
  </si>
  <si>
    <t>title.arbParameters</t>
  </si>
  <si>
    <t>Astral · 防倾杆参数</t>
  </si>
  <si>
    <t>title.arbStiffness</t>
  </si>
  <si>
    <t>Astral · 防倾杆刚度</t>
  </si>
  <si>
    <t>title.fixedGeometry</t>
  </si>
  <si>
    <t>Fixed geometry · spawn position / pivot axis</t>
  </si>
  <si>
    <t>title.settingMeasurements</t>
  </si>
  <si>
    <t>Measurements · start / end of each setting</t>
  </si>
  <si>
    <t>简体中文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</si>
</sst>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20">
    <font>
      <sz val="11"/>
      <name val="Carlito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8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18" fillId="16" borderId="7" xfId="0" applyFont="1" applyFill="1" applyBorder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</cellStyleXfs>
  <cellXfs count="4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5" borderId="2" xfId="1" applyFont="1">
      <alignment vertical="center"/>
    </xf>
    <xf numFmtId="0" fontId="5" fillId="6" borderId="2" xfId="1" applyFont="1" applyFill="1" applyAlignment="1">
      <alignment horizontal="center" vertical="center" wrapText="1"/>
    </xf>
    <xf numFmtId="0" fontId="4" fillId="7" borderId="3" xfId="1" applyFont="1" applyFill="1" applyBorder="1">
      <alignment vertical="center"/>
    </xf>
    <xf numFmtId="0" fontId="4" fillId="5" borderId="3" xfId="1" applyFont="1" applyBorder="1">
      <alignment vertical="center"/>
    </xf>
    <xf numFmtId="176" fontId="6" fillId="8" borderId="3" xfId="1" applyNumberFormat="1" applyFont="1" applyFill="1" applyBorder="1" applyAlignment="1">
      <alignment horizontal="right" vertical="center"/>
    </xf>
    <xf numFmtId="1" fontId="6" fillId="8" borderId="3" xfId="1" applyNumberFormat="1" applyFont="1" applyFill="1" applyBorder="1" applyAlignment="1">
      <alignment horizontal="right" vertical="center"/>
    </xf>
    <xf numFmtId="1" fontId="4" fillId="7" borderId="3" xfId="1" applyNumberFormat="1" applyFont="1" applyFill="1" applyBorder="1">
      <alignment vertical="center"/>
    </xf>
    <xf numFmtId="1" fontId="4" fillId="5" borderId="3" xfId="1" applyNumberFormat="1" applyFont="1" applyBorder="1">
      <alignment vertical="center"/>
    </xf>
    <xf numFmtId="177" fontId="6" fillId="8" borderId="3" xfId="1" applyNumberFormat="1" applyFont="1" applyFill="1" applyBorder="1" applyAlignment="1">
      <alignment horizontal="right" vertical="center"/>
    </xf>
    <xf numFmtId="176" fontId="4" fillId="7" borderId="3" xfId="1" applyNumberFormat="1" applyFont="1" applyFill="1" applyBorder="1">
      <alignment vertical="center"/>
    </xf>
    <xf numFmtId="176" fontId="4" fillId="5" borderId="3" xfId="1" applyNumberFormat="1" applyFont="1" applyBorder="1">
      <alignment vertical="center"/>
    </xf>
    <xf numFmtId="0" fontId="12" fillId="10" borderId="6" xfId="3" applyFont="1" applyFill="1" applyBorder="1">
      <alignment vertical="center"/>
    </xf>
    <xf numFmtId="0" fontId="15" fillId="12" borderId="4" xfId="2" applyFont="1" applyFill="1" applyBorder="1" applyAlignment="1">
      <alignment horizontal="center" vertical="center" wrapText="1"/>
    </xf>
    <xf numFmtId="0" fontId="16" fillId="13" borderId="5" xfId="2" applyFont="1" applyFill="1" applyBorder="1">
      <alignment vertical="center"/>
    </xf>
    <xf numFmtId="177" fontId="17" fillId="14" borderId="5" xfId="2" applyNumberFormat="1" applyFont="1" applyFill="1" applyBorder="1" applyAlignment="1">
      <alignment horizontal="right" vertical="center"/>
    </xf>
    <xf numFmtId="0" fontId="16" fillId="15" borderId="5" xfId="2" applyFont="1" applyFill="1" applyBorder="1">
      <alignment vertical="center"/>
    </xf>
    <xf numFmtId="0" fontId="11" fillId="12" borderId="4" xfId="2" applyFont="1" applyFill="1" applyBorder="1" applyAlignment="1">
      <alignment horizontal="center" vertical="center" wrapText="1"/>
    </xf>
    <xf numFmtId="176" fontId="17" fillId="14" borderId="5" xfId="2" applyNumberFormat="1" applyFont="1" applyFill="1" applyBorder="1" applyAlignment="1">
      <alignment horizontal="right" vertical="center"/>
    </xf>
    <xf numFmtId="2" fontId="9" fillId="15" borderId="5" xfId="2" applyNumberFormat="1" applyFont="1" applyFill="1" applyBorder="1" applyAlignment="1">
      <alignment horizontal="right" vertical="center"/>
    </xf>
    <xf numFmtId="2" fontId="9" fillId="13" borderId="5" xfId="2" applyNumberFormat="1" applyFont="1" applyFill="1" applyBorder="1" applyAlignment="1">
      <alignment horizontal="right" vertical="center"/>
    </xf>
    <xf numFmtId="176" fontId="16" fillId="15" borderId="5" xfId="2" applyNumberFormat="1" applyFont="1" applyFill="1" applyBorder="1" applyAlignment="1">
      <alignment horizontal="right" vertical="center"/>
    </xf>
    <xf numFmtId="176" fontId="16" fillId="13" borderId="5" xfId="2" applyNumberFormat="1" applyFont="1" applyFill="1" applyBorder="1" applyAlignment="1">
      <alignment horizontal="right" vertical="center"/>
    </xf>
    <xf numFmtId="0" fontId="18" fillId="16" borderId="7" xfId="0" applyFont="1" applyFill="1" applyBorder="1"/>
    <xf numFmtId="0" fontId="19" fillId="18" borderId="7" xfId="0" applyFont="1" applyFill="1" applyBorder="1"/>
    <xf numFmtId="0" fontId="18" fillId="17" borderId="7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7" fillId="5" borderId="2" xfId="1" applyFont="1" applyFill="1" applyBorder="1">
      <alignment vertical="center"/>
    </xf>
    <xf numFmtId="0" fontId="13" fillId="11" borderId="6" xfId="3" applyFont="1" applyFill="1" applyBorder="1">
      <alignment vertical="center"/>
    </xf>
    <xf numFmtId="0" fontId="14" fillId="10" borderId="6" xfId="3" applyFont="1" applyFill="1" applyBorder="1">
      <alignment vertical="center"/>
    </xf>
    <xf numFmtId="0" fontId="10" fillId="9" borderId="4" xfId="2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Locale!$D$17</c:f>
          <c:strCache>
            <c:ptCount val="1"/>
            <c:pt idx="0">
              <c:v>砂石</c:v>
            </c:pt>
          </c:strCache>
        </c:strRef>
      </c:tx>
      <c:overlay val="0"/>
      <c:txPr>
        <a:bodyPr/>
        <a:lstStyle/>
        <a:p>
          <a:pPr>
            <a:defRPr lang="en-US" sz="1125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Locale!$D$16</c:f>
              <c:strCache>
                <c:ptCount val="1"/>
                <c:pt idx="0">
                  <c:v>前轴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8.6385052748859135</c:v>
                </c:pt>
                <c:pt idx="1">
                  <c:v>10.160928227504549</c:v>
                </c:pt>
                <c:pt idx="2">
                  <c:v>12.047997452455359</c:v>
                </c:pt>
                <c:pt idx="3">
                  <c:v>16.003897503858848</c:v>
                </c:pt>
                <c:pt idx="4">
                  <c:v>18.824373977035812</c:v>
                </c:pt>
                <c:pt idx="5">
                  <c:v>22.320402687766435</c:v>
                </c:pt>
                <c:pt idx="6">
                  <c:v>30.023313637124545</c:v>
                </c:pt>
                <c:pt idx="7">
                  <c:v>35.314527839159076</c:v>
                </c:pt>
                <c:pt idx="8">
                  <c:v>41.87307811988596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strRef>
              <c:f>Locale!$D$22</c:f>
              <c:strCache>
                <c:ptCount val="1"/>
                <c:pt idx="0">
                  <c:v>后轴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13.261207716193466</c:v>
                </c:pt>
                <c:pt idx="1">
                  <c:v>16.15052203342573</c:v>
                </c:pt>
                <c:pt idx="2">
                  <c:v>20.35671032754508</c:v>
                </c:pt>
                <c:pt idx="3">
                  <c:v>25.342778075639309</c:v>
                </c:pt>
                <c:pt idx="4">
                  <c:v>30.864390669262328</c:v>
                </c:pt>
                <c:pt idx="5">
                  <c:v>38.902610020283568</c:v>
                </c:pt>
                <c:pt idx="6">
                  <c:v>47.50624777926771</c:v>
                </c:pt>
                <c:pt idx="7">
                  <c:v>57.856774277620552</c:v>
                </c:pt>
                <c:pt idx="8">
                  <c:v>72.924800326461153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Locale!$D$14</c:f>
              <c:strCache>
                <c:ptCount val="1"/>
                <c:pt idx="0">
                  <c:v>等效轮端刚度 (N/mm)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Locale!$D$27</c:f>
          <c:strCache>
            <c:ptCount val="1"/>
            <c:pt idx="0">
              <c:v>柏油</c:v>
            </c:pt>
          </c:strCache>
        </c:strRef>
      </c:tx>
      <c:overlay val="0"/>
      <c:txPr>
        <a:bodyPr/>
        <a:lstStyle/>
        <a:p>
          <a:pPr>
            <a:defRPr lang="en-US" sz="1125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Locale!$D$16</c:f>
              <c:strCache>
                <c:ptCount val="1"/>
                <c:pt idx="0">
                  <c:v>前轴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7.9783974334529209</c:v>
                </c:pt>
                <c:pt idx="1">
                  <c:v>9.7673728521340628</c:v>
                </c:pt>
                <c:pt idx="2">
                  <c:v>13.080712911938672</c:v>
                </c:pt>
                <c:pt idx="3">
                  <c:v>14.780966232808993</c:v>
                </c:pt>
                <c:pt idx="4">
                  <c:v>18.095264057078605</c:v>
                </c:pt>
                <c:pt idx="5">
                  <c:v>24.233635572195013</c:v>
                </c:pt>
                <c:pt idx="6">
                  <c:v>27.729094425927766</c:v>
                </c:pt>
                <c:pt idx="7">
                  <c:v>33.946717541852699</c:v>
                </c:pt>
                <c:pt idx="8">
                  <c:v>45.462303240592291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strRef>
              <c:f>Locale!$D$22</c:f>
              <c:strCache>
                <c:ptCount val="1"/>
                <c:pt idx="0">
                  <c:v>后轴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13.514384660591768</c:v>
                </c:pt>
                <c:pt idx="1">
                  <c:v>16.804738127112959</c:v>
                </c:pt>
                <c:pt idx="2">
                  <c:v>22.02847631278453</c:v>
                </c:pt>
                <c:pt idx="3">
                  <c:v>25.826610864708716</c:v>
                </c:pt>
                <c:pt idx="4">
                  <c:v>32.114627723884531</c:v>
                </c:pt>
                <c:pt idx="5">
                  <c:v>42.097431733738119</c:v>
                </c:pt>
                <c:pt idx="6">
                  <c:v>48.413215448426278</c:v>
                </c:pt>
                <c:pt idx="7">
                  <c:v>60.200403343164751</c:v>
                </c:pt>
                <c:pt idx="8">
                  <c:v>78.913646201091169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Locale!$D$14</c:f>
              <c:strCache>
                <c:ptCount val="1"/>
                <c:pt idx="0">
                  <c:v>等效轮端刚度 (N/mm)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B481-2775-4575-8B9C-179779A44002}">
  <sheetPr>
    <tabColor rgb="FF31475E"/>
  </sheetPr>
  <dimension ref="A1:O49"/>
  <sheetViews>
    <sheetView showGridLines="0" topLeftCell="A4" zoomScale="70" zoomScaleNormal="70" workbookViewId="0">
      <selection activeCell="U36" sqref="U36"/>
    </sheetView>
  </sheetViews>
  <sheetFormatPr defaultRowHeight="14"/>
  <cols>
    <col min="1" max="1" width="2.75" customWidth="1"/>
    <col min="2" max="14" width="10" customWidth="1"/>
    <col min="15" max="15" width="10.5" customWidth="1"/>
  </cols>
  <sheetData>
    <row r="1" spans="1:15" ht="22" customHeight="1">
      <c r="A1" s="1"/>
      <c r="B1" s="1" t="s">
        <v>69</v>
      </c>
      <c r="C1" s="1" t="s">
        <v>69</v>
      </c>
      <c r="D1" s="1" t="s">
        <v>69</v>
      </c>
      <c r="E1" s="39" t="s">
        <v>173</v>
      </c>
      <c r="F1" s="39" t="s">
        <v>70</v>
      </c>
      <c r="G1" s="39" t="s">
        <v>70</v>
      </c>
      <c r="H1" s="1"/>
      <c r="I1" s="1"/>
      <c r="J1" s="1"/>
      <c r="K1" s="1"/>
      <c r="L1" s="1"/>
      <c r="M1" s="1"/>
      <c r="N1" s="1"/>
      <c r="O1" s="1"/>
    </row>
    <row r="2" spans="1:15" ht="26.15" customHeight="1">
      <c r="A2" s="1"/>
      <c r="B2" s="3" t="str">
        <f>VLOOKUP("title.arbStiffness",Locale!$A$2:$D$47,4,FALSE)</f>
        <v>Astral · 防倾杆刚度</v>
      </c>
      <c r="C2" s="3" t="str">
        <f>VLOOKUP("title.arbStiffness",Locale!$A$2:$D$47,4,FALSE)</f>
        <v>Astral · 防倾杆刚度</v>
      </c>
      <c r="D2" s="3" t="str">
        <f>VLOOKUP("title.arbStiffness",Locale!$A$2:$D$47,4,FALSE)</f>
        <v>Astral · 防倾杆刚度</v>
      </c>
      <c r="E2" s="3" t="str">
        <f>VLOOKUP("title.arbStiffness",Locale!$A$2:$D$47,4,FALSE)</f>
        <v>Astral · 防倾杆刚度</v>
      </c>
      <c r="F2" s="3" t="str">
        <f>VLOOKUP("title.arbStiffness",Locale!$A$2:$D$47,4,FALSE)</f>
        <v>Astral · 防倾杆刚度</v>
      </c>
      <c r="G2" s="3" t="str">
        <f>VLOOKUP("title.arbStiffness",Locale!$A$2:$D$47,4,FALSE)</f>
        <v>Astral · 防倾杆刚度</v>
      </c>
      <c r="H2" s="3" t="str">
        <f>VLOOKUP("title.arbStiffness",Locale!$A$2:$D$47,4,FALSE)</f>
        <v>Astral · 防倾杆刚度</v>
      </c>
      <c r="I2" s="3" t="str">
        <f>VLOOKUP("title.arbStiffness",Locale!$A$2:$D$47,4,FALSE)</f>
        <v>Astral · 防倾杆刚度</v>
      </c>
      <c r="J2" s="3" t="str">
        <f>VLOOKUP("title.arbStiffness",Locale!$A$2:$D$47,4,FALSE)</f>
        <v>Astral · 防倾杆刚度</v>
      </c>
      <c r="K2" s="3" t="str">
        <f>VLOOKUP("title.arbStiffness",Locale!$A$2:$D$47,4,FALSE)</f>
        <v>Astral · 防倾杆刚度</v>
      </c>
      <c r="L2" s="3" t="str">
        <f>VLOOKUP("title.arbStiffness",Locale!$A$2:$D$47,4,FALSE)</f>
        <v>Astral · 防倾杆刚度</v>
      </c>
      <c r="M2" s="3" t="str">
        <f>VLOOKUP("title.arbStiffness",Locale!$A$2:$D$47,4,FALSE)</f>
        <v>Astral · 防倾杆刚度</v>
      </c>
      <c r="N2" s="3" t="str">
        <f>VLOOKUP("title.arbStiffness",Locale!$A$2:$D$47,4,FALSE)</f>
        <v>Astral · 防倾杆刚度</v>
      </c>
      <c r="O2" s="1"/>
    </row>
    <row r="3" spans="1:15" ht="26.15" customHeight="1">
      <c r="A3" s="1"/>
      <c r="B3" s="3" t="str">
        <f>VLOOKUP("title.arbStiffness",Locale!$A$2:$D$47,4,FALSE)</f>
        <v>Astral · 防倾杆刚度</v>
      </c>
      <c r="C3" s="3" t="str">
        <f>VLOOKUP("title.arbStiffness",Locale!$A$2:$D$47,4,FALSE)</f>
        <v>Astral · 防倾杆刚度</v>
      </c>
      <c r="D3" s="3" t="str">
        <f>VLOOKUP("title.arbStiffness",Locale!$A$2:$D$47,4,FALSE)</f>
        <v>Astral · 防倾杆刚度</v>
      </c>
      <c r="E3" s="3" t="str">
        <f>VLOOKUP("title.arbStiffness",Locale!$A$2:$D$47,4,FALSE)</f>
        <v>Astral · 防倾杆刚度</v>
      </c>
      <c r="F3" s="3" t="str">
        <f>VLOOKUP("title.arbStiffness",Locale!$A$2:$D$47,4,FALSE)</f>
        <v>Astral · 防倾杆刚度</v>
      </c>
      <c r="G3" s="3" t="str">
        <f>VLOOKUP("title.arbStiffness",Locale!$A$2:$D$47,4,FALSE)</f>
        <v>Astral · 防倾杆刚度</v>
      </c>
      <c r="H3" s="3" t="str">
        <f>VLOOKUP("title.arbStiffness",Locale!$A$2:$D$47,4,FALSE)</f>
        <v>Astral · 防倾杆刚度</v>
      </c>
      <c r="I3" s="3" t="str">
        <f>VLOOKUP("title.arbStiffness",Locale!$A$2:$D$47,4,FALSE)</f>
        <v>Astral · 防倾杆刚度</v>
      </c>
      <c r="J3" s="3" t="str">
        <f>VLOOKUP("title.arbStiffness",Locale!$A$2:$D$47,4,FALSE)</f>
        <v>Astral · 防倾杆刚度</v>
      </c>
      <c r="K3" s="3" t="str">
        <f>VLOOKUP("title.arbStiffness",Locale!$A$2:$D$47,4,FALSE)</f>
        <v>Astral · 防倾杆刚度</v>
      </c>
      <c r="L3" s="3" t="str">
        <f>VLOOKUP("title.arbStiffness",Locale!$A$2:$D$47,4,FALSE)</f>
        <v>Astral · 防倾杆刚度</v>
      </c>
      <c r="M3" s="3" t="str">
        <f>VLOOKUP("title.arbStiffness",Locale!$A$2:$D$47,4,FALSE)</f>
        <v>Astral · 防倾杆刚度</v>
      </c>
      <c r="N3" s="3" t="str">
        <f>VLOOKUP("title.arbStiffness",Locale!$A$2:$D$47,4,FALSE)</f>
        <v>Astral · 防倾杆刚度</v>
      </c>
      <c r="O3" s="1"/>
    </row>
    <row r="4" spans="1:15" ht="26.15" customHeight="1">
      <c r="A4" s="1"/>
      <c r="B4" s="2" t="str">
        <f>VLOOKUP("note.intervalWheelStiffness",Locale!$A$2:$D$47,4,FALSE)</f>
        <v>区间等效轮端刚度 · 整段角运动比 · 对侧轮固定</v>
      </c>
      <c r="C4" s="2" t="str">
        <f>VLOOKUP("note.intervalWheelStiffness",Locale!$A$2:$D$47,4,FALSE)</f>
        <v>区间等效轮端刚度 · 整段角运动比 · 对侧轮固定</v>
      </c>
      <c r="D4" s="2" t="str">
        <f>VLOOKUP("note.intervalWheelStiffness",Locale!$A$2:$D$47,4,FALSE)</f>
        <v>区间等效轮端刚度 · 整段角运动比 · 对侧轮固定</v>
      </c>
      <c r="E4" s="2" t="str">
        <f>VLOOKUP("note.intervalWheelStiffness",Locale!$A$2:$D$47,4,FALSE)</f>
        <v>区间等效轮端刚度 · 整段角运动比 · 对侧轮固定</v>
      </c>
      <c r="F4" s="2" t="str">
        <f>VLOOKUP("note.intervalWheelStiffness",Locale!$A$2:$D$47,4,FALSE)</f>
        <v>区间等效轮端刚度 · 整段角运动比 · 对侧轮固定</v>
      </c>
      <c r="G4" s="2" t="str">
        <f>VLOOKUP("note.intervalWheelStiffness",Locale!$A$2:$D$47,4,FALSE)</f>
        <v>区间等效轮端刚度 · 整段角运动比 · 对侧轮固定</v>
      </c>
      <c r="H4" s="2" t="str">
        <f>VLOOKUP("note.intervalWheelStiffness",Locale!$A$2:$D$47,4,FALSE)</f>
        <v>区间等效轮端刚度 · 整段角运动比 · 对侧轮固定</v>
      </c>
      <c r="I4" s="2" t="str">
        <f>VLOOKUP("note.intervalWheelStiffness",Locale!$A$2:$D$47,4,FALSE)</f>
        <v>区间等效轮端刚度 · 整段角运动比 · 对侧轮固定</v>
      </c>
      <c r="J4" s="2" t="str">
        <f>VLOOKUP("note.intervalWheelStiffness",Locale!$A$2:$D$47,4,FALSE)</f>
        <v>区间等效轮端刚度 · 整段角运动比 · 对侧轮固定</v>
      </c>
      <c r="K4" s="2" t="str">
        <f>VLOOKUP("note.intervalWheelStiffness",Locale!$A$2:$D$47,4,FALSE)</f>
        <v>区间等效轮端刚度 · 整段角运动比 · 对侧轮固定</v>
      </c>
      <c r="L4" s="2" t="str">
        <f>VLOOKUP("note.intervalWheelStiffness",Locale!$A$2:$D$47,4,FALSE)</f>
        <v>区间等效轮端刚度 · 整段角运动比 · 对侧轮固定</v>
      </c>
      <c r="M4" s="2" t="str">
        <f>VLOOKUP("note.intervalWheelStiffness",Locale!$A$2:$D$47,4,FALSE)</f>
        <v>区间等效轮端刚度 · 整段角运动比 · 对侧轮固定</v>
      </c>
      <c r="N4" s="2" t="str">
        <f>VLOOKUP("note.intervalWheelStiffness",Locale!$A$2:$D$47,4,FALSE)</f>
        <v>区间等效轮端刚度 · 整段角运动比 · 对侧轮固定</v>
      </c>
      <c r="O4" s="1"/>
    </row>
    <row r="5" spans="1:15" ht="26.15" customHeight="1">
      <c r="A5" s="1"/>
      <c r="B5" s="2" t="str">
        <f>IF(COUNT(Samples!H6:J17)=0,VLOOKUP("status.nodeCoordinatesNeeded",Locale!$A$2:$D$47,4,FALSE),"")</f>
        <v/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1"/>
    </row>
    <row r="6" spans="1:15" ht="26.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5" customHeight="1">
      <c r="A49" s="1"/>
      <c r="B49" s="2" t="str">
        <f>VLOOKUP("note.intervalMotionRatio",Locale!$A$2:$D$47,4,FALSE)</f>
        <v>整段角运动比换算值；不代表行程内每一位置的瞬时刚度。</v>
      </c>
      <c r="C49" s="2" t="str">
        <f>VLOOKUP("note.intervalMotionRatio",Locale!$A$2:$D$47,4,FALSE)</f>
        <v>整段角运动比换算值；不代表行程内每一位置的瞬时刚度。</v>
      </c>
      <c r="D49" s="2" t="str">
        <f>VLOOKUP("note.intervalMotionRatio",Locale!$A$2:$D$47,4,FALSE)</f>
        <v>整段角运动比换算值；不代表行程内每一位置的瞬时刚度。</v>
      </c>
      <c r="E49" s="2" t="str">
        <f>VLOOKUP("note.intervalMotionRatio",Locale!$A$2:$D$47,4,FALSE)</f>
        <v>整段角运动比换算值；不代表行程内每一位置的瞬时刚度。</v>
      </c>
      <c r="F49" s="2" t="str">
        <f>VLOOKUP("note.intervalMotionRatio",Locale!$A$2:$D$47,4,FALSE)</f>
        <v>整段角运动比换算值；不代表行程内每一位置的瞬时刚度。</v>
      </c>
      <c r="G49" s="2" t="str">
        <f>VLOOKUP("note.intervalMotionRatio",Locale!$A$2:$D$47,4,FALSE)</f>
        <v>整段角运动比换算值；不代表行程内每一位置的瞬时刚度。</v>
      </c>
      <c r="H49" s="2" t="str">
        <f>VLOOKUP("note.intervalMotionRatio",Locale!$A$2:$D$47,4,FALSE)</f>
        <v>整段角运动比换算值；不代表行程内每一位置的瞬时刚度。</v>
      </c>
      <c r="I49" s="2" t="str">
        <f>VLOOKUP("note.intervalMotionRatio",Locale!$A$2:$D$47,4,FALSE)</f>
        <v>整段角运动比换算值；不代表行程内每一位置的瞬时刚度。</v>
      </c>
      <c r="J49" s="2" t="str">
        <f>VLOOKUP("note.intervalMotionRatio",Locale!$A$2:$D$47,4,FALSE)</f>
        <v>整段角运动比换算值；不代表行程内每一位置的瞬时刚度。</v>
      </c>
      <c r="K49" s="2" t="str">
        <f>VLOOKUP("note.intervalMotionRatio",Locale!$A$2:$D$47,4,FALSE)</f>
        <v>整段角运动比换算值；不代表行程内每一位置的瞬时刚度。</v>
      </c>
      <c r="L49" s="2" t="str">
        <f>VLOOKUP("note.intervalMotionRatio",Locale!$A$2:$D$47,4,FALSE)</f>
        <v>整段角运动比换算值；不代表行程内每一位置的瞬时刚度。</v>
      </c>
      <c r="M49" s="2" t="str">
        <f>VLOOKUP("note.intervalMotionRatio",Locale!$A$2:$D$47,4,FALSE)</f>
        <v>整段角运动比换算值；不代表行程内每一位置的瞬时刚度。</v>
      </c>
      <c r="N49" s="2" t="str">
        <f>VLOOKUP("note.intervalMotionRatio",Locale!$A$2:$D$47,4,FALSE)</f>
        <v>整段角运动比换算值；不代表行程内每一位置的瞬时刚度。</v>
      </c>
      <c r="O49" s="1"/>
    </row>
  </sheetData>
  <mergeCells count="6">
    <mergeCell ref="B2:N3"/>
    <mergeCell ref="B4:N4"/>
    <mergeCell ref="B5:N5"/>
    <mergeCell ref="B49:N49"/>
    <mergeCell ref="B1:D1"/>
    <mergeCell ref="E1:G1"/>
  </mergeCells>
  <phoneticPr fontId="8" type="noConversion"/>
  <dataValidations count="1">
    <dataValidation type="list" sqref="E1:G1" xr:uid="{00000000-0002-0000-0000-000000000000}">
      <formula1>"English,简体中文"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D244E-AB5E-4B38-9AA1-584347E594FD}">
  <sheetPr>
    <tabColor rgb="FF31475E"/>
  </sheetPr>
  <dimension ref="A1:N118"/>
  <sheetViews>
    <sheetView showGridLines="0" zoomScale="130" zoomScaleNormal="130" workbookViewId="0">
      <pane ySplit="4" topLeftCell="A5" activePane="bottomLeft" state="frozen"/>
      <selection pane="bottomLeft" activeCell="E10" sqref="E10"/>
    </sheetView>
  </sheetViews>
  <sheetFormatPr defaultRowHeight="14"/>
  <cols>
    <col min="1" max="1" width="2.75" customWidth="1"/>
    <col min="2" max="2" width="13.5" customWidth="1"/>
    <col min="3" max="3" width="13.75" customWidth="1"/>
    <col min="4" max="4" width="15.5" customWidth="1"/>
    <col min="5" max="5" width="18.08203125" customWidth="1"/>
    <col min="6" max="7" width="16.5" customWidth="1"/>
    <col min="8" max="9" width="15.582031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2" t="str">
        <f>VLOOKUP("title.arbParameters",Locale!$A$2:$D$47,4,FALSE)</f>
        <v>Astral · 防倾杆参数</v>
      </c>
      <c r="C2" s="2" t="str">
        <f>VLOOKUP("title.arbParameters",Locale!$A$2:$D$47,4,FALSE)</f>
        <v>Astral · 防倾杆参数</v>
      </c>
      <c r="D2" s="2" t="str">
        <f>VLOOKUP("title.arbParameters",Locale!$A$2:$D$47,4,FALSE)</f>
        <v>Astral · 防倾杆参数</v>
      </c>
      <c r="E2" s="2" t="str">
        <f>VLOOKUP("title.arbParameters",Locale!$A$2:$D$47,4,FALSE)</f>
        <v>Astral · 防倾杆参数</v>
      </c>
      <c r="F2" s="2" t="str">
        <f>VLOOKUP("title.arbParameters",Locale!$A$2:$D$47,4,FALSE)</f>
        <v>Astral · 防倾杆参数</v>
      </c>
      <c r="G2" s="2" t="str">
        <f>VLOOKUP("title.arbParameters",Locale!$A$2:$D$47,4,FALSE)</f>
        <v>Astral · 防倾杆参数</v>
      </c>
      <c r="H2" s="2" t="str">
        <f>VLOOKUP("title.arbParameters",Locale!$A$2:$D$47,4,FALSE)</f>
        <v>Astral · 防倾杆参数</v>
      </c>
      <c r="I2" s="2" t="str">
        <f>VLOOKUP("title.arbParameters",Locale!$A$2:$D$47,4,FALSE)</f>
        <v>Astral · 防倾杆参数</v>
      </c>
      <c r="J2" s="15"/>
    </row>
    <row r="3" spans="1:10" ht="27" customHeight="1">
      <c r="A3" s="15"/>
      <c r="B3" s="2" t="str">
        <f>VLOOKUP("title.arbParameters",Locale!$A$2:$D$47,4,FALSE)</f>
        <v>Astral · 防倾杆参数</v>
      </c>
      <c r="C3" s="2" t="str">
        <f>VLOOKUP("title.arbParameters",Locale!$A$2:$D$47,4,FALSE)</f>
        <v>Astral · 防倾杆参数</v>
      </c>
      <c r="D3" s="2" t="str">
        <f>VLOOKUP("title.arbParameters",Locale!$A$2:$D$47,4,FALSE)</f>
        <v>Astral · 防倾杆参数</v>
      </c>
      <c r="E3" s="2" t="str">
        <f>VLOOKUP("title.arbParameters",Locale!$A$2:$D$47,4,FALSE)</f>
        <v>Astral · 防倾杆参数</v>
      </c>
      <c r="F3" s="2" t="str">
        <f>VLOOKUP("title.arbParameters",Locale!$A$2:$D$47,4,FALSE)</f>
        <v>Astral · 防倾杆参数</v>
      </c>
      <c r="G3" s="2" t="str">
        <f>VLOOKUP("title.arbParameters",Locale!$A$2:$D$47,4,FALSE)</f>
        <v>Astral · 防倾杆参数</v>
      </c>
      <c r="H3" s="2" t="str">
        <f>VLOOKUP("title.arbParameters",Locale!$A$2:$D$47,4,FALSE)</f>
        <v>Astral · 防倾杆参数</v>
      </c>
      <c r="I3" s="2" t="str">
        <f>VLOOKUP("title.arbParameters",Locale!$A$2:$D$47,4,FALSE)</f>
        <v>Astral · 防倾杆参数</v>
      </c>
      <c r="J3" s="15"/>
    </row>
    <row r="4" spans="1:10" ht="27" customHeight="1">
      <c r="A4" s="15"/>
      <c r="B4" s="3" t="str">
        <f>VLOOKUP("note.yellowInputs",Locale!$A$2:$D$47,4,FALSE)</f>
        <v>黄色单元格为手动输入。</v>
      </c>
      <c r="C4" s="40" t="str">
        <f>VLOOKUP("note.yellowInputs",Locale!$A$2:$D$47,4,FALSE)</f>
        <v>黄色单元格为手动输入。</v>
      </c>
      <c r="D4" s="41" t="str">
        <f>VLOOKUP("note.yellowInputs",Locale!$A$2:$D$47,4,FALSE)</f>
        <v>黄色单元格为手动输入。</v>
      </c>
      <c r="E4" s="41" t="str">
        <f>VLOOKUP("note.yellowInputs",Locale!$A$2:$D$47,4,FALSE)</f>
        <v>黄色单元格为手动输入。</v>
      </c>
      <c r="F4" s="41" t="str">
        <f>VLOOKUP("note.yellowInputs",Locale!$A$2:$D$47,4,FALSE)</f>
        <v>黄色单元格为手动输入。</v>
      </c>
      <c r="G4" s="41" t="str">
        <f>VLOOKUP("note.yellowInputs",Locale!$A$2:$D$47,4,FALSE)</f>
        <v>黄色单元格为手动输入。</v>
      </c>
      <c r="H4" s="41" t="str">
        <f>VLOOKUP("note.yellowInputs",Locale!$A$2:$D$47,4,FALSE)</f>
        <v>黄色单元格为手动输入。</v>
      </c>
      <c r="I4" s="41" t="str">
        <f>VLOOKUP("note.yellowInputs",Locale!$A$2:$D$47,4,FALSE)</f>
        <v>黄色单元格为手动输入。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tr">
        <f>VLOOKUP("label.axle",Locale!$A$2:$D$47,4,FALSE)</f>
        <v>车轴</v>
      </c>
      <c r="C6" s="16" t="str">
        <f>VLOOKUP("label.arbBar",Locale!$A$2:$D$47,4,FALSE)</f>
        <v>防倾杆</v>
      </c>
      <c r="D6" s="16" t="str">
        <f>VLOOKUP("label.diameterMm",Locale!$A$2:$D$47,4,FALSE)</f>
        <v>直径
(mm)</v>
      </c>
      <c r="E6" s="16" t="str">
        <f>VLOOKUP("label.torsionNmRadMultiline",Locale!$A$2:$D$47,4,FALSE)</f>
        <v>扭转刚度
(N·m/rad)</v>
      </c>
      <c r="F6" s="15"/>
      <c r="G6" s="15"/>
      <c r="H6" s="15"/>
      <c r="I6" s="15"/>
      <c r="J6" s="15"/>
    </row>
    <row r="7" spans="1:10" ht="27" customHeight="1">
      <c r="A7" s="15"/>
      <c r="B7" s="17" t="str">
        <f>VLOOKUP("label.front",Locale!$A$2:$D$47,4,FALSE)</f>
        <v>前轴</v>
      </c>
      <c r="C7" s="17" t="s">
        <v>44</v>
      </c>
      <c r="D7" s="19">
        <v>15.6</v>
      </c>
      <c r="E7" s="21">
        <f>$E$8*(D7/$D$8)^4</f>
        <v>1364.0116618075808</v>
      </c>
      <c r="F7" s="15"/>
      <c r="G7" s="15"/>
      <c r="H7" s="15"/>
      <c r="I7" s="15"/>
      <c r="J7" s="15"/>
    </row>
    <row r="8" spans="1:10" ht="27" customHeight="1">
      <c r="A8" s="15"/>
      <c r="B8" s="18" t="str">
        <f>VLOOKUP("label.front",Locale!$A$2:$D$47,4,FALSE)</f>
        <v>前轴</v>
      </c>
      <c r="C8" s="18" t="s">
        <v>45</v>
      </c>
      <c r="D8" s="19">
        <v>18.2</v>
      </c>
      <c r="E8" s="20">
        <v>2527</v>
      </c>
      <c r="F8" s="15"/>
      <c r="G8" s="15"/>
      <c r="H8" s="15"/>
      <c r="I8" s="15"/>
      <c r="J8" s="15"/>
    </row>
    <row r="9" spans="1:10" ht="27" customHeight="1">
      <c r="A9" s="15"/>
      <c r="B9" s="17" t="str">
        <f>VLOOKUP("label.front",Locale!$A$2:$D$47,4,FALSE)</f>
        <v>前轴</v>
      </c>
      <c r="C9" s="17" t="s">
        <v>46</v>
      </c>
      <c r="D9" s="19">
        <v>21.3</v>
      </c>
      <c r="E9" s="21">
        <f>$E$8*(D9/$D$8)^4</f>
        <v>4740.6523031480474</v>
      </c>
      <c r="F9" s="15"/>
      <c r="G9" s="15"/>
      <c r="H9" s="15"/>
      <c r="I9" s="15"/>
      <c r="J9" s="15"/>
    </row>
    <row r="10" spans="1:10" ht="27" customHeight="1">
      <c r="A10" s="15"/>
      <c r="B10" s="18" t="str">
        <f>VLOOKUP("label.rear",Locale!$A$2:$D$47,4,FALSE)</f>
        <v>后轴</v>
      </c>
      <c r="C10" s="18" t="s">
        <v>44</v>
      </c>
      <c r="D10" s="19">
        <v>16.5</v>
      </c>
      <c r="E10" s="22">
        <f>$E$8*(D10/$D$8)^4</f>
        <v>1707.0862601137678</v>
      </c>
      <c r="F10" s="15"/>
      <c r="G10" s="15"/>
      <c r="H10" s="15"/>
      <c r="I10" s="15"/>
      <c r="J10" s="15"/>
    </row>
    <row r="11" spans="1:10" ht="27" customHeight="1">
      <c r="A11" s="15"/>
      <c r="B11" s="17" t="str">
        <f>VLOOKUP("label.rear",Locale!$A$2:$D$47,4,FALSE)</f>
        <v>后轴</v>
      </c>
      <c r="C11" s="17" t="s">
        <v>45</v>
      </c>
      <c r="D11" s="19">
        <v>19.399999999999999</v>
      </c>
      <c r="E11" s="21">
        <f>$E$8*(D11/$D$8)^4</f>
        <v>3262.3203837768124</v>
      </c>
      <c r="F11" s="15"/>
      <c r="G11" s="15"/>
      <c r="H11" s="15"/>
      <c r="I11" s="15"/>
      <c r="J11" s="15"/>
    </row>
    <row r="12" spans="1:10" ht="27" customHeight="1">
      <c r="A12" s="15"/>
      <c r="B12" s="18" t="str">
        <f>VLOOKUP("label.rear",Locale!$A$2:$D$47,4,FALSE)</f>
        <v>后轴</v>
      </c>
      <c r="C12" s="18" t="s">
        <v>46</v>
      </c>
      <c r="D12" s="19">
        <v>22.7</v>
      </c>
      <c r="E12" s="22">
        <f>$E$8*(D12/$D$8)^4</f>
        <v>6115.3753556336333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42" t="str">
        <f>VLOOKUP("label.fixedPivotAxis",Locale!$A$2:$D$47,4,FALSE)</f>
        <v>固定转轴</v>
      </c>
      <c r="C14" s="42" t="str">
        <f>VLOOKUP("title.fixedGeometry",Locale!$A$2:$D$47,4,FALSE)</f>
        <v>固定几何 · 生成位置 / 转轴</v>
      </c>
      <c r="D14" s="42" t="str">
        <f>VLOOKUP("title.fixedGeometry",Locale!$A$2:$D$47,4,FALSE)</f>
        <v>固定几何 · 生成位置 / 转轴</v>
      </c>
      <c r="E14" s="42" t="str">
        <f>VLOOKUP("title.fixedGeometry",Locale!$A$2:$D$47,4,FALSE)</f>
        <v>固定几何 · 生成位置 / 转轴</v>
      </c>
      <c r="F14" s="42" t="str">
        <f>VLOOKUP("title.fixedGeometry",Locale!$A$2:$D$47,4,FALSE)</f>
        <v>固定几何 · 生成位置 / 转轴</v>
      </c>
      <c r="G14" s="42" t="str">
        <f>VLOOKUP("title.fixedGeometry",Locale!$A$2:$D$47,4,FALSE)</f>
        <v>固定几何 · 生成位置 / 转轴</v>
      </c>
      <c r="H14" s="42" t="str">
        <f>VLOOKUP("title.fixedGeometry",Locale!$A$2:$D$47,4,FALSE)</f>
        <v>固定几何 · 生成位置 / 转轴</v>
      </c>
      <c r="I14" s="42" t="str">
        <f>VLOOKUP("title.fixedGeometry",Locale!$A$2:$D$47,4,FALSE)</f>
        <v>固定几何 · 生成位置 / 转轴</v>
      </c>
      <c r="J14" s="15"/>
    </row>
    <row r="15" spans="1:10" ht="27" customHeight="1">
      <c r="A15" s="15"/>
      <c r="B15" s="43" t="str">
        <f>VLOOKUP("note.bodyRelativeCoordinates",Locale!$A$2:$D$47,4,FALSE)</f>
        <v>节点使用车身相对坐标（m）。</v>
      </c>
      <c r="C15" s="43" t="str">
        <f>VLOOKUP("note.bodyCoordinatesYzRadius",Locale!$A$2:$D$47,4,FALSE)</f>
        <v>节点使用车身相对坐标（m）；旋转半径按 Y/Z 计算。</v>
      </c>
      <c r="D15" s="43" t="str">
        <f>VLOOKUP("note.bodyCoordinatesYzRadius",Locale!$A$2:$D$47,4,FALSE)</f>
        <v>节点使用车身相对坐标（m）；旋转半径按 Y/Z 计算。</v>
      </c>
      <c r="E15" s="43" t="str">
        <f>VLOOKUP("note.bodyCoordinatesYzRadius",Locale!$A$2:$D$47,4,FALSE)</f>
        <v>节点使用车身相对坐标（m）；旋转半径按 Y/Z 计算。</v>
      </c>
      <c r="F15" s="43" t="str">
        <f>VLOOKUP("note.bodyCoordinatesYzRadius",Locale!$A$2:$D$47,4,FALSE)</f>
        <v>节点使用车身相对坐标（m）；旋转半径按 Y/Z 计算。</v>
      </c>
      <c r="G15" s="43" t="str">
        <f>VLOOKUP("note.bodyCoordinatesYzRadius",Locale!$A$2:$D$47,4,FALSE)</f>
        <v>节点使用车身相对坐标（m）；旋转半径按 Y/Z 计算。</v>
      </c>
      <c r="H15" s="43" t="str">
        <f>VLOOKUP("note.bodyCoordinatesYzRadius",Locale!$A$2:$D$47,4,FALSE)</f>
        <v>节点使用车身相对坐标（m）；旋转半径按 Y/Z 计算。</v>
      </c>
      <c r="I15" s="43" t="str">
        <f>VLOOKUP("note.bodyCoordinatesYzRadius",Locale!$A$2:$D$47,4,FALSE)</f>
        <v>节点使用车身相对坐标（m）；旋转半径按 Y/Z 计算。</v>
      </c>
      <c r="J15" s="15"/>
    </row>
    <row r="16" spans="1:10" ht="42" customHeight="1">
      <c r="A16" s="15"/>
      <c r="B16" s="27" t="str">
        <f>VLOOKUP("label.axle",Locale!$A$2:$D$47,4,FALSE)</f>
        <v>车轴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tr">
        <f>VLOOKUP("label.front",Locale!$A$2:$D$47,4,FALSE)</f>
        <v>前轴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tr">
        <f>VLOOKUP("label.rear",Locale!$A$2:$D$47,4,FALSE)</f>
        <v>后轴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42" t="str">
        <f>VLOOKUP("title.settingMeasurements",Locale!$A$2:$D$47,4,FALSE)</f>
        <v>测量 · 各档起点 / 终点</v>
      </c>
      <c r="C20" s="42" t="str">
        <f>VLOOKUP("note.enterTravelArb1End",Locale!$A$2:$D$47,4,FALSE)</f>
        <v>测量 · 每组填写轮行程和 arb1 终点</v>
      </c>
      <c r="D20" s="42" t="str">
        <f>VLOOKUP("note.enterTravelArb1End",Locale!$A$2:$D$47,4,FALSE)</f>
        <v>测量 · 每组填写轮行程和 arb1 终点</v>
      </c>
      <c r="E20" s="42" t="str">
        <f>VLOOKUP("note.enterTravelArb1End",Locale!$A$2:$D$47,4,FALSE)</f>
        <v>测量 · 每组填写轮行程和 arb1 终点</v>
      </c>
      <c r="F20" s="42" t="str">
        <f>VLOOKUP("note.enterTravelArb1End",Locale!$A$2:$D$47,4,FALSE)</f>
        <v>测量 · 每组填写轮行程和 arb1 终点</v>
      </c>
      <c r="G20" s="42" t="str">
        <f>VLOOKUP("note.enterTravelArb1End",Locale!$A$2:$D$47,4,FALSE)</f>
        <v>测量 · 每组填写轮行程和 arb1 终点</v>
      </c>
      <c r="H20" s="42" t="str">
        <f>VLOOKUP("note.enterTravelArb1End",Locale!$A$2:$D$47,4,FALSE)</f>
        <v>测量 · 每组填写轮行程和 arb1 终点</v>
      </c>
      <c r="I20" s="42" t="str">
        <f>VLOOKUP("note.enterTravelArb1End",Locale!$A$2:$D$47,4,FALSE)</f>
        <v>测量 · 每组填写轮行程和 arb1 终点</v>
      </c>
      <c r="J20" s="15"/>
    </row>
    <row r="21" spans="1:14" ht="27" customHeight="1">
      <c r="A21" s="15"/>
      <c r="B21" s="44" t="str">
        <f>VLOOKUP("note.wheeljackStartPosition",Locale!$A$2:$D$47,4,FALSE)</f>
        <v>起点为 wheeljack 架起、全伸展稳定后的位置；轮行程从同一起点计算。</v>
      </c>
      <c r="C21" s="44"/>
      <c r="D21" s="44"/>
      <c r="E21" s="44"/>
      <c r="F21" s="44"/>
      <c r="G21" s="44"/>
      <c r="H21" s="44"/>
      <c r="I21" s="44"/>
      <c r="J21" s="15"/>
    </row>
    <row r="22" spans="1:14" ht="42" customHeight="1">
      <c r="A22" s="15"/>
      <c r="B22" s="27" t="str">
        <f>VLOOKUP("label.surface",Locale!$A$2:$D$47,4,FALSE)</f>
        <v>路面</v>
      </c>
      <c r="C22" s="27" t="str">
        <f>VLOOKUP("label.axle",Locale!$A$2:$D$47,4,FALSE)</f>
        <v>车轴</v>
      </c>
      <c r="D22" s="27" t="str">
        <f>VLOOKUP("label.position",Locale!$A$2:$D$47,4,FALSE)</f>
        <v>位置</v>
      </c>
      <c r="E22" s="27" t="str">
        <f>VLOOKUP("label.wheelDeltaZMmMultiline",Locale!$A$2:$D$47,4,FALSE)</f>
        <v>车轮 ΔZ
(mm)</v>
      </c>
      <c r="F22" s="27" t="str">
        <f>VLOOKUP("label.arb1StartYM",Locale!$A$2:$D$47,4,FALSE)</f>
        <v>arb1 起点 Y
(m)</v>
      </c>
      <c r="G22" s="27" t="str">
        <f>VLOOKUP("label.arb1StartZM",Locale!$A$2:$D$47,4,FALSE)</f>
        <v>arb1 起点 Z
(m)</v>
      </c>
      <c r="H22" s="27" t="str">
        <f>VLOOKUP("label.arb1EndYM",Locale!$A$2:$D$47,4,FALSE)</f>
        <v>arb1 终点 Y
(m)</v>
      </c>
      <c r="I22" s="27" t="str">
        <f>VLOOKUP("label.arb1EndZM",Locale!$A$2:$D$47,4,FALSE)</f>
        <v>arb1 终点 Z
(m)</v>
      </c>
      <c r="J22" s="15"/>
    </row>
    <row r="23" spans="1:14" ht="27" customHeight="1">
      <c r="A23" s="15"/>
      <c r="B23" s="28" t="str">
        <f>VLOOKUP("label.tarmac",Locale!$A$2:$D$47,4,FALSE)</f>
        <v>柏油</v>
      </c>
      <c r="C23" s="28" t="str">
        <f>VLOOKUP("label.front",Locale!$A$2:$D$47,4,FALSE)</f>
        <v>前轴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tr">
        <f>VLOOKUP("label.tarmac",Locale!$A$2:$D$47,4,FALSE)</f>
        <v>柏油</v>
      </c>
      <c r="C24" s="30" t="str">
        <f>VLOOKUP("label.front",Locale!$A$2:$D$47,4,FALSE)</f>
        <v>前轴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tr">
        <f>VLOOKUP("label.tarmac",Locale!$A$2:$D$47,4,FALSE)</f>
        <v>柏油</v>
      </c>
      <c r="C25" s="28" t="str">
        <f>VLOOKUP("label.front",Locale!$A$2:$D$47,4,FALSE)</f>
        <v>前轴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tr">
        <f>VLOOKUP("label.tarmac",Locale!$A$2:$D$47,4,FALSE)</f>
        <v>柏油</v>
      </c>
      <c r="C26" s="30" t="str">
        <f>VLOOKUP("label.rear",Locale!$A$2:$D$47,4,FALSE)</f>
        <v>后轴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tr">
        <f>VLOOKUP("label.tarmac",Locale!$A$2:$D$47,4,FALSE)</f>
        <v>柏油</v>
      </c>
      <c r="C27" s="28" t="str">
        <f>VLOOKUP("label.rear",Locale!$A$2:$D$47,4,FALSE)</f>
        <v>后轴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tr">
        <f>VLOOKUP("label.tarmac",Locale!$A$2:$D$47,4,FALSE)</f>
        <v>柏油</v>
      </c>
      <c r="C28" s="30" t="str">
        <f>VLOOKUP("label.rear",Locale!$A$2:$D$47,4,FALSE)</f>
        <v>后轴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tr">
        <f>VLOOKUP("label.gravel",Locale!$A$2:$D$47,4,FALSE)</f>
        <v>砂石</v>
      </c>
      <c r="C29" s="28" t="str">
        <f>VLOOKUP("label.front",Locale!$A$2:$D$47,4,FALSE)</f>
        <v>前轴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tr">
        <f>VLOOKUP("label.gravel",Locale!$A$2:$D$47,4,FALSE)</f>
        <v>砂石</v>
      </c>
      <c r="C30" s="30" t="str">
        <f>VLOOKUP("label.front",Locale!$A$2:$D$47,4,FALSE)</f>
        <v>前轴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tr">
        <f>VLOOKUP("label.gravel",Locale!$A$2:$D$47,4,FALSE)</f>
        <v>砂石</v>
      </c>
      <c r="C31" s="28" t="str">
        <f>VLOOKUP("label.front",Locale!$A$2:$D$47,4,FALSE)</f>
        <v>前轴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tr">
        <f>VLOOKUP("label.gravel",Locale!$A$2:$D$47,4,FALSE)</f>
        <v>砂石</v>
      </c>
      <c r="C32" s="30" t="str">
        <f>VLOOKUP("label.rear",Locale!$A$2:$D$47,4,FALSE)</f>
        <v>后轴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tr">
        <f>VLOOKUP("label.gravel",Locale!$A$2:$D$47,4,FALSE)</f>
        <v>砂石</v>
      </c>
      <c r="C33" s="28" t="str">
        <f>VLOOKUP("label.rear",Locale!$A$2:$D$47,4,FALSE)</f>
        <v>后轴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tr">
        <f>VLOOKUP("label.gravel",Locale!$A$2:$D$47,4,FALSE)</f>
        <v>砂石</v>
      </c>
      <c r="C34" s="30" t="str">
        <f>VLOOKUP("label.rear",Locale!$A$2:$D$47,4,FALSE)</f>
        <v>后轴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" t="str">
        <f>VLOOKUP("note.originalZMeasurements",Locale!$A$2:$D$47,4,FALSE)</f>
        <v>原 Z 测量记录（不参与刚度计算）</v>
      </c>
      <c r="C38" s="3" t="str">
        <f>VLOOKUP("note.originalZMeasurements",Locale!$A$2:$D$47,4,FALSE)</f>
        <v>原 Z 测量记录（不参与刚度计算）</v>
      </c>
      <c r="D38" s="3" t="str">
        <f>VLOOKUP("note.originalZMeasurements",Locale!$A$2:$D$47,4,FALSE)</f>
        <v>原 Z 测量记录（不参与刚度计算）</v>
      </c>
      <c r="E38" s="3" t="str">
        <f>VLOOKUP("note.originalZMeasurements",Locale!$A$2:$D$47,4,FALSE)</f>
        <v>原 Z 测量记录（不参与刚度计算）</v>
      </c>
      <c r="F38" s="3" t="str">
        <f>VLOOKUP("note.originalZMeasurements",Locale!$A$2:$D$47,4,FALSE)</f>
        <v>原 Z 测量记录（不参与刚度计算）</v>
      </c>
      <c r="G38" s="3" t="str">
        <f>VLOOKUP("note.originalZMeasurements",Locale!$A$2:$D$47,4,FALSE)</f>
        <v>原 Z 测量记录（不参与刚度计算）</v>
      </c>
      <c r="H38" s="3" t="str">
        <f>VLOOKUP("note.originalZMeasurements",Locale!$A$2:$D$47,4,FALSE)</f>
        <v>原 Z 测量记录（不参与刚度计算）</v>
      </c>
      <c r="I38" s="3" t="str">
        <f>VLOOKUP("note.originalZMeasurements",Locale!$A$2:$D$47,4,FALSE)</f>
        <v>原 Z 测量记录（不参与刚度计算）</v>
      </c>
      <c r="J38" s="15"/>
    </row>
    <row r="39" spans="1:14" ht="42" customHeight="1">
      <c r="A39" s="15"/>
      <c r="B39" s="16" t="str">
        <f>VLOOKUP("label.surface",Locale!$A$2:$D$47,4,FALSE)</f>
        <v>路面</v>
      </c>
      <c r="C39" s="16" t="str">
        <f>VLOOKUP("label.axle",Locale!$A$2:$D$47,4,FALSE)</f>
        <v>车轴</v>
      </c>
      <c r="D39" s="16" t="str">
        <f>VLOOKUP("label.position",Locale!$A$2:$D$47,4,FALSE)</f>
        <v>位置</v>
      </c>
      <c r="E39" s="16" t="str">
        <f>VLOOKUP("label.arbDeltaZ",Locale!$A$2:$D$47,4,FALSE)</f>
        <v>防倾杆 ΔZ (mm)</v>
      </c>
      <c r="F39" s="16" t="str">
        <f>VLOOKUP("label.originalArmMm",Locale!$A$2:$D$47,4,FALSE)</f>
        <v>原始臂长 (mm)</v>
      </c>
      <c r="G39" s="15"/>
      <c r="H39" s="15"/>
      <c r="I39" s="15"/>
      <c r="J39" s="15"/>
    </row>
    <row r="40" spans="1:14" ht="27" customHeight="1">
      <c r="A40" s="15"/>
      <c r="B40" s="18" t="str">
        <f>VLOOKUP("label.tarmac",Locale!$A$2:$D$47,4,FALSE)</f>
        <v>柏油</v>
      </c>
      <c r="C40" s="18" t="str">
        <f>VLOOKUP("label.front",Locale!$A$2:$D$47,4,FALSE)</f>
        <v>前轴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tr">
        <f>VLOOKUP("label.tarmac",Locale!$A$2:$D$47,4,FALSE)</f>
        <v>柏油</v>
      </c>
      <c r="C41" s="17" t="str">
        <f>VLOOKUP("label.front",Locale!$A$2:$D$47,4,FALSE)</f>
        <v>前轴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tr">
        <f>VLOOKUP("label.tarmac",Locale!$A$2:$D$47,4,FALSE)</f>
        <v>柏油</v>
      </c>
      <c r="C42" s="18" t="str">
        <f>VLOOKUP("label.front",Locale!$A$2:$D$47,4,FALSE)</f>
        <v>前轴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tr">
        <f>VLOOKUP("label.tarmac",Locale!$A$2:$D$47,4,FALSE)</f>
        <v>柏油</v>
      </c>
      <c r="C43" s="17" t="str">
        <f>VLOOKUP("label.rear",Locale!$A$2:$D$47,4,FALSE)</f>
        <v>后轴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tr">
        <f>VLOOKUP("label.tarmac",Locale!$A$2:$D$47,4,FALSE)</f>
        <v>柏油</v>
      </c>
      <c r="C44" s="18" t="str">
        <f>VLOOKUP("label.rear",Locale!$A$2:$D$47,4,FALSE)</f>
        <v>后轴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tr">
        <f>VLOOKUP("label.tarmac",Locale!$A$2:$D$47,4,FALSE)</f>
        <v>柏油</v>
      </c>
      <c r="C45" s="17" t="str">
        <f>VLOOKUP("label.rear",Locale!$A$2:$D$47,4,FALSE)</f>
        <v>后轴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tr">
        <f>VLOOKUP("label.gravel",Locale!$A$2:$D$47,4,FALSE)</f>
        <v>砂石</v>
      </c>
      <c r="C46" s="18" t="str">
        <f>VLOOKUP("label.front",Locale!$A$2:$D$47,4,FALSE)</f>
        <v>前轴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tr">
        <f>VLOOKUP("label.gravel",Locale!$A$2:$D$47,4,FALSE)</f>
        <v>砂石</v>
      </c>
      <c r="C47" s="17" t="str">
        <f>VLOOKUP("label.front",Locale!$A$2:$D$47,4,FALSE)</f>
        <v>前轴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tr">
        <f>VLOOKUP("label.gravel",Locale!$A$2:$D$47,4,FALSE)</f>
        <v>砂石</v>
      </c>
      <c r="C48" s="18" t="str">
        <f>VLOOKUP("label.front",Locale!$A$2:$D$47,4,FALSE)</f>
        <v>前轴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tr">
        <f>VLOOKUP("label.gravel",Locale!$A$2:$D$47,4,FALSE)</f>
        <v>砂石</v>
      </c>
      <c r="C49" s="17" t="str">
        <f>VLOOKUP("label.rear",Locale!$A$2:$D$47,4,FALSE)</f>
        <v>后轴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tr">
        <f>VLOOKUP("label.gravel",Locale!$A$2:$D$47,4,FALSE)</f>
        <v>砂石</v>
      </c>
      <c r="C50" s="18" t="str">
        <f>VLOOKUP("label.rear",Locale!$A$2:$D$47,4,FALSE)</f>
        <v>后轴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tr">
        <f>VLOOKUP("label.gravel",Locale!$A$2:$D$47,4,FALSE)</f>
        <v>砂石</v>
      </c>
      <c r="C51" s="17" t="str">
        <f>VLOOKUP("label.rear",Locale!$A$2:$D$47,4,FALSE)</f>
        <v>后轴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5" customHeight="1"/>
    <row r="67" spans="1:10" ht="26.15" customHeight="1"/>
    <row r="68" spans="1:10" ht="40" customHeight="1"/>
    <row r="69" spans="1:10" ht="26.15" customHeight="1"/>
    <row r="70" spans="1:10" ht="26.15" customHeight="1"/>
    <row r="71" spans="1:10" ht="26.15" customHeight="1"/>
    <row r="72" spans="1:10" ht="26.15" customHeight="1"/>
    <row r="73" spans="1:10" ht="26.15" customHeight="1"/>
    <row r="74" spans="1:10" ht="26.15" customHeight="1"/>
    <row r="75" spans="1:10" ht="40" customHeight="1"/>
    <row r="76" spans="1:10" ht="26.15" customHeight="1"/>
    <row r="77" spans="1:10" ht="26.15" customHeight="1"/>
    <row r="78" spans="1:10" ht="26.15" customHeight="1"/>
    <row r="79" spans="1:10" ht="26.15" customHeight="1"/>
    <row r="80" spans="1:10" ht="26.15" customHeight="1"/>
    <row r="81" ht="26.15" customHeight="1"/>
    <row r="82" ht="40" customHeight="1"/>
    <row r="83" ht="26.15" customHeight="1"/>
    <row r="84" ht="26.15" customHeight="1"/>
    <row r="85" ht="26.15" customHeight="1"/>
    <row r="86" ht="26.15" customHeight="1"/>
    <row r="87" ht="26.15" customHeight="1"/>
    <row r="88" ht="26.15" customHeight="1"/>
    <row r="89" ht="40" customHeight="1"/>
    <row r="90" ht="26.15" customHeight="1"/>
    <row r="91" ht="26.15" customHeight="1"/>
    <row r="92" ht="26.15" customHeight="1"/>
    <row r="93" ht="26.15" customHeight="1"/>
    <row r="94" ht="26.15" customHeight="1"/>
    <row r="95" ht="26.15" customHeight="1"/>
    <row r="96" ht="40" customHeight="1"/>
    <row r="97" ht="26.15" customHeight="1"/>
    <row r="98" ht="26.15" customHeight="1"/>
    <row r="99" ht="26.15" customHeight="1"/>
    <row r="100" ht="26.15" customHeight="1"/>
    <row r="101" ht="26.15" customHeight="1"/>
    <row r="102" ht="26.15" customHeight="1"/>
    <row r="103" ht="40" customHeight="1"/>
    <row r="104" ht="26.15" customHeight="1"/>
    <row r="105" ht="26.15" customHeight="1"/>
    <row r="106" ht="26.15" customHeight="1"/>
    <row r="107" ht="26.15" customHeight="1"/>
    <row r="108" ht="26.15" customHeight="1"/>
    <row r="109" ht="26.15" customHeight="1"/>
    <row r="110" ht="26.15" customHeight="1"/>
    <row r="111" ht="26.15" customHeight="1"/>
    <row r="112" ht="26.15" customHeight="1"/>
    <row r="113" ht="26.15" customHeight="1"/>
    <row r="114" ht="26.15" customHeight="1"/>
    <row r="115" ht="26.15" customHeight="1"/>
    <row r="116" ht="26.15" customHeight="1"/>
    <row r="117" ht="26.15" customHeight="1"/>
    <row r="118" ht="26.15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E79E-695D-4F08-8015-DFBE75C1B903}">
  <dimension ref="A1:D47"/>
  <sheetViews>
    <sheetView workbookViewId="0"/>
  </sheetViews>
  <sheetFormatPr defaultRowHeight="14"/>
  <sheetData>
    <row r="1" spans="1:4">
      <c r="A1" s="38" t="s">
        <v>71</v>
      </c>
      <c r="B1" s="38" t="s">
        <v>72</v>
      </c>
      <c r="C1" s="38" t="s">
        <v>73</v>
      </c>
      <c r="D1" s="38" t="s">
        <v>74</v>
      </c>
    </row>
    <row r="2" spans="1:4">
      <c r="A2" s="37" t="s">
        <v>75</v>
      </c>
      <c r="B2" s="37" t="s">
        <v>32</v>
      </c>
      <c r="C2" s="37" t="s">
        <v>76</v>
      </c>
      <c r="D2" s="37" t="str">
        <f>IF(Comparison!$E$1="English",B2,C2)</f>
        <v>角运动比
(rad/mm)</v>
      </c>
    </row>
    <row r="3" spans="1:4">
      <c r="A3" s="37" t="s">
        <v>77</v>
      </c>
      <c r="B3" s="37" t="s">
        <v>22</v>
      </c>
      <c r="C3" s="37" t="s">
        <v>78</v>
      </c>
      <c r="D3" s="37" t="str">
        <f>IF(Comparison!$E$1="English",B3,C3)</f>
        <v>arb1 终点 Y
(m)</v>
      </c>
    </row>
    <row r="4" spans="1:4">
      <c r="A4" s="37" t="s">
        <v>79</v>
      </c>
      <c r="B4" s="37" t="s">
        <v>23</v>
      </c>
      <c r="C4" s="37" t="s">
        <v>80</v>
      </c>
      <c r="D4" s="37" t="str">
        <f>IF(Comparison!$E$1="English",B4,C4)</f>
        <v>arb1 终点 Z
(m)</v>
      </c>
    </row>
    <row r="5" spans="1:4">
      <c r="A5" s="37" t="s">
        <v>81</v>
      </c>
      <c r="B5" s="37" t="s">
        <v>13</v>
      </c>
      <c r="C5" s="37" t="s">
        <v>82</v>
      </c>
      <c r="D5" s="37" t="str">
        <f>IF(Comparison!$E$1="English",B5,C5)</f>
        <v>arb1 起点 Y
(m)</v>
      </c>
    </row>
    <row r="6" spans="1:4">
      <c r="A6" s="37" t="s">
        <v>83</v>
      </c>
      <c r="B6" s="37" t="s">
        <v>14</v>
      </c>
      <c r="C6" s="37" t="s">
        <v>84</v>
      </c>
      <c r="D6" s="37" t="str">
        <f>IF(Comparison!$E$1="English",B6,C6)</f>
        <v>arb1 起点 Z
(m)</v>
      </c>
    </row>
    <row r="7" spans="1:4">
      <c r="A7" s="37" t="s">
        <v>85</v>
      </c>
      <c r="B7" s="37" t="s">
        <v>6</v>
      </c>
      <c r="C7" s="37" t="s">
        <v>86</v>
      </c>
      <c r="D7" s="37" t="str">
        <f>IF(Comparison!$E$1="English",B7,C7)</f>
        <v>防倾杆</v>
      </c>
    </row>
    <row r="8" spans="1:4">
      <c r="A8" s="37" t="s">
        <v>87</v>
      </c>
      <c r="B8" s="37" t="s">
        <v>28</v>
      </c>
      <c r="C8" s="37" t="s">
        <v>88</v>
      </c>
      <c r="D8" s="37" t="str">
        <f>IF(Comparison!$E$1="English",B8,C8)</f>
        <v>防倾杆 ΔZ (mm)</v>
      </c>
    </row>
    <row r="9" spans="1:4">
      <c r="A9" s="37" t="s">
        <v>89</v>
      </c>
      <c r="B9" s="37" t="s">
        <v>31</v>
      </c>
      <c r="C9" s="37" t="s">
        <v>90</v>
      </c>
      <c r="D9" s="37" t="str">
        <f>IF(Comparison!$E$1="English",B9,C9)</f>
        <v>摇臂 Δθ
(°)</v>
      </c>
    </row>
    <row r="10" spans="1:4">
      <c r="A10" s="37" t="s">
        <v>91</v>
      </c>
      <c r="B10" s="37" t="s">
        <v>5</v>
      </c>
      <c r="C10" s="37" t="s">
        <v>92</v>
      </c>
      <c r="D10" s="37" t="str">
        <f>IF(Comparison!$E$1="English",B10,C10)</f>
        <v>车轴</v>
      </c>
    </row>
    <row r="11" spans="1:4">
      <c r="A11" s="37" t="s">
        <v>93</v>
      </c>
      <c r="B11" s="37" t="s">
        <v>7</v>
      </c>
      <c r="C11" s="37" t="s">
        <v>94</v>
      </c>
      <c r="D11" s="37" t="str">
        <f>IF(Comparison!$E$1="English",B11,C11)</f>
        <v>直径
(mm)</v>
      </c>
    </row>
    <row r="12" spans="1:4">
      <c r="A12" s="37" t="s">
        <v>95</v>
      </c>
      <c r="B12" s="37" t="s">
        <v>24</v>
      </c>
      <c r="C12" s="37" t="s">
        <v>96</v>
      </c>
      <c r="D12" s="37" t="str">
        <f>IF(Comparison!$E$1="English",B12,C12)</f>
        <v>终点角度
(°)</v>
      </c>
    </row>
    <row r="13" spans="1:4">
      <c r="A13" s="37" t="s">
        <v>97</v>
      </c>
      <c r="B13" s="37" t="s">
        <v>58</v>
      </c>
      <c r="C13" s="37" t="s">
        <v>98</v>
      </c>
      <c r="D13" s="37" t="str">
        <f>IF(Comparison!$E$1="English",B13,C13)</f>
        <v>终点半径
(mm)</v>
      </c>
    </row>
    <row r="14" spans="1:4">
      <c r="A14" s="37" t="s">
        <v>99</v>
      </c>
      <c r="B14" s="37" t="s">
        <v>100</v>
      </c>
      <c r="C14" s="37" t="s">
        <v>101</v>
      </c>
      <c r="D14" s="37" t="str">
        <f>IF(Comparison!$E$1="English",B14,C14)</f>
        <v>等效轮端刚度 (N/mm)</v>
      </c>
    </row>
    <row r="15" spans="1:4">
      <c r="A15" s="37" t="s">
        <v>102</v>
      </c>
      <c r="B15" s="37" t="s">
        <v>103</v>
      </c>
      <c r="C15" s="37" t="s">
        <v>47</v>
      </c>
      <c r="D15" s="37" t="str">
        <f>IF(Comparison!$E$1="English",B15,C15)</f>
        <v>固定转轴</v>
      </c>
    </row>
    <row r="16" spans="1:4">
      <c r="A16" s="37" t="s">
        <v>104</v>
      </c>
      <c r="B16" s="37" t="s">
        <v>9</v>
      </c>
      <c r="C16" s="37" t="s">
        <v>105</v>
      </c>
      <c r="D16" s="37" t="str">
        <f>IF(Comparison!$E$1="English",B16,C16)</f>
        <v>前轴</v>
      </c>
    </row>
    <row r="17" spans="1:4">
      <c r="A17" s="37" t="s">
        <v>106</v>
      </c>
      <c r="B17" s="37" t="s">
        <v>26</v>
      </c>
      <c r="C17" s="37" t="s">
        <v>107</v>
      </c>
      <c r="D17" s="37" t="str">
        <f>IF(Comparison!$E$1="English",B17,C17)</f>
        <v>砂石</v>
      </c>
    </row>
    <row r="18" spans="1:4">
      <c r="A18" s="37" t="s">
        <v>108</v>
      </c>
      <c r="B18" s="37" t="s">
        <v>33</v>
      </c>
      <c r="C18" s="37" t="s">
        <v>109</v>
      </c>
      <c r="D18" s="37" t="str">
        <f>IF(Comparison!$E$1="English",B18,C18)</f>
        <v>输入</v>
      </c>
    </row>
    <row r="19" spans="1:4">
      <c r="A19" s="37" t="s">
        <v>110</v>
      </c>
      <c r="B19" s="37" t="s">
        <v>29</v>
      </c>
      <c r="C19" s="37" t="s">
        <v>111</v>
      </c>
      <c r="D19" s="37" t="str">
        <f>IF(Comparison!$E$1="English",B19,C19)</f>
        <v>原始臂长 (mm)</v>
      </c>
    </row>
    <row r="20" spans="1:4">
      <c r="A20" s="37" t="s">
        <v>112</v>
      </c>
      <c r="B20" s="37" t="s">
        <v>113</v>
      </c>
      <c r="C20" s="37" t="s">
        <v>35</v>
      </c>
      <c r="D20" s="37" t="str">
        <f>IF(Comparison!$E$1="English",B20,C20)</f>
        <v>旧表原值</v>
      </c>
    </row>
    <row r="21" spans="1:4">
      <c r="A21" s="37" t="s">
        <v>114</v>
      </c>
      <c r="B21" s="37" t="s">
        <v>20</v>
      </c>
      <c r="C21" s="37" t="s">
        <v>115</v>
      </c>
      <c r="D21" s="37" t="str">
        <f>IF(Comparison!$E$1="English",B21,C21)</f>
        <v>位置</v>
      </c>
    </row>
    <row r="22" spans="1:4">
      <c r="A22" s="37" t="s">
        <v>116</v>
      </c>
      <c r="B22" s="37" t="s">
        <v>10</v>
      </c>
      <c r="C22" s="37" t="s">
        <v>117</v>
      </c>
      <c r="D22" s="37" t="str">
        <f>IF(Comparison!$E$1="English",B22,C22)</f>
        <v>后轴</v>
      </c>
    </row>
    <row r="23" spans="1:4">
      <c r="A23" s="37" t="s">
        <v>118</v>
      </c>
      <c r="B23" s="37" t="s">
        <v>34</v>
      </c>
      <c r="C23" s="37" t="s">
        <v>119</v>
      </c>
      <c r="D23" s="37" t="str">
        <f>IF(Comparison!$E$1="English",B23,C23)</f>
        <v>设定</v>
      </c>
    </row>
    <row r="24" spans="1:4">
      <c r="A24" s="37" t="s">
        <v>120</v>
      </c>
      <c r="B24" s="37" t="s">
        <v>17</v>
      </c>
      <c r="C24" s="37" t="s">
        <v>121</v>
      </c>
      <c r="D24" s="37" t="str">
        <f>IF(Comparison!$E$1="English",B24,C24)</f>
        <v>起点角度
(°)</v>
      </c>
    </row>
    <row r="25" spans="1:4">
      <c r="A25" s="37" t="s">
        <v>122</v>
      </c>
      <c r="B25" s="37" t="s">
        <v>57</v>
      </c>
      <c r="C25" s="37" t="s">
        <v>123</v>
      </c>
      <c r="D25" s="37" t="str">
        <f>IF(Comparison!$E$1="English",B25,C25)</f>
        <v>起点半径
(mm)</v>
      </c>
    </row>
    <row r="26" spans="1:4">
      <c r="A26" s="37" t="s">
        <v>124</v>
      </c>
      <c r="B26" s="37" t="s">
        <v>19</v>
      </c>
      <c r="C26" s="37" t="s">
        <v>125</v>
      </c>
      <c r="D26" s="37" t="str">
        <f>IF(Comparison!$E$1="English",B26,C26)</f>
        <v>路面</v>
      </c>
    </row>
    <row r="27" spans="1:4">
      <c r="A27" s="37" t="s">
        <v>126</v>
      </c>
      <c r="B27" s="37" t="s">
        <v>25</v>
      </c>
      <c r="C27" s="37" t="s">
        <v>127</v>
      </c>
      <c r="D27" s="37" t="str">
        <f>IF(Comparison!$E$1="English",B27,C27)</f>
        <v>柏油</v>
      </c>
    </row>
    <row r="28" spans="1:4">
      <c r="A28" s="37" t="s">
        <v>128</v>
      </c>
      <c r="B28" s="37" t="s">
        <v>8</v>
      </c>
      <c r="C28" s="37" t="s">
        <v>129</v>
      </c>
      <c r="D28" s="37" t="str">
        <f>IF(Comparison!$E$1="English",B28,C28)</f>
        <v>扭转刚度
(N·m/rad)</v>
      </c>
    </row>
    <row r="29" spans="1:4">
      <c r="A29" s="37" t="s">
        <v>130</v>
      </c>
      <c r="B29" s="37" t="s">
        <v>21</v>
      </c>
      <c r="C29" s="37" t="s">
        <v>131</v>
      </c>
      <c r="D29" s="37" t="str">
        <f>IF(Comparison!$E$1="English",B29,C29)</f>
        <v>车轮 ΔZ
(mm)</v>
      </c>
    </row>
    <row r="30" spans="1:4">
      <c r="A30" s="37" t="s">
        <v>132</v>
      </c>
      <c r="B30" s="37" t="s">
        <v>133</v>
      </c>
      <c r="C30" s="37" t="s">
        <v>12</v>
      </c>
      <c r="D30" s="37" t="str">
        <f>IF(Comparison!$E$1="English",B30,C30)</f>
        <v>节点使用车身相对坐标（m）；旋转半径按 Y/Z 计算。</v>
      </c>
    </row>
    <row r="31" spans="1:4">
      <c r="A31" s="37" t="s">
        <v>134</v>
      </c>
      <c r="B31" s="37" t="s">
        <v>135</v>
      </c>
      <c r="C31" s="37" t="s">
        <v>48</v>
      </c>
      <c r="D31" s="37" t="str">
        <f>IF(Comparison!$E$1="English",B31,C31)</f>
        <v>节点使用车身相对坐标（m）。</v>
      </c>
    </row>
    <row r="32" spans="1:4">
      <c r="A32" s="37" t="s">
        <v>136</v>
      </c>
      <c r="B32" s="37" t="s">
        <v>137</v>
      </c>
      <c r="C32" s="37" t="s">
        <v>18</v>
      </c>
      <c r="D32" s="37" t="str">
        <f>IF(Comparison!$E$1="English",B32,C32)</f>
        <v>测量 · 每组填写轮行程和 arb1 终点</v>
      </c>
    </row>
    <row r="33" spans="1:4">
      <c r="A33" s="37" t="s">
        <v>138</v>
      </c>
      <c r="B33" s="37" t="s">
        <v>139</v>
      </c>
      <c r="C33" s="37" t="s">
        <v>2</v>
      </c>
      <c r="D33" s="37" t="str">
        <f>IF(Comparison!$E$1="English",B33,C33)</f>
        <v>整段角运动比换算值；不代表行程内每一位置的瞬时刚度。</v>
      </c>
    </row>
    <row r="34" spans="1:4">
      <c r="A34" s="37" t="s">
        <v>140</v>
      </c>
      <c r="B34" s="37" t="s">
        <v>141</v>
      </c>
      <c r="C34" s="37" t="s">
        <v>1</v>
      </c>
      <c r="D34" s="37" t="str">
        <f>IF(Comparison!$E$1="English",B34,C34)</f>
        <v>区间等效轮端刚度 · 整段角运动比 · 对侧轮固定</v>
      </c>
    </row>
    <row r="35" spans="1:4">
      <c r="A35" s="37" t="s">
        <v>142</v>
      </c>
      <c r="B35" s="37" t="s">
        <v>143</v>
      </c>
      <c r="C35" s="37" t="s">
        <v>27</v>
      </c>
      <c r="D35" s="37" t="str">
        <f>IF(Comparison!$E$1="English",B35,C35)</f>
        <v>原 Z 测量记录（不参与刚度计算）</v>
      </c>
    </row>
    <row r="36" spans="1:4">
      <c r="A36" s="37" t="s">
        <v>144</v>
      </c>
      <c r="B36" s="37" t="s">
        <v>145</v>
      </c>
      <c r="C36" s="37" t="s">
        <v>50</v>
      </c>
      <c r="D36" s="37" t="str">
        <f>IF(Comparison!$E$1="English",B36,C36)</f>
        <v>起点为 wheeljack 架起、全伸展稳定后的位置；轮行程从同一起点计算。</v>
      </c>
    </row>
    <row r="37" spans="1:4">
      <c r="A37" s="37" t="s">
        <v>146</v>
      </c>
      <c r="B37" s="37" t="s">
        <v>147</v>
      </c>
      <c r="C37" s="37" t="s">
        <v>4</v>
      </c>
      <c r="D37" s="37" t="str">
        <f>IF(Comparison!$E$1="English",B37,C37)</f>
        <v>黄色单元格为手动输入。</v>
      </c>
    </row>
    <row r="38" spans="1:4">
      <c r="A38" s="37" t="s">
        <v>148</v>
      </c>
      <c r="B38" s="37" t="s">
        <v>149</v>
      </c>
      <c r="C38" s="37" t="s">
        <v>150</v>
      </c>
      <c r="D38" s="37" t="str">
        <f>IF(Comparison!$E$1="English",B38,C38)</f>
        <v>待补坐标</v>
      </c>
    </row>
    <row r="39" spans="1:4">
      <c r="A39" s="37" t="s">
        <v>151</v>
      </c>
      <c r="B39" s="37" t="s">
        <v>152</v>
      </c>
      <c r="C39" s="37" t="s">
        <v>153</v>
      </c>
      <c r="D39" s="37" t="str">
        <f>IF(Comparison!$E$1="English",B39,C39)</f>
        <v>无效半径</v>
      </c>
    </row>
    <row r="40" spans="1:4">
      <c r="A40" s="37" t="s">
        <v>154</v>
      </c>
      <c r="B40" s="37" t="s">
        <v>155</v>
      </c>
      <c r="C40" s="37" t="s">
        <v>156</v>
      </c>
      <c r="D40" s="37" t="str">
        <f>IF(Comparison!$E$1="English",B40,C40)</f>
        <v>待补节点坐标；暂无刚度结果。</v>
      </c>
    </row>
    <row r="41" spans="1:4">
      <c r="A41" s="37" t="s">
        <v>157</v>
      </c>
      <c r="B41" s="37" t="s">
        <v>158</v>
      </c>
      <c r="C41" s="37" t="s">
        <v>159</v>
      </c>
      <c r="D41" s="37" t="str">
        <f>IF(Comparison!$E$1="English",B41,C41)</f>
        <v>轮行程须大于0</v>
      </c>
    </row>
    <row r="42" spans="1:4">
      <c r="A42" s="37" t="s">
        <v>160</v>
      </c>
      <c r="B42" s="37" t="s">
        <v>161</v>
      </c>
      <c r="C42" s="37" t="s">
        <v>162</v>
      </c>
      <c r="D42" s="37" t="str">
        <f>IF(Comparison!$E$1="English",B42,C42)</f>
        <v>待填轮行程</v>
      </c>
    </row>
    <row r="43" spans="1:4">
      <c r="A43" s="37" t="s">
        <v>163</v>
      </c>
      <c r="B43" s="37" t="s">
        <v>30</v>
      </c>
      <c r="C43" s="37" t="s">
        <v>164</v>
      </c>
      <c r="D43" s="37" t="str">
        <f>IF(Comparison!$E$1="English",B43,C43)</f>
        <v>Astral · 防倾杆计算</v>
      </c>
    </row>
    <row r="44" spans="1:4">
      <c r="A44" s="37" t="s">
        <v>165</v>
      </c>
      <c r="B44" s="37" t="s">
        <v>3</v>
      </c>
      <c r="C44" s="37" t="s">
        <v>166</v>
      </c>
      <c r="D44" s="37" t="str">
        <f>IF(Comparison!$E$1="English",B44,C44)</f>
        <v>Astral · 防倾杆参数</v>
      </c>
    </row>
    <row r="45" spans="1:4">
      <c r="A45" s="37" t="s">
        <v>167</v>
      </c>
      <c r="B45" s="37" t="s">
        <v>0</v>
      </c>
      <c r="C45" s="37" t="s">
        <v>168</v>
      </c>
      <c r="D45" s="37" t="str">
        <f>IF(Comparison!$E$1="English",B45,C45)</f>
        <v>Astral · 防倾杆刚度</v>
      </c>
    </row>
    <row r="46" spans="1:4">
      <c r="A46" s="37" t="s">
        <v>169</v>
      </c>
      <c r="B46" s="37" t="s">
        <v>170</v>
      </c>
      <c r="C46" s="37" t="s">
        <v>11</v>
      </c>
      <c r="D46" s="37" t="str">
        <f>IF(Comparison!$E$1="English",B46,C46)</f>
        <v>固定几何 · 生成位置 / 转轴</v>
      </c>
    </row>
    <row r="47" spans="1:4">
      <c r="A47" s="37" t="s">
        <v>171</v>
      </c>
      <c r="B47" s="37" t="s">
        <v>172</v>
      </c>
      <c r="C47" s="37" t="s">
        <v>49</v>
      </c>
      <c r="D47" s="37" t="str">
        <f>IF(Comparison!$E$1="English",B47,C47)</f>
        <v>测量 · 各档起点 / 终点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BA758-A778-4052-B774-1845C020535F}">
  <sheetPr>
    <tabColor rgb="FF31475E"/>
  </sheetPr>
  <dimension ref="A1:O157"/>
  <sheetViews>
    <sheetView showGridLines="0" tabSelected="1" zoomScale="130" zoomScaleNormal="130" workbookViewId="0">
      <pane ySplit="5" topLeftCell="A6" activePane="bottomLeft" state="frozen"/>
      <selection pane="bottomLeft" activeCell="J16" sqref="J16"/>
    </sheetView>
  </sheetViews>
  <sheetFormatPr defaultRowHeight="14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58203125" customWidth="1"/>
    <col min="8" max="10" width="12.5" customWidth="1"/>
    <col min="11" max="11" width="18.08203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5" customHeight="1">
      <c r="A2" s="1"/>
      <c r="B2" s="3" t="str">
        <f>VLOOKUP("title.arbCalculations",Locale!$A$2:$D$47,4,FALSE)</f>
        <v>Astral · 防倾杆计算</v>
      </c>
      <c r="C2" s="3" t="str">
        <f>VLOOKUP("title.arbCalculations",Locale!$A$2:$D$47,4,FALSE)</f>
        <v>Astral · 防倾杆计算</v>
      </c>
      <c r="D2" s="3" t="str">
        <f>VLOOKUP("title.arbCalculations",Locale!$A$2:$D$47,4,FALSE)</f>
        <v>Astral · 防倾杆计算</v>
      </c>
      <c r="E2" s="3" t="str">
        <f>VLOOKUP("title.arbCalculations",Locale!$A$2:$D$47,4,FALSE)</f>
        <v>Astral · 防倾杆计算</v>
      </c>
      <c r="F2" s="3" t="str">
        <f>VLOOKUP("title.arbCalculations",Locale!$A$2:$D$47,4,FALSE)</f>
        <v>Astral · 防倾杆计算</v>
      </c>
      <c r="G2" s="3" t="str">
        <f>VLOOKUP("title.arbCalculations",Locale!$A$2:$D$47,4,FALSE)</f>
        <v>Astral · 防倾杆计算</v>
      </c>
      <c r="H2" s="3" t="str">
        <f>VLOOKUP("title.arbCalculations",Locale!$A$2:$D$47,4,FALSE)</f>
        <v>Astral · 防倾杆计算</v>
      </c>
      <c r="I2" s="3" t="str">
        <f>VLOOKUP("title.arbCalculations",Locale!$A$2:$D$47,4,FALSE)</f>
        <v>Astral · 防倾杆计算</v>
      </c>
      <c r="J2" s="3" t="str">
        <f>VLOOKUP("title.arbCalculations",Locale!$A$2:$D$47,4,FALSE)</f>
        <v>Astral · 防倾杆计算</v>
      </c>
      <c r="K2" s="3" t="str">
        <f>VLOOKUP("title.arbCalculations",Locale!$A$2:$D$47,4,FALSE)</f>
        <v>Astral · 防倾杆计算</v>
      </c>
      <c r="L2" s="1"/>
      <c r="M2" s="1"/>
    </row>
    <row r="3" spans="1:15" ht="26.15" customHeight="1">
      <c r="A3" s="1"/>
      <c r="B3" s="3" t="str">
        <f>VLOOKUP("title.arbCalculations",Locale!$A$2:$D$47,4,FALSE)</f>
        <v>Astral · 防倾杆计算</v>
      </c>
      <c r="C3" s="3" t="str">
        <f>VLOOKUP("title.arbCalculations",Locale!$A$2:$D$47,4,FALSE)</f>
        <v>Astral · 防倾杆计算</v>
      </c>
      <c r="D3" s="3" t="str">
        <f>VLOOKUP("title.arbCalculations",Locale!$A$2:$D$47,4,FALSE)</f>
        <v>Astral · 防倾杆计算</v>
      </c>
      <c r="E3" s="3" t="str">
        <f>VLOOKUP("title.arbCalculations",Locale!$A$2:$D$47,4,FALSE)</f>
        <v>Astral · 防倾杆计算</v>
      </c>
      <c r="F3" s="3" t="str">
        <f>VLOOKUP("title.arbCalculations",Locale!$A$2:$D$47,4,FALSE)</f>
        <v>Astral · 防倾杆计算</v>
      </c>
      <c r="G3" s="3" t="str">
        <f>VLOOKUP("title.arbCalculations",Locale!$A$2:$D$47,4,FALSE)</f>
        <v>Astral · 防倾杆计算</v>
      </c>
      <c r="H3" s="3" t="str">
        <f>VLOOKUP("title.arbCalculations",Locale!$A$2:$D$47,4,FALSE)</f>
        <v>Astral · 防倾杆计算</v>
      </c>
      <c r="I3" s="3" t="str">
        <f>VLOOKUP("title.arbCalculations",Locale!$A$2:$D$47,4,FALSE)</f>
        <v>Astral · 防倾杆计算</v>
      </c>
      <c r="J3" s="3" t="str">
        <f>VLOOKUP("title.arbCalculations",Locale!$A$2:$D$47,4,FALSE)</f>
        <v>Astral · 防倾杆计算</v>
      </c>
      <c r="K3" s="3" t="str">
        <f>VLOOKUP("title.arbCalculations",Locale!$A$2:$D$47,4,FALSE)</f>
        <v>Astral · 防倾杆计算</v>
      </c>
      <c r="L3" s="1"/>
      <c r="M3" s="1"/>
    </row>
    <row r="4" spans="1:15" ht="26.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40" customHeight="1">
      <c r="A5" s="1"/>
      <c r="B5" s="2" t="str">
        <f>VLOOKUP("label.surface",Locale!$A$2:$D$47,4,FALSE)</f>
        <v>路面</v>
      </c>
      <c r="C5" s="2" t="str">
        <f>VLOOKUP("label.axle",Locale!$A$2:$D$47,4,FALSE)</f>
        <v>车轴</v>
      </c>
      <c r="D5" s="2" t="str">
        <f>VLOOKUP("label.position",Locale!$A$2:$D$47,4,FALSE)</f>
        <v>位置</v>
      </c>
      <c r="E5" s="2" t="str">
        <f>VLOOKUP("label.wheelDeltaZMmMultiline",Locale!$A$2:$D$47,4,FALSE)</f>
        <v>车轮 ΔZ
(mm)</v>
      </c>
      <c r="F5" s="2" t="str">
        <f>VLOOKUP("label.armDeltaAngle",Locale!$A$2:$D$47,4,FALSE)</f>
        <v>摇臂 Δθ
(°)</v>
      </c>
      <c r="G5" s="2" t="str">
        <f>VLOOKUP("label.angularMotionRatio",Locale!$A$2:$D$47,4,FALSE)</f>
        <v>角运动比
(rad/mm)</v>
      </c>
      <c r="H5" s="2" t="s">
        <v>54</v>
      </c>
      <c r="I5" s="2" t="s">
        <v>55</v>
      </c>
      <c r="J5" s="2" t="s">
        <v>56</v>
      </c>
      <c r="K5" s="2" t="str">
        <f>VLOOKUP("label.input",Locale!$A$2:$D$47,4,FALSE)</f>
        <v>输入</v>
      </c>
      <c r="L5" s="31" t="str">
        <f>VLOOKUP("label.startAngleDegMultiline",Locale!$A$2:$D$47,4,FALSE)</f>
        <v>起点角度
(°)</v>
      </c>
      <c r="M5" s="31" t="str">
        <f>VLOOKUP("label.endAngleDeg",Locale!$A$2:$D$47,4,FALSE)</f>
        <v>终点角度
(°)</v>
      </c>
      <c r="N5" s="27" t="str">
        <f>VLOOKUP("label.startRadiusMmMultiline",Locale!$A$2:$D$47,4,FALSE)</f>
        <v>起点半径
(mm)</v>
      </c>
      <c r="O5" s="27" t="str">
        <f>VLOOKUP("label.endRadiusMm",Locale!$A$2:$D$47,4,FALSE)</f>
        <v>终点半径
(mm)</v>
      </c>
    </row>
    <row r="6" spans="1:15" ht="26.15" customHeight="1">
      <c r="A6" s="1"/>
      <c r="B6" s="4" t="str">
        <f>VLOOKUP("label.tarmac",Locale!$A$2:$D$47,4,FALSE)</f>
        <v>柏油</v>
      </c>
      <c r="C6" s="4" t="str">
        <f>VLOOKUP("label.front",Locale!$A$2:$D$47,4,FALSE)</f>
        <v>前轴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7.9783974334529209</v>
      </c>
      <c r="I6" s="5">
        <f>IF(ISNUMBER(G6),1000*Parameters!E8*G6^2,"")</f>
        <v>14.780966232808993</v>
      </c>
      <c r="J6" s="5">
        <f>IF(ISNUMBER(G6),1000*Parameters!E9*G6^2,"")</f>
        <v>27.729094425927766</v>
      </c>
      <c r="K6" s="13" t="str">
        <f>IF(COUNT(Parameters!C17:D17,Parameters!F23:I23)&lt;6,VLOOKUP("status.coordinatesNeeded",Locale!$A$2:$D$47,4,FALSE),IF(NOT(ISNUMBER(E6)),VLOOKUP("status.wheelTravelNeeded",Locale!$A$2:$D$47,4,FALSE),IF(E6&lt;=0,VLOOKUP("status.positiveWheelTravel",Locale!$A$2:$D$47,4,FALSE),IF(COUNT(L6:M6)&lt;2,VLOOKUP("status.invalidRadius",Locale!$A$2:$D$47,4,FALSE)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5" customHeight="1">
      <c r="A7" s="1"/>
      <c r="B7" s="3" t="str">
        <f>VLOOKUP("label.tarmac",Locale!$A$2:$D$47,4,FALSE)</f>
        <v>柏油</v>
      </c>
      <c r="C7" s="3" t="str">
        <f>VLOOKUP("label.front",Locale!$A$2:$D$47,4,FALSE)</f>
        <v>前轴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9.7673728521340628</v>
      </c>
      <c r="I7" s="6">
        <f>IF(ISNUMBER(G7),1000*Parameters!E8*G7^2,"")</f>
        <v>18.095264057078605</v>
      </c>
      <c r="J7" s="6">
        <f>IF(ISNUMBER(G7),1000*Parameters!E9*G7^2,"")</f>
        <v>33.946717541852699</v>
      </c>
      <c r="K7" s="14" t="str">
        <f>IF(COUNT(Parameters!C17:D17,Parameters!F24:I24)&lt;6,VLOOKUP("status.coordinatesNeeded",Locale!$A$2:$D$47,4,FALSE),IF(NOT(ISNUMBER(E7)),VLOOKUP("status.wheelTravelNeeded",Locale!$A$2:$D$47,4,FALSE),IF(E7&lt;=0,VLOOKUP("status.positiveWheelTravel",Locale!$A$2:$D$47,4,FALSE),IF(COUNT(L7:M7)&lt;2,VLOOKUP("status.invalidRadius",Locale!$A$2:$D$47,4,FALSE)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5" customHeight="1">
      <c r="A8" s="1"/>
      <c r="B8" s="4" t="str">
        <f>VLOOKUP("label.tarmac",Locale!$A$2:$D$47,4,FALSE)</f>
        <v>柏油</v>
      </c>
      <c r="C8" s="4" t="str">
        <f>VLOOKUP("label.front",Locale!$A$2:$D$47,4,FALSE)</f>
        <v>前轴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13.080712911938672</v>
      </c>
      <c r="I8" s="5">
        <f>IF(ISNUMBER(G8),1000*Parameters!E8*G8^2,"")</f>
        <v>24.233635572195013</v>
      </c>
      <c r="J8" s="5">
        <f>IF(ISNUMBER(G8),1000*Parameters!E9*G8^2,"")</f>
        <v>45.462303240592291</v>
      </c>
      <c r="K8" s="13" t="str">
        <f>IF(COUNT(Parameters!C17:D17,Parameters!F25:I25)&lt;6,VLOOKUP("status.coordinatesNeeded",Locale!$A$2:$D$47,4,FALSE),IF(NOT(ISNUMBER(E8)),VLOOKUP("status.wheelTravelNeeded",Locale!$A$2:$D$47,4,FALSE),IF(E8&lt;=0,VLOOKUP("status.positiveWheelTravel",Locale!$A$2:$D$47,4,FALSE),IF(COUNT(L8:M8)&lt;2,VLOOKUP("status.invalidRadius",Locale!$A$2:$D$47,4,FALSE)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5" customHeight="1">
      <c r="A9" s="1"/>
      <c r="B9" s="3" t="str">
        <f>VLOOKUP("label.tarmac",Locale!$A$2:$D$47,4,FALSE)</f>
        <v>柏油</v>
      </c>
      <c r="C9" s="3" t="str">
        <f>VLOOKUP("label.rear",Locale!$A$2:$D$47,4,FALSE)</f>
        <v>后轴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13.514384660591768</v>
      </c>
      <c r="I9" s="6">
        <f>IF(ISNUMBER(G9),1000*Parameters!E11*G9^2,"")</f>
        <v>25.826610864708716</v>
      </c>
      <c r="J9" s="6">
        <f>IF(ISNUMBER(G9),1000*Parameters!E12*G9^2,"")</f>
        <v>48.413215448426278</v>
      </c>
      <c r="K9" s="14" t="str">
        <f>IF(COUNT(Parameters!C18:D18,Parameters!F26:I26)&lt;6,VLOOKUP("status.coordinatesNeeded",Locale!$A$2:$D$47,4,FALSE),IF(NOT(ISNUMBER(E9)),VLOOKUP("status.wheelTravelNeeded",Locale!$A$2:$D$47,4,FALSE),IF(E9&lt;=0,VLOOKUP("status.positiveWheelTravel",Locale!$A$2:$D$47,4,FALSE),IF(COUNT(L9:M9)&lt;2,VLOOKUP("status.invalidRadius",Locale!$A$2:$D$47,4,FALSE)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5" customHeight="1">
      <c r="A10" s="1"/>
      <c r="B10" s="4" t="str">
        <f>VLOOKUP("label.tarmac",Locale!$A$2:$D$47,4,FALSE)</f>
        <v>柏油</v>
      </c>
      <c r="C10" s="4" t="str">
        <f>VLOOKUP("label.rear",Locale!$A$2:$D$47,4,FALSE)</f>
        <v>后轴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16.804738127112959</v>
      </c>
      <c r="I10" s="5">
        <f>IF(ISNUMBER(G10),1000*Parameters!E11*G10^2,"")</f>
        <v>32.114627723884531</v>
      </c>
      <c r="J10" s="5">
        <f>IF(ISNUMBER(G10),1000*Parameters!E12*G10^2,"")</f>
        <v>60.200403343164751</v>
      </c>
      <c r="K10" s="13" t="str">
        <f>IF(COUNT(Parameters!C18:D18,Parameters!F27:I27)&lt;6,VLOOKUP("status.coordinatesNeeded",Locale!$A$2:$D$47,4,FALSE),IF(NOT(ISNUMBER(E10)),VLOOKUP("status.wheelTravelNeeded",Locale!$A$2:$D$47,4,FALSE),IF(E10&lt;=0,VLOOKUP("status.positiveWheelTravel",Locale!$A$2:$D$47,4,FALSE),IF(COUNT(L10:M10)&lt;2,VLOOKUP("status.invalidRadius",Locale!$A$2:$D$47,4,FALSE)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5" customHeight="1">
      <c r="A11" s="1"/>
      <c r="B11" s="3" t="str">
        <f>VLOOKUP("label.tarmac",Locale!$A$2:$D$47,4,FALSE)</f>
        <v>柏油</v>
      </c>
      <c r="C11" s="3" t="str">
        <f>VLOOKUP("label.rear",Locale!$A$2:$D$47,4,FALSE)</f>
        <v>后轴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22.02847631278453</v>
      </c>
      <c r="I11" s="6">
        <f>IF(ISNUMBER(G11),1000*Parameters!E11*G11^2,"")</f>
        <v>42.097431733738119</v>
      </c>
      <c r="J11" s="6">
        <f>IF(ISNUMBER(G11),1000*Parameters!E12*G11^2,"")</f>
        <v>78.913646201091169</v>
      </c>
      <c r="K11" s="14" t="str">
        <f>IF(COUNT(Parameters!C18:D18,Parameters!F28:I28)&lt;6,VLOOKUP("status.coordinatesNeeded",Locale!$A$2:$D$47,4,FALSE),IF(NOT(ISNUMBER(E11)),VLOOKUP("status.wheelTravelNeeded",Locale!$A$2:$D$47,4,FALSE),IF(E11&lt;=0,VLOOKUP("status.positiveWheelTravel",Locale!$A$2:$D$47,4,FALSE),IF(COUNT(L11:M11)&lt;2,VLOOKUP("status.invalidRadius",Locale!$A$2:$D$47,4,FALSE)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5" customHeight="1">
      <c r="A12" s="1"/>
      <c r="B12" s="4" t="str">
        <f>VLOOKUP("label.gravel",Locale!$A$2:$D$47,4,FALSE)</f>
        <v>砂石</v>
      </c>
      <c r="C12" s="4" t="str">
        <f>VLOOKUP("label.front",Locale!$A$2:$D$47,4,FALSE)</f>
        <v>前轴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8.6385052748859135</v>
      </c>
      <c r="I12" s="5">
        <f>IF(ISNUMBER(G12),1000*Parameters!E8*G12^2,"")</f>
        <v>16.003897503858848</v>
      </c>
      <c r="J12" s="5">
        <f>IF(ISNUMBER(G12),1000*Parameters!E9*G12^2,"")</f>
        <v>30.023313637124545</v>
      </c>
      <c r="K12" s="13" t="str">
        <f>IF(COUNT(Parameters!C17:D17,Parameters!F29:I29)&lt;6,VLOOKUP("status.coordinatesNeeded",Locale!$A$2:$D$47,4,FALSE),IF(NOT(ISNUMBER(E12)),VLOOKUP("status.wheelTravelNeeded",Locale!$A$2:$D$47,4,FALSE),IF(E12&lt;=0,VLOOKUP("status.positiveWheelTravel",Locale!$A$2:$D$47,4,FALSE),IF(COUNT(L12:M12)&lt;2,VLOOKUP("status.invalidRadius",Locale!$A$2:$D$47,4,FALSE)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5" customHeight="1">
      <c r="A13" s="1"/>
      <c r="B13" s="3" t="str">
        <f>VLOOKUP("label.gravel",Locale!$A$2:$D$47,4,FALSE)</f>
        <v>砂石</v>
      </c>
      <c r="C13" s="3" t="str">
        <f>VLOOKUP("label.front",Locale!$A$2:$D$47,4,FALSE)</f>
        <v>前轴</v>
      </c>
      <c r="D13" s="3" t="s">
        <v>68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10.160928227504549</v>
      </c>
      <c r="I13" s="6">
        <f>IF(ISNUMBER(G13),1000*Parameters!E8*G13^2,"")</f>
        <v>18.824373977035812</v>
      </c>
      <c r="J13" s="6">
        <f>IF(ISNUMBER(G13),1000*Parameters!E9*G13^2,"")</f>
        <v>35.314527839159076</v>
      </c>
      <c r="K13" s="14" t="str">
        <f>IF(COUNT(Parameters!C17:D17,Parameters!F30:I30)&lt;6,VLOOKUP("status.coordinatesNeeded",Locale!$A$2:$D$47,4,FALSE),IF(NOT(ISNUMBER(E13)),VLOOKUP("status.wheelTravelNeeded",Locale!$A$2:$D$47,4,FALSE),IF(E13&lt;=0,VLOOKUP("status.positiveWheelTravel",Locale!$A$2:$D$47,4,FALSE),IF(COUNT(L13:M13)&lt;2,VLOOKUP("status.invalidRadius",Locale!$A$2:$D$47,4,FALSE)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5" customHeight="1">
      <c r="A14" s="1"/>
      <c r="B14" s="4" t="str">
        <f>VLOOKUP("label.gravel",Locale!$A$2:$D$47,4,FALSE)</f>
        <v>砂石</v>
      </c>
      <c r="C14" s="4" t="str">
        <f>VLOOKUP("label.front",Locale!$A$2:$D$47,4,FALSE)</f>
        <v>前轴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12.047997452455359</v>
      </c>
      <c r="I14" s="5">
        <f>IF(ISNUMBER(G14),1000*Parameters!E8*G14^2,"")</f>
        <v>22.320402687766435</v>
      </c>
      <c r="J14" s="5">
        <f>IF(ISNUMBER(G14),1000*Parameters!E9*G14^2,"")</f>
        <v>41.87307811988596</v>
      </c>
      <c r="K14" s="13" t="str">
        <f>IF(COUNT(Parameters!C17:D17,Parameters!F31:I31)&lt;6,VLOOKUP("status.coordinatesNeeded",Locale!$A$2:$D$47,4,FALSE),IF(NOT(ISNUMBER(E14)),VLOOKUP("status.wheelTravelNeeded",Locale!$A$2:$D$47,4,FALSE),IF(E14&lt;=0,VLOOKUP("status.positiveWheelTravel",Locale!$A$2:$D$47,4,FALSE),IF(COUNT(L14:M14)&lt;2,VLOOKUP("status.invalidRadius",Locale!$A$2:$D$47,4,FALSE)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5" customHeight="1">
      <c r="A15" s="1"/>
      <c r="B15" s="3" t="str">
        <f>VLOOKUP("label.gravel",Locale!$A$2:$D$47,4,FALSE)</f>
        <v>砂石</v>
      </c>
      <c r="C15" s="3" t="str">
        <f>VLOOKUP("label.rear",Locale!$A$2:$D$47,4,FALSE)</f>
        <v>后轴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13.261207716193466</v>
      </c>
      <c r="I15" s="6">
        <f>IF(ISNUMBER(G15),1000*Parameters!E11*G15^2,"")</f>
        <v>25.342778075639309</v>
      </c>
      <c r="J15" s="6">
        <f>IF(ISNUMBER(G15),1000*Parameters!E12*G15^2,"")</f>
        <v>47.50624777926771</v>
      </c>
      <c r="K15" s="14" t="str">
        <f>IF(COUNT(Parameters!C18:D18,Parameters!F32:I32)&lt;6,VLOOKUP("status.coordinatesNeeded",Locale!$A$2:$D$47,4,FALSE),IF(NOT(ISNUMBER(E15)),VLOOKUP("status.wheelTravelNeeded",Locale!$A$2:$D$47,4,FALSE),IF(E15&lt;=0,VLOOKUP("status.positiveWheelTravel",Locale!$A$2:$D$47,4,FALSE),IF(COUNT(L15:M15)&lt;2,VLOOKUP("status.invalidRadius",Locale!$A$2:$D$47,4,FALSE)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5" customHeight="1">
      <c r="A16" s="1"/>
      <c r="B16" s="4" t="str">
        <f>VLOOKUP("label.gravel",Locale!$A$2:$D$47,4,FALSE)</f>
        <v>砂石</v>
      </c>
      <c r="C16" s="4" t="str">
        <f>VLOOKUP("label.rear",Locale!$A$2:$D$47,4,FALSE)</f>
        <v>后轴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16.15052203342573</v>
      </c>
      <c r="I16" s="5">
        <f>IF(ISNUMBER(G16),1000*Parameters!E11*G16^2,"")</f>
        <v>30.864390669262328</v>
      </c>
      <c r="J16" s="5">
        <f>IF(ISNUMBER(G16),1000*Parameters!E12*G16^2,"")</f>
        <v>57.856774277620552</v>
      </c>
      <c r="K16" s="13" t="str">
        <f>IF(COUNT(Parameters!C18:D18,Parameters!F33:I33)&lt;6,VLOOKUP("status.coordinatesNeeded",Locale!$A$2:$D$47,4,FALSE),IF(NOT(ISNUMBER(E16)),VLOOKUP("status.wheelTravelNeeded",Locale!$A$2:$D$47,4,FALSE),IF(E16&lt;=0,VLOOKUP("status.positiveWheelTravel",Locale!$A$2:$D$47,4,FALSE),IF(COUNT(L16:M16)&lt;2,VLOOKUP("status.invalidRadius",Locale!$A$2:$D$47,4,FALSE)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5" customHeight="1">
      <c r="A17" s="1"/>
      <c r="B17" s="3" t="str">
        <f>VLOOKUP("label.gravel",Locale!$A$2:$D$47,4,FALSE)</f>
        <v>砂石</v>
      </c>
      <c r="C17" s="3" t="str">
        <f>VLOOKUP("label.rear",Locale!$A$2:$D$47,4,FALSE)</f>
        <v>后轴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20.35671032754508</v>
      </c>
      <c r="I17" s="6">
        <f>IF(ISNUMBER(G17),1000*Parameters!E11*G17^2,"")</f>
        <v>38.902610020283568</v>
      </c>
      <c r="J17" s="6">
        <f>IF(ISNUMBER(G17),1000*Parameters!E12*G17^2,"")</f>
        <v>72.924800326461153</v>
      </c>
      <c r="K17" s="14" t="str">
        <f>IF(COUNT(Parameters!C18:D18,Parameters!F34:I34)&lt;6,VLOOKUP("status.coordinatesNeeded",Locale!$A$2:$D$47,4,FALSE),IF(NOT(ISNUMBER(E17)),VLOOKUP("status.wheelTravelNeeded",Locale!$A$2:$D$47,4,FALSE),IF(E17&lt;=0,VLOOKUP("status.positiveWheelTravel",Locale!$A$2:$D$47,4,FALSE),IF(COUNT(L17:M17)&lt;2,VLOOKUP("status.invalidRadius",Locale!$A$2:$D$47,4,FALSE)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40" customHeight="1">
      <c r="A22" s="1"/>
      <c r="B22" s="2" t="str">
        <f>VLOOKUP("label.setting",Locale!$A$2:$D$47,4,FALSE)</f>
        <v>设定</v>
      </c>
      <c r="C22" s="2" t="str">
        <f>VLOOKUP("label.front",Locale!$A$2:$D$47,4,FALSE)</f>
        <v>前轴</v>
      </c>
      <c r="D22" s="2" t="str">
        <f>VLOOKUP("label.rear",Locale!$A$2:$D$47,4,FALSE)</f>
        <v>后轴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5" customHeight="1">
      <c r="A23" s="1"/>
      <c r="B23" s="3" t="s">
        <v>59</v>
      </c>
      <c r="C23" s="6">
        <f>IF(ISNUMBER(H12),H12,NA())</f>
        <v>8.6385052748859135</v>
      </c>
      <c r="D23" s="6">
        <f>IF(ISNUMBER(H15),H15,NA())</f>
        <v>13.261207716193466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5" customHeight="1">
      <c r="A24" s="1"/>
      <c r="B24" s="4" t="s">
        <v>60</v>
      </c>
      <c r="C24" s="5">
        <f>IF(ISNUMBER(H13),H13,NA())</f>
        <v>10.160928227504549</v>
      </c>
      <c r="D24" s="5">
        <f>IF(ISNUMBER(H16),H16,NA())</f>
        <v>16.15052203342573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5" customHeight="1">
      <c r="A25" s="1"/>
      <c r="B25" s="3" t="s">
        <v>61</v>
      </c>
      <c r="C25" s="6">
        <f>IF(ISNUMBER(H14),H14,NA())</f>
        <v>12.047997452455359</v>
      </c>
      <c r="D25" s="6">
        <f>IF(ISNUMBER(H17),H17,NA())</f>
        <v>20.35671032754508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5" customHeight="1">
      <c r="A26" s="1"/>
      <c r="B26" s="4" t="s">
        <v>62</v>
      </c>
      <c r="C26" s="5">
        <f>IF(ISNUMBER(I12),I12,NA())</f>
        <v>16.003897503858848</v>
      </c>
      <c r="D26" s="5">
        <f>IF(ISNUMBER(I15),I15,NA())</f>
        <v>25.342778075639309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5" customHeight="1">
      <c r="A27" s="1"/>
      <c r="B27" s="3" t="s">
        <v>63</v>
      </c>
      <c r="C27" s="6">
        <f>IF(ISNUMBER(I13),I13,NA())</f>
        <v>18.824373977035812</v>
      </c>
      <c r="D27" s="6">
        <f>IF(ISNUMBER(I16),I16,NA())</f>
        <v>30.864390669262328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5" customHeight="1">
      <c r="A28" s="1"/>
      <c r="B28" s="4" t="s">
        <v>64</v>
      </c>
      <c r="C28" s="5">
        <f>IF(ISNUMBER(I14),I14,NA())</f>
        <v>22.320402687766435</v>
      </c>
      <c r="D28" s="5">
        <f>IF(ISNUMBER(I17),I17,NA())</f>
        <v>38.902610020283568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5" customHeight="1">
      <c r="A29" s="1"/>
      <c r="B29" s="3" t="s">
        <v>65</v>
      </c>
      <c r="C29" s="6">
        <f>IF(ISNUMBER(J12),J12,NA())</f>
        <v>30.023313637124545</v>
      </c>
      <c r="D29" s="6">
        <f>IF(ISNUMBER(J15),J15,NA())</f>
        <v>47.50624777926771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5" customHeight="1">
      <c r="A30" s="1"/>
      <c r="B30" s="4" t="s">
        <v>66</v>
      </c>
      <c r="C30" s="5">
        <f>IF(ISNUMBER(J13),J13,NA())</f>
        <v>35.314527839159076</v>
      </c>
      <c r="D30" s="5">
        <f>IF(ISNUMBER(J16),J16,NA())</f>
        <v>57.856774277620552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5" customHeight="1">
      <c r="A31" s="1"/>
      <c r="B31" s="3" t="s">
        <v>67</v>
      </c>
      <c r="C31" s="6">
        <f>IF(ISNUMBER(J14),J14,NA())</f>
        <v>41.87307811988596</v>
      </c>
      <c r="D31" s="6">
        <f>IF(ISNUMBER(J17),J17,NA())</f>
        <v>72.924800326461153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40" customHeight="1">
      <c r="A35" s="1"/>
      <c r="B35" s="2" t="str">
        <f>VLOOKUP("label.setting",Locale!$A$2:$D$47,4,FALSE)</f>
        <v>设定</v>
      </c>
      <c r="C35" s="2" t="str">
        <f>VLOOKUP("label.front",Locale!$A$2:$D$47,4,FALSE)</f>
        <v>前轴</v>
      </c>
      <c r="D35" s="2" t="str">
        <f>VLOOKUP("label.rear",Locale!$A$2:$D$47,4,FALSE)</f>
        <v>后轴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5" customHeight="1">
      <c r="A36" s="1"/>
      <c r="B36" s="4" t="s">
        <v>59</v>
      </c>
      <c r="C36" s="5">
        <f>IF(ISNUMBER(H6),H6,NA())</f>
        <v>7.9783974334529209</v>
      </c>
      <c r="D36" s="5">
        <f>IF(ISNUMBER(H9),H9,NA())</f>
        <v>13.514384660591768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5" customHeight="1">
      <c r="A37" s="1"/>
      <c r="B37" s="3" t="s">
        <v>60</v>
      </c>
      <c r="C37" s="6">
        <f>IF(ISNUMBER(H7),H7,NA())</f>
        <v>9.7673728521340628</v>
      </c>
      <c r="D37" s="6">
        <f>IF(ISNUMBER(H10),H10,NA())</f>
        <v>16.804738127112959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5" customHeight="1">
      <c r="A38" s="1"/>
      <c r="B38" s="4" t="s">
        <v>61</v>
      </c>
      <c r="C38" s="5">
        <f>IF(ISNUMBER(H8),H8,NA())</f>
        <v>13.080712911938672</v>
      </c>
      <c r="D38" s="5">
        <f>IF(ISNUMBER(H11),H11,NA())</f>
        <v>22.02847631278453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5" customHeight="1">
      <c r="A39" s="1"/>
      <c r="B39" s="3" t="s">
        <v>62</v>
      </c>
      <c r="C39" s="6">
        <f>IF(ISNUMBER(I6),I6,NA())</f>
        <v>14.780966232808993</v>
      </c>
      <c r="D39" s="6">
        <f>IF(ISNUMBER(I9),I9,NA())</f>
        <v>25.826610864708716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5" customHeight="1">
      <c r="A40" s="1"/>
      <c r="B40" s="4" t="s">
        <v>63</v>
      </c>
      <c r="C40" s="5">
        <f>IF(ISNUMBER(I7),I7,NA())</f>
        <v>18.095264057078605</v>
      </c>
      <c r="D40" s="5">
        <f>IF(ISNUMBER(I10),I10,NA())</f>
        <v>32.114627723884531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5" customHeight="1">
      <c r="A41" s="1"/>
      <c r="B41" s="3" t="s">
        <v>64</v>
      </c>
      <c r="C41" s="6">
        <f>IF(ISNUMBER(I8),I8,NA())</f>
        <v>24.233635572195013</v>
      </c>
      <c r="D41" s="6">
        <f>IF(ISNUMBER(I11),I11,NA())</f>
        <v>42.097431733738119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5" customHeight="1">
      <c r="A42" s="1"/>
      <c r="B42" s="4" t="s">
        <v>65</v>
      </c>
      <c r="C42" s="5">
        <f>IF(ISNUMBER(J6),J6,NA())</f>
        <v>27.729094425927766</v>
      </c>
      <c r="D42" s="5">
        <f>IF(ISNUMBER(J9),J9,NA())</f>
        <v>48.413215448426278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5" customHeight="1">
      <c r="A43" s="1"/>
      <c r="B43" s="3" t="s">
        <v>66</v>
      </c>
      <c r="C43" s="6">
        <f>IF(ISNUMBER(J7),J7,NA())</f>
        <v>33.946717541852699</v>
      </c>
      <c r="D43" s="6">
        <f>IF(ISNUMBER(J10),J10,NA())</f>
        <v>60.200403343164751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5" customHeight="1">
      <c r="A44" s="1"/>
      <c r="B44" s="4" t="s">
        <v>67</v>
      </c>
      <c r="C44" s="5">
        <f>IF(ISNUMBER(J8),J8,NA())</f>
        <v>45.462303240592291</v>
      </c>
      <c r="D44" s="5">
        <f>IF(ISNUMBER(J11),J11,NA())</f>
        <v>78.913646201091169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5" customHeight="1">
      <c r="A49" s="1"/>
      <c r="B49" s="2" t="str">
        <f>VLOOKUP("label.originalTableValue",Locale!$A$2:$D$47,4,FALSE)</f>
        <v>旧表原值</v>
      </c>
      <c r="C49" s="2" t="str">
        <f>VLOOKUP("label.originalTableValue",Locale!$A$2:$D$47,4,FALSE)</f>
        <v>旧表原值</v>
      </c>
      <c r="D49" s="2" t="str">
        <f>VLOOKUP("label.originalTableValue",Locale!$A$2:$D$47,4,FALSE)</f>
        <v>旧表原值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5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5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5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5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5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5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5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5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2" customHeight="1"/>
    <row r="92" spans="1:13" ht="22" customHeight="1"/>
    <row r="93" spans="1:13" ht="22" customHeight="1"/>
    <row r="94" spans="1:13" ht="22" customHeight="1"/>
    <row r="95" spans="1:13" ht="22" customHeight="1"/>
    <row r="96" spans="1:13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35.15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</sheetData>
  <mergeCells count="2">
    <mergeCell ref="B2:K3"/>
    <mergeCell ref="B49:D49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Comparison</vt:lpstr>
      <vt:lpstr>Parameters</vt:lpstr>
      <vt:lpstr>Locale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2026-10-27T06:06:37Z</cp:lastPrinted>
  <dcterms:modified xsi:type="dcterms:W3CDTF">2026-10-27T06:06:41Z</dcterms:modified>
</cp:coreProperties>
</file>