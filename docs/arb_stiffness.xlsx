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n1corn\UserSpace\Games\Steam_Library\common\BeamNG_Userdata\current\mods\unpacked\un1corn_qlourie_astral_r\docs\"/>
    </mc:Choice>
  </mc:AlternateContent>
  <xr:revisionPtr revIDLastSave="0" documentId="13_ncr:1_{F9A3CF3C-168E-43FE-9070-7AEC032FD9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rison" sheetId="1" r:id="rId1"/>
    <sheet name="Parameters" sheetId="5" r:id="rId2"/>
    <sheet name="Samples" sheetId="7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7" l="1"/>
  <c r="M17" i="7" s="1"/>
  <c r="N17" i="7"/>
  <c r="L17" i="7" s="1"/>
  <c r="E17" i="7"/>
  <c r="O16" i="7"/>
  <c r="M16" i="7" s="1"/>
  <c r="N16" i="7"/>
  <c r="L16" i="7" s="1"/>
  <c r="E16" i="7"/>
  <c r="O15" i="7"/>
  <c r="M15" i="7" s="1"/>
  <c r="N15" i="7"/>
  <c r="L15" i="7" s="1"/>
  <c r="E15" i="7"/>
  <c r="O14" i="7"/>
  <c r="M14" i="7" s="1"/>
  <c r="N14" i="7"/>
  <c r="L14" i="7" s="1"/>
  <c r="E14" i="7"/>
  <c r="O13" i="7"/>
  <c r="M13" i="7" s="1"/>
  <c r="N13" i="7"/>
  <c r="L13" i="7" s="1"/>
  <c r="E13" i="7"/>
  <c r="O12" i="7"/>
  <c r="M12" i="7" s="1"/>
  <c r="N12" i="7"/>
  <c r="L12" i="7" s="1"/>
  <c r="E12" i="7"/>
  <c r="O11" i="7"/>
  <c r="N11" i="7"/>
  <c r="M11" i="7"/>
  <c r="L11" i="7"/>
  <c r="K11" i="7"/>
  <c r="E11" i="7"/>
  <c r="O10" i="7"/>
  <c r="N10" i="7"/>
  <c r="M10" i="7"/>
  <c r="L10" i="7"/>
  <c r="K10" i="7"/>
  <c r="E10" i="7"/>
  <c r="O9" i="7"/>
  <c r="N9" i="7"/>
  <c r="M9" i="7"/>
  <c r="L9" i="7"/>
  <c r="K9" i="7"/>
  <c r="E9" i="7"/>
  <c r="O8" i="7"/>
  <c r="N8" i="7"/>
  <c r="M8" i="7"/>
  <c r="L8" i="7"/>
  <c r="K8" i="7"/>
  <c r="E8" i="7"/>
  <c r="O7" i="7"/>
  <c r="N7" i="7"/>
  <c r="M7" i="7"/>
  <c r="L7" i="7"/>
  <c r="K7" i="7"/>
  <c r="E7" i="7"/>
  <c r="O6" i="7"/>
  <c r="N6" i="7"/>
  <c r="M6" i="7"/>
  <c r="L6" i="7"/>
  <c r="K6" i="7"/>
  <c r="E6" i="7"/>
  <c r="E12" i="5"/>
  <c r="E11" i="5"/>
  <c r="E10" i="5"/>
  <c r="E9" i="5"/>
  <c r="E7" i="5"/>
  <c r="K16" i="7" l="1"/>
  <c r="K17" i="7"/>
  <c r="K13" i="7"/>
  <c r="F7" i="7"/>
  <c r="G7" i="7" s="1"/>
  <c r="I7" i="7" s="1"/>
  <c r="C40" i="7" s="1"/>
  <c r="K15" i="7"/>
  <c r="F11" i="7"/>
  <c r="G11" i="7" s="1"/>
  <c r="H11" i="7" s="1"/>
  <c r="D38" i="7" s="1"/>
  <c r="K12" i="7"/>
  <c r="F14" i="7"/>
  <c r="G14" i="7" s="1"/>
  <c r="J14" i="7" s="1"/>
  <c r="C31" i="7" s="1"/>
  <c r="K14" i="7"/>
  <c r="F10" i="7"/>
  <c r="G10" i="7" s="1"/>
  <c r="H10" i="7" s="1"/>
  <c r="D37" i="7" s="1"/>
  <c r="F13" i="7"/>
  <c r="G13" i="7" s="1"/>
  <c r="F9" i="7"/>
  <c r="G9" i="7" s="1"/>
  <c r="F12" i="7"/>
  <c r="G12" i="7" s="1"/>
  <c r="F6" i="7"/>
  <c r="G6" i="7" s="1"/>
  <c r="F8" i="7"/>
  <c r="G8" i="7" s="1"/>
  <c r="J8" i="7" s="1"/>
  <c r="C44" i="7" s="1"/>
  <c r="F15" i="7"/>
  <c r="G15" i="7" s="1"/>
  <c r="F17" i="7"/>
  <c r="G17" i="7" s="1"/>
  <c r="F16" i="7"/>
  <c r="G16" i="7" s="1"/>
  <c r="H7" i="7" l="1"/>
  <c r="C37" i="7" s="1"/>
  <c r="J7" i="7"/>
  <c r="C43" i="7" s="1"/>
  <c r="I11" i="7"/>
  <c r="D41" i="7" s="1"/>
  <c r="J11" i="7"/>
  <c r="D44" i="7" s="1"/>
  <c r="J9" i="7"/>
  <c r="D42" i="7" s="1"/>
  <c r="H9" i="7"/>
  <c r="D36" i="7" s="1"/>
  <c r="I9" i="7"/>
  <c r="D39" i="7" s="1"/>
  <c r="H14" i="7"/>
  <c r="C25" i="7" s="1"/>
  <c r="I14" i="7"/>
  <c r="C28" i="7" s="1"/>
  <c r="I6" i="7"/>
  <c r="C39" i="7" s="1"/>
  <c r="H6" i="7"/>
  <c r="J6" i="7"/>
  <c r="C42" i="7" s="1"/>
  <c r="J12" i="7"/>
  <c r="C29" i="7" s="1"/>
  <c r="I12" i="7"/>
  <c r="C26" i="7" s="1"/>
  <c r="H12" i="7"/>
  <c r="C23" i="7" s="1"/>
  <c r="I8" i="7"/>
  <c r="C41" i="7" s="1"/>
  <c r="I10" i="7"/>
  <c r="D40" i="7" s="1"/>
  <c r="J10" i="7"/>
  <c r="D43" i="7" s="1"/>
  <c r="H8" i="7"/>
  <c r="C38" i="7" s="1"/>
  <c r="J17" i="7"/>
  <c r="D31" i="7" s="1"/>
  <c r="I17" i="7"/>
  <c r="D28" i="7" s="1"/>
  <c r="H17" i="7"/>
  <c r="D25" i="7" s="1"/>
  <c r="H13" i="7"/>
  <c r="C24" i="7" s="1"/>
  <c r="J13" i="7"/>
  <c r="C30" i="7" s="1"/>
  <c r="I13" i="7"/>
  <c r="C27" i="7" s="1"/>
  <c r="J16" i="7"/>
  <c r="D30" i="7" s="1"/>
  <c r="I16" i="7"/>
  <c r="D27" i="7" s="1"/>
  <c r="H16" i="7"/>
  <c r="D24" i="7" s="1"/>
  <c r="I15" i="7"/>
  <c r="D26" i="7" s="1"/>
  <c r="H15" i="7"/>
  <c r="D23" i="7" s="1"/>
  <c r="J15" i="7"/>
  <c r="D29" i="7" s="1"/>
  <c r="B5" i="1" l="1"/>
  <c r="C36" i="7"/>
</calcChain>
</file>

<file path=xl/sharedStrings.xml><?xml version="1.0" encoding="utf-8"?>
<sst xmlns="http://schemas.openxmlformats.org/spreadsheetml/2006/main" count="320" uniqueCount="68">
  <si>
    <t>Astral · Anti-Roll Bar Stiffness</t>
  </si>
  <si>
    <t>区间等效轮端刚度 · 整段角运动比 · 对侧轮固定</t>
  </si>
  <si>
    <t>整段角运动比换算值；不代表行程内每一位置的瞬时刚度。</t>
  </si>
  <si>
    <t>Astral · ARB Parameters</t>
  </si>
  <si>
    <t>黄色单元格为手动输入。</t>
  </si>
  <si>
    <t>Axle</t>
  </si>
  <si>
    <t>Bar</t>
  </si>
  <si>
    <t>Diameter
(mm)</t>
  </si>
  <si>
    <t>Torsion
(N·m/rad)</t>
  </si>
  <si>
    <t>Front</t>
  </si>
  <si>
    <t>Rear</t>
  </si>
  <si>
    <t>固定几何 · 生成位置 / 转轴</t>
  </si>
  <si>
    <t>节点使用车身相对坐标（m）；旋转半径按 Y/Z 计算。</t>
  </si>
  <si>
    <t>arb1 Start Y
(m)</t>
  </si>
  <si>
    <t>arb1 Start Z
(m)</t>
  </si>
  <si>
    <t>arb2 Y
(m)</t>
  </si>
  <si>
    <t>arb2 Z
(m)</t>
  </si>
  <si>
    <t>Start angle
(°)</t>
  </si>
  <si>
    <t>测量 · 每组填写轮行程和 arb1 终点</t>
  </si>
  <si>
    <t>Surface</t>
  </si>
  <si>
    <t>Position</t>
  </si>
  <si>
    <t>Wheel ΔZ
(mm)</t>
  </si>
  <si>
    <t>arb1 End Y
(m)</t>
  </si>
  <si>
    <t>arb1 End Z
(m)</t>
  </si>
  <si>
    <t>End angle
(°)</t>
  </si>
  <si>
    <t>Tarmac</t>
  </si>
  <si>
    <t>Gravel</t>
  </si>
  <si>
    <t>原 Z 测量记录（不参与刚度计算）</t>
  </si>
  <si>
    <t>ARB ΔZ (mm)</t>
  </si>
  <si>
    <t>Original arm (mm)</t>
  </si>
  <si>
    <t>Astral · ARB Calculations</t>
  </si>
  <si>
    <t>Arm Δθ
(°)</t>
  </si>
  <si>
    <t>Angular MR
(rad/mm)</t>
  </si>
  <si>
    <t>Input</t>
  </si>
  <si>
    <t>Setting</t>
  </si>
  <si>
    <t>旧表原值</t>
  </si>
  <si>
    <t>Tarmac!I19</t>
  </si>
  <si>
    <t>Tarmac!J19</t>
  </si>
  <si>
    <t>Tarmac!K19</t>
  </si>
  <si>
    <t>Tarmac!I20</t>
  </si>
  <si>
    <t>Tarmac!J20</t>
  </si>
  <si>
    <t>Gravel!K6</t>
  </si>
  <si>
    <t>Gravel!K7</t>
  </si>
  <si>
    <t>Gravel!K8</t>
  </si>
  <si>
    <t>#1</t>
  </si>
  <si>
    <t>#2</t>
  </si>
  <si>
    <t>#3</t>
  </si>
  <si>
    <t>固定转轴</t>
  </si>
  <si>
    <t>节点使用车身相对坐标（m）。</t>
  </si>
  <si>
    <t>测量 · 各档起点 / 终点</t>
  </si>
  <si>
    <t>起点为 wheeljack 架起、全伸展稳定后的位置；轮行程从同一起点计算。</t>
  </si>
  <si>
    <t>L</t>
  </si>
  <si>
    <t>M</t>
  </si>
  <si>
    <t>H</t>
  </si>
  <si>
    <t>#1
(N/mm)</t>
  </si>
  <si>
    <t>#2
(N/mm)</t>
  </si>
  <si>
    <t>#3
(N/mm)</t>
  </si>
  <si>
    <t>Start radius
(mm)</t>
  </si>
  <si>
    <t>End radius
(mm)</t>
  </si>
  <si>
    <t>#1 L</t>
  </si>
  <si>
    <t>#1 M</t>
  </si>
  <si>
    <t>#1 H</t>
  </si>
  <si>
    <t>#2 L</t>
  </si>
  <si>
    <t>#2 M</t>
  </si>
  <si>
    <t>#2 H</t>
  </si>
  <si>
    <t>#3 L</t>
  </si>
  <si>
    <t>#3 M</t>
  </si>
  <si>
    <t>#3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</si>
</sst>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0.000"/>
    <numFmt numFmtId="179" formatCode="0.000000"/>
  </numFmts>
  <fonts count="23">
    <font>
      <sz val="11"/>
      <name val="Carlito"/>
    </font>
    <font>
      <sz val="11"/>
      <color rgb="FF283C50"/>
      <name val="Arial"/>
      <family val="2"/>
    </font>
    <font>
      <sz val="11"/>
      <color rgb="FF667B91"/>
      <name val="Microsoft YaHei"/>
      <family val="2"/>
      <charset val="134"/>
    </font>
    <font>
      <sz val="10"/>
      <color rgb="FF667B91"/>
      <name val="Microsoft YaHei"/>
      <family val="2"/>
      <charset val="134"/>
    </font>
    <font>
      <b/>
      <sz val="11"/>
      <color rgb="FFFFFFFF"/>
      <name val="Arial"/>
      <family val="2"/>
    </font>
    <font>
      <b/>
      <sz val="12"/>
      <color rgb="FF667B91"/>
      <name val="Microsoft YaHei"/>
      <family val="2"/>
      <charset val="134"/>
    </font>
    <font>
      <sz val="10"/>
      <color rgb="FF667B91"/>
      <name val="Microsoft YaHei"/>
      <family val="2"/>
      <charset val="134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b/>
      <sz val="12"/>
      <color rgb="FF667B91"/>
      <name val="Microsoft YaHei"/>
      <family val="2"/>
      <charset val="134"/>
    </font>
    <font>
      <sz val="11"/>
      <color rgb="FF667B91"/>
      <name val="Microsoft YaHei"/>
      <family val="2"/>
      <charset val="134"/>
    </font>
    <font>
      <sz val="9"/>
      <name val="宋体"/>
      <family val="3"/>
      <charset val="134"/>
    </font>
    <font>
      <sz val="11"/>
      <color rgb="FF283C50"/>
      <name val="Arial"/>
      <family val="2"/>
    </font>
    <font>
      <sz val="10"/>
      <color rgb="FF667B91"/>
      <name val="Microsoft YaHei"/>
      <family val="2"/>
    </font>
    <font>
      <b/>
      <sz val="11"/>
      <color rgb="FFFFFFFF"/>
      <name val="Arial"/>
      <family val="2"/>
    </font>
    <font>
      <sz val="11"/>
      <color rgb="FF283C50"/>
      <name val="Arial"/>
      <family val="2"/>
    </font>
    <font>
      <b/>
      <sz val="12"/>
      <color rgb="FF667B91"/>
      <name val="Microsoft YaHei"/>
      <family val="2"/>
    </font>
    <font>
      <sz val="10"/>
      <color rgb="FF667B91"/>
      <name val="Microsoft YaHei"/>
      <family val="2"/>
    </font>
    <font>
      <b/>
      <sz val="11"/>
      <color rgb="FFFFFFFF"/>
      <name val="Arial"/>
      <family val="2"/>
    </font>
    <font>
      <sz val="11"/>
      <color rgb="FF283C50"/>
      <name val="Arial"/>
      <family val="2"/>
    </font>
    <font>
      <sz val="11"/>
      <color rgb="FF195DB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12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11" fillId="10" borderId="2" xfId="0" applyFont="1" applyFill="1" applyBorder="1" applyAlignment="1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176" fontId="1" fillId="4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vertical="center"/>
    </xf>
    <xf numFmtId="178" fontId="1" fillId="4" borderId="1" xfId="0" applyNumberFormat="1" applyFont="1" applyFill="1" applyBorder="1" applyAlignment="1">
      <alignment vertical="center"/>
    </xf>
    <xf numFmtId="179" fontId="1" fillId="2" borderId="1" xfId="0" applyNumberFormat="1" applyFont="1" applyFill="1" applyBorder="1" applyAlignment="1">
      <alignment vertical="center"/>
    </xf>
    <xf numFmtId="179" fontId="1" fillId="4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6" borderId="2" xfId="1" applyFont="1" applyFill="1" applyBorder="1">
      <alignment vertical="center"/>
    </xf>
    <xf numFmtId="0" fontId="9" fillId="7" borderId="2" xfId="1" applyFont="1" applyFill="1" applyBorder="1" applyAlignment="1">
      <alignment horizontal="center" vertical="center" wrapText="1"/>
    </xf>
    <xf numFmtId="0" fontId="7" fillId="8" borderId="3" xfId="1" applyFont="1" applyFill="1" applyBorder="1">
      <alignment vertical="center"/>
    </xf>
    <xf numFmtId="0" fontId="7" fillId="6" borderId="3" xfId="1" applyFont="1" applyFill="1" applyBorder="1">
      <alignment vertical="center"/>
    </xf>
    <xf numFmtId="176" fontId="10" fillId="9" borderId="3" xfId="1" applyNumberFormat="1" applyFont="1" applyFill="1" applyBorder="1" applyAlignment="1">
      <alignment horizontal="right" vertical="center"/>
    </xf>
    <xf numFmtId="1" fontId="10" fillId="9" borderId="3" xfId="1" applyNumberFormat="1" applyFont="1" applyFill="1" applyBorder="1" applyAlignment="1">
      <alignment horizontal="right" vertical="center"/>
    </xf>
    <xf numFmtId="1" fontId="7" fillId="8" borderId="3" xfId="1" applyNumberFormat="1" applyFont="1" applyFill="1" applyBorder="1">
      <alignment vertical="center"/>
    </xf>
    <xf numFmtId="1" fontId="7" fillId="6" borderId="3" xfId="1" applyNumberFormat="1" applyFont="1" applyFill="1" applyBorder="1">
      <alignment vertical="center"/>
    </xf>
    <xf numFmtId="177" fontId="10" fillId="9" borderId="3" xfId="1" applyNumberFormat="1" applyFont="1" applyFill="1" applyBorder="1" applyAlignment="1">
      <alignment horizontal="right" vertical="center"/>
    </xf>
    <xf numFmtId="176" fontId="7" fillId="8" borderId="3" xfId="1" applyNumberFormat="1" applyFont="1" applyFill="1" applyBorder="1">
      <alignment vertical="center"/>
    </xf>
    <xf numFmtId="176" fontId="7" fillId="6" borderId="3" xfId="1" applyNumberFormat="1" applyFont="1" applyFill="1" applyBorder="1">
      <alignment vertical="center"/>
    </xf>
    <xf numFmtId="0" fontId="17" fillId="12" borderId="6" xfId="3" applyFont="1" applyFill="1" applyBorder="1">
      <alignment vertical="center"/>
    </xf>
    <xf numFmtId="0" fontId="20" fillId="14" borderId="4" xfId="2" applyFont="1" applyFill="1" applyAlignment="1">
      <alignment horizontal="center" vertical="center" wrapText="1"/>
    </xf>
    <xf numFmtId="0" fontId="21" fillId="15" borderId="5" xfId="2" applyFont="1" applyFill="1" applyBorder="1" applyAlignment="1">
      <alignment vertical="center"/>
    </xf>
    <xf numFmtId="177" fontId="22" fillId="16" borderId="5" xfId="2" applyNumberFormat="1" applyFont="1" applyFill="1" applyBorder="1" applyAlignment="1">
      <alignment horizontal="right" vertical="center"/>
    </xf>
    <xf numFmtId="0" fontId="21" fillId="17" borderId="5" xfId="2" applyFont="1" applyFill="1" applyBorder="1" applyAlignment="1">
      <alignment vertical="center"/>
    </xf>
    <xf numFmtId="0" fontId="16" fillId="14" borderId="4" xfId="2" applyFont="1" applyFill="1" applyAlignment="1">
      <alignment horizontal="center" vertical="center" wrapText="1"/>
    </xf>
    <xf numFmtId="176" fontId="22" fillId="16" borderId="5" xfId="2" applyNumberFormat="1" applyFont="1" applyFill="1" applyBorder="1" applyAlignment="1">
      <alignment horizontal="right" vertical="center"/>
    </xf>
    <xf numFmtId="2" fontId="14" fillId="17" borderId="5" xfId="2" applyNumberFormat="1" applyFont="1" applyFill="1" applyBorder="1" applyAlignment="1">
      <alignment horizontal="right" vertical="center"/>
    </xf>
    <xf numFmtId="2" fontId="14" fillId="15" borderId="5" xfId="2" applyNumberFormat="1" applyFont="1" applyFill="1" applyBorder="1" applyAlignment="1">
      <alignment horizontal="right" vertical="center"/>
    </xf>
    <xf numFmtId="176" fontId="21" fillId="17" borderId="5" xfId="2" applyNumberFormat="1" applyFont="1" applyFill="1" applyBorder="1" applyAlignment="1">
      <alignment horizontal="right" vertical="center"/>
    </xf>
    <xf numFmtId="176" fontId="21" fillId="15" borderId="5" xfId="2" applyNumberFormat="1" applyFont="1" applyFill="1" applyBorder="1" applyAlignment="1">
      <alignment horizontal="right" vertical="center"/>
    </xf>
    <xf numFmtId="0" fontId="12" fillId="6" borderId="2" xfId="1" applyFont="1" applyFill="1" applyBorder="1">
      <alignment vertical="center"/>
    </xf>
    <xf numFmtId="0" fontId="18" fillId="13" borderId="6" xfId="3" applyFont="1" applyFill="1" applyBorder="1">
      <alignment vertical="center"/>
    </xf>
    <xf numFmtId="0" fontId="19" fillId="12" borderId="6" xfId="3" applyFont="1" applyFill="1" applyBorder="1">
      <alignment vertical="center"/>
    </xf>
    <xf numFmtId="0" fontId="15" fillId="11" borderId="4" xfId="2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Gravel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rgbClr val="4472C4"/>
            </a:solidFill>
          </c:spPr>
          <c:invertIfNegative val="0"/>
          <c:cat>
            <c:strRef>
              <c:f>Samples!$B$23:$B$31</c:f>
              <c:strCache>
                <c:ptCount val="9"/>
                <c:pt idx="0">
                  <c:v>#1 L</c:v>
                </c:pt>
                <c:pt idx="1">
                  <c:v>#1 M</c:v>
                </c:pt>
                <c:pt idx="2">
                  <c:v>#1 H</c:v>
                </c:pt>
                <c:pt idx="3">
                  <c:v>#2 L</c:v>
                </c:pt>
                <c:pt idx="4">
                  <c:v>#2 M</c:v>
                </c:pt>
                <c:pt idx="5">
                  <c:v>#2 H</c:v>
                </c:pt>
                <c:pt idx="6">
                  <c:v>#3 L</c:v>
                </c:pt>
                <c:pt idx="7">
                  <c:v>#3 M</c:v>
                </c:pt>
                <c:pt idx="8">
                  <c:v>#3 H</c:v>
                </c:pt>
              </c:strCache>
            </c:strRef>
          </c:cat>
          <c:val>
            <c:numRef>
              <c:f>Samples!$C$23:$C$31</c:f>
              <c:numCache>
                <c:formatCode>0.00</c:formatCode>
                <c:ptCount val="9"/>
                <c:pt idx="0">
                  <c:v>5.2468630107600935</c:v>
                </c:pt>
                <c:pt idx="1">
                  <c:v>5.504576622925577</c:v>
                </c:pt>
                <c:pt idx="2">
                  <c:v>6.0098659998526269</c:v>
                </c:pt>
                <c:pt idx="3">
                  <c:v>11.07997992589914</c:v>
                </c:pt>
                <c:pt idx="4">
                  <c:v>11.624202567803193</c:v>
                </c:pt>
                <c:pt idx="5">
                  <c:v>12.691239412798074</c:v>
                </c:pt>
                <c:pt idx="6">
                  <c:v>20.394062528804113</c:v>
                </c:pt>
                <c:pt idx="7">
                  <c:v>21.395771075463013</c:v>
                </c:pt>
                <c:pt idx="8">
                  <c:v>23.359783310403735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9-4768-BF96-7948BCA9D847}"/>
            </c:ext>
          </c:extLst>
        </c:ser>
        <c:ser>
          <c:idx val="1"/>
          <c:order val="1"/>
          <c:tx>
            <c:v>Rear</c:v>
          </c:tx>
          <c:spPr>
            <a:solidFill>
              <a:srgbClr val="ED7D31"/>
            </a:solidFill>
          </c:spPr>
          <c:invertIfNegative val="0"/>
          <c:cat>
            <c:strRef>
              <c:f>Samples!$B$23:$B$31</c:f>
              <c:strCache>
                <c:ptCount val="9"/>
                <c:pt idx="0">
                  <c:v>#1 L</c:v>
                </c:pt>
                <c:pt idx="1">
                  <c:v>#1 M</c:v>
                </c:pt>
                <c:pt idx="2">
                  <c:v>#1 H</c:v>
                </c:pt>
                <c:pt idx="3">
                  <c:v>#2 L</c:v>
                </c:pt>
                <c:pt idx="4">
                  <c:v>#2 M</c:v>
                </c:pt>
                <c:pt idx="5">
                  <c:v>#2 H</c:v>
                </c:pt>
                <c:pt idx="6">
                  <c:v>#3 L</c:v>
                </c:pt>
                <c:pt idx="7">
                  <c:v>#3 M</c:v>
                </c:pt>
                <c:pt idx="8">
                  <c:v>#3 H</c:v>
                </c:pt>
              </c:strCache>
            </c:strRef>
          </c:cat>
          <c:val>
            <c:numRef>
              <c:f>Samples!$D$23:$D$31</c:f>
              <c:numCache>
                <c:formatCode>0.00</c:formatCode>
                <c:ptCount val="9"/>
                <c:pt idx="0">
                  <c:v>11.08545128513005</c:v>
                </c:pt>
                <c:pt idx="1">
                  <c:v>13.681622555635043</c:v>
                </c:pt>
                <c:pt idx="2">
                  <c:v>17.523535202834569</c:v>
                </c:pt>
                <c:pt idx="3">
                  <c:v>22.798183207336258</c:v>
                </c:pt>
                <c:pt idx="4">
                  <c:v>28.137432529733275</c:v>
                </c:pt>
                <c:pt idx="5">
                  <c:v>36.038656047347558</c:v>
                </c:pt>
                <c:pt idx="6">
                  <c:v>38.393916352197742</c:v>
                </c:pt>
                <c:pt idx="7">
                  <c:v>47.385628104109358</c:v>
                </c:pt>
                <c:pt idx="8">
                  <c:v>60.691903961989226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9-4768-BF96-7948BCA9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Equivalent wheel rate (N/mm)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Tarmac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rgbClr val="4472C4"/>
            </a:solidFill>
          </c:spPr>
          <c:invertIfNegative val="0"/>
          <c:cat>
            <c:strRef>
              <c:f>Samples!$B$36:$B$44</c:f>
              <c:strCache>
                <c:ptCount val="9"/>
                <c:pt idx="0">
                  <c:v>#1 L</c:v>
                </c:pt>
                <c:pt idx="1">
                  <c:v>#1 M</c:v>
                </c:pt>
                <c:pt idx="2">
                  <c:v>#1 H</c:v>
                </c:pt>
                <c:pt idx="3">
                  <c:v>#2 L</c:v>
                </c:pt>
                <c:pt idx="4">
                  <c:v>#2 M</c:v>
                </c:pt>
                <c:pt idx="5">
                  <c:v>#2 H</c:v>
                </c:pt>
                <c:pt idx="6">
                  <c:v>#3 L</c:v>
                </c:pt>
                <c:pt idx="7">
                  <c:v>#3 M</c:v>
                </c:pt>
                <c:pt idx="8">
                  <c:v>#3 H</c:v>
                </c:pt>
              </c:strCache>
            </c:strRef>
          </c:cat>
          <c:val>
            <c:numRef>
              <c:f>Samples!$C$36:$C$44</c:f>
              <c:numCache>
                <c:formatCode>0.00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B-4CCD-8C49-F210734FBB33}"/>
            </c:ext>
          </c:extLst>
        </c:ser>
        <c:ser>
          <c:idx val="1"/>
          <c:order val="1"/>
          <c:tx>
            <c:v>Rear</c:v>
          </c:tx>
          <c:spPr>
            <a:solidFill>
              <a:srgbClr val="ED7D31"/>
            </a:solidFill>
          </c:spPr>
          <c:invertIfNegative val="0"/>
          <c:cat>
            <c:strRef>
              <c:f>Samples!$B$36:$B$44</c:f>
              <c:strCache>
                <c:ptCount val="9"/>
                <c:pt idx="0">
                  <c:v>#1 L</c:v>
                </c:pt>
                <c:pt idx="1">
                  <c:v>#1 M</c:v>
                </c:pt>
                <c:pt idx="2">
                  <c:v>#1 H</c:v>
                </c:pt>
                <c:pt idx="3">
                  <c:v>#2 L</c:v>
                </c:pt>
                <c:pt idx="4">
                  <c:v>#2 M</c:v>
                </c:pt>
                <c:pt idx="5">
                  <c:v>#2 H</c:v>
                </c:pt>
                <c:pt idx="6">
                  <c:v>#3 L</c:v>
                </c:pt>
                <c:pt idx="7">
                  <c:v>#3 M</c:v>
                </c:pt>
                <c:pt idx="8">
                  <c:v>#3 H</c:v>
                </c:pt>
              </c:strCache>
            </c:strRef>
          </c:cat>
          <c:val>
            <c:numRef>
              <c:f>Samples!$D$36:$D$44</c:f>
              <c:numCache>
                <c:formatCode>0.00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BB-4CCD-8C49-F210734FB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Equivalent wheel rate (N/mm)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O49"/>
  <sheetViews>
    <sheetView showGridLines="0" tabSelected="1" zoomScale="115" zoomScaleNormal="115" workbookViewId="0"/>
  </sheetViews>
  <sheetFormatPr defaultRowHeight="14.25"/>
  <cols>
    <col min="1" max="1" width="2.75" customWidth="1"/>
    <col min="2" max="14" width="10" customWidth="1"/>
    <col min="15" max="15" width="10.5" customWidth="1"/>
  </cols>
  <sheetData>
    <row r="1" spans="1:15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1" customHeight="1">
      <c r="A2" s="1"/>
      <c r="B2" s="41" t="s">
        <v>0</v>
      </c>
      <c r="C2" s="41" t="s">
        <v>0</v>
      </c>
      <c r="D2" s="41" t="s">
        <v>0</v>
      </c>
      <c r="E2" s="41" t="s">
        <v>0</v>
      </c>
      <c r="F2" s="41" t="s">
        <v>0</v>
      </c>
      <c r="G2" s="41" t="s">
        <v>0</v>
      </c>
      <c r="H2" s="41" t="s">
        <v>0</v>
      </c>
      <c r="I2" s="41" t="s">
        <v>0</v>
      </c>
      <c r="J2" s="41" t="s">
        <v>0</v>
      </c>
      <c r="K2" s="41" t="s">
        <v>0</v>
      </c>
      <c r="L2" s="41" t="s">
        <v>0</v>
      </c>
      <c r="M2" s="41" t="s">
        <v>0</v>
      </c>
      <c r="N2" s="41" t="s">
        <v>0</v>
      </c>
      <c r="O2" s="1"/>
    </row>
    <row r="3" spans="1:15" ht="26.1" customHeight="1">
      <c r="A3" s="1"/>
      <c r="B3" s="41" t="s">
        <v>0</v>
      </c>
      <c r="C3" s="41" t="s">
        <v>0</v>
      </c>
      <c r="D3" s="41" t="s">
        <v>0</v>
      </c>
      <c r="E3" s="41" t="s">
        <v>0</v>
      </c>
      <c r="F3" s="41" t="s">
        <v>0</v>
      </c>
      <c r="G3" s="41" t="s">
        <v>0</v>
      </c>
      <c r="H3" s="41" t="s">
        <v>0</v>
      </c>
      <c r="I3" s="41" t="s">
        <v>0</v>
      </c>
      <c r="J3" s="41" t="s">
        <v>0</v>
      </c>
      <c r="K3" s="41" t="s">
        <v>0</v>
      </c>
      <c r="L3" s="41" t="s">
        <v>0</v>
      </c>
      <c r="M3" s="41" t="s">
        <v>0</v>
      </c>
      <c r="N3" s="41" t="s">
        <v>0</v>
      </c>
      <c r="O3" s="1"/>
    </row>
    <row r="4" spans="1:15" ht="26.1" customHeight="1">
      <c r="A4" s="1"/>
      <c r="B4" s="42" t="s">
        <v>1</v>
      </c>
      <c r="C4" s="42" t="s">
        <v>1</v>
      </c>
      <c r="D4" s="42" t="s">
        <v>1</v>
      </c>
      <c r="E4" s="42" t="s">
        <v>1</v>
      </c>
      <c r="F4" s="42" t="s">
        <v>1</v>
      </c>
      <c r="G4" s="42" t="s">
        <v>1</v>
      </c>
      <c r="H4" s="42" t="s">
        <v>1</v>
      </c>
      <c r="I4" s="42" t="s">
        <v>1</v>
      </c>
      <c r="J4" s="42" t="s">
        <v>1</v>
      </c>
      <c r="K4" s="42" t="s">
        <v>1</v>
      </c>
      <c r="L4" s="42" t="s">
        <v>1</v>
      </c>
      <c r="M4" s="42" t="s">
        <v>1</v>
      </c>
      <c r="N4" s="42" t="s">
        <v>1</v>
      </c>
      <c r="O4" s="1"/>
    </row>
    <row r="5" spans="1:15" ht="26.1" customHeight="1">
      <c r="A5" s="1"/>
      <c r="B5" s="43" t="str">
        <f>IF(COUNT(Samples!H6:J17)=0,"待补节点坐标；暂无刚度结果。","")</f>
        <v/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1"/>
    </row>
    <row r="6" spans="1:15" ht="26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6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6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6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6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6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6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6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6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6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6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6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6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6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6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6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6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6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6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6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6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6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6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6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6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6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6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6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26.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26.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26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26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6.1" customHeight="1">
      <c r="A49" s="1"/>
      <c r="B49" s="43" t="s">
        <v>2</v>
      </c>
      <c r="C49" s="43" t="s">
        <v>2</v>
      </c>
      <c r="D49" s="43" t="s">
        <v>2</v>
      </c>
      <c r="E49" s="43" t="s">
        <v>2</v>
      </c>
      <c r="F49" s="43" t="s">
        <v>2</v>
      </c>
      <c r="G49" s="43" t="s">
        <v>2</v>
      </c>
      <c r="H49" s="43" t="s">
        <v>2</v>
      </c>
      <c r="I49" s="43" t="s">
        <v>2</v>
      </c>
      <c r="J49" s="43" t="s">
        <v>2</v>
      </c>
      <c r="K49" s="43" t="s">
        <v>2</v>
      </c>
      <c r="L49" s="43" t="s">
        <v>2</v>
      </c>
      <c r="M49" s="43" t="s">
        <v>2</v>
      </c>
      <c r="N49" s="43" t="s">
        <v>2</v>
      </c>
      <c r="O49" s="1"/>
    </row>
  </sheetData>
  <mergeCells count="4">
    <mergeCell ref="B2:N3"/>
    <mergeCell ref="B4:N4"/>
    <mergeCell ref="B5:N5"/>
    <mergeCell ref="B49:N49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N118"/>
  <sheetViews>
    <sheetView showGridLines="0" zoomScale="130" zoomScaleNormal="130" workbookViewId="0">
      <pane ySplit="4" topLeftCell="A18" activePane="bottomLeft" state="frozen"/>
      <selection pane="bottomLeft" activeCell="F31" sqref="F31"/>
    </sheetView>
  </sheetViews>
  <sheetFormatPr defaultRowHeight="14.25"/>
  <cols>
    <col min="1" max="1" width="2.75" customWidth="1"/>
    <col min="2" max="2" width="13.5" customWidth="1"/>
    <col min="3" max="3" width="13.75" customWidth="1"/>
    <col min="4" max="4" width="15.5" customWidth="1"/>
    <col min="5" max="5" width="18.125" customWidth="1"/>
    <col min="6" max="7" width="16.5" customWidth="1"/>
    <col min="8" max="9" width="15.625" customWidth="1"/>
    <col min="10" max="10" width="2.75" customWidth="1"/>
    <col min="11" max="14" width="10" customWidth="1"/>
    <col min="15" max="15" width="10.5" customWidth="1"/>
  </cols>
  <sheetData>
    <row r="1" spans="1:10" ht="27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7" customHeight="1">
      <c r="A2" s="15"/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15"/>
    </row>
    <row r="3" spans="1:10" ht="27" customHeight="1">
      <c r="A3" s="15"/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15"/>
    </row>
    <row r="4" spans="1:10" ht="27" customHeight="1">
      <c r="A4" s="15"/>
      <c r="B4" s="1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15"/>
    </row>
    <row r="5" spans="1:10" ht="27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42" customHeight="1">
      <c r="A6" s="15"/>
      <c r="B6" s="16" t="s">
        <v>5</v>
      </c>
      <c r="C6" s="16" t="s">
        <v>6</v>
      </c>
      <c r="D6" s="16" t="s">
        <v>7</v>
      </c>
      <c r="E6" s="16" t="s">
        <v>8</v>
      </c>
      <c r="F6" s="15"/>
      <c r="G6" s="15"/>
      <c r="H6" s="15"/>
      <c r="I6" s="15"/>
      <c r="J6" s="15"/>
    </row>
    <row r="7" spans="1:10" ht="27" customHeight="1">
      <c r="A7" s="15"/>
      <c r="B7" s="17" t="s">
        <v>9</v>
      </c>
      <c r="C7" s="17" t="s">
        <v>44</v>
      </c>
      <c r="D7" s="19">
        <v>14.6</v>
      </c>
      <c r="E7" s="21">
        <f>$E$8*(D7/$D$8)^4</f>
        <v>941.40636852684645</v>
      </c>
      <c r="F7" s="15"/>
      <c r="G7" s="15"/>
      <c r="H7" s="15"/>
      <c r="I7" s="15"/>
      <c r="J7" s="15"/>
    </row>
    <row r="8" spans="1:10" ht="27" customHeight="1">
      <c r="A8" s="15"/>
      <c r="B8" s="18" t="s">
        <v>9</v>
      </c>
      <c r="C8" s="18" t="s">
        <v>45</v>
      </c>
      <c r="D8" s="19">
        <v>17.600000000000001</v>
      </c>
      <c r="E8" s="20">
        <v>1988</v>
      </c>
      <c r="F8" s="15"/>
      <c r="G8" s="15"/>
      <c r="H8" s="15"/>
      <c r="I8" s="15"/>
      <c r="J8" s="15"/>
    </row>
    <row r="9" spans="1:10" ht="27" customHeight="1">
      <c r="A9" s="15"/>
      <c r="B9" s="17" t="s">
        <v>9</v>
      </c>
      <c r="C9" s="17" t="s">
        <v>46</v>
      </c>
      <c r="D9" s="19">
        <v>20.5</v>
      </c>
      <c r="E9" s="21">
        <f>$E$8*(D9/$D$8)^4</f>
        <v>3659.1579207191098</v>
      </c>
      <c r="F9" s="15"/>
      <c r="G9" s="15"/>
      <c r="H9" s="15"/>
      <c r="I9" s="15"/>
      <c r="J9" s="15"/>
    </row>
    <row r="10" spans="1:10" ht="27" customHeight="1">
      <c r="A10" s="15"/>
      <c r="B10" s="18" t="s">
        <v>10</v>
      </c>
      <c r="C10" s="18" t="s">
        <v>44</v>
      </c>
      <c r="D10" s="19">
        <v>16.2</v>
      </c>
      <c r="E10" s="22">
        <f>$E$8*(D10/$D$8)^4</f>
        <v>1427.0058942593778</v>
      </c>
      <c r="F10" s="15"/>
      <c r="G10" s="15"/>
      <c r="H10" s="15"/>
      <c r="I10" s="15"/>
      <c r="J10" s="15"/>
    </row>
    <row r="11" spans="1:10" ht="27" customHeight="1">
      <c r="A11" s="15"/>
      <c r="B11" s="17" t="s">
        <v>10</v>
      </c>
      <c r="C11" s="17" t="s">
        <v>45</v>
      </c>
      <c r="D11" s="19">
        <v>19.399999999999999</v>
      </c>
      <c r="E11" s="21">
        <f>$E$8*(D11/$D$8)^4</f>
        <v>2934.7602527389881</v>
      </c>
      <c r="F11" s="15"/>
      <c r="G11" s="15"/>
      <c r="H11" s="15"/>
      <c r="I11" s="15"/>
      <c r="J11" s="15"/>
    </row>
    <row r="12" spans="1:10" ht="27" customHeight="1">
      <c r="A12" s="15"/>
      <c r="B12" s="18" t="s">
        <v>10</v>
      </c>
      <c r="C12" s="18" t="s">
        <v>46</v>
      </c>
      <c r="D12" s="19">
        <v>22.1</v>
      </c>
      <c r="E12" s="22">
        <f>$E$8*(D12/$D$8)^4</f>
        <v>4942.3648644580135</v>
      </c>
      <c r="F12" s="15"/>
      <c r="G12" s="15"/>
      <c r="H12" s="15"/>
      <c r="I12" s="15"/>
      <c r="J12" s="15"/>
    </row>
    <row r="13" spans="1:10" ht="27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27" customHeight="1">
      <c r="A14" s="15"/>
      <c r="B14" s="38" t="s">
        <v>47</v>
      </c>
      <c r="C14" s="38" t="s">
        <v>11</v>
      </c>
      <c r="D14" s="38" t="s">
        <v>11</v>
      </c>
      <c r="E14" s="38" t="s">
        <v>11</v>
      </c>
      <c r="F14" s="38" t="s">
        <v>11</v>
      </c>
      <c r="G14" s="38" t="s">
        <v>11</v>
      </c>
      <c r="H14" s="38" t="s">
        <v>11</v>
      </c>
      <c r="I14" s="38" t="s">
        <v>11</v>
      </c>
      <c r="J14" s="15"/>
    </row>
    <row r="15" spans="1:10" ht="27" customHeight="1">
      <c r="A15" s="15"/>
      <c r="B15" s="39" t="s">
        <v>48</v>
      </c>
      <c r="C15" s="39" t="s">
        <v>12</v>
      </c>
      <c r="D15" s="39" t="s">
        <v>12</v>
      </c>
      <c r="E15" s="39" t="s">
        <v>12</v>
      </c>
      <c r="F15" s="39" t="s">
        <v>12</v>
      </c>
      <c r="G15" s="39" t="s">
        <v>12</v>
      </c>
      <c r="H15" s="39" t="s">
        <v>12</v>
      </c>
      <c r="I15" s="39" t="s">
        <v>12</v>
      </c>
      <c r="J15" s="15"/>
    </row>
    <row r="16" spans="1:10" ht="42" customHeight="1">
      <c r="A16" s="15"/>
      <c r="B16" s="27" t="s">
        <v>5</v>
      </c>
      <c r="C16" s="27" t="s">
        <v>15</v>
      </c>
      <c r="D16" s="27" t="s">
        <v>16</v>
      </c>
      <c r="J16" s="15"/>
    </row>
    <row r="17" spans="1:14" ht="27" customHeight="1">
      <c r="A17" s="15"/>
      <c r="B17" s="28" t="s">
        <v>9</v>
      </c>
      <c r="C17" s="29">
        <v>-0.91500000000000004</v>
      </c>
      <c r="D17" s="29">
        <v>0.127</v>
      </c>
      <c r="J17" s="15"/>
    </row>
    <row r="18" spans="1:14" ht="27" customHeight="1">
      <c r="A18" s="15"/>
      <c r="B18" s="30" t="s">
        <v>10</v>
      </c>
      <c r="C18" s="29">
        <v>1.4590000000000001</v>
      </c>
      <c r="D18" s="29">
        <v>0.26</v>
      </c>
      <c r="J18" s="15"/>
    </row>
    <row r="19" spans="1:14" ht="27" customHeight="1">
      <c r="A19" s="15"/>
      <c r="B19" s="26"/>
      <c r="C19" s="26"/>
      <c r="D19" s="26"/>
      <c r="E19" s="26"/>
      <c r="F19" s="26"/>
      <c r="G19" s="26"/>
      <c r="H19" s="26"/>
      <c r="I19" s="26"/>
      <c r="J19" s="15"/>
    </row>
    <row r="20" spans="1:14" ht="27" customHeight="1">
      <c r="A20" s="15"/>
      <c r="B20" s="38" t="s">
        <v>49</v>
      </c>
      <c r="C20" s="38" t="s">
        <v>18</v>
      </c>
      <c r="D20" s="38" t="s">
        <v>18</v>
      </c>
      <c r="E20" s="38" t="s">
        <v>18</v>
      </c>
      <c r="F20" s="38" t="s">
        <v>18</v>
      </c>
      <c r="G20" s="38" t="s">
        <v>18</v>
      </c>
      <c r="H20" s="38" t="s">
        <v>18</v>
      </c>
      <c r="I20" s="38" t="s">
        <v>18</v>
      </c>
      <c r="J20" s="15"/>
    </row>
    <row r="21" spans="1:14" ht="27" customHeight="1">
      <c r="A21" s="15"/>
      <c r="B21" s="40" t="s">
        <v>50</v>
      </c>
      <c r="C21" s="40"/>
      <c r="D21" s="40"/>
      <c r="E21" s="40"/>
      <c r="F21" s="40"/>
      <c r="G21" s="40"/>
      <c r="H21" s="40"/>
      <c r="I21" s="40"/>
      <c r="J21" s="15"/>
    </row>
    <row r="22" spans="1:14" ht="42" customHeight="1">
      <c r="A22" s="15"/>
      <c r="B22" s="27" t="s">
        <v>19</v>
      </c>
      <c r="C22" s="27" t="s">
        <v>5</v>
      </c>
      <c r="D22" s="27" t="s">
        <v>20</v>
      </c>
      <c r="E22" s="27" t="s">
        <v>21</v>
      </c>
      <c r="F22" s="27" t="s">
        <v>13</v>
      </c>
      <c r="G22" s="27" t="s">
        <v>14</v>
      </c>
      <c r="H22" s="27" t="s">
        <v>22</v>
      </c>
      <c r="I22" s="27" t="s">
        <v>23</v>
      </c>
      <c r="J22" s="15"/>
    </row>
    <row r="23" spans="1:14" ht="27" customHeight="1">
      <c r="A23" s="15"/>
      <c r="B23" s="28" t="s">
        <v>25</v>
      </c>
      <c r="C23" s="28" t="s">
        <v>9</v>
      </c>
      <c r="D23" s="28" t="s">
        <v>51</v>
      </c>
      <c r="E23" s="32">
        <v>167</v>
      </c>
      <c r="F23" s="29"/>
      <c r="G23" s="29"/>
      <c r="H23" s="29"/>
      <c r="I23" s="29"/>
      <c r="J23" s="15"/>
    </row>
    <row r="24" spans="1:14" ht="27" customHeight="1">
      <c r="A24" s="15"/>
      <c r="B24" s="30" t="s">
        <v>25</v>
      </c>
      <c r="C24" s="30" t="s">
        <v>9</v>
      </c>
      <c r="D24" s="30" t="s">
        <v>52</v>
      </c>
      <c r="E24" s="32">
        <v>167</v>
      </c>
      <c r="F24" s="29"/>
      <c r="G24" s="29"/>
      <c r="H24" s="29"/>
      <c r="I24" s="29"/>
      <c r="J24" s="15"/>
      <c r="M24" s="23"/>
      <c r="N24" s="23"/>
    </row>
    <row r="25" spans="1:14" ht="27" customHeight="1">
      <c r="A25" s="15"/>
      <c r="B25" s="28" t="s">
        <v>25</v>
      </c>
      <c r="C25" s="28" t="s">
        <v>9</v>
      </c>
      <c r="D25" s="28" t="s">
        <v>53</v>
      </c>
      <c r="E25" s="32">
        <v>167</v>
      </c>
      <c r="F25" s="29"/>
      <c r="G25" s="29"/>
      <c r="H25" s="29"/>
      <c r="I25" s="29"/>
      <c r="J25" s="15"/>
    </row>
    <row r="26" spans="1:14" ht="27" customHeight="1">
      <c r="A26" s="15"/>
      <c r="B26" s="30" t="s">
        <v>25</v>
      </c>
      <c r="C26" s="30" t="s">
        <v>10</v>
      </c>
      <c r="D26" s="30" t="s">
        <v>51</v>
      </c>
      <c r="E26" s="32">
        <v>166</v>
      </c>
      <c r="F26" s="29"/>
      <c r="G26" s="29"/>
      <c r="H26" s="29"/>
      <c r="I26" s="29"/>
      <c r="J26" s="15"/>
    </row>
    <row r="27" spans="1:14" ht="27" customHeight="1">
      <c r="A27" s="15"/>
      <c r="B27" s="28" t="s">
        <v>25</v>
      </c>
      <c r="C27" s="28" t="s">
        <v>10</v>
      </c>
      <c r="D27" s="28" t="s">
        <v>52</v>
      </c>
      <c r="E27" s="32">
        <v>166</v>
      </c>
      <c r="F27" s="29"/>
      <c r="G27" s="29"/>
      <c r="H27" s="29"/>
      <c r="I27" s="29"/>
      <c r="J27" s="15"/>
      <c r="M27" s="23"/>
      <c r="N27" s="23"/>
    </row>
    <row r="28" spans="1:14" ht="27" customHeight="1">
      <c r="A28" s="15"/>
      <c r="B28" s="30" t="s">
        <v>25</v>
      </c>
      <c r="C28" s="30" t="s">
        <v>10</v>
      </c>
      <c r="D28" s="30" t="s">
        <v>53</v>
      </c>
      <c r="E28" s="32">
        <v>166</v>
      </c>
      <c r="F28" s="29"/>
      <c r="G28" s="29"/>
      <c r="H28" s="29"/>
      <c r="I28" s="29"/>
      <c r="J28" s="15"/>
    </row>
    <row r="29" spans="1:14" ht="27" customHeight="1">
      <c r="A29" s="15"/>
      <c r="B29" s="28" t="s">
        <v>26</v>
      </c>
      <c r="C29" s="28" t="s">
        <v>9</v>
      </c>
      <c r="D29" s="28" t="s">
        <v>51</v>
      </c>
      <c r="E29" s="32">
        <v>259</v>
      </c>
      <c r="F29" s="29">
        <v>-1.0840000000000001</v>
      </c>
      <c r="G29" s="29">
        <v>0.161</v>
      </c>
      <c r="H29" s="29">
        <v>-1.034</v>
      </c>
      <c r="I29" s="29">
        <v>0.252</v>
      </c>
      <c r="J29" s="15"/>
      <c r="M29" s="23"/>
      <c r="N29" s="23"/>
    </row>
    <row r="30" spans="1:14" ht="27" customHeight="1">
      <c r="A30" s="15"/>
      <c r="B30" s="30" t="s">
        <v>26</v>
      </c>
      <c r="C30" s="30" t="s">
        <v>9</v>
      </c>
      <c r="D30" s="30" t="s">
        <v>52</v>
      </c>
      <c r="E30" s="32">
        <v>259</v>
      </c>
      <c r="F30" s="29">
        <v>-1.069</v>
      </c>
      <c r="G30" s="29">
        <v>0.156</v>
      </c>
      <c r="H30" s="29">
        <v>-1.0229999999999999</v>
      </c>
      <c r="I30" s="29">
        <v>0.24099999999999999</v>
      </c>
      <c r="J30" s="15"/>
    </row>
    <row r="31" spans="1:14" ht="27" customHeight="1">
      <c r="A31" s="15"/>
      <c r="B31" s="28" t="s">
        <v>26</v>
      </c>
      <c r="C31" s="28" t="s">
        <v>9</v>
      </c>
      <c r="D31" s="28" t="s">
        <v>53</v>
      </c>
      <c r="E31" s="32">
        <v>259</v>
      </c>
      <c r="F31" s="29">
        <v>-1.0549999999999999</v>
      </c>
      <c r="G31" s="29">
        <v>0.14899999999999999</v>
      </c>
      <c r="H31" s="29">
        <v>-1.0129999999999999</v>
      </c>
      <c r="I31" s="29">
        <v>0.23</v>
      </c>
      <c r="J31" s="15"/>
    </row>
    <row r="32" spans="1:14" ht="27" customHeight="1">
      <c r="A32" s="15"/>
      <c r="B32" s="30" t="s">
        <v>26</v>
      </c>
      <c r="C32" s="30" t="s">
        <v>10</v>
      </c>
      <c r="D32" s="30" t="s">
        <v>51</v>
      </c>
      <c r="E32" s="32">
        <v>252</v>
      </c>
      <c r="F32" s="29">
        <v>1.306</v>
      </c>
      <c r="G32" s="29">
        <v>0.20799999999999999</v>
      </c>
      <c r="H32" s="29">
        <v>1.3089999999999999</v>
      </c>
      <c r="I32" s="29">
        <v>0.31900000000000001</v>
      </c>
      <c r="J32" s="15"/>
    </row>
    <row r="33" spans="1:14" ht="27" customHeight="1">
      <c r="A33" s="15"/>
      <c r="B33" s="28" t="s">
        <v>26</v>
      </c>
      <c r="C33" s="28" t="s">
        <v>10</v>
      </c>
      <c r="D33" s="28" t="s">
        <v>52</v>
      </c>
      <c r="E33" s="32">
        <v>252</v>
      </c>
      <c r="F33" s="29">
        <v>1.3220000000000001</v>
      </c>
      <c r="G33" s="29">
        <v>0.20799999999999999</v>
      </c>
      <c r="H33" s="29">
        <v>1.3260000000000001</v>
      </c>
      <c r="I33" s="29">
        <v>0.31900000000000001</v>
      </c>
      <c r="J33" s="15"/>
      <c r="M33" s="23"/>
      <c r="N33" s="23"/>
    </row>
    <row r="34" spans="1:14" ht="27" customHeight="1">
      <c r="A34" s="15"/>
      <c r="B34" s="30" t="s">
        <v>26</v>
      </c>
      <c r="C34" s="30" t="s">
        <v>10</v>
      </c>
      <c r="D34" s="30" t="s">
        <v>53</v>
      </c>
      <c r="E34" s="32">
        <v>252</v>
      </c>
      <c r="F34" s="29">
        <v>1.339</v>
      </c>
      <c r="G34" s="29">
        <v>0.20599999999999999</v>
      </c>
      <c r="H34" s="29">
        <v>1.3420000000000001</v>
      </c>
      <c r="I34" s="29">
        <v>0.318</v>
      </c>
      <c r="J34" s="15"/>
      <c r="L34" s="23"/>
      <c r="M34" s="23"/>
    </row>
    <row r="35" spans="1:14" ht="27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4" ht="27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4" ht="27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4" ht="27" customHeight="1">
      <c r="A38" s="15"/>
      <c r="B38" s="3" t="s">
        <v>27</v>
      </c>
      <c r="C38" s="3" t="s">
        <v>27</v>
      </c>
      <c r="D38" s="3" t="s">
        <v>27</v>
      </c>
      <c r="E38" s="3" t="s">
        <v>27</v>
      </c>
      <c r="F38" s="3" t="s">
        <v>27</v>
      </c>
      <c r="G38" s="3" t="s">
        <v>27</v>
      </c>
      <c r="H38" s="3" t="s">
        <v>27</v>
      </c>
      <c r="I38" s="3" t="s">
        <v>27</v>
      </c>
      <c r="J38" s="15"/>
    </row>
    <row r="39" spans="1:14" ht="42" customHeight="1">
      <c r="A39" s="15"/>
      <c r="B39" s="16" t="s">
        <v>19</v>
      </c>
      <c r="C39" s="16" t="s">
        <v>5</v>
      </c>
      <c r="D39" s="16" t="s">
        <v>20</v>
      </c>
      <c r="E39" s="16" t="s">
        <v>28</v>
      </c>
      <c r="F39" s="16" t="s">
        <v>29</v>
      </c>
      <c r="G39" s="15"/>
      <c r="H39" s="15"/>
      <c r="I39" s="15"/>
      <c r="J39" s="15"/>
    </row>
    <row r="40" spans="1:14" ht="27" customHeight="1">
      <c r="A40" s="15"/>
      <c r="B40" s="18" t="s">
        <v>25</v>
      </c>
      <c r="C40" s="18" t="s">
        <v>9</v>
      </c>
      <c r="D40" s="18" t="s">
        <v>51</v>
      </c>
      <c r="E40" s="25">
        <v>35</v>
      </c>
      <c r="F40" s="25">
        <v>163</v>
      </c>
      <c r="G40" s="15"/>
      <c r="H40" s="15"/>
      <c r="I40" s="15"/>
      <c r="J40" s="15"/>
    </row>
    <row r="41" spans="1:14" ht="27" customHeight="1">
      <c r="A41" s="15"/>
      <c r="B41" s="17" t="s">
        <v>25</v>
      </c>
      <c r="C41" s="17" t="s">
        <v>9</v>
      </c>
      <c r="D41" s="17" t="s">
        <v>52</v>
      </c>
      <c r="E41" s="24">
        <v>42</v>
      </c>
      <c r="F41" s="24">
        <v>163</v>
      </c>
      <c r="G41" s="15"/>
      <c r="H41" s="15"/>
      <c r="I41" s="15"/>
      <c r="J41" s="15"/>
    </row>
    <row r="42" spans="1:14" ht="27" customHeight="1">
      <c r="A42" s="15"/>
      <c r="B42" s="18" t="s">
        <v>25</v>
      </c>
      <c r="C42" s="18" t="s">
        <v>9</v>
      </c>
      <c r="D42" s="18" t="s">
        <v>53</v>
      </c>
      <c r="E42" s="25">
        <v>46</v>
      </c>
      <c r="F42" s="25">
        <v>163</v>
      </c>
      <c r="G42" s="15"/>
      <c r="H42" s="15"/>
      <c r="I42" s="15"/>
      <c r="J42" s="15"/>
    </row>
    <row r="43" spans="1:14" ht="27" customHeight="1">
      <c r="A43" s="15"/>
      <c r="B43" s="17" t="s">
        <v>25</v>
      </c>
      <c r="C43" s="17" t="s">
        <v>10</v>
      </c>
      <c r="D43" s="17" t="s">
        <v>51</v>
      </c>
      <c r="E43" s="24">
        <v>41</v>
      </c>
      <c r="F43" s="24">
        <v>154</v>
      </c>
      <c r="G43" s="15"/>
      <c r="H43" s="15"/>
      <c r="I43" s="15"/>
      <c r="J43" s="15"/>
    </row>
    <row r="44" spans="1:14" ht="27" customHeight="1">
      <c r="A44" s="15"/>
      <c r="B44" s="18" t="s">
        <v>25</v>
      </c>
      <c r="C44" s="18" t="s">
        <v>10</v>
      </c>
      <c r="D44" s="18" t="s">
        <v>52</v>
      </c>
      <c r="E44" s="25">
        <v>49</v>
      </c>
      <c r="F44" s="25">
        <v>154</v>
      </c>
      <c r="G44" s="15"/>
      <c r="H44" s="15"/>
      <c r="I44" s="15"/>
      <c r="J44" s="15"/>
    </row>
    <row r="45" spans="1:14" ht="27" customHeight="1">
      <c r="A45" s="15"/>
      <c r="B45" s="17" t="s">
        <v>25</v>
      </c>
      <c r="C45" s="17" t="s">
        <v>10</v>
      </c>
      <c r="D45" s="17" t="s">
        <v>53</v>
      </c>
      <c r="E45" s="24">
        <v>54</v>
      </c>
      <c r="F45" s="24">
        <v>154</v>
      </c>
      <c r="G45" s="15"/>
      <c r="H45" s="15"/>
      <c r="I45" s="15"/>
      <c r="J45" s="15"/>
    </row>
    <row r="46" spans="1:14" ht="27" customHeight="1">
      <c r="A46" s="15"/>
      <c r="B46" s="18" t="s">
        <v>26</v>
      </c>
      <c r="C46" s="18" t="s">
        <v>9</v>
      </c>
      <c r="D46" s="18" t="s">
        <v>51</v>
      </c>
      <c r="E46" s="25">
        <v>32</v>
      </c>
      <c r="F46" s="25">
        <v>163</v>
      </c>
      <c r="G46" s="15"/>
      <c r="H46" s="15"/>
      <c r="I46" s="15"/>
      <c r="J46" s="15"/>
    </row>
    <row r="47" spans="1:14" ht="27" customHeight="1">
      <c r="A47" s="15"/>
      <c r="B47" s="17" t="s">
        <v>26</v>
      </c>
      <c r="C47" s="17" t="s">
        <v>9</v>
      </c>
      <c r="D47" s="17" t="s">
        <v>52</v>
      </c>
      <c r="E47" s="24">
        <v>40</v>
      </c>
      <c r="F47" s="24">
        <v>163</v>
      </c>
      <c r="G47" s="15"/>
      <c r="H47" s="15"/>
      <c r="I47" s="15"/>
      <c r="J47" s="15"/>
    </row>
    <row r="48" spans="1:14" ht="27" customHeight="1">
      <c r="A48" s="15"/>
      <c r="B48" s="18" t="s">
        <v>26</v>
      </c>
      <c r="C48" s="18" t="s">
        <v>9</v>
      </c>
      <c r="D48" s="18" t="s">
        <v>53</v>
      </c>
      <c r="E48" s="25">
        <v>45</v>
      </c>
      <c r="F48" s="25">
        <v>163</v>
      </c>
      <c r="G48" s="15"/>
      <c r="H48" s="15"/>
      <c r="I48" s="15"/>
      <c r="J48" s="15"/>
    </row>
    <row r="49" spans="1:10" ht="27" customHeight="1">
      <c r="A49" s="15"/>
      <c r="B49" s="17" t="s">
        <v>26</v>
      </c>
      <c r="C49" s="17" t="s">
        <v>10</v>
      </c>
      <c r="D49" s="17" t="s">
        <v>51</v>
      </c>
      <c r="E49" s="24">
        <v>39</v>
      </c>
      <c r="F49" s="24">
        <v>154</v>
      </c>
      <c r="G49" s="15"/>
      <c r="H49" s="15"/>
      <c r="I49" s="15"/>
      <c r="J49" s="15"/>
    </row>
    <row r="50" spans="1:10" ht="27" customHeight="1">
      <c r="A50" s="15"/>
      <c r="B50" s="18" t="s">
        <v>26</v>
      </c>
      <c r="C50" s="18" t="s">
        <v>10</v>
      </c>
      <c r="D50" s="18" t="s">
        <v>52</v>
      </c>
      <c r="E50" s="25">
        <v>47</v>
      </c>
      <c r="F50" s="25">
        <v>154</v>
      </c>
      <c r="G50" s="15"/>
      <c r="H50" s="15"/>
      <c r="I50" s="15"/>
      <c r="J50" s="15"/>
    </row>
    <row r="51" spans="1:10" ht="27" customHeight="1">
      <c r="A51" s="15"/>
      <c r="B51" s="17" t="s">
        <v>26</v>
      </c>
      <c r="C51" s="17" t="s">
        <v>10</v>
      </c>
      <c r="D51" s="17" t="s">
        <v>53</v>
      </c>
      <c r="E51" s="24">
        <v>51</v>
      </c>
      <c r="F51" s="24">
        <v>154</v>
      </c>
      <c r="G51" s="15"/>
      <c r="H51" s="15"/>
      <c r="I51" s="15"/>
      <c r="J51" s="15"/>
    </row>
    <row r="52" spans="1:10" ht="27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27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27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27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27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27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27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ht="27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ht="27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ht="27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27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7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27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0" ht="27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0" ht="26.1" customHeight="1"/>
    <row r="67" spans="1:10" ht="26.1" customHeight="1"/>
    <row r="68" spans="1:10" ht="39.950000000000003" customHeight="1"/>
    <row r="69" spans="1:10" ht="26.1" customHeight="1"/>
    <row r="70" spans="1:10" ht="26.1" customHeight="1"/>
    <row r="71" spans="1:10" ht="26.1" customHeight="1"/>
    <row r="72" spans="1:10" ht="26.1" customHeight="1"/>
    <row r="73" spans="1:10" ht="26.1" customHeight="1"/>
    <row r="74" spans="1:10" ht="26.1" customHeight="1"/>
    <row r="75" spans="1:10" ht="39.950000000000003" customHeight="1"/>
    <row r="76" spans="1:10" ht="26.1" customHeight="1"/>
    <row r="77" spans="1:10" ht="26.1" customHeight="1"/>
    <row r="78" spans="1:10" ht="26.1" customHeight="1"/>
    <row r="79" spans="1:10" ht="26.1" customHeight="1"/>
    <row r="80" spans="1:10" ht="26.1" customHeight="1"/>
    <row r="81" ht="26.1" customHeight="1"/>
    <row r="82" ht="39.950000000000003" customHeight="1"/>
    <row r="83" ht="26.1" customHeight="1"/>
    <row r="84" ht="26.1" customHeight="1"/>
    <row r="85" ht="26.1" customHeight="1"/>
    <row r="86" ht="26.1" customHeight="1"/>
    <row r="87" ht="26.1" customHeight="1"/>
    <row r="88" ht="26.1" customHeight="1"/>
    <row r="89" ht="39.950000000000003" customHeight="1"/>
    <row r="90" ht="26.1" customHeight="1"/>
    <row r="91" ht="26.1" customHeight="1"/>
    <row r="92" ht="26.1" customHeight="1"/>
    <row r="93" ht="26.1" customHeight="1"/>
    <row r="94" ht="26.1" customHeight="1"/>
    <row r="95" ht="26.1" customHeight="1"/>
    <row r="96" ht="39.950000000000003" customHeight="1"/>
    <row r="97" ht="26.1" customHeight="1"/>
    <row r="98" ht="26.1" customHeight="1"/>
    <row r="99" ht="26.1" customHeight="1"/>
    <row r="100" ht="26.1" customHeight="1"/>
    <row r="101" ht="26.1" customHeight="1"/>
    <row r="102" ht="26.1" customHeight="1"/>
    <row r="103" ht="39.950000000000003" customHeight="1"/>
    <row r="104" ht="26.1" customHeight="1"/>
    <row r="105" ht="26.1" customHeight="1"/>
    <row r="106" ht="26.1" customHeight="1"/>
    <row r="107" ht="26.1" customHeight="1"/>
    <row r="108" ht="26.1" customHeight="1"/>
    <row r="109" ht="26.1" customHeight="1"/>
    <row r="110" ht="26.1" customHeight="1"/>
    <row r="111" ht="26.1" customHeight="1"/>
    <row r="112" ht="26.1" customHeight="1"/>
    <row r="113" ht="26.1" customHeight="1"/>
    <row r="114" ht="26.1" customHeight="1"/>
    <row r="115" ht="26.1" customHeight="1"/>
    <row r="116" ht="26.1" customHeight="1"/>
    <row r="117" ht="26.1" customHeight="1"/>
    <row r="118" ht="26.1" customHeight="1"/>
  </sheetData>
  <mergeCells count="7">
    <mergeCell ref="B38:I38"/>
    <mergeCell ref="B2:I3"/>
    <mergeCell ref="B4:I4"/>
    <mergeCell ref="B14:I14"/>
    <mergeCell ref="B15:I15"/>
    <mergeCell ref="B20:I20"/>
    <mergeCell ref="B21:I2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O157"/>
  <sheetViews>
    <sheetView showGridLines="0" zoomScale="130" zoomScaleNormal="130" workbookViewId="0">
      <pane ySplit="5" topLeftCell="A9" activePane="bottomLeft" state="frozen"/>
      <selection pane="bottomLeft" activeCell="I22" sqref="I22"/>
    </sheetView>
  </sheetViews>
  <sheetFormatPr defaultRowHeight="14.25"/>
  <cols>
    <col min="1" max="1" width="2.75" customWidth="1"/>
    <col min="2" max="2" width="12.5" customWidth="1"/>
    <col min="3" max="3" width="11" customWidth="1"/>
    <col min="4" max="4" width="12" customWidth="1"/>
    <col min="5" max="5" width="13.5" customWidth="1"/>
    <col min="6" max="6" width="13.75" customWidth="1"/>
    <col min="7" max="7" width="15.625" customWidth="1"/>
    <col min="8" max="10" width="12.5" customWidth="1"/>
    <col min="11" max="11" width="18.125" customWidth="1"/>
    <col min="12" max="15" width="16" customWidth="1"/>
    <col min="16" max="16" width="18" customWidth="1"/>
    <col min="17" max="17" width="12" customWidth="1"/>
    <col min="18" max="22" width="13" customWidth="1"/>
  </cols>
  <sheetData>
    <row r="1" spans="1:15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26.1" customHeight="1">
      <c r="A2" s="1"/>
      <c r="B2" s="41" t="s">
        <v>30</v>
      </c>
      <c r="C2" s="41" t="s">
        <v>30</v>
      </c>
      <c r="D2" s="41" t="s">
        <v>30</v>
      </c>
      <c r="E2" s="41" t="s">
        <v>30</v>
      </c>
      <c r="F2" s="41" t="s">
        <v>30</v>
      </c>
      <c r="G2" s="41" t="s">
        <v>30</v>
      </c>
      <c r="H2" s="41" t="s">
        <v>30</v>
      </c>
      <c r="I2" s="41" t="s">
        <v>30</v>
      </c>
      <c r="J2" s="41" t="s">
        <v>30</v>
      </c>
      <c r="K2" s="41" t="s">
        <v>30</v>
      </c>
      <c r="L2" s="1"/>
      <c r="M2" s="1"/>
    </row>
    <row r="3" spans="1:15" ht="26.1" customHeight="1">
      <c r="A3" s="1"/>
      <c r="B3" s="41" t="s">
        <v>30</v>
      </c>
      <c r="C3" s="41" t="s">
        <v>30</v>
      </c>
      <c r="D3" s="41" t="s">
        <v>30</v>
      </c>
      <c r="E3" s="41" t="s">
        <v>30</v>
      </c>
      <c r="F3" s="41" t="s">
        <v>30</v>
      </c>
      <c r="G3" s="41" t="s">
        <v>30</v>
      </c>
      <c r="H3" s="41" t="s">
        <v>30</v>
      </c>
      <c r="I3" s="41" t="s">
        <v>30</v>
      </c>
      <c r="J3" s="41" t="s">
        <v>30</v>
      </c>
      <c r="K3" s="41" t="s">
        <v>30</v>
      </c>
      <c r="L3" s="1"/>
      <c r="M3" s="1"/>
    </row>
    <row r="4" spans="1:15" ht="26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39.950000000000003" customHeight="1">
      <c r="A5" s="1"/>
      <c r="B5" s="2" t="s">
        <v>19</v>
      </c>
      <c r="C5" s="2" t="s">
        <v>5</v>
      </c>
      <c r="D5" s="2" t="s">
        <v>20</v>
      </c>
      <c r="E5" s="2" t="s">
        <v>21</v>
      </c>
      <c r="F5" s="2" t="s">
        <v>31</v>
      </c>
      <c r="G5" s="2" t="s">
        <v>32</v>
      </c>
      <c r="H5" s="2" t="s">
        <v>54</v>
      </c>
      <c r="I5" s="2" t="s">
        <v>55</v>
      </c>
      <c r="J5" s="2" t="s">
        <v>56</v>
      </c>
      <c r="K5" s="2" t="s">
        <v>33</v>
      </c>
      <c r="L5" s="31" t="s">
        <v>17</v>
      </c>
      <c r="M5" s="31" t="s">
        <v>24</v>
      </c>
      <c r="N5" s="27" t="s">
        <v>57</v>
      </c>
      <c r="O5" s="27" t="s">
        <v>58</v>
      </c>
    </row>
    <row r="6" spans="1:15" ht="26.1" customHeight="1">
      <c r="A6" s="1"/>
      <c r="B6" s="4" t="s">
        <v>25</v>
      </c>
      <c r="C6" s="4" t="s">
        <v>9</v>
      </c>
      <c r="D6" s="4" t="s">
        <v>51</v>
      </c>
      <c r="E6" s="7">
        <f>IF(ISNUMBER(Parameters!E23),Parameters!E23,"")</f>
        <v>167</v>
      </c>
      <c r="F6" s="9" t="str">
        <f t="shared" ref="F6:F17" si="0">IF(COUNT(L6:M6)&lt;2,"",MOD(M6-L6+180,360)-180)</f>
        <v/>
      </c>
      <c r="G6" s="11" t="str">
        <f t="shared" ref="G6:G17" si="1">IF(COUNT(E6:F6)&lt;2,"",IF(E6&lt;=0,"",RADIANS(F6)/E6))</f>
        <v/>
      </c>
      <c r="H6" s="5" t="str">
        <f>IF(ISNUMBER(G6),1000*Parameters!E7*G6^2,"")</f>
        <v/>
      </c>
      <c r="I6" s="5" t="str">
        <f>IF(ISNUMBER(G6),1000*Parameters!E8*G6^2,"")</f>
        <v/>
      </c>
      <c r="J6" s="5" t="str">
        <f>IF(ISNUMBER(G6),1000*Parameters!E9*G6^2,"")</f>
        <v/>
      </c>
      <c r="K6" s="13" t="str">
        <f>IF(COUNT(Parameters!C17:D17,Parameters!F23:I23)&lt;6,"待补坐标",IF(NOT(ISNUMBER(E6)),"待填轮行程",IF(E6&lt;=0,"轮行程须大于0",IF(COUNT(L6:M6)&lt;2,"无效半径",""))))</f>
        <v>待补坐标</v>
      </c>
      <c r="L6" s="33" t="str">
        <f>IF(COUNT(Parameters!F23,Parameters!G23,Parameters!C17,Parameters!D17)&lt;4,"",IF(N6=0,"",IF(Parameters!G23&lt;Parameters!D17,-1,1)*DEGREES(ACOS(MAX(-1,MIN(1,(Parameters!C17-Parameters!F23)*1000/N6))))))</f>
        <v/>
      </c>
      <c r="M6" s="33" t="str">
        <f>IF(COUNT(Parameters!H23,Parameters!I23,Parameters!C17,Parameters!D17)&lt;4,"",IF(O6=0,"",IF(Parameters!I23&lt;Parameters!D17,-1,1)*DEGREES(ACOS(MAX(-1,MIN(1,(Parameters!C17-Parameters!H23)*1000/O6))))))</f>
        <v/>
      </c>
      <c r="N6" s="35" t="str">
        <f>IF(COUNT(Parameters!F23,Parameters!G23,Parameters!C17,Parameters!D17)&lt;4,"",1000*SQRT((Parameters!F23-Parameters!C17)^2+(Parameters!G23-Parameters!D17)^2))</f>
        <v/>
      </c>
      <c r="O6" s="35" t="str">
        <f>IF(COUNT(Parameters!H23,Parameters!I23,Parameters!C17,Parameters!D17)&lt;4,"",1000*SQRT((Parameters!H23-Parameters!C17)^2+(Parameters!I23-Parameters!D17)^2))</f>
        <v/>
      </c>
    </row>
    <row r="7" spans="1:15" ht="26.1" customHeight="1">
      <c r="A7" s="1"/>
      <c r="B7" s="3" t="s">
        <v>25</v>
      </c>
      <c r="C7" s="3" t="s">
        <v>9</v>
      </c>
      <c r="D7" s="3" t="s">
        <v>52</v>
      </c>
      <c r="E7" s="8">
        <f>IF(ISNUMBER(Parameters!E24),Parameters!E24,"")</f>
        <v>167</v>
      </c>
      <c r="F7" s="10" t="str">
        <f t="shared" si="0"/>
        <v/>
      </c>
      <c r="G7" s="12" t="str">
        <f t="shared" si="1"/>
        <v/>
      </c>
      <c r="H7" s="6" t="str">
        <f>IF(ISNUMBER(G7),1000*Parameters!E7*G7^2,"")</f>
        <v/>
      </c>
      <c r="I7" s="6" t="str">
        <f>IF(ISNUMBER(G7),1000*Parameters!E8*G7^2,"")</f>
        <v/>
      </c>
      <c r="J7" s="6" t="str">
        <f>IF(ISNUMBER(G7),1000*Parameters!E9*G7^2,"")</f>
        <v/>
      </c>
      <c r="K7" s="14" t="str">
        <f>IF(COUNT(Parameters!C17:D17,Parameters!F24:I24)&lt;6,"待补坐标",IF(NOT(ISNUMBER(E7)),"待填轮行程",IF(E7&lt;=0,"轮行程须大于0",IF(COUNT(L7:M7)&lt;2,"无效半径",""))))</f>
        <v>待补坐标</v>
      </c>
      <c r="L7" s="34" t="str">
        <f>IF(COUNT(Parameters!F24,Parameters!G24,Parameters!C17,Parameters!D17)&lt;4,"",IF(N7=0,"",IF(Parameters!G24&lt;Parameters!D17,-1,1)*DEGREES(ACOS(MAX(-1,MIN(1,(Parameters!C17-Parameters!F24)*1000/N7))))))</f>
        <v/>
      </c>
      <c r="M7" s="34" t="str">
        <f>IF(COUNT(Parameters!H24,Parameters!I24,Parameters!C17,Parameters!D17)&lt;4,"",IF(O7=0,"",IF(Parameters!I24&lt;Parameters!D17,-1,1)*DEGREES(ACOS(MAX(-1,MIN(1,(Parameters!C17-Parameters!H24)*1000/O7))))))</f>
        <v/>
      </c>
      <c r="N7" s="36" t="str">
        <f>IF(COUNT(Parameters!F24,Parameters!G24,Parameters!C17,Parameters!D17)&lt;4,"",1000*SQRT((Parameters!F24-Parameters!C17)^2+(Parameters!G24-Parameters!D17)^2))</f>
        <v/>
      </c>
      <c r="O7" s="36" t="str">
        <f>IF(COUNT(Parameters!H24,Parameters!I24,Parameters!C17,Parameters!D17)&lt;4,"",1000*SQRT((Parameters!H24-Parameters!C17)^2+(Parameters!I24-Parameters!D17)^2))</f>
        <v/>
      </c>
    </row>
    <row r="8" spans="1:15" ht="26.1" customHeight="1">
      <c r="A8" s="1"/>
      <c r="B8" s="4" t="s">
        <v>25</v>
      </c>
      <c r="C8" s="4" t="s">
        <v>9</v>
      </c>
      <c r="D8" s="4" t="s">
        <v>53</v>
      </c>
      <c r="E8" s="7">
        <f>IF(ISNUMBER(Parameters!E25),Parameters!E25,"")</f>
        <v>167</v>
      </c>
      <c r="F8" s="9" t="str">
        <f t="shared" si="0"/>
        <v/>
      </c>
      <c r="G8" s="11" t="str">
        <f t="shared" si="1"/>
        <v/>
      </c>
      <c r="H8" s="5" t="str">
        <f>IF(ISNUMBER(G8),1000*Parameters!E7*G8^2,"")</f>
        <v/>
      </c>
      <c r="I8" s="5" t="str">
        <f>IF(ISNUMBER(G8),1000*Parameters!E8*G8^2,"")</f>
        <v/>
      </c>
      <c r="J8" s="5" t="str">
        <f>IF(ISNUMBER(G8),1000*Parameters!E9*G8^2,"")</f>
        <v/>
      </c>
      <c r="K8" s="13" t="str">
        <f>IF(COUNT(Parameters!C17:D17,Parameters!F25:I25)&lt;6,"待补坐标",IF(NOT(ISNUMBER(E8)),"待填轮行程",IF(E8&lt;=0,"轮行程须大于0",IF(COUNT(L8:M8)&lt;2,"无效半径",""))))</f>
        <v>待补坐标</v>
      </c>
      <c r="L8" s="33" t="str">
        <f>IF(COUNT(Parameters!F25,Parameters!G25,Parameters!C17,Parameters!D17)&lt;4,"",IF(N8=0,"",IF(Parameters!G25&lt;Parameters!D17,-1,1)*DEGREES(ACOS(MAX(-1,MIN(1,(Parameters!C17-Parameters!F25)*1000/N8))))))</f>
        <v/>
      </c>
      <c r="M8" s="33" t="str">
        <f>IF(COUNT(Parameters!H25,Parameters!I25,Parameters!C17,Parameters!D17)&lt;4,"",IF(O8=0,"",IF(Parameters!I25&lt;Parameters!D17,-1,1)*DEGREES(ACOS(MAX(-1,MIN(1,(Parameters!C17-Parameters!H25)*1000/O8))))))</f>
        <v/>
      </c>
      <c r="N8" s="35" t="str">
        <f>IF(COUNT(Parameters!F25,Parameters!G25,Parameters!C17,Parameters!D17)&lt;4,"",1000*SQRT((Parameters!F25-Parameters!C17)^2+(Parameters!G25-Parameters!D17)^2))</f>
        <v/>
      </c>
      <c r="O8" s="35" t="str">
        <f>IF(COUNT(Parameters!H25,Parameters!I25,Parameters!C17,Parameters!D17)&lt;4,"",1000*SQRT((Parameters!H25-Parameters!C17)^2+(Parameters!I25-Parameters!D17)^2))</f>
        <v/>
      </c>
    </row>
    <row r="9" spans="1:15" ht="26.1" customHeight="1">
      <c r="A9" s="1"/>
      <c r="B9" s="3" t="s">
        <v>25</v>
      </c>
      <c r="C9" s="3" t="s">
        <v>10</v>
      </c>
      <c r="D9" s="3" t="s">
        <v>51</v>
      </c>
      <c r="E9" s="8">
        <f>IF(ISNUMBER(Parameters!E26),Parameters!E26,"")</f>
        <v>166</v>
      </c>
      <c r="F9" s="10" t="str">
        <f t="shared" si="0"/>
        <v/>
      </c>
      <c r="G9" s="12" t="str">
        <f t="shared" si="1"/>
        <v/>
      </c>
      <c r="H9" s="6" t="str">
        <f>IF(ISNUMBER(G9),1000*Parameters!E10*G9^2,"")</f>
        <v/>
      </c>
      <c r="I9" s="6" t="str">
        <f>IF(ISNUMBER(G9),1000*Parameters!E11*G9^2,"")</f>
        <v/>
      </c>
      <c r="J9" s="6" t="str">
        <f>IF(ISNUMBER(G9),1000*Parameters!E12*G9^2,"")</f>
        <v/>
      </c>
      <c r="K9" s="14" t="str">
        <f>IF(COUNT(Parameters!C18:D18,Parameters!F26:I26)&lt;6,"待补坐标",IF(NOT(ISNUMBER(E9)),"待填轮行程",IF(E9&lt;=0,"轮行程须大于0",IF(COUNT(L9:M9)&lt;2,"无效半径",""))))</f>
        <v>待补坐标</v>
      </c>
      <c r="L9" s="34" t="str">
        <f>IF(COUNT(Parameters!F26,Parameters!G26,Parameters!C18,Parameters!D18)&lt;4,"",IF(N9=0,"",IF(Parameters!G26&lt;Parameters!D18,-1,1)*DEGREES(ACOS(MAX(-1,MIN(1,(Parameters!C18-Parameters!F26)*1000/N9))))))</f>
        <v/>
      </c>
      <c r="M9" s="34" t="str">
        <f>IF(COUNT(Parameters!H26,Parameters!I26,Parameters!C18,Parameters!D18)&lt;4,"",IF(O9=0,"",IF(Parameters!I26&lt;Parameters!D18,-1,1)*DEGREES(ACOS(MAX(-1,MIN(1,(Parameters!C18-Parameters!H26)*1000/O9))))))</f>
        <v/>
      </c>
      <c r="N9" s="36" t="str">
        <f>IF(COUNT(Parameters!F26,Parameters!G26,Parameters!C18,Parameters!D18)&lt;4,"",1000*SQRT((Parameters!F26-Parameters!C18)^2+(Parameters!G26-Parameters!D18)^2))</f>
        <v/>
      </c>
      <c r="O9" s="36" t="str">
        <f>IF(COUNT(Parameters!H26,Parameters!I26,Parameters!C18,Parameters!D18)&lt;4,"",1000*SQRT((Parameters!H26-Parameters!C18)^2+(Parameters!I26-Parameters!D18)^2))</f>
        <v/>
      </c>
    </row>
    <row r="10" spans="1:15" ht="26.1" customHeight="1">
      <c r="A10" s="1"/>
      <c r="B10" s="4" t="s">
        <v>25</v>
      </c>
      <c r="C10" s="4" t="s">
        <v>10</v>
      </c>
      <c r="D10" s="4" t="s">
        <v>52</v>
      </c>
      <c r="E10" s="7">
        <f>IF(ISNUMBER(Parameters!E27),Parameters!E27,"")</f>
        <v>166</v>
      </c>
      <c r="F10" s="9" t="str">
        <f t="shared" si="0"/>
        <v/>
      </c>
      <c r="G10" s="11" t="str">
        <f t="shared" si="1"/>
        <v/>
      </c>
      <c r="H10" s="5" t="str">
        <f>IF(ISNUMBER(G10),1000*Parameters!E10*G10^2,"")</f>
        <v/>
      </c>
      <c r="I10" s="5" t="str">
        <f>IF(ISNUMBER(G10),1000*Parameters!E11*G10^2,"")</f>
        <v/>
      </c>
      <c r="J10" s="5" t="str">
        <f>IF(ISNUMBER(G10),1000*Parameters!E12*G10^2,"")</f>
        <v/>
      </c>
      <c r="K10" s="13" t="str">
        <f>IF(COUNT(Parameters!C18:D18,Parameters!F27:I27)&lt;6,"待补坐标",IF(NOT(ISNUMBER(E10)),"待填轮行程",IF(E10&lt;=0,"轮行程须大于0",IF(COUNT(L10:M10)&lt;2,"无效半径",""))))</f>
        <v>待补坐标</v>
      </c>
      <c r="L10" s="33" t="str">
        <f>IF(COUNT(Parameters!F27,Parameters!G27,Parameters!C18,Parameters!D18)&lt;4,"",IF(N10=0,"",IF(Parameters!G27&lt;Parameters!D18,-1,1)*DEGREES(ACOS(MAX(-1,MIN(1,(Parameters!C18-Parameters!F27)*1000/N10))))))</f>
        <v/>
      </c>
      <c r="M10" s="33" t="str">
        <f>IF(COUNT(Parameters!H27,Parameters!I27,Parameters!C18,Parameters!D18)&lt;4,"",IF(O10=0,"",IF(Parameters!I27&lt;Parameters!D18,-1,1)*DEGREES(ACOS(MAX(-1,MIN(1,(Parameters!C18-Parameters!H27)*1000/O10))))))</f>
        <v/>
      </c>
      <c r="N10" s="35" t="str">
        <f>IF(COUNT(Parameters!F27,Parameters!G27,Parameters!C18,Parameters!D18)&lt;4,"",1000*SQRT((Parameters!F27-Parameters!C18)^2+(Parameters!G27-Parameters!D18)^2))</f>
        <v/>
      </c>
      <c r="O10" s="35" t="str">
        <f>IF(COUNT(Parameters!H27,Parameters!I27,Parameters!C18,Parameters!D18)&lt;4,"",1000*SQRT((Parameters!H27-Parameters!C18)^2+(Parameters!I27-Parameters!D18)^2))</f>
        <v/>
      </c>
    </row>
    <row r="11" spans="1:15" ht="26.1" customHeight="1">
      <c r="A11" s="1"/>
      <c r="B11" s="3" t="s">
        <v>25</v>
      </c>
      <c r="C11" s="3" t="s">
        <v>10</v>
      </c>
      <c r="D11" s="3" t="s">
        <v>53</v>
      </c>
      <c r="E11" s="8">
        <f>IF(ISNUMBER(Parameters!E28),Parameters!E28,"")</f>
        <v>166</v>
      </c>
      <c r="F11" s="10" t="str">
        <f t="shared" si="0"/>
        <v/>
      </c>
      <c r="G11" s="12" t="str">
        <f t="shared" si="1"/>
        <v/>
      </c>
      <c r="H11" s="6" t="str">
        <f>IF(ISNUMBER(G11),1000*Parameters!E10*G11^2,"")</f>
        <v/>
      </c>
      <c r="I11" s="6" t="str">
        <f>IF(ISNUMBER(G11),1000*Parameters!E11*G11^2,"")</f>
        <v/>
      </c>
      <c r="J11" s="6" t="str">
        <f>IF(ISNUMBER(G11),1000*Parameters!E12*G11^2,"")</f>
        <v/>
      </c>
      <c r="K11" s="14" t="str">
        <f>IF(COUNT(Parameters!C18:D18,Parameters!F28:I28)&lt;6,"待补坐标",IF(NOT(ISNUMBER(E11)),"待填轮行程",IF(E11&lt;=0,"轮行程须大于0",IF(COUNT(L11:M11)&lt;2,"无效半径",""))))</f>
        <v>待补坐标</v>
      </c>
      <c r="L11" s="34" t="str">
        <f>IF(COUNT(Parameters!F28,Parameters!G28,Parameters!C18,Parameters!D18)&lt;4,"",IF(N11=0,"",IF(Parameters!G28&lt;Parameters!D18,-1,1)*DEGREES(ACOS(MAX(-1,MIN(1,(Parameters!C18-Parameters!F28)*1000/N11))))))</f>
        <v/>
      </c>
      <c r="M11" s="34" t="str">
        <f>IF(COUNT(Parameters!H28,Parameters!I28,Parameters!C18,Parameters!D18)&lt;4,"",IF(O11=0,"",IF(Parameters!I28&lt;Parameters!D18,-1,1)*DEGREES(ACOS(MAX(-1,MIN(1,(Parameters!C18-Parameters!H28)*1000/O11))))))</f>
        <v/>
      </c>
      <c r="N11" s="36" t="str">
        <f>IF(COUNT(Parameters!F28,Parameters!G28,Parameters!C18,Parameters!D18)&lt;4,"",1000*SQRT((Parameters!F28-Parameters!C18)^2+(Parameters!G28-Parameters!D18)^2))</f>
        <v/>
      </c>
      <c r="O11" s="36" t="str">
        <f>IF(COUNT(Parameters!H28,Parameters!I28,Parameters!C18,Parameters!D18)&lt;4,"",1000*SQRT((Parameters!H28-Parameters!C18)^2+(Parameters!I28-Parameters!D18)^2))</f>
        <v/>
      </c>
    </row>
    <row r="12" spans="1:15" ht="26.1" customHeight="1">
      <c r="A12" s="1"/>
      <c r="B12" s="4" t="s">
        <v>26</v>
      </c>
      <c r="C12" s="4" t="s">
        <v>9</v>
      </c>
      <c r="D12" s="4" t="s">
        <v>51</v>
      </c>
      <c r="E12" s="7">
        <f>IF(ISNUMBER(Parameters!E29),Parameters!E29,"")</f>
        <v>259</v>
      </c>
      <c r="F12" s="9">
        <f t="shared" si="0"/>
        <v>35.033513377592925</v>
      </c>
      <c r="G12" s="11">
        <f t="shared" si="1"/>
        <v>2.3608114169130349E-3</v>
      </c>
      <c r="H12" s="5">
        <f>IF(ISNUMBER(G12),1000*Parameters!E7*G12^2,"")</f>
        <v>5.2468630107600935</v>
      </c>
      <c r="I12" s="5">
        <f>IF(ISNUMBER(G12),1000*Parameters!E8*G12^2,"")</f>
        <v>11.07997992589914</v>
      </c>
      <c r="J12" s="5">
        <f>IF(ISNUMBER(G12),1000*Parameters!E9*G12^2,"")</f>
        <v>20.394062528804113</v>
      </c>
      <c r="K12" s="13" t="str">
        <f>IF(COUNT(Parameters!C17:D17,Parameters!F29:I29)&lt;6,"待补坐标",IF(NOT(ISNUMBER(E12)),"待填轮行程",IF(E12&lt;=0,"轮行程须大于0",IF(COUNT(L12:M12)&lt;2,"无效半径",""))))</f>
        <v/>
      </c>
      <c r="L12" s="33">
        <f>IF(COUNT(Parameters!F29,Parameters!G29,Parameters!C17,Parameters!D17)&lt;4,"",IF(N12=0,"",IF(Parameters!G29&lt;Parameters!D17,-1,1)*DEGREES(ACOS(MAX(-1,MIN(1,(Parameters!C17-Parameters!F29)*1000/N12))))))</f>
        <v>11.375115357745536</v>
      </c>
      <c r="M12" s="33">
        <f>IF(COUNT(Parameters!H29,Parameters!I29,Parameters!C17,Parameters!D17)&lt;4,"",IF(O12=0,"",IF(Parameters!I29&lt;Parameters!D17,-1,1)*DEGREES(ACOS(MAX(-1,MIN(1,(Parameters!C17-Parameters!H29)*1000/O12))))))</f>
        <v>46.408628735338468</v>
      </c>
      <c r="N12" s="35">
        <f>IF(COUNT(Parameters!F29,Parameters!G29,Parameters!C17,Parameters!D17)&lt;4,"",1000*SQRT((Parameters!F29-Parameters!C17)^2+(Parameters!G29-Parameters!D17)^2))</f>
        <v>172.38619434281858</v>
      </c>
      <c r="O12" s="35">
        <f>IF(COUNT(Parameters!H29,Parameters!I29,Parameters!C17,Parameters!D17)&lt;4,"",1000*SQRT((Parameters!H29-Parameters!C17)^2+(Parameters!I29-Parameters!D17)^2))</f>
        <v>172.58621034138272</v>
      </c>
    </row>
    <row r="13" spans="1:15" ht="26.1" customHeight="1">
      <c r="A13" s="1"/>
      <c r="B13" s="3" t="s">
        <v>26</v>
      </c>
      <c r="C13" s="3" t="s">
        <v>9</v>
      </c>
      <c r="D13" s="3" t="s">
        <v>52</v>
      </c>
      <c r="E13" s="8">
        <f>IF(ISNUMBER(Parameters!E30),Parameters!E30,"")</f>
        <v>259</v>
      </c>
      <c r="F13" s="10">
        <f t="shared" si="0"/>
        <v>35.883582181526236</v>
      </c>
      <c r="G13" s="12">
        <f t="shared" si="1"/>
        <v>2.4180951987552218E-3</v>
      </c>
      <c r="H13" s="6">
        <f>IF(ISNUMBER(G13),1000*Parameters!E7*G13^2,"")</f>
        <v>5.504576622925577</v>
      </c>
      <c r="I13" s="6">
        <f>IF(ISNUMBER(G13),1000*Parameters!E8*G13^2,"")</f>
        <v>11.624202567803193</v>
      </c>
      <c r="J13" s="6">
        <f>IF(ISNUMBER(G13),1000*Parameters!E9*G13^2,"")</f>
        <v>21.395771075463013</v>
      </c>
      <c r="K13" s="14" t="str">
        <f>IF(COUNT(Parameters!C17:D17,Parameters!F30:I30)&lt;6,"待补坐标",IF(NOT(ISNUMBER(E13)),"待填轮行程",IF(E13&lt;=0,"轮行程须大于0",IF(COUNT(L13:M13)&lt;2,"无效半径",""))))</f>
        <v/>
      </c>
      <c r="L13" s="34">
        <f>IF(COUNT(Parameters!F30,Parameters!G30,Parameters!C17,Parameters!D17)&lt;4,"",IF(N13=0,"",IF(Parameters!G30&lt;Parameters!D17,-1,1)*DEGREES(ACOS(MAX(-1,MIN(1,(Parameters!C17-Parameters!F30)*1000/N13))))))</f>
        <v>10.664575517451754</v>
      </c>
      <c r="M13" s="34">
        <f>IF(COUNT(Parameters!H30,Parameters!I30,Parameters!C17,Parameters!D17)&lt;4,"",IF(O13=0,"",IF(Parameters!I30&lt;Parameters!D17,-1,1)*DEGREES(ACOS(MAX(-1,MIN(1,(Parameters!C17-Parameters!H30)*1000/O13))))))</f>
        <v>46.548157698977988</v>
      </c>
      <c r="N13" s="36">
        <f>IF(COUNT(Parameters!F30,Parameters!G30,Parameters!C17,Parameters!D17)&lt;4,"",1000*SQRT((Parameters!F30-Parameters!C17)^2+(Parameters!G30-Parameters!D17)^2))</f>
        <v>156.7067324654559</v>
      </c>
      <c r="O13" s="36">
        <f>IF(COUNT(Parameters!H30,Parameters!I30,Parameters!C17,Parameters!D17)&lt;4,"",1000*SQRT((Parameters!H30-Parameters!C17)^2+(Parameters!I30-Parameters!D17)^2))</f>
        <v>157.03502793962869</v>
      </c>
    </row>
    <row r="14" spans="1:15" ht="26.1" customHeight="1">
      <c r="A14" s="1"/>
      <c r="B14" s="4" t="s">
        <v>26</v>
      </c>
      <c r="C14" s="4" t="s">
        <v>9</v>
      </c>
      <c r="D14" s="4" t="s">
        <v>53</v>
      </c>
      <c r="E14" s="7">
        <f>IF(ISNUMBER(Parameters!E31),Parameters!E31,"")</f>
        <v>259</v>
      </c>
      <c r="F14" s="9">
        <f t="shared" si="0"/>
        <v>37.494384172096488</v>
      </c>
      <c r="G14" s="11">
        <f t="shared" si="1"/>
        <v>2.5266426826669186E-3</v>
      </c>
      <c r="H14" s="5">
        <f>IF(ISNUMBER(G14),1000*Parameters!E7*G14^2,"")</f>
        <v>6.0098659998526269</v>
      </c>
      <c r="I14" s="5">
        <f>IF(ISNUMBER(G14),1000*Parameters!E8*G14^2,"")</f>
        <v>12.691239412798074</v>
      </c>
      <c r="J14" s="5">
        <f>IF(ISNUMBER(G14),1000*Parameters!E9*G14^2,"")</f>
        <v>23.359783310403735</v>
      </c>
      <c r="K14" s="13" t="str">
        <f>IF(COUNT(Parameters!C17:D17,Parameters!F31:I31)&lt;6,"待补坐标",IF(NOT(ISNUMBER(E14)),"待填轮行程",IF(E14&lt;=0,"轮行程须大于0",IF(COUNT(L14:M14)&lt;2,"无效半径",""))))</f>
        <v/>
      </c>
      <c r="L14" s="33">
        <f>IF(COUNT(Parameters!F31,Parameters!G31,Parameters!C17,Parameters!D17)&lt;4,"",IF(N14=0,"",IF(Parameters!G31&lt;Parameters!D17,-1,1)*DEGREES(ACOS(MAX(-1,MIN(1,(Parameters!C17-Parameters!F31)*1000/N14))))))</f>
        <v>8.9305901004189874</v>
      </c>
      <c r="M14" s="33">
        <f>IF(COUNT(Parameters!H31,Parameters!I31,Parameters!C17,Parameters!D17)&lt;4,"",IF(O14=0,"",IF(Parameters!I31&lt;Parameters!D17,-1,1)*DEGREES(ACOS(MAX(-1,MIN(1,(Parameters!C17-Parameters!H31)*1000/O14))))))</f>
        <v>46.42497427251547</v>
      </c>
      <c r="N14" s="35">
        <f>IF(COUNT(Parameters!F31,Parameters!G31,Parameters!C17,Parameters!D17)&lt;4,"",1000*SQRT((Parameters!F31-Parameters!C17)^2+(Parameters!G31-Parameters!D17)^2))</f>
        <v>141.71802990445491</v>
      </c>
      <c r="O14" s="35">
        <f>IF(COUNT(Parameters!H31,Parameters!I31,Parameters!C17,Parameters!D17)&lt;4,"",1000*SQRT((Parameters!H31-Parameters!C17)^2+(Parameters!I31-Parameters!D17)^2))</f>
        <v>142.17243052012572</v>
      </c>
    </row>
    <row r="15" spans="1:15" ht="26.1" customHeight="1">
      <c r="A15" s="1"/>
      <c r="B15" s="3" t="s">
        <v>26</v>
      </c>
      <c r="C15" s="3" t="s">
        <v>10</v>
      </c>
      <c r="D15" s="3" t="s">
        <v>51</v>
      </c>
      <c r="E15" s="8">
        <f>IF(ISNUMBER(Parameters!E32),Parameters!E32,"")</f>
        <v>252</v>
      </c>
      <c r="F15" s="10">
        <f t="shared" si="0"/>
        <v>40.242687721746677</v>
      </c>
      <c r="G15" s="12">
        <f t="shared" si="1"/>
        <v>2.7871722245887904E-3</v>
      </c>
      <c r="H15" s="6">
        <f>IF(ISNUMBER(G15),1000*Parameters!E10*G15^2,"")</f>
        <v>11.08545128513005</v>
      </c>
      <c r="I15" s="6">
        <f>IF(ISNUMBER(G15),1000*Parameters!E11*G15^2,"")</f>
        <v>22.798183207336258</v>
      </c>
      <c r="J15" s="6">
        <f>IF(ISNUMBER(G15),1000*Parameters!E12*G15^2,"")</f>
        <v>38.393916352197742</v>
      </c>
      <c r="K15" s="14" t="str">
        <f>IF(COUNT(Parameters!C18:D18,Parameters!F32:I32)&lt;6,"待补坐标",IF(NOT(ISNUMBER(E15)),"待填轮行程",IF(E15&lt;=0,"轮行程须大于0",IF(COUNT(L15:M15)&lt;2,"无效半径",""))))</f>
        <v/>
      </c>
      <c r="L15" s="34">
        <f>IF(COUNT(Parameters!F32,Parameters!G32,Parameters!C18,Parameters!D18)&lt;4,"",IF(N15=0,"",IF(Parameters!G32&lt;Parameters!D18,-1,1)*DEGREES(ACOS(MAX(-1,MIN(1,(Parameters!C18-Parameters!F32)*1000/N15))))))</f>
        <v>-18.771319397832116</v>
      </c>
      <c r="M15" s="34">
        <f>IF(COUNT(Parameters!H32,Parameters!I32,Parameters!C18,Parameters!D18)&lt;4,"",IF(O15=0,"",IF(Parameters!I32&lt;Parameters!D18,-1,1)*DEGREES(ACOS(MAX(-1,MIN(1,(Parameters!C18-Parameters!H32)*1000/O15))))))</f>
        <v>21.471368323914561</v>
      </c>
      <c r="N15" s="36">
        <f>IF(COUNT(Parameters!F32,Parameters!G32,Parameters!C18,Parameters!D18)&lt;4,"",1000*SQRT((Parameters!F32-Parameters!C18)^2+(Parameters!G32-Parameters!D18)^2))</f>
        <v>161.59517319524122</v>
      </c>
      <c r="O15" s="36">
        <f>IF(COUNT(Parameters!H32,Parameters!I32,Parameters!C18,Parameters!D18)&lt;4,"",1000*SQRT((Parameters!H32-Parameters!C18)^2+(Parameters!I32-Parameters!D18)^2))</f>
        <v>161.18622769951543</v>
      </c>
    </row>
    <row r="16" spans="1:15" ht="26.1" customHeight="1">
      <c r="A16" s="1"/>
      <c r="B16" s="4" t="s">
        <v>26</v>
      </c>
      <c r="C16" s="4" t="s">
        <v>10</v>
      </c>
      <c r="D16" s="4" t="s">
        <v>52</v>
      </c>
      <c r="E16" s="7">
        <f>IF(ISNUMBER(Parameters!E33),Parameters!E33,"")</f>
        <v>252</v>
      </c>
      <c r="F16" s="9">
        <f t="shared" si="0"/>
        <v>44.707366896981739</v>
      </c>
      <c r="G16" s="11">
        <f t="shared" si="1"/>
        <v>3.0963918740057614E-3</v>
      </c>
      <c r="H16" s="5">
        <f>IF(ISNUMBER(G16),1000*Parameters!E10*G16^2,"")</f>
        <v>13.681622555635043</v>
      </c>
      <c r="I16" s="5">
        <f>IF(ISNUMBER(G16),1000*Parameters!E11*G16^2,"")</f>
        <v>28.137432529733275</v>
      </c>
      <c r="J16" s="5">
        <f>IF(ISNUMBER(G16),1000*Parameters!E12*G16^2,"")</f>
        <v>47.385628104109358</v>
      </c>
      <c r="K16" s="13" t="str">
        <f>IF(COUNT(Parameters!C18:D18,Parameters!F33:I33)&lt;6,"待补坐标",IF(NOT(ISNUMBER(E16)),"待填轮行程",IF(E16&lt;=0,"轮行程须大于0",IF(COUNT(L16:M16)&lt;2,"无效半径",""))))</f>
        <v/>
      </c>
      <c r="L16" s="33">
        <f>IF(COUNT(Parameters!F33,Parameters!G33,Parameters!C18,Parameters!D18)&lt;4,"",IF(N16=0,"",IF(Parameters!G33&lt;Parameters!D18,-1,1)*DEGREES(ACOS(MAX(-1,MIN(1,(Parameters!C18-Parameters!F33)*1000/N16))))))</f>
        <v>-20.784861013968488</v>
      </c>
      <c r="M16" s="33">
        <f>IF(COUNT(Parameters!H33,Parameters!I33,Parameters!C18,Parameters!D18)&lt;4,"",IF(O16=0,"",IF(Parameters!I33&lt;Parameters!D18,-1,1)*DEGREES(ACOS(MAX(-1,MIN(1,(Parameters!C18-Parameters!H33)*1000/O16))))))</f>
        <v>23.922505883013255</v>
      </c>
      <c r="N16" s="35">
        <f>IF(COUNT(Parameters!F33,Parameters!G33,Parameters!C18,Parameters!D18)&lt;4,"",1000*SQRT((Parameters!F33-Parameters!C18)^2+(Parameters!G33-Parameters!D18)^2))</f>
        <v>146.53668482670133</v>
      </c>
      <c r="O16" s="35">
        <f>IF(COUNT(Parameters!H33,Parameters!I33,Parameters!C18,Parameters!D18)&lt;4,"",1000*SQRT((Parameters!H33-Parameters!C18)^2+(Parameters!I33-Parameters!D18)^2))</f>
        <v>145.49914089093446</v>
      </c>
    </row>
    <row r="17" spans="1:15" ht="26.1" customHeight="1">
      <c r="A17" s="1"/>
      <c r="B17" s="3" t="s">
        <v>26</v>
      </c>
      <c r="C17" s="3" t="s">
        <v>10</v>
      </c>
      <c r="D17" s="3" t="s">
        <v>53</v>
      </c>
      <c r="E17" s="8">
        <f>IF(ISNUMBER(Parameters!E34),Parameters!E34,"")</f>
        <v>252</v>
      </c>
      <c r="F17" s="10">
        <f t="shared" si="0"/>
        <v>50.596578839138232</v>
      </c>
      <c r="G17" s="12">
        <f t="shared" si="1"/>
        <v>3.504273376935923E-3</v>
      </c>
      <c r="H17" s="6">
        <f>IF(ISNUMBER(G17),1000*Parameters!E10*G17^2,"")</f>
        <v>17.523535202834569</v>
      </c>
      <c r="I17" s="6">
        <f>IF(ISNUMBER(G17),1000*Parameters!E11*G17^2,"")</f>
        <v>36.038656047347558</v>
      </c>
      <c r="J17" s="6">
        <f>IF(ISNUMBER(G17),1000*Parameters!E12*G17^2,"")</f>
        <v>60.691903961989226</v>
      </c>
      <c r="K17" s="14" t="str">
        <f>IF(COUNT(Parameters!C18:D18,Parameters!F34:I34)&lt;6,"待补坐标",IF(NOT(ISNUMBER(E17)),"待填轮行程",IF(E17&lt;=0,"轮行程须大于0",IF(COUNT(L17:M17)&lt;2,"无效半径",""))))</f>
        <v/>
      </c>
      <c r="L17" s="34">
        <f>IF(COUNT(Parameters!F34,Parameters!G34,Parameters!C18,Parameters!D18)&lt;4,"",IF(N17=0,"",IF(Parameters!G34&lt;Parameters!D18,-1,1)*DEGREES(ACOS(MAX(-1,MIN(1,(Parameters!C18-Parameters!F34)*1000/N17))))))</f>
        <v>-24.22774531795417</v>
      </c>
      <c r="M17" s="34">
        <f>IF(COUNT(Parameters!H34,Parameters!I34,Parameters!C18,Parameters!D18)&lt;4,"",IF(O17=0,"",IF(Parameters!I34&lt;Parameters!D18,-1,1)*DEGREES(ACOS(MAX(-1,MIN(1,(Parameters!C18-Parameters!H34)*1000/O17))))))</f>
        <v>26.368833521184065</v>
      </c>
      <c r="N17" s="36">
        <f>IF(COUNT(Parameters!F34,Parameters!G34,Parameters!C18,Parameters!D18)&lt;4,"",1000*SQRT((Parameters!F34-Parameters!C18)^2+(Parameters!G34-Parameters!D18)^2))</f>
        <v>131.59027319676798</v>
      </c>
      <c r="O17" s="36">
        <f>IF(COUNT(Parameters!H34,Parameters!I34,Parameters!C18,Parameters!D18)&lt;4,"",1000*SQRT((Parameters!H34-Parameters!C18)^2+(Parameters!I34-Parameters!D18)^2))</f>
        <v>130.58713566044705</v>
      </c>
    </row>
    <row r="18" spans="1:15" ht="26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5" ht="26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5" ht="26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5" ht="26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5" ht="39.950000000000003" customHeight="1">
      <c r="A22" s="1"/>
      <c r="B22" s="2" t="s">
        <v>34</v>
      </c>
      <c r="C22" s="2" t="s">
        <v>9</v>
      </c>
      <c r="D22" s="2" t="s">
        <v>10</v>
      </c>
      <c r="E22" s="1"/>
      <c r="F22" s="1"/>
      <c r="G22" s="1"/>
      <c r="H22" s="1"/>
      <c r="I22" s="1"/>
      <c r="J22" s="1"/>
      <c r="K22" s="1"/>
      <c r="L22" s="1"/>
      <c r="M22" s="1"/>
    </row>
    <row r="23" spans="1:15" ht="26.1" customHeight="1">
      <c r="A23" s="1"/>
      <c r="B23" s="3" t="s">
        <v>59</v>
      </c>
      <c r="C23" s="6">
        <f>IF(ISNUMBER(H12),H12,NA())</f>
        <v>5.2468630107600935</v>
      </c>
      <c r="D23" s="6">
        <f>IF(ISNUMBER(H15),H15,NA())</f>
        <v>11.08545128513005</v>
      </c>
      <c r="E23" s="1"/>
      <c r="F23" s="1"/>
      <c r="G23" s="1"/>
      <c r="H23" s="1"/>
      <c r="I23" s="1"/>
      <c r="J23" s="1"/>
      <c r="K23" s="1"/>
      <c r="L23" s="1"/>
      <c r="M23" s="1"/>
    </row>
    <row r="24" spans="1:15" ht="26.1" customHeight="1">
      <c r="A24" s="1"/>
      <c r="B24" s="4" t="s">
        <v>60</v>
      </c>
      <c r="C24" s="5">
        <f>IF(ISNUMBER(H13),H13,NA())</f>
        <v>5.504576622925577</v>
      </c>
      <c r="D24" s="5">
        <f>IF(ISNUMBER(H16),H16,NA())</f>
        <v>13.681622555635043</v>
      </c>
      <c r="E24" s="1"/>
      <c r="F24" s="1"/>
      <c r="G24" s="1"/>
      <c r="H24" s="1"/>
      <c r="I24" s="1"/>
      <c r="J24" s="1"/>
      <c r="K24" s="1"/>
      <c r="L24" s="1"/>
      <c r="M24" s="1"/>
    </row>
    <row r="25" spans="1:15" ht="26.1" customHeight="1">
      <c r="A25" s="1"/>
      <c r="B25" s="3" t="s">
        <v>61</v>
      </c>
      <c r="C25" s="6">
        <f>IF(ISNUMBER(H14),H14,NA())</f>
        <v>6.0098659998526269</v>
      </c>
      <c r="D25" s="6">
        <f>IF(ISNUMBER(H17),H17,NA())</f>
        <v>17.523535202834569</v>
      </c>
      <c r="E25" s="1"/>
      <c r="F25" s="1"/>
      <c r="G25" s="1"/>
      <c r="H25" s="1"/>
      <c r="I25" s="1"/>
      <c r="J25" s="1"/>
      <c r="K25" s="1"/>
      <c r="L25" s="1"/>
      <c r="M25" s="1"/>
    </row>
    <row r="26" spans="1:15" ht="26.1" customHeight="1">
      <c r="A26" s="1"/>
      <c r="B26" s="4" t="s">
        <v>62</v>
      </c>
      <c r="C26" s="5">
        <f>IF(ISNUMBER(I12),I12,NA())</f>
        <v>11.07997992589914</v>
      </c>
      <c r="D26" s="5">
        <f>IF(ISNUMBER(I15),I15,NA())</f>
        <v>22.798183207336258</v>
      </c>
      <c r="E26" s="1"/>
      <c r="F26" s="1"/>
      <c r="G26" s="1"/>
      <c r="H26" s="1"/>
      <c r="I26" s="1"/>
      <c r="J26" s="1"/>
      <c r="K26" s="1"/>
      <c r="L26" s="1"/>
      <c r="M26" s="1"/>
    </row>
    <row r="27" spans="1:15" ht="26.1" customHeight="1">
      <c r="A27" s="1"/>
      <c r="B27" s="3" t="s">
        <v>63</v>
      </c>
      <c r="C27" s="6">
        <f>IF(ISNUMBER(I13),I13,NA())</f>
        <v>11.624202567803193</v>
      </c>
      <c r="D27" s="6">
        <f>IF(ISNUMBER(I16),I16,NA())</f>
        <v>28.137432529733275</v>
      </c>
      <c r="E27" s="1"/>
      <c r="F27" s="1"/>
      <c r="G27" s="1"/>
      <c r="H27" s="1"/>
      <c r="I27" s="1"/>
      <c r="J27" s="1"/>
      <c r="K27" s="1"/>
      <c r="L27" s="1"/>
      <c r="M27" s="1"/>
    </row>
    <row r="28" spans="1:15" ht="26.1" customHeight="1">
      <c r="A28" s="1"/>
      <c r="B28" s="4" t="s">
        <v>64</v>
      </c>
      <c r="C28" s="5">
        <f>IF(ISNUMBER(I14),I14,NA())</f>
        <v>12.691239412798074</v>
      </c>
      <c r="D28" s="5">
        <f>IF(ISNUMBER(I17),I17,NA())</f>
        <v>36.038656047347558</v>
      </c>
      <c r="E28" s="1"/>
      <c r="F28" s="1"/>
      <c r="G28" s="1"/>
      <c r="H28" s="1"/>
      <c r="I28" s="1"/>
      <c r="J28" s="1"/>
      <c r="K28" s="1"/>
      <c r="L28" s="1"/>
      <c r="M28" s="1"/>
    </row>
    <row r="29" spans="1:15" ht="26.1" customHeight="1">
      <c r="A29" s="1"/>
      <c r="B29" s="3" t="s">
        <v>65</v>
      </c>
      <c r="C29" s="6">
        <f>IF(ISNUMBER(J12),J12,NA())</f>
        <v>20.394062528804113</v>
      </c>
      <c r="D29" s="6">
        <f>IF(ISNUMBER(J15),J15,NA())</f>
        <v>38.393916352197742</v>
      </c>
      <c r="E29" s="1"/>
      <c r="F29" s="1"/>
      <c r="G29" s="1"/>
      <c r="H29" s="1"/>
      <c r="I29" s="1"/>
      <c r="J29" s="1"/>
      <c r="K29" s="1"/>
      <c r="L29" s="1"/>
      <c r="M29" s="1"/>
    </row>
    <row r="30" spans="1:15" ht="26.1" customHeight="1">
      <c r="A30" s="1"/>
      <c r="B30" s="4" t="s">
        <v>66</v>
      </c>
      <c r="C30" s="5">
        <f>IF(ISNUMBER(J13),J13,NA())</f>
        <v>21.395771075463013</v>
      </c>
      <c r="D30" s="5">
        <f>IF(ISNUMBER(J16),J16,NA())</f>
        <v>47.385628104109358</v>
      </c>
      <c r="E30" s="1"/>
      <c r="F30" s="1"/>
      <c r="G30" s="1"/>
      <c r="H30" s="1"/>
      <c r="I30" s="1"/>
      <c r="J30" s="1"/>
      <c r="K30" s="1"/>
      <c r="L30" s="1"/>
      <c r="M30" s="1"/>
    </row>
    <row r="31" spans="1:15" ht="26.1" customHeight="1">
      <c r="A31" s="1"/>
      <c r="B31" s="3" t="s">
        <v>67</v>
      </c>
      <c r="C31" s="6">
        <f>IF(ISNUMBER(J14),J14,NA())</f>
        <v>23.359783310403735</v>
      </c>
      <c r="D31" s="6">
        <f>IF(ISNUMBER(J17),J17,NA())</f>
        <v>60.691903961989226</v>
      </c>
      <c r="E31" s="1"/>
      <c r="F31" s="1"/>
      <c r="G31" s="1"/>
      <c r="H31" s="1"/>
      <c r="I31" s="1"/>
      <c r="J31" s="1"/>
      <c r="K31" s="1"/>
      <c r="L31" s="1"/>
      <c r="M31" s="1"/>
    </row>
    <row r="32" spans="1:15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9.950000000000003" customHeight="1">
      <c r="A35" s="1"/>
      <c r="B35" s="2" t="s">
        <v>34</v>
      </c>
      <c r="C35" s="2" t="s">
        <v>9</v>
      </c>
      <c r="D35" s="2" t="s">
        <v>10</v>
      </c>
      <c r="E35" s="1"/>
      <c r="F35" s="1"/>
      <c r="G35" s="1"/>
      <c r="H35" s="1"/>
      <c r="I35" s="1"/>
      <c r="J35" s="1"/>
      <c r="K35" s="1"/>
      <c r="L35" s="1"/>
      <c r="M35" s="1"/>
    </row>
    <row r="36" spans="1:13" ht="26.1" customHeight="1">
      <c r="A36" s="1"/>
      <c r="B36" s="4" t="s">
        <v>59</v>
      </c>
      <c r="C36" s="5" t="e">
        <f>IF(ISNUMBER(H6),H6,NA())</f>
        <v>#N/A</v>
      </c>
      <c r="D36" s="5" t="e">
        <f>IF(ISNUMBER(H9),H9,NA())</f>
        <v>#N/A</v>
      </c>
      <c r="E36" s="1"/>
      <c r="F36" s="1"/>
      <c r="G36" s="1"/>
      <c r="H36" s="1"/>
      <c r="I36" s="1"/>
      <c r="J36" s="1"/>
      <c r="K36" s="1"/>
      <c r="L36" s="1"/>
      <c r="M36" s="1"/>
    </row>
    <row r="37" spans="1:13" ht="26.1" customHeight="1">
      <c r="A37" s="1"/>
      <c r="B37" s="3" t="s">
        <v>60</v>
      </c>
      <c r="C37" s="6" t="e">
        <f>IF(ISNUMBER(H7),H7,NA())</f>
        <v>#N/A</v>
      </c>
      <c r="D37" s="6" t="e">
        <f>IF(ISNUMBER(H10),H10,NA())</f>
        <v>#N/A</v>
      </c>
      <c r="E37" s="1"/>
      <c r="F37" s="1"/>
      <c r="G37" s="1"/>
      <c r="H37" s="1"/>
      <c r="I37" s="1"/>
      <c r="J37" s="1"/>
      <c r="K37" s="1"/>
      <c r="L37" s="1"/>
      <c r="M37" s="1"/>
    </row>
    <row r="38" spans="1:13" ht="26.1" customHeight="1">
      <c r="A38" s="1"/>
      <c r="B38" s="4" t="s">
        <v>61</v>
      </c>
      <c r="C38" s="5" t="e">
        <f>IF(ISNUMBER(H8),H8,NA())</f>
        <v>#N/A</v>
      </c>
      <c r="D38" s="5" t="e">
        <f>IF(ISNUMBER(H11),H11,NA())</f>
        <v>#N/A</v>
      </c>
      <c r="E38" s="1"/>
      <c r="F38" s="1"/>
      <c r="G38" s="1"/>
      <c r="H38" s="1"/>
      <c r="I38" s="1"/>
      <c r="J38" s="1"/>
      <c r="K38" s="1"/>
      <c r="L38" s="1"/>
      <c r="M38" s="1"/>
    </row>
    <row r="39" spans="1:13" ht="26.1" customHeight="1">
      <c r="A39" s="1"/>
      <c r="B39" s="3" t="s">
        <v>62</v>
      </c>
      <c r="C39" s="6" t="e">
        <f>IF(ISNUMBER(I6),I6,NA())</f>
        <v>#N/A</v>
      </c>
      <c r="D39" s="6" t="e">
        <f>IF(ISNUMBER(I9),I9,NA())</f>
        <v>#N/A</v>
      </c>
      <c r="E39" s="1"/>
      <c r="F39" s="1"/>
      <c r="G39" s="1"/>
      <c r="H39" s="1"/>
      <c r="I39" s="1"/>
      <c r="J39" s="1"/>
      <c r="K39" s="1"/>
      <c r="L39" s="1"/>
      <c r="M39" s="1"/>
    </row>
    <row r="40" spans="1:13" ht="26.1" customHeight="1">
      <c r="A40" s="1"/>
      <c r="B40" s="4" t="s">
        <v>63</v>
      </c>
      <c r="C40" s="5" t="e">
        <f>IF(ISNUMBER(I7),I7,NA())</f>
        <v>#N/A</v>
      </c>
      <c r="D40" s="5" t="e">
        <f>IF(ISNUMBER(I10),I10,NA())</f>
        <v>#N/A</v>
      </c>
      <c r="E40" s="1"/>
      <c r="F40" s="1"/>
      <c r="G40" s="1"/>
      <c r="H40" s="1"/>
      <c r="I40" s="1"/>
      <c r="J40" s="1"/>
      <c r="K40" s="1"/>
      <c r="L40" s="1"/>
      <c r="M40" s="1"/>
    </row>
    <row r="41" spans="1:13" ht="26.1" customHeight="1">
      <c r="A41" s="1"/>
      <c r="B41" s="3" t="s">
        <v>64</v>
      </c>
      <c r="C41" s="6" t="e">
        <f>IF(ISNUMBER(I8),I8,NA())</f>
        <v>#N/A</v>
      </c>
      <c r="D41" s="6" t="e">
        <f>IF(ISNUMBER(I11),I11,NA())</f>
        <v>#N/A</v>
      </c>
      <c r="E41" s="1"/>
      <c r="F41" s="1"/>
      <c r="G41" s="1"/>
      <c r="H41" s="1"/>
      <c r="I41" s="1"/>
      <c r="J41" s="1"/>
      <c r="K41" s="1"/>
      <c r="L41" s="1"/>
      <c r="M41" s="1"/>
    </row>
    <row r="42" spans="1:13" ht="26.1" customHeight="1">
      <c r="A42" s="1"/>
      <c r="B42" s="4" t="s">
        <v>65</v>
      </c>
      <c r="C42" s="5" t="e">
        <f>IF(ISNUMBER(J6),J6,NA())</f>
        <v>#N/A</v>
      </c>
      <c r="D42" s="5" t="e">
        <f>IF(ISNUMBER(J9),J9,NA())</f>
        <v>#N/A</v>
      </c>
      <c r="E42" s="1"/>
      <c r="F42" s="1"/>
      <c r="G42" s="1"/>
      <c r="H42" s="1"/>
      <c r="I42" s="1"/>
      <c r="J42" s="1"/>
      <c r="K42" s="1"/>
      <c r="L42" s="1"/>
      <c r="M42" s="1"/>
    </row>
    <row r="43" spans="1:13" ht="26.1" customHeight="1">
      <c r="A43" s="1"/>
      <c r="B43" s="3" t="s">
        <v>66</v>
      </c>
      <c r="C43" s="6" t="e">
        <f>IF(ISNUMBER(J7),J7,NA())</f>
        <v>#N/A</v>
      </c>
      <c r="D43" s="6" t="e">
        <f>IF(ISNUMBER(J10),J10,NA())</f>
        <v>#N/A</v>
      </c>
      <c r="E43" s="1"/>
      <c r="F43" s="1"/>
      <c r="G43" s="1"/>
      <c r="H43" s="1"/>
      <c r="I43" s="1"/>
      <c r="J43" s="1"/>
      <c r="K43" s="1"/>
      <c r="L43" s="1"/>
      <c r="M43" s="1"/>
    </row>
    <row r="44" spans="1:13" ht="26.1" customHeight="1">
      <c r="A44" s="1"/>
      <c r="B44" s="4" t="s">
        <v>67</v>
      </c>
      <c r="C44" s="5" t="e">
        <f>IF(ISNUMBER(J8),J8,NA())</f>
        <v>#N/A</v>
      </c>
      <c r="D44" s="5" t="e">
        <f>IF(ISNUMBER(J11),J11,NA())</f>
        <v>#N/A</v>
      </c>
      <c r="E44" s="1"/>
      <c r="F44" s="1"/>
      <c r="G44" s="1"/>
      <c r="H44" s="1"/>
      <c r="I44" s="1"/>
      <c r="J44" s="1"/>
      <c r="K44" s="1"/>
      <c r="L44" s="1"/>
      <c r="M44" s="1"/>
    </row>
    <row r="45" spans="1:13" ht="26.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6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6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6.1" customHeight="1">
      <c r="A49" s="1"/>
      <c r="B49" s="44" t="s">
        <v>35</v>
      </c>
      <c r="C49" s="44" t="s">
        <v>35</v>
      </c>
      <c r="D49" s="44" t="s">
        <v>35</v>
      </c>
      <c r="E49" s="1"/>
      <c r="F49" s="1"/>
      <c r="G49" s="1"/>
      <c r="H49" s="1"/>
      <c r="I49" s="1"/>
      <c r="J49" s="1"/>
      <c r="K49" s="1"/>
      <c r="L49" s="1"/>
      <c r="M49" s="1"/>
    </row>
    <row r="50" spans="1:13" ht="26.1" customHeight="1">
      <c r="A50" s="1"/>
      <c r="B50" s="1" t="s">
        <v>36</v>
      </c>
      <c r="C50" s="1">
        <v>223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6.1" customHeight="1">
      <c r="A51" s="1"/>
      <c r="B51" s="1" t="s">
        <v>37</v>
      </c>
      <c r="C51" s="1">
        <v>267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6.1" customHeight="1">
      <c r="A52" s="1"/>
      <c r="B52" s="1" t="s">
        <v>38</v>
      </c>
      <c r="C52" s="1">
        <v>236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26.1" customHeight="1">
      <c r="A53" s="1"/>
      <c r="B53" s="1" t="s">
        <v>39</v>
      </c>
      <c r="C53" s="1">
        <v>238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.1" customHeight="1">
      <c r="A54" s="1"/>
      <c r="B54" s="1" t="s">
        <v>40</v>
      </c>
      <c r="C54" s="1">
        <v>279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6.1" customHeight="1">
      <c r="A55" s="1"/>
      <c r="B55" s="1" t="s">
        <v>41</v>
      </c>
      <c r="C55" s="1">
        <v>16</v>
      </c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6.1" customHeight="1">
      <c r="A56" s="1"/>
      <c r="B56" s="1" t="s">
        <v>42</v>
      </c>
      <c r="C56" s="1">
        <v>23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6.1" customHeight="1">
      <c r="A57" s="1"/>
      <c r="B57" s="1" t="s">
        <v>43</v>
      </c>
      <c r="C57" s="1">
        <v>24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6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6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26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26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26.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6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6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6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6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6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26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26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26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6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26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26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26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6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26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26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6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26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26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26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26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26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26.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26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26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21.95" customHeight="1"/>
    <row r="92" spans="1:13" ht="21.95" customHeight="1"/>
    <row r="93" spans="1:13" ht="21.95" customHeight="1"/>
    <row r="94" spans="1:13" ht="21.95" customHeight="1"/>
    <row r="95" spans="1:13" ht="21.95" customHeight="1"/>
    <row r="96" spans="1:13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35.1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  <row r="138" ht="21.95" customHeight="1"/>
    <row r="139" ht="21.95" customHeight="1"/>
    <row r="140" ht="21.95" customHeight="1"/>
    <row r="141" ht="21.95" customHeight="1"/>
    <row r="142" ht="21.95" customHeight="1"/>
    <row r="143" ht="21.95" customHeight="1"/>
    <row r="144" ht="21.95" customHeight="1"/>
    <row r="145" ht="21.95" customHeight="1"/>
    <row r="146" ht="21.95" customHeight="1"/>
    <row r="147" ht="21.95" customHeight="1"/>
    <row r="148" ht="21.95" customHeight="1"/>
    <row r="149" ht="21.95" customHeight="1"/>
    <row r="150" ht="21.95" customHeight="1"/>
    <row r="151" ht="21.95" customHeight="1"/>
    <row r="152" ht="21.95" customHeight="1"/>
    <row r="153" ht="21.95" customHeight="1"/>
    <row r="154" ht="21.95" customHeight="1"/>
    <row r="155" ht="21.95" customHeight="1"/>
    <row r="156" ht="21.95" customHeight="1"/>
    <row r="157" ht="21.95" customHeight="1"/>
  </sheetData>
  <mergeCells count="2">
    <mergeCell ref="B2:K3"/>
    <mergeCell ref="B49:D49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2026-10-18T12:55:00Z</dcterms:modified>
</cp:coreProperties>
</file>