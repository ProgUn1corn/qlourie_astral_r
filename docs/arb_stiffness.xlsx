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BCB5A578-E02C-49BD-B82C-4B513DC6407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M17" i="7" s="1"/>
  <c r="N17" i="7"/>
  <c r="L17" i="7" s="1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E14" i="7"/>
  <c r="O13" i="7"/>
  <c r="M13" i="7" s="1"/>
  <c r="N13" i="7"/>
  <c r="L13" i="7" s="1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E12" i="5"/>
  <c r="E11" i="5"/>
  <c r="E10" i="5"/>
  <c r="E9" i="5"/>
  <c r="E7" i="5"/>
  <c r="K8" i="7" l="1"/>
  <c r="K11" i="7"/>
  <c r="K7" i="7"/>
  <c r="K10" i="7"/>
  <c r="K6" i="7"/>
  <c r="K9" i="7"/>
  <c r="K16" i="7"/>
  <c r="K17" i="7"/>
  <c r="K13" i="7"/>
  <c r="F7" i="7"/>
  <c r="G7" i="7" s="1"/>
  <c r="I7" i="7" s="1"/>
  <c r="C40" i="7" s="1"/>
  <c r="K15" i="7"/>
  <c r="F11" i="7"/>
  <c r="G11" i="7" s="1"/>
  <c r="K12" i="7"/>
  <c r="F14" i="7"/>
  <c r="G14" i="7" s="1"/>
  <c r="J14" i="7" s="1"/>
  <c r="C31" i="7" s="1"/>
  <c r="K14" i="7"/>
  <c r="F10" i="7"/>
  <c r="G10" i="7" s="1"/>
  <c r="H10" i="7" s="1"/>
  <c r="D37" i="7" s="1"/>
  <c r="F13" i="7"/>
  <c r="G13" i="7" s="1"/>
  <c r="F9" i="7"/>
  <c r="G9" i="7" s="1"/>
  <c r="F12" i="7"/>
  <c r="G12" i="7" s="1"/>
  <c r="F6" i="7"/>
  <c r="G6" i="7" s="1"/>
  <c r="F8" i="7"/>
  <c r="G8" i="7" s="1"/>
  <c r="J8" i="7" s="1"/>
  <c r="C44" i="7" s="1"/>
  <c r="F15" i="7"/>
  <c r="G15" i="7" s="1"/>
  <c r="F17" i="7"/>
  <c r="G17" i="7" s="1"/>
  <c r="F16" i="7"/>
  <c r="G16" i="7" s="1"/>
  <c r="H11" i="7" l="1"/>
  <c r="D38" i="7" s="1"/>
  <c r="J11" i="7"/>
  <c r="D44" i="7" s="1"/>
  <c r="H7" i="7"/>
  <c r="C37" i="7" s="1"/>
  <c r="J7" i="7"/>
  <c r="C43" i="7" s="1"/>
  <c r="I11" i="7"/>
  <c r="D41" i="7" s="1"/>
  <c r="J9" i="7"/>
  <c r="D42" i="7" s="1"/>
  <c r="H9" i="7"/>
  <c r="D36" i="7" s="1"/>
  <c r="I9" i="7"/>
  <c r="D39" i="7" s="1"/>
  <c r="H14" i="7"/>
  <c r="C25" i="7" s="1"/>
  <c r="I14" i="7"/>
  <c r="C28" i="7" s="1"/>
  <c r="I6" i="7"/>
  <c r="C39" i="7" s="1"/>
  <c r="H6" i="7"/>
  <c r="J6" i="7"/>
  <c r="C42" i="7" s="1"/>
  <c r="J12" i="7"/>
  <c r="C29" i="7" s="1"/>
  <c r="I12" i="7"/>
  <c r="C26" i="7" s="1"/>
  <c r="H12" i="7"/>
  <c r="C23" i="7" s="1"/>
  <c r="I8" i="7"/>
  <c r="C41" i="7" s="1"/>
  <c r="I10" i="7"/>
  <c r="D40" i="7" s="1"/>
  <c r="J10" i="7"/>
  <c r="D43" i="7" s="1"/>
  <c r="H8" i="7"/>
  <c r="C38" i="7" s="1"/>
  <c r="J17" i="7"/>
  <c r="D31" i="7" s="1"/>
  <c r="I17" i="7"/>
  <c r="D28" i="7" s="1"/>
  <c r="H17" i="7"/>
  <c r="D25" i="7" s="1"/>
  <c r="H13" i="7"/>
  <c r="C24" i="7" s="1"/>
  <c r="J13" i="7"/>
  <c r="C30" i="7" s="1"/>
  <c r="I13" i="7"/>
  <c r="C27" i="7" s="1"/>
  <c r="J16" i="7"/>
  <c r="D30" i="7" s="1"/>
  <c r="I16" i="7"/>
  <c r="D27" i="7" s="1"/>
  <c r="H16" i="7"/>
  <c r="D24" i="7" s="1"/>
  <c r="I15" i="7"/>
  <c r="D26" i="7" s="1"/>
  <c r="H15" i="7"/>
  <c r="D23" i="7" s="1"/>
  <c r="J15" i="7"/>
  <c r="D29" i="7" s="1"/>
  <c r="B5" i="1" l="1"/>
  <c r="C36" i="7"/>
</calcChain>
</file>

<file path=xl/sharedStrings.xml><?xml version="1.0" encoding="utf-8"?>
<sst xmlns="http://schemas.openxmlformats.org/spreadsheetml/2006/main" count="320" uniqueCount="70">
  <si>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</si>
  <si>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</si>
  <si>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</si>
  <si>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</si>
  <si>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</si>
  <si>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</si>
  <si>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</si>
  <si>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</si>
  <si>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</si>
  <si>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</si>
  <si>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</si>
  <si>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</si>
  <si>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</si>
  <si>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</si>
  <si>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</si>
  <si>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</si>
  <si>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</si>
  <si>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</si>
  <si>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</si>
  <si>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</si>
  <si>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</si>
  <si>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</si>
  <si>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</si>
  <si>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</si>
  <si>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</si>
  <si>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</si>
  <si>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</si>
  <si>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</si>
  <si>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</si>
  <si>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</si>
  <si>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</si>
  <si>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</si>
  <si>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</si>
  <si>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</si>
  <si>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</si>
  <si>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</si>
  <si>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</si>
  <si>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</si>
  <si>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</si>
  <si>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</si>
  <si>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</si>
  <si>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</si>
  <si>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</si>
  <si>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</si>
  <si>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</si>
  <si>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</si>
  <si>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</si>
  <si>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</si>
  <si>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</si>
  <si>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</si>
  <si>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</si>
  <si>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</si>
  <si>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</si>
  <si>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</si>
  <si>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</si>
  <si>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</si>
  <si>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</si>
  <si>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</si>
  <si>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</si>
  <si>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</si>
  <si>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</si>
  <si>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</si>
  <si>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</si>
  <si>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</si>
  <si>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</si>
  <si>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</si>
  <si>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</si>
  <si>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</si>
  <si>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Front</t>
    <phoneticPr fontId="8" type="noConversion"/>
  </si>
  <si>
    <t>M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</si>
</sst>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8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4">
    <xf numFmtId="0" fontId="0" fillId="0" border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</cellStyleXfs>
  <cellXfs count="41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5" borderId="2" xfId="1" applyFont="1" applyFill="1" applyBorder="1">
      <alignment vertical="center"/>
    </xf>
    <xf numFmtId="0" fontId="5" fillId="6" borderId="2" xfId="1" applyFont="1" applyFill="1" applyBorder="1" applyAlignment="1">
      <alignment horizontal="center" vertical="center" wrapText="1"/>
    </xf>
    <xf numFmtId="0" fontId="4" fillId="7" borderId="3" xfId="1" applyFont="1" applyFill="1" applyBorder="1">
      <alignment vertical="center"/>
    </xf>
    <xf numFmtId="0" fontId="4" fillId="5" borderId="3" xfId="1" applyFont="1" applyFill="1" applyBorder="1">
      <alignment vertical="center"/>
    </xf>
    <xf numFmtId="176" fontId="6" fillId="8" borderId="3" xfId="1" applyNumberFormat="1" applyFont="1" applyFill="1" applyBorder="1" applyAlignment="1">
      <alignment horizontal="right" vertical="center"/>
    </xf>
    <xf numFmtId="1" fontId="6" fillId="8" borderId="3" xfId="1" applyNumberFormat="1" applyFont="1" applyFill="1" applyBorder="1" applyAlignment="1">
      <alignment horizontal="right" vertical="center"/>
    </xf>
    <xf numFmtId="1" fontId="4" fillId="7" borderId="3" xfId="1" applyNumberFormat="1" applyFont="1" applyFill="1" applyBorder="1">
      <alignment vertical="center"/>
    </xf>
    <xf numFmtId="1" fontId="4" fillId="5" borderId="3" xfId="1" applyNumberFormat="1" applyFont="1" applyFill="1" applyBorder="1">
      <alignment vertical="center"/>
    </xf>
    <xf numFmtId="177" fontId="6" fillId="8" borderId="3" xfId="1" applyNumberFormat="1" applyFont="1" applyFill="1" applyBorder="1" applyAlignment="1">
      <alignment horizontal="right" vertical="center"/>
    </xf>
    <xf numFmtId="176" fontId="4" fillId="7" borderId="3" xfId="1" applyNumberFormat="1" applyFont="1" applyFill="1" applyBorder="1">
      <alignment vertical="center"/>
    </xf>
    <xf numFmtId="176" fontId="4" fillId="5" borderId="3" xfId="1" applyNumberFormat="1" applyFont="1" applyFill="1" applyBorder="1">
      <alignment vertical="center"/>
    </xf>
    <xf numFmtId="0" fontId="12" fillId="10" borderId="6" xfId="3" applyFont="1" applyFill="1" applyBorder="1">
      <alignment vertical="center"/>
    </xf>
    <xf numFmtId="0" fontId="15" fillId="12" borderId="4" xfId="2" applyFont="1" applyFill="1" applyBorder="1">
      <alignment horizontal="center" vertical="center" wrapText="1"/>
    </xf>
    <xf numFmtId="0" fontId="16" fillId="13" borderId="5" xfId="2" applyFont="1" applyFill="1" applyBorder="1" applyAlignment="1">
      <alignment vertical="center"/>
    </xf>
    <xf numFmtId="177" fontId="17" fillId="14" borderId="5" xfId="2" applyNumberFormat="1" applyFont="1" applyFill="1" applyBorder="1" applyAlignment="1">
      <alignment horizontal="right" vertical="center"/>
    </xf>
    <xf numFmtId="0" fontId="16" fillId="15" borderId="5" xfId="2" applyFont="1" applyFill="1" applyBorder="1" applyAlignment="1">
      <alignment vertical="center"/>
    </xf>
    <xf numFmtId="0" fontId="11" fillId="12" borderId="4" xfId="2" applyFont="1" applyFill="1" applyBorder="1">
      <alignment horizontal="center" vertical="center" wrapText="1"/>
    </xf>
    <xf numFmtId="176" fontId="17" fillId="14" borderId="5" xfId="2" applyNumberFormat="1" applyFont="1" applyFill="1" applyBorder="1" applyAlignment="1">
      <alignment horizontal="right" vertical="center"/>
    </xf>
    <xf numFmtId="2" fontId="9" fillId="15" borderId="5" xfId="2" applyNumberFormat="1" applyFont="1" applyFill="1" applyBorder="1" applyAlignment="1">
      <alignment horizontal="right" vertical="center"/>
    </xf>
    <xf numFmtId="2" fontId="9" fillId="13" borderId="5" xfId="2" applyNumberFormat="1" applyFont="1" applyFill="1" applyBorder="1" applyAlignment="1">
      <alignment horizontal="right" vertical="center"/>
    </xf>
    <xf numFmtId="176" fontId="16" fillId="15" borderId="5" xfId="2" applyNumberFormat="1" applyFont="1" applyFill="1" applyBorder="1" applyAlignment="1">
      <alignment horizontal="right" vertical="center"/>
    </xf>
    <xf numFmtId="176" fontId="16" fillId="13" borderId="5" xfId="2" applyNumberFormat="1" applyFont="1" applyFill="1" applyBorder="1" applyAlignment="1">
      <alignment horizontal="right" vertical="center"/>
    </xf>
    <xf numFmtId="0" fontId="7" fillId="5" borderId="2" xfId="1" applyFont="1" applyFill="1" applyBorder="1">
      <alignment vertical="center"/>
    </xf>
    <xf numFmtId="0" fontId="13" fillId="11" borderId="6" xfId="3" applyFont="1" applyFill="1" applyBorder="1">
      <alignment vertical="center"/>
    </xf>
    <xf numFmtId="0" fontId="14" fillId="10" borderId="6" xfId="3" applyFont="1" applyFill="1" applyBorder="1">
      <alignment vertical="center"/>
    </xf>
    <xf numFmtId="0" fontId="10" fillId="9" borderId="4" xfId="2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8.6385052748859135</c:v>
                </c:pt>
                <c:pt idx="1">
                  <c:v>10.160928227504549</c:v>
                </c:pt>
                <c:pt idx="2">
                  <c:v>12.047997452455359</c:v>
                </c:pt>
                <c:pt idx="3">
                  <c:v>16.003897503858848</c:v>
                </c:pt>
                <c:pt idx="4">
                  <c:v>18.824373977035812</c:v>
                </c:pt>
                <c:pt idx="5">
                  <c:v>22.320402687766435</c:v>
                </c:pt>
                <c:pt idx="6">
                  <c:v>30.023313637124545</c:v>
                </c:pt>
                <c:pt idx="7">
                  <c:v>35.314527839159076</c:v>
                </c:pt>
                <c:pt idx="8">
                  <c:v>41.87307811988596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13.261207716193466</c:v>
                </c:pt>
                <c:pt idx="1">
                  <c:v>16.15052203342573</c:v>
                </c:pt>
                <c:pt idx="2">
                  <c:v>20.35671032754508</c:v>
                </c:pt>
                <c:pt idx="3">
                  <c:v>25.342778075639309</c:v>
                </c:pt>
                <c:pt idx="4">
                  <c:v>30.864390669262328</c:v>
                </c:pt>
                <c:pt idx="5">
                  <c:v>38.902610020283568</c:v>
                </c:pt>
                <c:pt idx="6">
                  <c:v>47.50624777926771</c:v>
                </c:pt>
                <c:pt idx="7">
                  <c:v>57.856774277620552</c:v>
                </c:pt>
                <c:pt idx="8">
                  <c:v>72.924800326461153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7.9783974334529209</c:v>
                </c:pt>
                <c:pt idx="1">
                  <c:v>9.7673728521340628</c:v>
                </c:pt>
                <c:pt idx="2">
                  <c:v>13.080712911938672</c:v>
                </c:pt>
                <c:pt idx="3">
                  <c:v>14.780966232808993</c:v>
                </c:pt>
                <c:pt idx="4">
                  <c:v>18.095264057078605</c:v>
                </c:pt>
                <c:pt idx="5">
                  <c:v>24.233635572195013</c:v>
                </c:pt>
                <c:pt idx="6">
                  <c:v>27.729094425927766</c:v>
                </c:pt>
                <c:pt idx="7">
                  <c:v>33.946717541852699</c:v>
                </c:pt>
                <c:pt idx="8">
                  <c:v>45.462303240592291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13.514384660591768</c:v>
                </c:pt>
                <c:pt idx="1">
                  <c:v>16.804738127112959</c:v>
                </c:pt>
                <c:pt idx="2">
                  <c:v>22.02847631278453</c:v>
                </c:pt>
                <c:pt idx="3">
                  <c:v>25.826610864708716</c:v>
                </c:pt>
                <c:pt idx="4">
                  <c:v>32.114627723884531</c:v>
                </c:pt>
                <c:pt idx="5">
                  <c:v>42.097431733738119</c:v>
                </c:pt>
                <c:pt idx="6">
                  <c:v>48.413215448426278</c:v>
                </c:pt>
                <c:pt idx="7">
                  <c:v>60.200403343164751</c:v>
                </c:pt>
                <c:pt idx="8">
                  <c:v>78.913646201091169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abSelected="1" topLeftCell="A4" zoomScale="70" zoomScaleNormal="70" workbookViewId="0">
      <selection activeCell="U36" sqref="U36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1"/>
    </row>
    <row r="3" spans="1:15" ht="26.1" customHeight="1">
      <c r="A3" s="1"/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0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1"/>
    </row>
    <row r="4" spans="1:15" ht="26.1" customHeight="1">
      <c r="A4" s="1"/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/>
    </row>
    <row r="5" spans="1:15" ht="26.1" customHeight="1">
      <c r="A5" s="1"/>
      <c r="B5" s="1" t="str">
        <f>IF(COUNT(Samples!H6:J17)=0,"待补节点坐标；暂无刚度结果。","")</f>
        <v/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/>
    </row>
  </sheetData>
  <mergeCells count="4">
    <mergeCell ref="B2:N3"/>
    <mergeCell ref="B4:N4"/>
    <mergeCell ref="B5:N5"/>
    <mergeCell ref="B49:N49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10" sqref="E10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5"/>
    </row>
    <row r="3" spans="1:10" ht="27" customHeight="1">
      <c r="A3" s="15"/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5"/>
    </row>
    <row r="4" spans="1:10" ht="27" customHeight="1">
      <c r="A4" s="15"/>
      <c r="B4" s="3" t="s">
        <v>4</v>
      </c>
      <c r="C4" s="37" t="s">
        <v>4</v>
      </c>
      <c r="D4" s="37" t="s">
        <v>4</v>
      </c>
      <c r="E4" s="37" t="s">
        <v>4</v>
      </c>
      <c r="F4" s="37" t="s">
        <v>4</v>
      </c>
      <c r="G4" s="37" t="s">
        <v>4</v>
      </c>
      <c r="H4" s="37" t="s">
        <v>4</v>
      </c>
      <c r="I4" s="37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44</v>
      </c>
      <c r="D7" s="19">
        <v>15.6</v>
      </c>
      <c r="E7" s="21">
        <f>$E$8*(D7/$D$8)^4</f>
        <v>1364.0116618075808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45</v>
      </c>
      <c r="D8" s="19">
        <v>18.2</v>
      </c>
      <c r="E8" s="20">
        <v>2527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46</v>
      </c>
      <c r="D9" s="19">
        <v>21.3</v>
      </c>
      <c r="E9" s="21">
        <f>$E$8*(D9/$D$8)^4</f>
        <v>4740.6523031480474</v>
      </c>
      <c r="F9" s="15"/>
      <c r="G9" s="15"/>
      <c r="H9" s="15"/>
      <c r="I9" s="15"/>
      <c r="J9" s="15"/>
    </row>
    <row r="10" spans="1:10" ht="27" customHeight="1">
      <c r="A10" s="15"/>
      <c r="B10" s="18" t="s">
        <v>10</v>
      </c>
      <c r="C10" s="18" t="s">
        <v>44</v>
      </c>
      <c r="D10" s="19">
        <v>16.5</v>
      </c>
      <c r="E10" s="22">
        <f>$E$8*(D10/$D$8)^4</f>
        <v>1707.0862601137678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10</v>
      </c>
      <c r="C11" s="17" t="s">
        <v>45</v>
      </c>
      <c r="D11" s="19">
        <v>19.399999999999999</v>
      </c>
      <c r="E11" s="21">
        <f>$E$8*(D11/$D$8)^4</f>
        <v>3262.3203837768124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10</v>
      </c>
      <c r="C12" s="18" t="s">
        <v>46</v>
      </c>
      <c r="D12" s="19">
        <v>22.7</v>
      </c>
      <c r="E12" s="22">
        <f>$E$8*(D12/$D$8)^4</f>
        <v>6115.3753556336333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8" t="s">
        <v>47</v>
      </c>
      <c r="C14" s="38" t="s">
        <v>11</v>
      </c>
      <c r="D14" s="38" t="s">
        <v>11</v>
      </c>
      <c r="E14" s="38" t="s">
        <v>11</v>
      </c>
      <c r="F14" s="38" t="s">
        <v>11</v>
      </c>
      <c r="G14" s="38" t="s">
        <v>11</v>
      </c>
      <c r="H14" s="38" t="s">
        <v>11</v>
      </c>
      <c r="I14" s="38" t="s">
        <v>11</v>
      </c>
      <c r="J14" s="15"/>
    </row>
    <row r="15" spans="1:10" ht="27" customHeight="1">
      <c r="A15" s="15"/>
      <c r="B15" s="39" t="s">
        <v>48</v>
      </c>
      <c r="C15" s="39" t="s">
        <v>12</v>
      </c>
      <c r="D15" s="39" t="s">
        <v>12</v>
      </c>
      <c r="E15" s="39" t="s">
        <v>12</v>
      </c>
      <c r="F15" s="39" t="s">
        <v>12</v>
      </c>
      <c r="G15" s="39" t="s">
        <v>12</v>
      </c>
      <c r="H15" s="39" t="s">
        <v>12</v>
      </c>
      <c r="I15" s="39" t="s">
        <v>12</v>
      </c>
      <c r="J15" s="15"/>
    </row>
    <row r="16" spans="1:10" ht="42" customHeight="1">
      <c r="A16" s="15"/>
      <c r="B16" s="27" t="s">
        <v>5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">
        <v>9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">
        <v>10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38" t="s">
        <v>49</v>
      </c>
      <c r="C20" s="38" t="s">
        <v>18</v>
      </c>
      <c r="D20" s="38" t="s">
        <v>18</v>
      </c>
      <c r="E20" s="38" t="s">
        <v>18</v>
      </c>
      <c r="F20" s="38" t="s">
        <v>18</v>
      </c>
      <c r="G20" s="38" t="s">
        <v>18</v>
      </c>
      <c r="H20" s="38" t="s">
        <v>18</v>
      </c>
      <c r="I20" s="38" t="s">
        <v>18</v>
      </c>
      <c r="J20" s="15"/>
    </row>
    <row r="21" spans="1:14" ht="27" customHeight="1">
      <c r="A21" s="15"/>
      <c r="B21" s="40" t="s">
        <v>50</v>
      </c>
      <c r="C21" s="40"/>
      <c r="D21" s="40"/>
      <c r="E21" s="40"/>
      <c r="F21" s="40"/>
      <c r="G21" s="40"/>
      <c r="H21" s="40"/>
      <c r="I21" s="40"/>
      <c r="J21" s="15"/>
    </row>
    <row r="22" spans="1:14" ht="42" customHeight="1">
      <c r="A22" s="15"/>
      <c r="B22" s="27" t="s">
        <v>19</v>
      </c>
      <c r="C22" s="27" t="s">
        <v>5</v>
      </c>
      <c r="D22" s="27" t="s">
        <v>20</v>
      </c>
      <c r="E22" s="27" t="s">
        <v>21</v>
      </c>
      <c r="F22" s="27" t="s">
        <v>13</v>
      </c>
      <c r="G22" s="27" t="s">
        <v>14</v>
      </c>
      <c r="H22" s="27" t="s">
        <v>22</v>
      </c>
      <c r="I22" s="27" t="s">
        <v>23</v>
      </c>
      <c r="J22" s="15"/>
    </row>
    <row r="23" spans="1:14" ht="27" customHeight="1">
      <c r="A23" s="15"/>
      <c r="B23" s="28" t="s">
        <v>25</v>
      </c>
      <c r="C23" s="28" t="s">
        <v>9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">
        <v>25</v>
      </c>
      <c r="C24" s="30" t="s">
        <v>9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">
        <v>25</v>
      </c>
      <c r="C25" s="28" t="s">
        <v>9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">
        <v>25</v>
      </c>
      <c r="C26" s="30" t="s">
        <v>10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">
        <v>25</v>
      </c>
      <c r="C27" s="28" t="s">
        <v>10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">
        <v>25</v>
      </c>
      <c r="C28" s="30" t="s">
        <v>10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">
        <v>26</v>
      </c>
      <c r="C29" s="28" t="s">
        <v>9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">
        <v>26</v>
      </c>
      <c r="C30" s="30" t="s">
        <v>9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">
        <v>26</v>
      </c>
      <c r="C31" s="28" t="s">
        <v>9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">
        <v>26</v>
      </c>
      <c r="C32" s="30" t="s">
        <v>10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">
        <v>26</v>
      </c>
      <c r="C33" s="28" t="s">
        <v>10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">
        <v>26</v>
      </c>
      <c r="C34" s="30" t="s">
        <v>10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">
        <v>27</v>
      </c>
      <c r="C38" s="3" t="s">
        <v>27</v>
      </c>
      <c r="D38" s="3" t="s">
        <v>27</v>
      </c>
      <c r="E38" s="3" t="s">
        <v>27</v>
      </c>
      <c r="F38" s="3" t="s">
        <v>27</v>
      </c>
      <c r="G38" s="3" t="s">
        <v>27</v>
      </c>
      <c r="H38" s="3" t="s">
        <v>27</v>
      </c>
      <c r="I38" s="3" t="s">
        <v>27</v>
      </c>
      <c r="J38" s="15"/>
    </row>
    <row r="39" spans="1:14" ht="42" customHeight="1">
      <c r="A39" s="15"/>
      <c r="B39" s="16" t="s">
        <v>19</v>
      </c>
      <c r="C39" s="16" t="s">
        <v>5</v>
      </c>
      <c r="D39" s="16" t="s">
        <v>20</v>
      </c>
      <c r="E39" s="16" t="s">
        <v>28</v>
      </c>
      <c r="F39" s="16" t="s">
        <v>29</v>
      </c>
      <c r="G39" s="15"/>
      <c r="H39" s="15"/>
      <c r="I39" s="15"/>
      <c r="J39" s="15"/>
    </row>
    <row r="40" spans="1:14" ht="27" customHeight="1">
      <c r="A40" s="15"/>
      <c r="B40" s="18" t="s">
        <v>25</v>
      </c>
      <c r="C40" s="18" t="s">
        <v>9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">
        <v>25</v>
      </c>
      <c r="C41" s="17" t="s">
        <v>9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">
        <v>25</v>
      </c>
      <c r="C42" s="18" t="s">
        <v>9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">
        <v>25</v>
      </c>
      <c r="C43" s="17" t="s">
        <v>10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">
        <v>25</v>
      </c>
      <c r="C44" s="18" t="s">
        <v>10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">
        <v>25</v>
      </c>
      <c r="C45" s="17" t="s">
        <v>10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">
        <v>26</v>
      </c>
      <c r="C46" s="18" t="s">
        <v>9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">
        <v>26</v>
      </c>
      <c r="C47" s="17" t="s">
        <v>9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">
        <v>26</v>
      </c>
      <c r="C48" s="18" t="s">
        <v>9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">
        <v>26</v>
      </c>
      <c r="C49" s="17" t="s">
        <v>10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">
        <v>26</v>
      </c>
      <c r="C50" s="18" t="s">
        <v>10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">
        <v>26</v>
      </c>
      <c r="C51" s="17" t="s">
        <v>10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157"/>
  <sheetViews>
    <sheetView showGridLines="0" zoomScale="130" zoomScaleNormal="130" workbookViewId="0">
      <pane ySplit="5" topLeftCell="A6" activePane="bottomLeft" state="frozen"/>
      <selection pane="bottomLeft" activeCell="J16" sqref="J16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" customHeight="1">
      <c r="A2" s="1"/>
      <c r="B2" s="3" t="s">
        <v>30</v>
      </c>
      <c r="C2" s="3" t="s">
        <v>30</v>
      </c>
      <c r="D2" s="3" t="s">
        <v>30</v>
      </c>
      <c r="E2" s="3" t="s">
        <v>30</v>
      </c>
      <c r="F2" s="3" t="s">
        <v>30</v>
      </c>
      <c r="G2" s="3" t="s">
        <v>30</v>
      </c>
      <c r="H2" s="3" t="s">
        <v>30</v>
      </c>
      <c r="I2" s="3" t="s">
        <v>30</v>
      </c>
      <c r="J2" s="3" t="s">
        <v>30</v>
      </c>
      <c r="K2" s="3" t="s">
        <v>30</v>
      </c>
      <c r="L2" s="1"/>
      <c r="M2" s="1"/>
    </row>
    <row r="3" spans="1:15" ht="26.1" customHeight="1">
      <c r="A3" s="1"/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1"/>
      <c r="M3" s="1"/>
    </row>
    <row r="4" spans="1:15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1"/>
      <c r="B5" s="2" t="s">
        <v>19</v>
      </c>
      <c r="C5" s="2" t="s">
        <v>5</v>
      </c>
      <c r="D5" s="2" t="s">
        <v>20</v>
      </c>
      <c r="E5" s="2" t="s">
        <v>21</v>
      </c>
      <c r="F5" s="2" t="s">
        <v>31</v>
      </c>
      <c r="G5" s="2" t="s">
        <v>32</v>
      </c>
      <c r="H5" s="2" t="s">
        <v>54</v>
      </c>
      <c r="I5" s="2" t="s">
        <v>55</v>
      </c>
      <c r="J5" s="2" t="s">
        <v>56</v>
      </c>
      <c r="K5" s="2" t="s">
        <v>33</v>
      </c>
      <c r="L5" s="31" t="s">
        <v>17</v>
      </c>
      <c r="M5" s="31" t="s">
        <v>24</v>
      </c>
      <c r="N5" s="27" t="s">
        <v>57</v>
      </c>
      <c r="O5" s="27" t="s">
        <v>58</v>
      </c>
    </row>
    <row r="6" spans="1:15" ht="26.1" customHeight="1">
      <c r="A6" s="1"/>
      <c r="B6" s="4" t="s">
        <v>25</v>
      </c>
      <c r="C6" s="4" t="s">
        <v>9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7.9783974334529209</v>
      </c>
      <c r="I6" s="5">
        <f>IF(ISNUMBER(G6),1000*Parameters!E8*G6^2,"")</f>
        <v>14.780966232808993</v>
      </c>
      <c r="J6" s="5">
        <f>IF(ISNUMBER(G6),1000*Parameters!E9*G6^2,"")</f>
        <v>27.729094425927766</v>
      </c>
      <c r="K6" s="13" t="str">
        <f>IF(COUNT(Parameters!C17:D17,Parameters!F23:I23)&lt;6,"待补坐标",IF(NOT(ISNUMBER(E6)),"待填轮行程",IF(E6&lt;=0,"轮行程须大于0",IF(COUNT(L6:M6)&lt;2,"无效半径",""))))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" customHeight="1">
      <c r="A7" s="1"/>
      <c r="B7" s="3" t="s">
        <v>25</v>
      </c>
      <c r="C7" s="3" t="s">
        <v>9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9.7673728521340628</v>
      </c>
      <c r="I7" s="6">
        <f>IF(ISNUMBER(G7),1000*Parameters!E8*G7^2,"")</f>
        <v>18.095264057078605</v>
      </c>
      <c r="J7" s="6">
        <f>IF(ISNUMBER(G7),1000*Parameters!E9*G7^2,"")</f>
        <v>33.946717541852699</v>
      </c>
      <c r="K7" s="14" t="str">
        <f>IF(COUNT(Parameters!C17:D17,Parameters!F24:I24)&lt;6,"待补坐标",IF(NOT(ISNUMBER(E7)),"待填轮行程",IF(E7&lt;=0,"轮行程须大于0",IF(COUNT(L7:M7)&lt;2,"无效半径",""))))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" customHeight="1">
      <c r="A8" s="1"/>
      <c r="B8" s="4" t="s">
        <v>25</v>
      </c>
      <c r="C8" s="4" t="s">
        <v>9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13.080712911938672</v>
      </c>
      <c r="I8" s="5">
        <f>IF(ISNUMBER(G8),1000*Parameters!E8*G8^2,"")</f>
        <v>24.233635572195013</v>
      </c>
      <c r="J8" s="5">
        <f>IF(ISNUMBER(G8),1000*Parameters!E9*G8^2,"")</f>
        <v>45.462303240592291</v>
      </c>
      <c r="K8" s="13" t="str">
        <f>IF(COUNT(Parameters!C17:D17,Parameters!F25:I25)&lt;6,"待补坐标",IF(NOT(ISNUMBER(E8)),"待填轮行程",IF(E8&lt;=0,"轮行程须大于0",IF(COUNT(L8:M8)&lt;2,"无效半径",""))))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" customHeight="1">
      <c r="A9" s="1"/>
      <c r="B9" s="3" t="s">
        <v>25</v>
      </c>
      <c r="C9" s="3" t="s">
        <v>10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13.514384660591768</v>
      </c>
      <c r="I9" s="6">
        <f>IF(ISNUMBER(G9),1000*Parameters!E11*G9^2,"")</f>
        <v>25.826610864708716</v>
      </c>
      <c r="J9" s="6">
        <f>IF(ISNUMBER(G9),1000*Parameters!E12*G9^2,"")</f>
        <v>48.413215448426278</v>
      </c>
      <c r="K9" s="14" t="str">
        <f>IF(COUNT(Parameters!C18:D18,Parameters!F26:I26)&lt;6,"待补坐标",IF(NOT(ISNUMBER(E9)),"待填轮行程",IF(E9&lt;=0,"轮行程须大于0",IF(COUNT(L9:M9)&lt;2,"无效半径",""))))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" customHeight="1">
      <c r="A10" s="1"/>
      <c r="B10" s="4" t="s">
        <v>25</v>
      </c>
      <c r="C10" s="4" t="s">
        <v>10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16.804738127112959</v>
      </c>
      <c r="I10" s="5">
        <f>IF(ISNUMBER(G10),1000*Parameters!E11*G10^2,"")</f>
        <v>32.114627723884531</v>
      </c>
      <c r="J10" s="5">
        <f>IF(ISNUMBER(G10),1000*Parameters!E12*G10^2,"")</f>
        <v>60.200403343164751</v>
      </c>
      <c r="K10" s="13" t="str">
        <f>IF(COUNT(Parameters!C18:D18,Parameters!F27:I27)&lt;6,"待补坐标",IF(NOT(ISNUMBER(E10)),"待填轮行程",IF(E10&lt;=0,"轮行程须大于0",IF(COUNT(L10:M10)&lt;2,"无效半径",""))))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" customHeight="1">
      <c r="A11" s="1"/>
      <c r="B11" s="3" t="s">
        <v>25</v>
      </c>
      <c r="C11" s="3" t="s">
        <v>10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22.02847631278453</v>
      </c>
      <c r="I11" s="6">
        <f>IF(ISNUMBER(G11),1000*Parameters!E11*G11^2,"")</f>
        <v>42.097431733738119</v>
      </c>
      <c r="J11" s="6">
        <f>IF(ISNUMBER(G11),1000*Parameters!E12*G11^2,"")</f>
        <v>78.913646201091169</v>
      </c>
      <c r="K11" s="14" t="str">
        <f>IF(COUNT(Parameters!C18:D18,Parameters!F28:I28)&lt;6,"待补坐标",IF(NOT(ISNUMBER(E11)),"待填轮行程",IF(E11&lt;=0,"轮行程须大于0",IF(COUNT(L11:M11)&lt;2,"无效半径",""))))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" customHeight="1">
      <c r="A12" s="1"/>
      <c r="B12" s="4" t="s">
        <v>26</v>
      </c>
      <c r="C12" s="4" t="s">
        <v>68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8.6385052748859135</v>
      </c>
      <c r="I12" s="5">
        <f>IF(ISNUMBER(G12),1000*Parameters!E8*G12^2,"")</f>
        <v>16.003897503858848</v>
      </c>
      <c r="J12" s="5">
        <f>IF(ISNUMBER(G12),1000*Parameters!E9*G12^2,"")</f>
        <v>30.023313637124545</v>
      </c>
      <c r="K12" s="13" t="str">
        <f>IF(COUNT(Parameters!C17:D17,Parameters!F29:I29)&lt;6,"待补坐标",IF(NOT(ISNUMBER(E12)),"待填轮行程",IF(E12&lt;=0,"轮行程须大于0",IF(COUNT(L12:M12)&lt;2,"无效半径",""))))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" customHeight="1">
      <c r="A13" s="1"/>
      <c r="B13" s="3" t="s">
        <v>26</v>
      </c>
      <c r="C13" s="3" t="s">
        <v>9</v>
      </c>
      <c r="D13" s="3" t="s">
        <v>69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10.160928227504549</v>
      </c>
      <c r="I13" s="6">
        <f>IF(ISNUMBER(G13),1000*Parameters!E8*G13^2,"")</f>
        <v>18.824373977035812</v>
      </c>
      <c r="J13" s="6">
        <f>IF(ISNUMBER(G13),1000*Parameters!E9*G13^2,"")</f>
        <v>35.314527839159076</v>
      </c>
      <c r="K13" s="14" t="str">
        <f>IF(COUNT(Parameters!C17:D17,Parameters!F30:I30)&lt;6,"待补坐标",IF(NOT(ISNUMBER(E13)),"待填轮行程",IF(E13&lt;=0,"轮行程须大于0",IF(COUNT(L13:M13)&lt;2,"无效半径",""))))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" customHeight="1">
      <c r="A14" s="1"/>
      <c r="B14" s="4" t="s">
        <v>26</v>
      </c>
      <c r="C14" s="4" t="s">
        <v>9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12.047997452455359</v>
      </c>
      <c r="I14" s="5">
        <f>IF(ISNUMBER(G14),1000*Parameters!E8*G14^2,"")</f>
        <v>22.320402687766435</v>
      </c>
      <c r="J14" s="5">
        <f>IF(ISNUMBER(G14),1000*Parameters!E9*G14^2,"")</f>
        <v>41.87307811988596</v>
      </c>
      <c r="K14" s="13" t="str">
        <f>IF(COUNT(Parameters!C17:D17,Parameters!F31:I31)&lt;6,"待补坐标",IF(NOT(ISNUMBER(E14)),"待填轮行程",IF(E14&lt;=0,"轮行程须大于0",IF(COUNT(L14:M14)&lt;2,"无效半径",""))))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" customHeight="1">
      <c r="A15" s="1"/>
      <c r="B15" s="3" t="s">
        <v>26</v>
      </c>
      <c r="C15" s="3" t="s">
        <v>10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13.261207716193466</v>
      </c>
      <c r="I15" s="6">
        <f>IF(ISNUMBER(G15),1000*Parameters!E11*G15^2,"")</f>
        <v>25.342778075639309</v>
      </c>
      <c r="J15" s="6">
        <f>IF(ISNUMBER(G15),1000*Parameters!E12*G15^2,"")</f>
        <v>47.50624777926771</v>
      </c>
      <c r="K15" s="14" t="str">
        <f>IF(COUNT(Parameters!C18:D18,Parameters!F32:I32)&lt;6,"待补坐标",IF(NOT(ISNUMBER(E15)),"待填轮行程",IF(E15&lt;=0,"轮行程须大于0",IF(COUNT(L15:M15)&lt;2,"无效半径",""))))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" customHeight="1">
      <c r="A16" s="1"/>
      <c r="B16" s="4" t="s">
        <v>26</v>
      </c>
      <c r="C16" s="4" t="s">
        <v>10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16.15052203342573</v>
      </c>
      <c r="I16" s="5">
        <f>IF(ISNUMBER(G16),1000*Parameters!E11*G16^2,"")</f>
        <v>30.864390669262328</v>
      </c>
      <c r="J16" s="5">
        <f>IF(ISNUMBER(G16),1000*Parameters!E12*G16^2,"")</f>
        <v>57.856774277620552</v>
      </c>
      <c r="K16" s="13" t="str">
        <f>IF(COUNT(Parameters!C18:D18,Parameters!F33:I33)&lt;6,"待补坐标",IF(NOT(ISNUMBER(E16)),"待填轮行程",IF(E16&lt;=0,"轮行程须大于0",IF(COUNT(L16:M16)&lt;2,"无效半径",""))))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" customHeight="1">
      <c r="A17" s="1"/>
      <c r="B17" s="3" t="s">
        <v>26</v>
      </c>
      <c r="C17" s="3" t="s">
        <v>10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20.35671032754508</v>
      </c>
      <c r="I17" s="6">
        <f>IF(ISNUMBER(G17),1000*Parameters!E11*G17^2,"")</f>
        <v>38.902610020283568</v>
      </c>
      <c r="J17" s="6">
        <f>IF(ISNUMBER(G17),1000*Parameters!E12*G17^2,"")</f>
        <v>72.924800326461153</v>
      </c>
      <c r="K17" s="14" t="str">
        <f>IF(COUNT(Parameters!C18:D18,Parameters!F34:I34)&lt;6,"待补坐标",IF(NOT(ISNUMBER(E17)),"待填轮行程",IF(E17&lt;=0,"轮行程须大于0",IF(COUNT(L17:M17)&lt;2,"无效半径",""))))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39.950000000000003" customHeight="1">
      <c r="A22" s="1"/>
      <c r="B22" s="2" t="s">
        <v>34</v>
      </c>
      <c r="C22" s="2" t="s">
        <v>9</v>
      </c>
      <c r="D22" s="2" t="s">
        <v>10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" customHeight="1">
      <c r="A23" s="1"/>
      <c r="B23" s="3" t="s">
        <v>59</v>
      </c>
      <c r="C23" s="6">
        <f>IF(ISNUMBER(H12),H12,NA())</f>
        <v>8.6385052748859135</v>
      </c>
      <c r="D23" s="6">
        <f>IF(ISNUMBER(H15),H15,NA())</f>
        <v>13.261207716193466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" customHeight="1">
      <c r="A24" s="1"/>
      <c r="B24" s="4" t="s">
        <v>60</v>
      </c>
      <c r="C24" s="5">
        <f>IF(ISNUMBER(H13),H13,NA())</f>
        <v>10.160928227504549</v>
      </c>
      <c r="D24" s="5">
        <f>IF(ISNUMBER(H16),H16,NA())</f>
        <v>16.15052203342573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" customHeight="1">
      <c r="A25" s="1"/>
      <c r="B25" s="3" t="s">
        <v>61</v>
      </c>
      <c r="C25" s="6">
        <f>IF(ISNUMBER(H14),H14,NA())</f>
        <v>12.047997452455359</v>
      </c>
      <c r="D25" s="6">
        <f>IF(ISNUMBER(H17),H17,NA())</f>
        <v>20.35671032754508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" customHeight="1">
      <c r="A26" s="1"/>
      <c r="B26" s="4" t="s">
        <v>62</v>
      </c>
      <c r="C26" s="5">
        <f>IF(ISNUMBER(I12),I12,NA())</f>
        <v>16.003897503858848</v>
      </c>
      <c r="D26" s="5">
        <f>IF(ISNUMBER(I15),I15,NA())</f>
        <v>25.342778075639309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" customHeight="1">
      <c r="A27" s="1"/>
      <c r="B27" s="3" t="s">
        <v>63</v>
      </c>
      <c r="C27" s="6">
        <f>IF(ISNUMBER(I13),I13,NA())</f>
        <v>18.824373977035812</v>
      </c>
      <c r="D27" s="6">
        <f>IF(ISNUMBER(I16),I16,NA())</f>
        <v>30.864390669262328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" customHeight="1">
      <c r="A28" s="1"/>
      <c r="B28" s="4" t="s">
        <v>64</v>
      </c>
      <c r="C28" s="5">
        <f>IF(ISNUMBER(I14),I14,NA())</f>
        <v>22.320402687766435</v>
      </c>
      <c r="D28" s="5">
        <f>IF(ISNUMBER(I17),I17,NA())</f>
        <v>38.902610020283568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" customHeight="1">
      <c r="A29" s="1"/>
      <c r="B29" s="3" t="s">
        <v>65</v>
      </c>
      <c r="C29" s="6">
        <f>IF(ISNUMBER(J12),J12,NA())</f>
        <v>30.023313637124545</v>
      </c>
      <c r="D29" s="6">
        <f>IF(ISNUMBER(J15),J15,NA())</f>
        <v>47.50624777926771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" customHeight="1">
      <c r="A30" s="1"/>
      <c r="B30" s="4" t="s">
        <v>66</v>
      </c>
      <c r="C30" s="5">
        <f>IF(ISNUMBER(J13),J13,NA())</f>
        <v>35.314527839159076</v>
      </c>
      <c r="D30" s="5">
        <f>IF(ISNUMBER(J16),J16,NA())</f>
        <v>57.856774277620552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" customHeight="1">
      <c r="A31" s="1"/>
      <c r="B31" s="3" t="s">
        <v>67</v>
      </c>
      <c r="C31" s="6">
        <f>IF(ISNUMBER(J14),J14,NA())</f>
        <v>41.87307811988596</v>
      </c>
      <c r="D31" s="6">
        <f>IF(ISNUMBER(J17),J17,NA())</f>
        <v>72.924800326461153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34</v>
      </c>
      <c r="C35" s="2" t="s">
        <v>9</v>
      </c>
      <c r="D35" s="2" t="s">
        <v>10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59</v>
      </c>
      <c r="C36" s="5">
        <f>IF(ISNUMBER(H6),H6,NA())</f>
        <v>7.9783974334529209</v>
      </c>
      <c r="D36" s="5">
        <f>IF(ISNUMBER(H9),H9,NA())</f>
        <v>13.514384660591768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60</v>
      </c>
      <c r="C37" s="6">
        <f>IF(ISNUMBER(H7),H7,NA())</f>
        <v>9.7673728521340628</v>
      </c>
      <c r="D37" s="6">
        <f>IF(ISNUMBER(H10),H10,NA())</f>
        <v>16.804738127112959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61</v>
      </c>
      <c r="C38" s="5">
        <f>IF(ISNUMBER(H8),H8,NA())</f>
        <v>13.080712911938672</v>
      </c>
      <c r="D38" s="5">
        <f>IF(ISNUMBER(H11),H11,NA())</f>
        <v>22.02847631278453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62</v>
      </c>
      <c r="C39" s="6">
        <f>IF(ISNUMBER(I6),I6,NA())</f>
        <v>14.780966232808993</v>
      </c>
      <c r="D39" s="6">
        <f>IF(ISNUMBER(I9),I9,NA())</f>
        <v>25.826610864708716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63</v>
      </c>
      <c r="C40" s="5">
        <f>IF(ISNUMBER(I7),I7,NA())</f>
        <v>18.095264057078605</v>
      </c>
      <c r="D40" s="5">
        <f>IF(ISNUMBER(I10),I10,NA())</f>
        <v>32.114627723884531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64</v>
      </c>
      <c r="C41" s="6">
        <f>IF(ISNUMBER(I8),I8,NA())</f>
        <v>24.233635572195013</v>
      </c>
      <c r="D41" s="6">
        <f>IF(ISNUMBER(I11),I11,NA())</f>
        <v>42.097431733738119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65</v>
      </c>
      <c r="C42" s="5">
        <f>IF(ISNUMBER(J6),J6,NA())</f>
        <v>27.729094425927766</v>
      </c>
      <c r="D42" s="5">
        <f>IF(ISNUMBER(J9),J9,NA())</f>
        <v>48.413215448426278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66</v>
      </c>
      <c r="C43" s="6">
        <f>IF(ISNUMBER(J7),J7,NA())</f>
        <v>33.946717541852699</v>
      </c>
      <c r="D43" s="6">
        <f>IF(ISNUMBER(J10),J10,NA())</f>
        <v>60.200403343164751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67</v>
      </c>
      <c r="C44" s="5">
        <f>IF(ISNUMBER(J8),J8,NA())</f>
        <v>45.462303240592291</v>
      </c>
      <c r="D44" s="5">
        <f>IF(ISNUMBER(J11),J11,NA())</f>
        <v>78.913646201091169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2" t="s">
        <v>35</v>
      </c>
      <c r="C49" s="2" t="s">
        <v>35</v>
      </c>
      <c r="D49" s="2" t="s">
        <v>35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2026-10-26T13:21:02Z</dcterms:modified>
</cp:coreProperties>
</file>