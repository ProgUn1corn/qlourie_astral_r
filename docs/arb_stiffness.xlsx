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061ccab23146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rison" sheetId="1" r:id="R7ad68a839bc74dad"/>
    <x:sheet xmlns:r="http://schemas.openxmlformats.org/officeDocument/2006/relationships" name="Parameters" sheetId="5" r:id="R8c987114657e4a23"/>
    <x:sheet xmlns:r="http://schemas.openxmlformats.org/officeDocument/2006/relationships" name="Samples" sheetId="7" r:id="R638dabceae9644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76" formatCode="0.0"/>
    <x:numFmt numFmtId="177" formatCode="0.0000"/>
    <x:numFmt numFmtId="200" formatCode="0"/>
    <x:numFmt numFmtId="201" formatCode="0.00"/>
    <x:numFmt numFmtId="202" formatCode="0.000"/>
    <x:numFmt numFmtId="203" formatCode="0.000000"/>
  </x:numFmts>
  <x:fonts count="21">
    <x:font>
      <x:sz val="11"/>
      <x:name val="Carlito"/>
    </x:font>
    <x:font>
      <x:sz val="11"/>
      <x:color rgb="FF283C50"/>
      <x:name val="Arial"/>
      <x:family val="2"/>
    </x:font>
    <x:font>
      <x:b/>
      <x:sz val="20"/>
      <x:color rgb="FF283C50"/>
      <x:name val="Arial"/>
      <x:family val="2"/>
    </x:font>
    <x:font>
      <x:sz val="11"/>
      <x:color rgb="FF667B91"/>
      <x:name val="Arial"/>
      <x:family val="2"/>
    </x:font>
    <x:font>
      <x:sz val="11"/>
      <x:color rgb="FF195DB1"/>
      <x:name val="Arial"/>
      <x:family val="2"/>
    </x:font>
    <x:font>
      <x:sz val="11"/>
      <x:color rgb="FF243B53"/>
      <x:name val="Arial"/>
      <x:family val="2"/>
    </x:font>
    <x:font>
      <x:b/>
      <x:sz val="22"/>
      <x:color rgb="FF243B53"/>
      <x:name val="Arial"/>
      <x:family val="2"/>
    </x:font>
    <x:font>
      <x:sz val="11"/>
      <x:color rgb="FF627D98"/>
      <x:name val="Arial"/>
      <x:family val="2"/>
    </x:font>
    <x:font>
      <x:b/>
      <x:sz val="12"/>
      <x:color rgb="FFFFFFFF"/>
      <x:name val="Arial"/>
      <x:family val="2"/>
    </x:font>
    <x:font>
      <x:b/>
      <x:sz val="11"/>
      <x:color rgb="FF283C50"/>
      <x:name val="微软雅黑"/>
      <x:family val="2"/>
    </x:font>
    <x:font>
      <x:b/>
      <x:sz val="11"/>
      <x:color rgb="FF283C50"/>
      <x:name val="Arial"/>
      <x:family val="2"/>
    </x:font>
    <x:font>
      <x:sz val="9"/>
      <x:name val="宋体"/>
      <x:family val="3"/>
    </x:font>
    <x:font>
      <x:sz val="11"/>
      <x:color rgb="FF283C50"/>
      <x:name val="Arial"/>
    </x:font>
    <x:font>
      <x:b/>
      <x:sz val="20"/>
      <x:color rgb="FF283C50"/>
      <x:name val="Arial"/>
    </x:font>
    <x:font>
      <x:sz val="11"/>
      <x:color rgb="FF667B91"/>
      <x:name val="Microsoft YaHei"/>
    </x:font>
    <x:font>
      <x:sz val="10"/>
      <x:color rgb="FF667B91"/>
      <x:name val="Microsoft YaHei"/>
    </x:font>
    <x:font>
      <x:b/>
      <x:sz val="11"/>
      <x:color rgb="FFFFFFFF"/>
      <x:name val="Arial"/>
    </x:font>
    <x:font>
      <x:sz val="11"/>
      <x:color rgb="FF195DB1"/>
      <x:name val="Arial"/>
    </x:font>
    <x:font>
      <x:b/>
      <x:sz val="12"/>
      <x:color rgb="FF667B91"/>
      <x:name val="Arial"/>
    </x:font>
    <x:font>
      <x:b/>
      <x:sz val="12"/>
      <x:color rgb="FF667B91"/>
      <x:name val="Microsoft YaHei"/>
    </x:font>
    <x:font>
      <x:sz val="10"/>
      <x:color rgb="FF667B91"/>
      <x:name val="Microsoft YaHei"/>
    </x:font>
  </x:fonts>
  <x:fills count="12">
    <x:fill>
      <x:patternFill patternType="none"/>
    </x:fill>
    <x:fill>
      <x:patternFill patternType="gray125"/>
    </x:fill>
    <x:fill>
      <x:patternFill patternType="solid">
        <x:fgColor rgb="FF31475E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5F7FA"/>
      </x:patternFill>
    </x:fill>
    <x:fill>
      <x:patternFill patternType="solid">
        <x:fgColor rgb="FFEDF2F7"/>
      </x:patternFill>
    </x:fill>
    <x:fill>
      <x:patternFill patternType="solid">
        <x:fgColor rgb="FFFFFFFF"/>
      </x:patternFill>
    </x:fill>
    <x:fill>
      <x:patternFill patternType="solid">
        <x:fgColor rgb="FF31475E"/>
      </x:patternFill>
    </x:fill>
    <x:fill>
      <x:patternFill patternType="solid">
        <x:fgColor rgb="FFF5F7FA"/>
      </x:patternFill>
    </x:fill>
    <x:fill>
      <x:patternFill patternType="solid">
        <x:fgColor rgb="FFFFF2CC"/>
      </x:patternFill>
    </x:fill>
    <x:fill>
      <x:patternFill patternType="solid">
        <x:fgColor rgb="FFEDF2F7"/>
      </x:patternFill>
    </x:fill>
  </x:fills>
  <x:borders count="3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thin">
        <x:color rgb="FFDCE4EB"/>
      </x:bottom>
      <x:diagonal/>
    </x:border>
  </x:borders>
  <x:cellStyleXfs count="1">
    <x:xf numFmtId="0" fontId="0" fillId="0" borderId="0"/>
  </x:cellStyleXfs>
  <x:cellXfs count="62">
    <x:xf numFmtId="0" fontId="0" fillId="0" borderId="0" xfId="0"/>
    <x:xf numFmtId="0" fontId="2" fillId="4" borderId="0" xfId="0" applyFont="1" applyFill="1" applyAlignment="1">
      <x:alignment vertical="center"/>
    </x:xf>
    <x:xf numFmtId="0" fontId="5" fillId="4" borderId="0" xfId="0" applyFont="1" applyFill="1" applyAlignment="1">
      <x:alignment vertical="center"/>
    </x:xf>
    <x:xf numFmtId="0" fontId="8" fillId="2" borderId="1" xfId="0" applyFont="1" applyFill="1" applyBorder="1" applyAlignment="1">
      <x:alignment vertical="center" wrapText="1"/>
    </x:xf>
    <x:xf numFmtId="0" fontId="3" fillId="5" borderId="2" xfId="0" applyFont="1" applyFill="1" applyBorder="1" applyAlignment="1">
      <x:alignment vertical="center"/>
    </x:xf>
    <x:xf numFmtId="176" fontId="4" fillId="3" borderId="2" xfId="0" applyNumberFormat="1" applyFont="1" applyFill="1" applyBorder="1" applyAlignment="1">
      <x:alignment vertical="center"/>
    </x:xf>
    <x:xf numFmtId="1" fontId="4" fillId="3" borderId="2" xfId="0" applyNumberFormat="1" applyFont="1" applyFill="1" applyBorder="1" applyAlignment="1">
      <x:alignment vertical="center"/>
    </x:xf>
    <x:xf numFmtId="0" fontId="3" fillId="4" borderId="2" xfId="0" applyFont="1" applyFill="1" applyBorder="1" applyAlignment="1">
      <x:alignment vertical="center"/>
    </x:xf>
    <x:xf numFmtId="0" fontId="9" fillId="6" borderId="1" xfId="0" applyFont="1" applyFill="1" applyBorder="1" applyAlignment="1">
      <x:alignment vertical="center" wrapText="1"/>
    </x:xf>
    <x:xf numFmtId="0" fontId="10" fillId="6" borderId="1" xfId="0" applyFont="1" applyFill="1" applyBorder="1" applyAlignment="1">
      <x:alignment vertical="center" wrapText="1"/>
    </x:xf>
    <x:xf numFmtId="1" fontId="1" fillId="5" borderId="2" xfId="0" applyNumberFormat="1" applyFont="1" applyFill="1" applyBorder="1" applyAlignment="1">
      <x:alignment vertical="center"/>
    </x:xf>
    <x:xf numFmtId="1" fontId="1" fillId="4" borderId="2" xfId="0" applyNumberFormat="1" applyFont="1" applyFill="1" applyBorder="1" applyAlignment="1">
      <x:alignment vertical="center"/>
    </x:xf>
    <x:xf numFmtId="176" fontId="1" fillId="5" borderId="2" xfId="0" applyNumberFormat="1" applyFont="1" applyFill="1" applyBorder="1" applyAlignment="1">
      <x:alignment vertical="center"/>
    </x:xf>
    <x:xf numFmtId="177" fontId="1" fillId="5" borderId="2" xfId="0" applyNumberFormat="1" applyFont="1" applyFill="1" applyBorder="1" applyAlignment="1">
      <x:alignment vertical="center"/>
    </x:xf>
    <x:xf numFmtId="2" fontId="1" fillId="5" borderId="2" xfId="0" applyNumberFormat="1" applyFont="1" applyFill="1" applyBorder="1" applyAlignment="1">
      <x:alignment vertical="center"/>
    </x:xf>
    <x:xf numFmtId="176" fontId="1" fillId="4" borderId="2" xfId="0" applyNumberFormat="1" applyFont="1" applyFill="1" applyBorder="1" applyAlignment="1">
      <x:alignment vertical="center"/>
    </x:xf>
    <x:xf numFmtId="177" fontId="1" fillId="4" borderId="2" xfId="0" applyNumberFormat="1" applyFont="1" applyFill="1" applyBorder="1" applyAlignment="1">
      <x:alignment vertical="center"/>
    </x:xf>
    <x:xf numFmtId="2" fontId="1" fillId="4" borderId="2" xfId="0" applyNumberFormat="1" applyFont="1" applyFill="1" applyBorder="1" applyAlignment="1">
      <x:alignment vertical="center"/>
    </x:xf>
    <x:xf numFmtId="0" fontId="6" fillId="4" borderId="0" xfId="0" applyFont="1" applyFill="1" applyAlignment="1">
      <x:alignment vertical="center"/>
    </x:xf>
    <x:xf numFmtId="0" fontId="3" fillId="4" borderId="0" xfId="0" applyFont="1" applyFill="1" applyAlignment="1">
      <x:alignment vertical="center"/>
    </x:xf>
    <x:xf numFmtId="0" fontId="7" fillId="4" borderId="0" xfId="0" applyFont="1" applyFill="1" applyAlignment="1">
      <x:alignment vertical="center"/>
    </x:xf>
    <x:xf numFmtId="0" fontId="9" fillId="6" borderId="1" xfId="0" applyFont="1" applyFill="1" applyBorder="1" applyAlignment="1">
      <x:alignment vertical="center" wrapText="1"/>
    </x:xf>
    <x:xf numFmtId="0" fontId="10" fillId="6" borderId="1" xfId="0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2" fillId="7" borderId="0" xfId="0" applyNumberFormat="1" applyFont="1" applyFill="1" applyBorder="1"/>
    <x:xf numFmtId="0" fontId="12" fillId="7" borderId="0" xfId="0" applyNumberFormat="1" applyFont="1" applyFill="1" applyBorder="1" applyAlignment="1">
      <x:alignment vertical="center"/>
    </x:xf>
    <x:xf numFmtId="0" fontId="13" fillId="7" borderId="0" xfId="0" applyNumberFormat="1" applyFont="1" applyFill="1" applyBorder="1" applyAlignment="1">
      <x:alignment vertical="center"/>
    </x:xf>
    <x:xf numFmtId="0" fontId="14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 wrapText="1"/>
    </x:xf>
    <x:xf numFmtId="0" fontId="16" fillId="8" borderId="0" xfId="0" applyNumberFormat="1" applyFont="1" applyFill="1" applyBorder="1" applyAlignment="1">
      <x:alignment horizontal="center" vertical="center" wrapText="1"/>
    </x:xf>
    <x:xf numFmtId="0" fontId="12" fillId="9" borderId="0" xfId="0" applyNumberFormat="1" applyFont="1" applyFill="1" applyBorder="1" applyAlignment="1">
      <x:alignment vertical="center"/>
    </x:xf>
    <x:xf numFmtId="0" fontId="12" fillId="9" borderId="2" xfId="0" applyNumberFormat="1" applyFont="1" applyFill="1" applyBorder="1" applyAlignment="1">
      <x:alignment vertical="center"/>
    </x:xf>
    <x:xf numFmtId="0" fontId="12" fillId="7" borderId="2" xfId="0" applyNumberFormat="1" applyFont="1" applyFill="1" applyBorder="1" applyAlignment="1">
      <x:alignment vertical="center"/>
    </x:xf>
    <x:xf numFmtId="0" fontId="12" fillId="10" borderId="2" xfId="0" applyNumberFormat="1" applyFont="1" applyFill="1" applyBorder="1" applyAlignment="1">
      <x:alignment vertical="center"/>
    </x:xf>
    <x:xf numFmtId="0" fontId="17" fillId="10" borderId="2" xfId="0" applyNumberFormat="1" applyFont="1" applyFill="1" applyBorder="1" applyAlignment="1">
      <x:alignment vertical="center"/>
    </x:xf>
    <x:xf numFmtId="0" fontId="17" fillId="10" borderId="2" xfId="0" applyNumberFormat="1" applyFont="1" applyFill="1" applyBorder="1" applyAlignment="1">
      <x:alignment horizontal="right" vertical="center"/>
    </x:xf>
    <x:xf numFmtId="176" fontId="17" fillId="10" borderId="2" xfId="0" applyNumberFormat="1" applyFont="1" applyFill="1" applyBorder="1" applyAlignment="1">
      <x:alignment horizontal="right" vertical="center"/>
    </x:xf>
    <x:xf numFmtId="200" fontId="17" fillId="10" borderId="2" xfId="0" applyNumberFormat="1" applyFont="1" applyFill="1" applyBorder="1" applyAlignment="1">
      <x:alignment horizontal="right" vertical="center"/>
    </x:xf>
    <x:xf numFmtId="200" fontId="12" fillId="9" borderId="2" xfId="0" applyNumberFormat="1" applyFont="1" applyFill="1" applyBorder="1" applyAlignment="1">
      <x:alignment vertical="center"/>
    </x:xf>
    <x:xf numFmtId="200" fontId="12" fillId="7" borderId="2" xfId="0" applyNumberFormat="1" applyFont="1" applyFill="1" applyBorder="1" applyAlignment="1">
      <x:alignment vertical="center"/>
    </x:xf>
    <x:xf numFmtId="0" fontId="18" fillId="7" borderId="0" xfId="0" applyNumberFormat="1" applyFont="1" applyFill="1" applyBorder="1" applyAlignment="1">
      <x:alignment vertical="center"/>
    </x:xf>
    <x:xf numFmtId="0" fontId="18" fillId="11" borderId="0" xfId="0" applyNumberFormat="1" applyFont="1" applyFill="1" applyBorder="1" applyAlignment="1">
      <x:alignment vertical="center"/>
    </x:xf>
    <x:xf numFmtId="0" fontId="12" fillId="10" borderId="0" xfId="0" applyNumberFormat="1" applyFont="1" applyFill="1" applyBorder="1" applyAlignment="1">
      <x:alignment vertical="center"/>
    </x:xf>
    <x:xf numFmtId="0" fontId="17" fillId="10" borderId="0" xfId="0" applyNumberFormat="1" applyFont="1" applyFill="1" applyBorder="1" applyAlignment="1">
      <x:alignment vertical="center"/>
    </x:xf>
    <x:xf numFmtId="0" fontId="17" fillId="10" borderId="0" xfId="0" applyNumberFormat="1" applyFont="1" applyFill="1" applyBorder="1" applyAlignment="1">
      <x:alignment horizontal="right" vertical="center"/>
    </x:xf>
    <x:xf numFmtId="176" fontId="17" fillId="10" borderId="0" xfId="0" applyNumberFormat="1" applyFont="1" applyFill="1" applyBorder="1" applyAlignment="1">
      <x:alignment horizontal="right" vertical="center"/>
    </x:xf>
    <x:xf numFmtId="177" fontId="17" fillId="10" borderId="2" xfId="0" applyNumberFormat="1" applyFont="1" applyFill="1" applyBorder="1" applyAlignment="1">
      <x:alignment horizontal="right" vertical="center"/>
    </x:xf>
    <x:xf numFmtId="201" fontId="12" fillId="7" borderId="2" xfId="0" applyNumberFormat="1" applyFont="1" applyFill="1" applyBorder="1" applyAlignment="1">
      <x:alignment vertical="center"/>
    </x:xf>
    <x:xf numFmtId="201" fontId="12" fillId="9" borderId="2" xfId="0" applyNumberFormat="1" applyFont="1" applyFill="1" applyBorder="1" applyAlignment="1">
      <x:alignment vertical="center"/>
    </x:xf>
    <x:xf numFmtId="176" fontId="12" fillId="7" borderId="2" xfId="0" applyNumberFormat="1" applyFont="1" applyFill="1" applyBorder="1" applyAlignment="1">
      <x:alignment vertical="center"/>
    </x:xf>
    <x:xf numFmtId="176" fontId="12" fillId="9" borderId="2" xfId="0" applyNumberFormat="1" applyFont="1" applyFill="1" applyBorder="1" applyAlignment="1">
      <x:alignment vertical="center"/>
    </x:xf>
    <x:xf numFmtId="0" fontId="19" fillId="7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 applyAlignment="1">
      <x:alignment vertical="center"/>
    </x:xf>
    <x:xf numFmtId="202" fontId="12" fillId="7" borderId="2" xfId="0" applyNumberFormat="1" applyFont="1" applyFill="1" applyBorder="1" applyAlignment="1">
      <x:alignment vertical="center"/>
    </x:xf>
    <x:xf numFmtId="202" fontId="12" fillId="9" borderId="2" xfId="0" applyNumberFormat="1" applyFont="1" applyFill="1" applyBorder="1" applyAlignment="1">
      <x:alignment vertical="center"/>
    </x:xf>
    <x:xf numFmtId="203" fontId="12" fillId="7" borderId="2" xfId="0" applyNumberFormat="1" applyFont="1" applyFill="1" applyBorder="1" applyAlignment="1">
      <x:alignment vertical="center"/>
    </x:xf>
    <x:xf numFmtId="203" fontId="12" fillId="9" borderId="2" xfId="0" applyNumberFormat="1" applyFont="1" applyFill="1" applyBorder="1" applyAlignment="1">
      <x:alignment vertical="center"/>
    </x:xf>
    <x:xf numFmtId="0" fontId="20" fillId="7" borderId="2" xfId="0" applyNumberFormat="1" applyFont="1" applyFill="1" applyBorder="1" applyAlignment="1">
      <x:alignment vertical="center"/>
    </x:xf>
    <x:xf numFmtId="0" fontId="20" fillId="9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8d853cea864c02" /><Relationship Type="http://schemas.openxmlformats.org/officeDocument/2006/relationships/theme" Target="/xl/theme/theme1.xml" Id="R21ee31283b134cd0" /><Relationship Type="http://schemas.openxmlformats.org/officeDocument/2006/relationships/sharedStrings" Target="/xl/sharedStrings.xml" Id="R7ed42bd35f164e2a" /><Relationship Type="http://schemas.openxmlformats.org/officeDocument/2006/relationships/worksheet" Target="/xl/worksheets/sheet1.xml" Id="R7ad68a839bc74dad" /><Relationship Type="http://schemas.openxmlformats.org/officeDocument/2006/relationships/worksheet" Target="/xl/worksheets/sheet2.xml" Id="R8c987114657e4a23" /><Relationship Type="http://schemas.openxmlformats.org/officeDocument/2006/relationships/worksheet" Target="/xl/worksheets/sheet3.xml" Id="R638dabceae96445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1898bb9120f452a" /><Relationship Type="http://schemas.openxmlformats.org/officeDocument/2006/relationships/chart" Target="/xl/drawings/charts/chart2.xml" Id="Rd9d865b4f4d3403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 xmlns:a="http://schemas.openxmlformats.org/drawingml/2006/main">
              <a:srgbClr val="4472C4"/>
            </a:solidFill>
          </c:spPr>
          <c:invertIfNegative val="0"/>
          <c:cat>
            <c:strRef>
              <c:f>'Samples'!$B$23:$B$31</c:f>
              <c:strCache>
                <c:ptCount val="0"/>
              </c:strCache>
            </c:strRef>
          </c:cat>
          <c:val>
            <c:numRef>
              <c:f>'Samples'!$C$23:$C$31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Rear</c:v>
          </c:tx>
          <c:spPr>
            <a:solidFill xmlns:a="http://schemas.openxmlformats.org/drawingml/2006/main">
              <a:srgbClr val="ED7D31"/>
            </a:solidFill>
          </c:spPr>
          <c:invertIfNegative val="0"/>
          <c:cat>
            <c:strRef>
              <c:f>'Samples'!$B$23:$B$31</c:f>
              <c:strCache>
                <c:ptCount val="0"/>
              </c:strCache>
            </c:strRef>
          </c:cat>
          <c:val>
            <c:numRef>
              <c:f>'Samples'!$D$23:$D$31</c:f>
              <c:numCache>
                <c:formatCode>0.00</c:formatCode>
                <c:ptCount val="0"/>
              </c:numCache>
            </c:numRef>
          </c:val>
        </c:ser>
        <c:gapWidth val="7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 xmlns:a="http://schemas.openxmlformats.org/drawingml/2006/main">
              <a:srgbClr val="4472C4"/>
            </a:solidFill>
          </c:spPr>
          <c:invertIfNegative val="0"/>
          <c:cat>
            <c:strRef>
              <c:f>'Samples'!$B$36:$B$44</c:f>
              <c:strCache>
                <c:ptCount val="0"/>
              </c:strCache>
            </c:strRef>
          </c:cat>
          <c:val>
            <c:numRef>
              <c:f>'Samples'!$C$36:$C$44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Rear</c:v>
          </c:tx>
          <c:spPr>
            <a:solidFill xmlns:a="http://schemas.openxmlformats.org/drawingml/2006/main">
              <a:srgbClr val="ED7D31"/>
            </a:solidFill>
          </c:spPr>
          <c:invertIfNegative val="0"/>
          <c:cat>
            <c:strRef>
              <c:f>'Samples'!$B$36:$B$44</c:f>
              <c:strCache>
                <c:ptCount val="0"/>
              </c:strCache>
            </c:strRef>
          </c:cat>
          <c:val>
            <c:numRef>
              <c:f>'Samples'!$D$36:$D$44</c:f>
              <c:numCache>
                <c:formatCode>0.00</c:formatCode>
                <c:ptCount val="0"/>
              </c:numCache>
            </c:numRef>
          </c:val>
        </c:ser>
        <c:gapWidth val="7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898bb9120f452a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d865b4f4d3403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c2b943219264f84" /></Relationships>
</file>

<file path=xl/worksheets/sheet1.xml><?xml version="1.0" encoding="utf-8"?>
<x:worksheet xmlns:x="http://schemas.openxmlformats.org/spreadsheetml/2006/main">
  <x:sheetPr>
    <x:tabColor rgb="FF31475E"/>
  </x:sheetPr>
  <x:sheetViews>
    <x:sheetView showGridLines="0" workbookViewId="0"/>
  </x:sheetViews>
  <x:sheetFormatPr defaultRowHeight="14.25"/>
  <x:cols>
    <x:col min="1" max="1" width="2.75" hidden="0" customWidth="1"/>
    <x:col min="2" max="14" width="10" customWidth="1"/>
    <x:col min="15" max="15" width="10.5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</x:cols>
  <x:sheetData>
    <x:row r="1" ht="26" customHeight="1">
      <x:c r="A1" s="25"/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5"/>
    </x:row>
    <x:row r="2" ht="26" customHeight="1">
      <x:c r="A2" s="25"/>
      <x:c r="B2" s="26" t="str">
        <x:v>Astral · Anti-Roll Bar Stiffness</x:v>
      </x:c>
      <x:c r="C2" s="26" t="str">
        <x:v>Astral · Anti-Roll Bar Stiffness</x:v>
      </x:c>
      <x:c r="D2" s="26" t="str">
        <x:v>Astral · Anti-Roll Bar Stiffness</x:v>
      </x:c>
      <x:c r="E2" s="26" t="str">
        <x:v>Astral · Anti-Roll Bar Stiffness</x:v>
      </x:c>
      <x:c r="F2" s="26" t="str">
        <x:v>Astral · Anti-Roll Bar Stiffness</x:v>
      </x:c>
      <x:c r="G2" s="26" t="str">
        <x:v>Astral · Anti-Roll Bar Stiffness</x:v>
      </x:c>
      <x:c r="H2" s="26" t="str">
        <x:v>Astral · Anti-Roll Bar Stiffness</x:v>
      </x:c>
      <x:c r="I2" s="26" t="str">
        <x:v>Astral · Anti-Roll Bar Stiffness</x:v>
      </x:c>
      <x:c r="J2" s="26" t="str">
        <x:v>Astral · Anti-Roll Bar Stiffness</x:v>
      </x:c>
      <x:c r="K2" s="26" t="str">
        <x:v>Astral · Anti-Roll Bar Stiffness</x:v>
      </x:c>
      <x:c r="L2" s="26" t="str">
        <x:v>Astral · Anti-Roll Bar Stiffness</x:v>
      </x:c>
      <x:c r="M2" s="26" t="str">
        <x:v>Astral · Anti-Roll Bar Stiffness</x:v>
      </x:c>
      <x:c r="N2" s="26" t="str">
        <x:v>Astral · Anti-Roll Bar Stiffness</x:v>
      </x:c>
      <x:c r="O2" s="25"/>
    </x:row>
    <x:row r="3" ht="26" customHeight="1">
      <x:c r="A3" s="25"/>
      <x:c r="B3" s="26" t="str">
        <x:v>Astral · Anti-Roll Bar Stiffness</x:v>
      </x:c>
      <x:c r="C3" s="26" t="str">
        <x:v>Astral · Anti-Roll Bar Stiffness</x:v>
      </x:c>
      <x:c r="D3" s="26" t="str">
        <x:v>Astral · Anti-Roll Bar Stiffness</x:v>
      </x:c>
      <x:c r="E3" s="26" t="str">
        <x:v>Astral · Anti-Roll Bar Stiffness</x:v>
      </x:c>
      <x:c r="F3" s="26" t="str">
        <x:v>Astral · Anti-Roll Bar Stiffness</x:v>
      </x:c>
      <x:c r="G3" s="26" t="str">
        <x:v>Astral · Anti-Roll Bar Stiffness</x:v>
      </x:c>
      <x:c r="H3" s="26" t="str">
        <x:v>Astral · Anti-Roll Bar Stiffness</x:v>
      </x:c>
      <x:c r="I3" s="26" t="str">
        <x:v>Astral · Anti-Roll Bar Stiffness</x:v>
      </x:c>
      <x:c r="J3" s="26" t="str">
        <x:v>Astral · Anti-Roll Bar Stiffness</x:v>
      </x:c>
      <x:c r="K3" s="26" t="str">
        <x:v>Astral · Anti-Roll Bar Stiffness</x:v>
      </x:c>
      <x:c r="L3" s="26" t="str">
        <x:v>Astral · Anti-Roll Bar Stiffness</x:v>
      </x:c>
      <x:c r="M3" s="26" t="str">
        <x:v>Astral · Anti-Roll Bar Stiffness</x:v>
      </x:c>
      <x:c r="N3" s="26" t="str">
        <x:v>Astral · Anti-Roll Bar Stiffness</x:v>
      </x:c>
      <x:c r="O3" s="25"/>
    </x:row>
    <x:row r="4" ht="26" customHeight="1">
      <x:c r="A4" s="25"/>
      <x:c r="B4" s="27" t="str">
        <x:v>区间等效轮端刚度 · 整段角运动比 · 对侧轮固定</x:v>
      </x:c>
      <x:c r="C4" s="27" t="str">
        <x:v>区间等效轮端刚度 · 整段角运动比 · 对侧轮固定</x:v>
      </x:c>
      <x:c r="D4" s="27" t="str">
        <x:v>区间等效轮端刚度 · 整段角运动比 · 对侧轮固定</x:v>
      </x:c>
      <x:c r="E4" s="27" t="str">
        <x:v>区间等效轮端刚度 · 整段角运动比 · 对侧轮固定</x:v>
      </x:c>
      <x:c r="F4" s="27" t="str">
        <x:v>区间等效轮端刚度 · 整段角运动比 · 对侧轮固定</x:v>
      </x:c>
      <x:c r="G4" s="27" t="str">
        <x:v>区间等效轮端刚度 · 整段角运动比 · 对侧轮固定</x:v>
      </x:c>
      <x:c r="H4" s="27" t="str">
        <x:v>区间等效轮端刚度 · 整段角运动比 · 对侧轮固定</x:v>
      </x:c>
      <x:c r="I4" s="27" t="str">
        <x:v>区间等效轮端刚度 · 整段角运动比 · 对侧轮固定</x:v>
      </x:c>
      <x:c r="J4" s="27" t="str">
        <x:v>区间等效轮端刚度 · 整段角运动比 · 对侧轮固定</x:v>
      </x:c>
      <x:c r="K4" s="27" t="str">
        <x:v>区间等效轮端刚度 · 整段角运动比 · 对侧轮固定</x:v>
      </x:c>
      <x:c r="L4" s="27" t="str">
        <x:v>区间等效轮端刚度 · 整段角运动比 · 对侧轮固定</x:v>
      </x:c>
      <x:c r="M4" s="27" t="str">
        <x:v>区间等效轮端刚度 · 整段角运动比 · 对侧轮固定</x:v>
      </x:c>
      <x:c r="N4" s="27" t="str">
        <x:v>区间等效轮端刚度 · 整段角运动比 · 对侧轮固定</x:v>
      </x:c>
      <x:c r="O4" s="25"/>
    </x:row>
    <x:row r="5" ht="26" customHeight="1">
      <x:c r="A5" s="25"/>
      <x:c r="B5" s="28" t="str">
        <x:f>IF(COUNT(Samples!H6:J17)=0,"待补节点坐标；暂无刚度结果。","")</x:f>
        <x:v>待补节点坐标；暂无刚度结果。</x:v>
      </x:c>
      <x:c r="C5" s="28" t="str"/>
      <x:c r="D5" s="28" t="str"/>
      <x:c r="E5" s="28" t="str"/>
      <x:c r="F5" s="28" t="str"/>
      <x:c r="G5" s="28" t="str"/>
      <x:c r="H5" s="28" t="str"/>
      <x:c r="I5" s="28" t="str"/>
      <x:c r="J5" s="28" t="str"/>
      <x:c r="K5" s="28" t="str"/>
      <x:c r="L5" s="28" t="str"/>
      <x:c r="M5" s="28" t="str"/>
      <x:c r="N5" s="28" t="str"/>
      <x:c r="O5" s="25"/>
    </x:row>
    <x:row r="6" ht="26" customHeight="1">
      <x:c r="A6" s="25"/>
      <x:c r="B6" s="25"/>
      <x:c r="C6" s="25"/>
      <x:c r="D6" s="25"/>
      <x:c r="E6" s="25"/>
      <x:c r="F6" s="25"/>
      <x:c r="G6" s="25"/>
      <x:c r="H6" s="25"/>
      <x:c r="I6" s="25"/>
      <x:c r="J6" s="25"/>
      <x:c r="K6" s="25"/>
      <x:c r="L6" s="25"/>
      <x:c r="M6" s="25"/>
      <x:c r="N6" s="25"/>
      <x:c r="O6" s="25"/>
    </x:row>
    <x:row r="7" ht="26" customHeight="1">
      <x:c r="A7" s="25"/>
      <x:c r="B7" s="25"/>
      <x:c r="C7" s="25"/>
      <x:c r="D7" s="25"/>
      <x:c r="E7" s="25"/>
      <x:c r="F7" s="25"/>
      <x:c r="G7" s="25"/>
      <x:c r="H7" s="25"/>
      <x:c r="I7" s="25"/>
      <x:c r="J7" s="25"/>
      <x:c r="K7" s="25"/>
      <x:c r="L7" s="25"/>
      <x:c r="M7" s="25"/>
      <x:c r="N7" s="25"/>
      <x:c r="O7" s="25"/>
    </x:row>
    <x:row r="8" ht="26" customHeight="1">
      <x:c r="A8" s="25"/>
      <x:c r="B8" s="25"/>
      <x:c r="C8" s="25"/>
      <x:c r="D8" s="25"/>
      <x:c r="E8" s="25"/>
      <x:c r="F8" s="25"/>
      <x:c r="G8" s="25"/>
      <x:c r="H8" s="25"/>
      <x:c r="I8" s="25"/>
      <x:c r="J8" s="25"/>
      <x:c r="K8" s="25"/>
      <x:c r="L8" s="25"/>
      <x:c r="M8" s="25"/>
      <x:c r="N8" s="25"/>
      <x:c r="O8" s="25"/>
    </x:row>
    <x:row r="9" ht="26" customHeight="1">
      <x:c r="A9" s="25"/>
      <x:c r="B9" s="25"/>
      <x:c r="C9" s="25"/>
      <x:c r="D9" s="25"/>
      <x:c r="E9" s="25"/>
      <x:c r="F9" s="25"/>
      <x:c r="G9" s="25"/>
      <x:c r="H9" s="25"/>
      <x:c r="I9" s="25"/>
      <x:c r="J9" s="25"/>
      <x:c r="K9" s="25"/>
      <x:c r="L9" s="25"/>
      <x:c r="M9" s="25"/>
      <x:c r="N9" s="25"/>
      <x:c r="O9" s="25"/>
    </x:row>
    <x:row r="10" ht="26" customHeight="1">
      <x:c r="A10" s="25"/>
      <x:c r="B10" s="25"/>
      <x:c r="C10" s="25"/>
      <x:c r="D10" s="25"/>
      <x:c r="E10" s="25"/>
      <x:c r="F10" s="25"/>
      <x:c r="G10" s="25"/>
      <x:c r="H10" s="25"/>
      <x:c r="I10" s="25"/>
      <x:c r="J10" s="25"/>
      <x:c r="K10" s="25"/>
      <x:c r="L10" s="25"/>
      <x:c r="M10" s="25"/>
      <x:c r="N10" s="25"/>
      <x:c r="O10" s="25"/>
    </x:row>
    <x:row r="11" ht="26" customHeight="1">
      <x:c r="A11" s="25"/>
      <x:c r="B11" s="25"/>
      <x:c r="C11" s="25"/>
      <x:c r="D11" s="25"/>
      <x:c r="E11" s="25"/>
      <x:c r="F11" s="25"/>
      <x:c r="G11" s="25"/>
      <x:c r="H11" s="25"/>
      <x:c r="I11" s="25"/>
      <x:c r="J11" s="25"/>
      <x:c r="K11" s="25"/>
      <x:c r="L11" s="25"/>
      <x:c r="M11" s="25"/>
      <x:c r="N11" s="25"/>
      <x:c r="O11" s="25"/>
    </x:row>
    <x:row r="12" ht="26" customHeight="1">
      <x:c r="A12" s="25"/>
      <x:c r="B12" s="25"/>
      <x:c r="C12" s="25"/>
      <x:c r="D12" s="25"/>
      <x:c r="E12" s="25"/>
      <x:c r="F12" s="25"/>
      <x:c r="G12" s="25"/>
      <x:c r="H12" s="25"/>
      <x:c r="I12" s="25"/>
      <x:c r="J12" s="25"/>
      <x:c r="K12" s="25"/>
      <x:c r="L12" s="25"/>
      <x:c r="M12" s="25"/>
      <x:c r="N12" s="25"/>
      <x:c r="O12" s="25"/>
    </x:row>
    <x:row r="13" ht="26" customHeight="1">
      <x:c r="A13" s="25"/>
      <x:c r="B13" s="25"/>
      <x:c r="C13" s="25"/>
      <x:c r="D13" s="25"/>
      <x:c r="E13" s="25"/>
      <x:c r="F13" s="25"/>
      <x:c r="G13" s="25"/>
      <x:c r="H13" s="25"/>
      <x:c r="I13" s="25"/>
      <x:c r="J13" s="25"/>
      <x:c r="K13" s="25"/>
      <x:c r="L13" s="25"/>
      <x:c r="M13" s="25"/>
      <x:c r="N13" s="25"/>
      <x:c r="O13" s="25"/>
    </x:row>
    <x:row r="14" ht="26" customHeight="1">
      <x:c r="A14" s="25"/>
      <x:c r="B14" s="25"/>
      <x:c r="C14" s="25"/>
      <x:c r="D14" s="25"/>
      <x:c r="E14" s="25"/>
      <x:c r="F14" s="25"/>
      <x:c r="G14" s="25"/>
      <x:c r="H14" s="25"/>
      <x:c r="I14" s="25"/>
      <x:c r="J14" s="25"/>
      <x:c r="K14" s="25"/>
      <x:c r="L14" s="25"/>
      <x:c r="M14" s="25"/>
      <x:c r="N14" s="25"/>
      <x:c r="O14" s="25"/>
    </x:row>
    <x:row r="15" ht="26" customHeight="1">
      <x:c r="A15" s="25"/>
      <x:c r="B15" s="25"/>
      <x:c r="C15" s="25"/>
      <x:c r="D15" s="25"/>
      <x:c r="E15" s="25"/>
      <x:c r="F15" s="25"/>
      <x:c r="G15" s="25"/>
      <x:c r="H15" s="25"/>
      <x:c r="I15" s="25"/>
      <x:c r="J15" s="25"/>
      <x:c r="K15" s="25"/>
      <x:c r="L15" s="25"/>
      <x:c r="M15" s="25"/>
      <x:c r="N15" s="25"/>
      <x:c r="O15" s="25"/>
    </x:row>
    <x:row r="16" ht="26" customHeight="1">
      <x:c r="A16" s="25"/>
      <x:c r="B16" s="25"/>
      <x:c r="C16" s="25"/>
      <x:c r="D16" s="25"/>
      <x:c r="E16" s="25"/>
      <x:c r="F16" s="25"/>
      <x:c r="G16" s="25"/>
      <x:c r="H16" s="25"/>
      <x:c r="I16" s="25"/>
      <x:c r="J16" s="25"/>
      <x:c r="K16" s="25"/>
      <x:c r="L16" s="25"/>
      <x:c r="M16" s="25"/>
      <x:c r="N16" s="25"/>
      <x:c r="O16" s="25"/>
    </x:row>
    <x:row r="17" ht="26" customHeight="1">
      <x:c r="A17" s="25"/>
      <x:c r="B17" s="25"/>
      <x:c r="C17" s="25"/>
      <x:c r="D17" s="25"/>
      <x:c r="E17" s="25"/>
      <x:c r="F17" s="25"/>
      <x:c r="G17" s="25"/>
      <x:c r="H17" s="25"/>
      <x:c r="I17" s="25"/>
      <x:c r="J17" s="25"/>
      <x:c r="K17" s="25"/>
      <x:c r="L17" s="25"/>
      <x:c r="M17" s="25"/>
      <x:c r="N17" s="25"/>
      <x:c r="O17" s="25"/>
    </x:row>
    <x:row r="18" ht="26" customHeight="1">
      <x:c r="A18" s="25"/>
      <x:c r="B18" s="25"/>
      <x:c r="C18" s="25"/>
      <x:c r="D18" s="25"/>
      <x:c r="E18" s="25"/>
      <x:c r="F18" s="25"/>
      <x:c r="G18" s="25"/>
      <x:c r="H18" s="25"/>
      <x:c r="I18" s="25"/>
      <x:c r="J18" s="25"/>
      <x:c r="K18" s="25"/>
      <x:c r="L18" s="25"/>
      <x:c r="M18" s="25"/>
      <x:c r="N18" s="25"/>
      <x:c r="O18" s="25"/>
    </x:row>
    <x:row r="19" ht="26" customHeight="1">
      <x:c r="A19" s="25"/>
      <x:c r="B19" s="25"/>
      <x:c r="C19" s="25"/>
      <x:c r="D19" s="25"/>
      <x:c r="E19" s="25"/>
      <x:c r="F19" s="25"/>
      <x:c r="G19" s="25"/>
      <x:c r="H19" s="25"/>
      <x:c r="I19" s="25"/>
      <x:c r="J19" s="25"/>
      <x:c r="K19" s="25"/>
      <x:c r="L19" s="25"/>
      <x:c r="M19" s="25"/>
      <x:c r="N19" s="25"/>
      <x:c r="O19" s="25"/>
    </x:row>
    <x:row r="20" ht="26" customHeight="1">
      <x:c r="A20" s="25"/>
      <x:c r="B20" s="25"/>
      <x:c r="C20" s="25"/>
      <x:c r="D20" s="25"/>
      <x:c r="E20" s="25"/>
      <x:c r="F20" s="25"/>
      <x:c r="G20" s="25"/>
      <x:c r="H20" s="25"/>
      <x:c r="I20" s="25"/>
      <x:c r="J20" s="25"/>
      <x:c r="K20" s="25"/>
      <x:c r="L20" s="25"/>
      <x:c r="M20" s="25"/>
      <x:c r="N20" s="25"/>
      <x:c r="O20" s="25"/>
    </x:row>
    <x:row r="21" ht="26" customHeight="1">
      <x:c r="A21" s="25"/>
      <x:c r="B21" s="25"/>
      <x:c r="C21" s="25"/>
      <x:c r="D21" s="25"/>
      <x:c r="E21" s="25"/>
      <x:c r="F21" s="25"/>
      <x:c r="G21" s="25"/>
      <x:c r="H21" s="25"/>
      <x:c r="I21" s="25"/>
      <x:c r="J21" s="25"/>
      <x:c r="K21" s="25"/>
      <x:c r="L21" s="25"/>
      <x:c r="M21" s="25"/>
      <x:c r="N21" s="25"/>
      <x:c r="O21" s="25"/>
    </x:row>
    <x:row r="22" ht="26" customHeight="1">
      <x:c r="A22" s="25"/>
      <x:c r="B22" s="25"/>
      <x:c r="C22" s="25"/>
      <x:c r="D22" s="25"/>
      <x:c r="E22" s="25"/>
      <x:c r="F22" s="25"/>
      <x:c r="G22" s="25"/>
      <x:c r="H22" s="25"/>
      <x:c r="I22" s="25"/>
      <x:c r="J22" s="25"/>
      <x:c r="K22" s="25"/>
      <x:c r="L22" s="25"/>
      <x:c r="M22" s="25"/>
      <x:c r="N22" s="25"/>
      <x:c r="O22" s="25"/>
    </x:row>
    <x:row r="23" ht="26" customHeight="1">
      <x:c r="A23" s="25"/>
      <x:c r="B23" s="25"/>
      <x:c r="C23" s="25"/>
      <x:c r="D23" s="25"/>
      <x:c r="E23" s="25"/>
      <x:c r="F23" s="25"/>
      <x:c r="G23" s="25"/>
      <x:c r="H23" s="25"/>
      <x:c r="I23" s="25"/>
      <x:c r="J23" s="25"/>
      <x:c r="K23" s="25"/>
      <x:c r="L23" s="25"/>
      <x:c r="M23" s="25"/>
      <x:c r="N23" s="25"/>
      <x:c r="O23" s="25"/>
    </x:row>
    <x:row r="24" ht="26" customHeight="1">
      <x:c r="A24" s="25"/>
      <x:c r="B24" s="25"/>
      <x:c r="C24" s="25"/>
      <x:c r="D24" s="25"/>
      <x:c r="E24" s="25"/>
      <x:c r="F24" s="25"/>
      <x:c r="G24" s="25"/>
      <x:c r="H24" s="25"/>
      <x:c r="I24" s="25"/>
      <x:c r="J24" s="25"/>
      <x:c r="K24" s="25"/>
      <x:c r="L24" s="25"/>
      <x:c r="M24" s="25"/>
      <x:c r="N24" s="25"/>
      <x:c r="O24" s="25"/>
    </x:row>
    <x:row r="25" ht="26" customHeight="1">
      <x:c r="A25" s="25"/>
      <x:c r="B25" s="25"/>
      <x:c r="C25" s="25"/>
      <x:c r="D25" s="25"/>
      <x:c r="E25" s="25"/>
      <x:c r="F25" s="25"/>
      <x:c r="G25" s="25"/>
      <x:c r="H25" s="25"/>
      <x:c r="I25" s="25"/>
      <x:c r="J25" s="25"/>
      <x:c r="K25" s="25"/>
      <x:c r="L25" s="25"/>
      <x:c r="M25" s="25"/>
      <x:c r="N25" s="25"/>
      <x:c r="O25" s="25"/>
    </x:row>
    <x:row r="26" ht="26" customHeight="1">
      <x:c r="A26" s="25"/>
      <x:c r="B26" s="25"/>
      <x:c r="C26" s="25"/>
      <x:c r="D26" s="25"/>
      <x:c r="E26" s="25"/>
      <x:c r="F26" s="25"/>
      <x:c r="G26" s="25"/>
      <x:c r="H26" s="25"/>
      <x:c r="I26" s="25"/>
      <x:c r="J26" s="25"/>
      <x:c r="K26" s="25"/>
      <x:c r="L26" s="25"/>
      <x:c r="M26" s="25"/>
      <x:c r="N26" s="25"/>
      <x:c r="O26" s="25"/>
    </x:row>
    <x:row r="27" ht="26" customHeight="1">
      <x:c r="A27" s="25"/>
      <x:c r="B27" s="25"/>
      <x:c r="C27" s="25"/>
      <x:c r="D27" s="25"/>
      <x:c r="E27" s="25"/>
      <x:c r="F27" s="25"/>
      <x:c r="G27" s="25"/>
      <x:c r="H27" s="25"/>
      <x:c r="I27" s="25"/>
      <x:c r="J27" s="25"/>
      <x:c r="K27" s="25"/>
      <x:c r="L27" s="25"/>
      <x:c r="M27" s="25"/>
      <x:c r="N27" s="25"/>
      <x:c r="O27" s="25"/>
    </x:row>
    <x:row r="28" ht="26" customHeight="1">
      <x:c r="A28" s="25"/>
      <x:c r="B28" s="25"/>
      <x:c r="C28" s="25"/>
      <x:c r="D28" s="25"/>
      <x:c r="E28" s="25"/>
      <x:c r="F28" s="25"/>
      <x:c r="G28" s="25"/>
      <x:c r="H28" s="25"/>
      <x:c r="I28" s="25"/>
      <x:c r="J28" s="25"/>
      <x:c r="K28" s="25"/>
      <x:c r="L28" s="25"/>
      <x:c r="M28" s="25"/>
      <x:c r="N28" s="25"/>
      <x:c r="O28" s="25"/>
    </x:row>
    <x:row r="29" ht="26" customHeight="1">
      <x:c r="A29" s="25"/>
      <x:c r="B29" s="25"/>
      <x:c r="C29" s="25"/>
      <x:c r="D29" s="25"/>
      <x:c r="E29" s="25"/>
      <x:c r="F29" s="25"/>
      <x:c r="G29" s="25"/>
      <x:c r="H29" s="25"/>
      <x:c r="I29" s="25"/>
      <x:c r="J29" s="25"/>
      <x:c r="K29" s="25"/>
      <x:c r="L29" s="25"/>
      <x:c r="M29" s="25"/>
      <x:c r="N29" s="25"/>
      <x:c r="O29" s="25"/>
    </x:row>
    <x:row r="30" ht="26" customHeight="1">
      <x:c r="A30" s="25"/>
      <x:c r="B30" s="25"/>
      <x:c r="C30" s="25"/>
      <x:c r="D30" s="25"/>
      <x:c r="E30" s="25"/>
      <x:c r="F30" s="25"/>
      <x:c r="G30" s="25"/>
      <x:c r="H30" s="25"/>
      <x:c r="I30" s="25"/>
      <x:c r="J30" s="25"/>
      <x:c r="K30" s="25"/>
      <x:c r="L30" s="25"/>
      <x:c r="M30" s="25"/>
      <x:c r="N30" s="25"/>
      <x:c r="O30" s="25"/>
    </x:row>
    <x:row r="31" ht="26" customHeight="1">
      <x:c r="A31" s="25"/>
      <x:c r="B31" s="25"/>
      <x:c r="C31" s="25"/>
      <x:c r="D31" s="25"/>
      <x:c r="E31" s="25"/>
      <x:c r="F31" s="25"/>
      <x:c r="G31" s="25"/>
      <x:c r="H31" s="25"/>
      <x:c r="I31" s="25"/>
      <x:c r="J31" s="25"/>
      <x:c r="K31" s="25"/>
      <x:c r="L31" s="25"/>
      <x:c r="M31" s="25"/>
      <x:c r="N31" s="25"/>
      <x:c r="O31" s="25"/>
    </x:row>
    <x:row r="32" ht="26" customHeight="1">
      <x:c r="A32" s="25"/>
      <x:c r="B32" s="25"/>
      <x:c r="C32" s="25"/>
      <x:c r="D32" s="25"/>
      <x:c r="E32" s="25"/>
      <x:c r="F32" s="25"/>
      <x:c r="G32" s="25"/>
      <x:c r="H32" s="25"/>
      <x:c r="I32" s="25"/>
      <x:c r="J32" s="25"/>
      <x:c r="K32" s="25"/>
      <x:c r="L32" s="25"/>
      <x:c r="M32" s="25"/>
      <x:c r="N32" s="25"/>
      <x:c r="O32" s="25"/>
    </x:row>
    <x:row r="33" ht="26" customHeight="1">
      <x:c r="A33" s="25"/>
      <x:c r="B33" s="25"/>
      <x:c r="C33" s="25"/>
      <x:c r="D33" s="25"/>
      <x:c r="E33" s="25"/>
      <x:c r="F33" s="25"/>
      <x:c r="G33" s="25"/>
      <x:c r="H33" s="25"/>
      <x:c r="I33" s="25"/>
      <x:c r="J33" s="25"/>
      <x:c r="K33" s="25"/>
      <x:c r="L33" s="25"/>
      <x:c r="M33" s="25"/>
      <x:c r="N33" s="25"/>
      <x:c r="O33" s="25"/>
    </x:row>
    <x:row r="34" ht="26" customHeight="1">
      <x:c r="A34" s="25"/>
      <x:c r="B34" s="25"/>
      <x:c r="C34" s="25"/>
      <x:c r="D34" s="25"/>
      <x:c r="E34" s="25"/>
      <x:c r="F34" s="25"/>
      <x:c r="G34" s="25"/>
      <x:c r="H34" s="25"/>
      <x:c r="I34" s="25"/>
      <x:c r="J34" s="25"/>
      <x:c r="K34" s="25"/>
      <x:c r="L34" s="25"/>
      <x:c r="M34" s="25"/>
      <x:c r="N34" s="25"/>
      <x:c r="O34" s="25"/>
    </x:row>
    <x:row r="35" ht="26" customHeight="1">
      <x:c r="A35" s="25"/>
      <x:c r="B35" s="25"/>
      <x:c r="C35" s="25"/>
      <x:c r="D35" s="25"/>
      <x:c r="E35" s="25"/>
      <x:c r="F35" s="25"/>
      <x:c r="G35" s="25"/>
      <x:c r="H35" s="25"/>
      <x:c r="I35" s="25"/>
      <x:c r="J35" s="25"/>
      <x:c r="K35" s="25"/>
      <x:c r="L35" s="25"/>
      <x:c r="M35" s="25"/>
      <x:c r="N35" s="25"/>
      <x:c r="O35" s="25"/>
    </x:row>
    <x:row r="36" ht="26" customHeight="1">
      <x:c r="A36" s="25"/>
      <x:c r="B36" s="25"/>
      <x:c r="C36" s="25"/>
      <x:c r="D36" s="25"/>
      <x:c r="E36" s="25"/>
      <x:c r="F36" s="25"/>
      <x:c r="G36" s="25"/>
      <x:c r="H36" s="25"/>
      <x:c r="I36" s="25"/>
      <x:c r="J36" s="25"/>
      <x:c r="K36" s="25"/>
      <x:c r="L36" s="25"/>
      <x:c r="M36" s="25"/>
      <x:c r="N36" s="25"/>
      <x:c r="O36" s="25"/>
    </x:row>
    <x:row r="37" ht="26" customHeight="1">
      <x:c r="A37" s="25"/>
      <x:c r="B37" s="25"/>
      <x:c r="C37" s="25"/>
      <x:c r="D37" s="25"/>
      <x:c r="E37" s="25"/>
      <x:c r="F37" s="25"/>
      <x:c r="G37" s="25"/>
      <x:c r="H37" s="25"/>
      <x:c r="I37" s="25"/>
      <x:c r="J37" s="25"/>
      <x:c r="K37" s="25"/>
      <x:c r="L37" s="25"/>
      <x:c r="M37" s="25"/>
      <x:c r="N37" s="25"/>
      <x:c r="O37" s="25"/>
    </x:row>
    <x:row r="38" ht="26" customHeight="1">
      <x:c r="A38" s="25"/>
      <x:c r="B38" s="25"/>
      <x:c r="C38" s="25"/>
      <x:c r="D38" s="25"/>
      <x:c r="E38" s="25"/>
      <x:c r="F38" s="25"/>
      <x:c r="G38" s="25"/>
      <x:c r="H38" s="25"/>
      <x:c r="I38" s="25"/>
      <x:c r="J38" s="25"/>
      <x:c r="K38" s="25"/>
      <x:c r="L38" s="25"/>
      <x:c r="M38" s="25"/>
      <x:c r="N38" s="25"/>
      <x:c r="O38" s="25"/>
    </x:row>
    <x:row r="39" ht="26" customHeight="1">
      <x:c r="A39" s="25"/>
      <x:c r="B39" s="25"/>
      <x:c r="C39" s="25"/>
      <x:c r="D39" s="25"/>
      <x:c r="E39" s="25"/>
      <x:c r="F39" s="25"/>
      <x:c r="G39" s="25"/>
      <x:c r="H39" s="25"/>
      <x:c r="I39" s="25"/>
      <x:c r="J39" s="25"/>
      <x:c r="K39" s="25"/>
      <x:c r="L39" s="25"/>
      <x:c r="M39" s="25"/>
      <x:c r="N39" s="25"/>
      <x:c r="O39" s="25"/>
    </x:row>
    <x:row r="40" ht="26" customHeight="1">
      <x:c r="A40" s="25"/>
      <x:c r="B40" s="25"/>
      <x:c r="C40" s="25"/>
      <x:c r="D40" s="25"/>
      <x:c r="E40" s="25"/>
      <x:c r="F40" s="25"/>
      <x:c r="G40" s="25"/>
      <x:c r="H40" s="25"/>
      <x:c r="I40" s="25"/>
      <x:c r="J40" s="25"/>
      <x:c r="K40" s="25"/>
      <x:c r="L40" s="25"/>
      <x:c r="M40" s="25"/>
      <x:c r="N40" s="25"/>
      <x:c r="O40" s="25"/>
    </x:row>
    <x:row r="41" ht="26" customHeight="1">
      <x:c r="A41" s="25"/>
      <x:c r="B41" s="25"/>
      <x:c r="C41" s="25"/>
      <x:c r="D41" s="25"/>
      <x:c r="E41" s="25"/>
      <x:c r="F41" s="25"/>
      <x:c r="G41" s="25"/>
      <x:c r="H41" s="25"/>
      <x:c r="I41" s="25"/>
      <x:c r="J41" s="25"/>
      <x:c r="K41" s="25"/>
      <x:c r="L41" s="25"/>
      <x:c r="M41" s="25"/>
      <x:c r="N41" s="25"/>
      <x:c r="O41" s="25"/>
    </x:row>
    <x:row r="42" ht="26" customHeight="1">
      <x:c r="A42" s="25"/>
      <x:c r="B42" s="25"/>
      <x:c r="C42" s="25"/>
      <x:c r="D42" s="25"/>
      <x:c r="E42" s="25"/>
      <x:c r="F42" s="25"/>
      <x:c r="G42" s="25"/>
      <x:c r="H42" s="25"/>
      <x:c r="I42" s="25"/>
      <x:c r="J42" s="25"/>
      <x:c r="K42" s="25"/>
      <x:c r="L42" s="25"/>
      <x:c r="M42" s="25"/>
      <x:c r="N42" s="25"/>
      <x:c r="O42" s="25"/>
    </x:row>
    <x:row r="43" ht="26" customHeight="1">
      <x:c r="A43" s="25"/>
      <x:c r="B43" s="25"/>
      <x:c r="C43" s="25"/>
      <x:c r="D43" s="25"/>
      <x:c r="E43" s="25"/>
      <x:c r="F43" s="25"/>
      <x:c r="G43" s="25"/>
      <x:c r="H43" s="25"/>
      <x:c r="I43" s="25"/>
      <x:c r="J43" s="25"/>
      <x:c r="K43" s="25"/>
      <x:c r="L43" s="25"/>
      <x:c r="M43" s="25"/>
      <x:c r="N43" s="25"/>
      <x:c r="O43" s="25"/>
    </x:row>
    <x:row r="44" ht="26" customHeight="1">
      <x:c r="A44" s="25"/>
      <x:c r="B44" s="25"/>
      <x:c r="C44" s="25"/>
      <x:c r="D44" s="25"/>
      <x:c r="E44" s="25"/>
      <x:c r="F44" s="25"/>
      <x:c r="G44" s="25"/>
      <x:c r="H44" s="25"/>
      <x:c r="I44" s="25"/>
      <x:c r="J44" s="25"/>
      <x:c r="K44" s="25"/>
      <x:c r="L44" s="25"/>
      <x:c r="M44" s="25"/>
      <x:c r="N44" s="25"/>
      <x:c r="O44" s="25"/>
    </x:row>
    <x:row r="45" ht="26" customHeight="1">
      <x:c r="A45" s="25"/>
      <x:c r="B45" s="25"/>
      <x:c r="C45" s="25"/>
      <x:c r="D45" s="25"/>
      <x:c r="E45" s="25"/>
      <x:c r="F45" s="25"/>
      <x:c r="G45" s="25"/>
      <x:c r="H45" s="25"/>
      <x:c r="I45" s="25"/>
      <x:c r="J45" s="25"/>
      <x:c r="K45" s="25"/>
      <x:c r="L45" s="25"/>
      <x:c r="M45" s="25"/>
      <x:c r="N45" s="25"/>
      <x:c r="O45" s="25"/>
    </x:row>
    <x:row r="46" ht="26" customHeight="1">
      <x:c r="A46" s="25"/>
      <x:c r="B46" s="25"/>
      <x:c r="C46" s="25"/>
      <x:c r="D46" s="25"/>
      <x:c r="E46" s="25"/>
      <x:c r="F46" s="25"/>
      <x:c r="G46" s="25"/>
      <x:c r="H46" s="25"/>
      <x:c r="I46" s="25"/>
      <x:c r="J46" s="25"/>
      <x:c r="K46" s="25"/>
      <x:c r="L46" s="25"/>
      <x:c r="M46" s="25"/>
      <x:c r="N46" s="25"/>
      <x:c r="O46" s="25"/>
    </x:row>
    <x:row r="47" ht="26" customHeight="1">
      <x:c r="A47" s="25"/>
      <x:c r="B47" s="25"/>
      <x:c r="C47" s="25"/>
      <x:c r="D47" s="25"/>
      <x:c r="E47" s="25"/>
      <x:c r="F47" s="25"/>
      <x:c r="G47" s="25"/>
      <x:c r="H47" s="25"/>
      <x:c r="I47" s="25"/>
      <x:c r="J47" s="25"/>
      <x:c r="K47" s="25"/>
      <x:c r="L47" s="25"/>
      <x:c r="M47" s="25"/>
      <x:c r="N47" s="25"/>
      <x:c r="O47" s="25"/>
    </x:row>
    <x:row r="48" ht="26" customHeight="1">
      <x:c r="A48" s="25"/>
      <x:c r="B48" s="25"/>
      <x:c r="C48" s="25"/>
      <x:c r="D48" s="25"/>
      <x:c r="E48" s="25"/>
      <x:c r="F48" s="25"/>
      <x:c r="G48" s="25"/>
      <x:c r="H48" s="25"/>
      <x:c r="I48" s="25"/>
      <x:c r="J48" s="25"/>
      <x:c r="K48" s="25"/>
      <x:c r="L48" s="25"/>
      <x:c r="M48" s="25"/>
      <x:c r="N48" s="25"/>
      <x:c r="O48" s="25"/>
    </x:row>
    <x:row r="49" ht="26" customHeight="1">
      <x:c r="A49" s="25"/>
      <x:c r="B49" s="28" t="str">
        <x:v>整段角运动比换算值；不代表行程内每一位置的瞬时刚度。</x:v>
      </x:c>
      <x:c r="C49" s="28" t="str">
        <x:v>整段角运动比换算值；不代表行程内每一位置的瞬时刚度。</x:v>
      </x:c>
      <x:c r="D49" s="28" t="str">
        <x:v>整段角运动比换算值；不代表行程内每一位置的瞬时刚度。</x:v>
      </x:c>
      <x:c r="E49" s="28" t="str">
        <x:v>整段角运动比换算值；不代表行程内每一位置的瞬时刚度。</x:v>
      </x:c>
      <x:c r="F49" s="28" t="str">
        <x:v>整段角运动比换算值；不代表行程内每一位置的瞬时刚度。</x:v>
      </x:c>
      <x:c r="G49" s="28" t="str">
        <x:v>整段角运动比换算值；不代表行程内每一位置的瞬时刚度。</x:v>
      </x:c>
      <x:c r="H49" s="28" t="str">
        <x:v>整段角运动比换算值；不代表行程内每一位置的瞬时刚度。</x:v>
      </x:c>
      <x:c r="I49" s="28" t="str">
        <x:v>整段角运动比换算值；不代表行程内每一位置的瞬时刚度。</x:v>
      </x:c>
      <x:c r="J49" s="28" t="str">
        <x:v>整段角运动比换算值；不代表行程内每一位置的瞬时刚度。</x:v>
      </x:c>
      <x:c r="K49" s="28" t="str">
        <x:v>整段角运动比换算值；不代表行程内每一位置的瞬时刚度。</x:v>
      </x:c>
      <x:c r="L49" s="28" t="str">
        <x:v>整段角运动比换算值；不代表行程内每一位置的瞬时刚度。</x:v>
      </x:c>
      <x:c r="M49" s="28" t="str">
        <x:v>整段角运动比换算值；不代表行程内每一位置的瞬时刚度。</x:v>
      </x:c>
      <x:c r="N49" s="28" t="str">
        <x:v>整段角运动比换算值；不代表行程内每一位置的瞬时刚度。</x:v>
      </x:c>
      <x:c r="O49" s="25"/>
    </x:row>
  </x:sheetData>
  <x:mergeCells>
    <x:mergeCell ref="B2:N3"/>
    <x:mergeCell ref="B4:N4"/>
    <x:mergeCell ref="B5:N5"/>
    <x:mergeCell ref="B49:N49"/>
  </x:mergeCells>
  <x:pageMargins left="0.7" right="0.7" top="0.75" bottom="0.75" header="0.3" footer="0.3"/>
  <x:drawing xmlns:r="http://schemas.openxmlformats.org/officeDocument/2006/relationships" r:id="Rcc2b943219264f84"/>
</x:worksheet>
</file>

<file path=xl/worksheets/sheet2.xml><?xml version="1.0" encoding="utf-8"?>
<x:worksheet xmlns:x="http://schemas.openxmlformats.org/spreadsheetml/2006/main">
  <x:sheetPr>
    <x:tabColor rgb="FF31475E"/>
  </x:sheetPr>
  <x:sheetViews>
    <x:sheetView showGridLines="0" workbookViewId="0">
      <x:pane ySplit="4" topLeftCell="A5" activePane="bottomLeft" state="frozen"/>
    </x:sheetView>
  </x:sheetViews>
  <x:sheetFormatPr defaultRowHeight="14.25"/>
  <x:cols>
    <x:col min="1" max="1" width="2.75" hidden="0" customWidth="1"/>
    <x:col min="2" max="2" width="14" hidden="0" customWidth="1"/>
    <x:col min="3" max="3" width="16" hidden="0" customWidth="1"/>
    <x:col min="4" max="4" width="17" hidden="0" customWidth="1"/>
    <x:col min="5" max="7" width="18.5" customWidth="1"/>
    <x:col min="8" max="8" width="16.25" hidden="0" customWidth="1"/>
    <x:col min="9" max="9" width="2.75" hidden="0" customWidth="1"/>
    <x:col min="10" max="14" width="10" customWidth="1"/>
    <x:col min="15" max="15" width="10.5" customWidth="1"/>
    <x:col min="5" max="5" width="18.5" hidden="0" customWidth="1"/>
    <x:col min="6" max="6" width="17" hidden="0" customWidth="1"/>
    <x:col min="7" max="7" width="16.25" hidden="0" customWidth="1"/>
  </x:cols>
  <x:sheetData>
    <x:row r="1" ht="26" customHeight="1">
      <x:c r="A1" s="25"/>
      <x:c r="B1" s="25"/>
      <x:c r="C1" s="25"/>
      <x:c r="D1" s="25"/>
      <x:c r="E1" s="25"/>
      <x:c r="F1" s="25"/>
      <x:c r="G1" s="25"/>
      <x:c r="H1" s="25"/>
      <x:c r="I1" s="25"/>
    </x:row>
    <x:row r="2" ht="26" customHeight="1">
      <x:c r="A2" s="25"/>
      <x:c r="B2" s="26" t="str">
        <x:v>Astral · ARB Parameters</x:v>
      </x:c>
      <x:c r="C2" s="26" t="str">
        <x:v>Astral · ARB Parameters</x:v>
      </x:c>
      <x:c r="D2" s="26" t="str">
        <x:v>Astral · ARB Parameters</x:v>
      </x:c>
      <x:c r="E2" s="26" t="str">
        <x:v>Astral · ARB Parameters</x:v>
      </x:c>
      <x:c r="F2" s="26" t="str">
        <x:v>Astral · ARB Parameters</x:v>
      </x:c>
      <x:c r="G2" s="26" t="str">
        <x:v>Astral · ARB Parameters</x:v>
      </x:c>
      <x:c r="H2" s="26" t="str">
        <x:v>Astral · ARB Parameters</x:v>
      </x:c>
      <x:c r="I2" s="25"/>
    </x:row>
    <x:row r="3" ht="26" customHeight="1">
      <x:c r="A3" s="25"/>
      <x:c r="B3" s="26" t="str">
        <x:v>Astral · ARB Parameters</x:v>
      </x:c>
      <x:c r="C3" s="26" t="str">
        <x:v>Astral · ARB Parameters</x:v>
      </x:c>
      <x:c r="D3" s="26" t="str">
        <x:v>Astral · ARB Parameters</x:v>
      </x:c>
      <x:c r="E3" s="26" t="str">
        <x:v>Astral · ARB Parameters</x:v>
      </x:c>
      <x:c r="F3" s="26" t="str">
        <x:v>Astral · ARB Parameters</x:v>
      </x:c>
      <x:c r="G3" s="26" t="str">
        <x:v>Astral · ARB Parameters</x:v>
      </x:c>
      <x:c r="H3" s="26" t="str">
        <x:v>Astral · ARB Parameters</x:v>
      </x:c>
      <x:c r="I3" s="25"/>
    </x:row>
    <x:row r="4" ht="26" customHeight="1">
      <x:c r="A4" s="25"/>
      <x:c r="B4" s="27" t="str">
        <x:v>黄色单元格为手动输入。</x:v>
      </x:c>
      <x:c r="C4" s="27" t="str">
        <x:v>黄色单元格为手动输入。</x:v>
      </x:c>
      <x:c r="D4" s="27" t="str">
        <x:v>黄色单元格为手动输入。</x:v>
      </x:c>
      <x:c r="E4" s="27" t="str">
        <x:v>黄色单元格为手动输入。</x:v>
      </x:c>
      <x:c r="F4" s="27" t="str">
        <x:v>黄色单元格为手动输入。</x:v>
      </x:c>
      <x:c r="G4" s="27" t="str">
        <x:v>黄色单元格为手动输入。</x:v>
      </x:c>
      <x:c r="H4" s="27" t="str">
        <x:v>黄色单元格为手动输入。</x:v>
      </x:c>
      <x:c r="I4" s="25"/>
    </x:row>
    <x:row r="5" ht="26" customHeight="1">
      <x:c r="A5" s="25"/>
      <x:c r="B5" s="25"/>
      <x:c r="C5" s="25"/>
      <x:c r="D5" s="25"/>
      <x:c r="E5" s="25"/>
      <x:c r="F5" s="25"/>
      <x:c r="G5" s="25"/>
      <x:c r="H5" s="25"/>
      <x:c r="I5" s="25"/>
    </x:row>
    <x:row r="6" ht="40" customHeight="1">
      <x:c r="A6" s="25"/>
      <x:c r="B6" s="32" t="str">
        <x:v>Axle</x:v>
      </x:c>
      <x:c r="C6" s="32" t="str">
        <x:v>Bar</x:v>
      </x:c>
      <x:c r="D6" s="32" t="str">
        <x:v>Diameter
(mm)</x:v>
      </x:c>
      <x:c r="E6" s="32" t="str">
        <x:v>Torsion
(N·m/rad)</x:v>
      </x:c>
      <x:c r="F6" s="25"/>
      <x:c r="G6" s="25"/>
      <x:c r="H6" s="25"/>
      <x:c r="I6" s="25"/>
    </x:row>
    <x:row r="7" ht="26" customHeight="1">
      <x:c r="A7" s="25"/>
      <x:c r="B7" s="34" t="str">
        <x:v>Front</x:v>
      </x:c>
      <x:c r="C7" s="34" t="str">
        <x:v>Soft</x:v>
      </x:c>
      <x:c r="D7" s="39" t="n">
        <x:v>14.6</x:v>
      </x:c>
      <x:c r="E7" s="41">
        <x:f>$E$8*(D7/$D$8)^4</x:f>
        <x:v>941.4063685268464</x:v>
      </x:c>
      <x:c r="F7" s="25"/>
      <x:c r="G7" s="25"/>
      <x:c r="H7" s="25"/>
      <x:c r="I7" s="25"/>
    </x:row>
    <x:row r="8" ht="26" customHeight="1">
      <x:c r="A8" s="25"/>
      <x:c r="B8" s="35" t="str">
        <x:v>Front</x:v>
      </x:c>
      <x:c r="C8" s="35" t="str">
        <x:v>Medium</x:v>
      </x:c>
      <x:c r="D8" s="39" t="n">
        <x:v>17.6</x:v>
      </x:c>
      <x:c r="E8" s="40" t="n">
        <x:v>1988</x:v>
      </x:c>
      <x:c r="F8" s="25"/>
      <x:c r="G8" s="25"/>
      <x:c r="H8" s="25"/>
      <x:c r="I8" s="25"/>
    </x:row>
    <x:row r="9" ht="26" customHeight="1">
      <x:c r="A9" s="25"/>
      <x:c r="B9" s="34" t="str">
        <x:v>Front</x:v>
      </x:c>
      <x:c r="C9" s="34" t="str">
        <x:v>Hard</x:v>
      </x:c>
      <x:c r="D9" s="39" t="n">
        <x:v>20.5</x:v>
      </x:c>
      <x:c r="E9" s="41">
        <x:f>$E$8*(D9/$D$8)^4</x:f>
        <x:v>3659.1579207191103</x:v>
      </x:c>
      <x:c r="F9" s="25"/>
      <x:c r="G9" s="25"/>
      <x:c r="H9" s="25"/>
      <x:c r="I9" s="25"/>
    </x:row>
    <x:row r="10" ht="26" customHeight="1">
      <x:c r="A10" s="25"/>
      <x:c r="B10" s="35" t="str">
        <x:v>Rear</x:v>
      </x:c>
      <x:c r="C10" s="35" t="str">
        <x:v>Soft</x:v>
      </x:c>
      <x:c r="D10" s="39" t="n">
        <x:v>16.2</x:v>
      </x:c>
      <x:c r="E10" s="42">
        <x:f>$E$11*(D10/$D$11)^4</x:f>
        <x:v>1429.067440624532</x:v>
      </x:c>
      <x:c r="F10" s="25"/>
      <x:c r="G10" s="25"/>
      <x:c r="H10" s="25"/>
      <x:c r="I10" s="25"/>
    </x:row>
    <x:row r="11" ht="26" customHeight="1">
      <x:c r="A11" s="25"/>
      <x:c r="B11" s="34" t="str">
        <x:v>Rear</x:v>
      </x:c>
      <x:c r="C11" s="34" t="str">
        <x:v>Medium</x:v>
      </x:c>
      <x:c r="D11" s="39" t="n">
        <x:v>19.4</x:v>
      </x:c>
      <x:c r="E11" s="40" t="n">
        <x:v>2939</x:v>
      </x:c>
      <x:c r="F11" s="25"/>
      <x:c r="G11" s="25"/>
      <x:c r="H11" s="25"/>
      <x:c r="I11" s="25"/>
    </x:row>
    <x:row r="12" ht="26" customHeight="1">
      <x:c r="A12" s="25"/>
      <x:c r="B12" s="35" t="str">
        <x:v>Rear</x:v>
      </x:c>
      <x:c r="C12" s="35" t="str">
        <x:v>Hard</x:v>
      </x:c>
      <x:c r="D12" s="39" t="n">
        <x:v>22.1</x:v>
      </x:c>
      <x:c r="E12" s="42">
        <x:f>$E$11*(D12/$D$11)^4</x:f>
        <x:v>4949.504929094451</x:v>
      </x:c>
      <x:c r="F12" s="25"/>
      <x:c r="G12" s="25"/>
      <x:c r="H12" s="25"/>
      <x:c r="I12" s="25"/>
    </x:row>
    <x:row r="13" ht="26" customHeight="1">
      <x:c r="A13" s="25"/>
      <x:c r="B13" s="25"/>
      <x:c r="C13" s="25"/>
      <x:c r="D13" s="25"/>
      <x:c r="E13" s="25"/>
      <x:c r="F13" s="25"/>
      <x:c r="G13" s="25"/>
      <x:c r="H13" s="25"/>
      <x:c r="I13" s="25"/>
    </x:row>
    <x:row r="14" ht="26" customHeight="1">
      <x:c r="A14" s="25"/>
      <x:c r="B14" s="28" t="str">
        <x:v>同侧 arb1 / arb2：车身相对坐标（m），按当前横向转轴计算。</x:v>
      </x:c>
      <x:c r="C14" s="28" t="str">
        <x:v>同侧 arb1 / arb2：车身相对坐标（m），按当前横向转轴计算。</x:v>
      </x:c>
      <x:c r="D14" s="28" t="str">
        <x:v>同侧 arb1 / arb2：车身相对坐标（m），按当前横向转轴计算。</x:v>
      </x:c>
      <x:c r="E14" s="28" t="str">
        <x:v>同侧 arb1 / arb2：车身相对坐标（m），按当前横向转轴计算。</x:v>
      </x:c>
      <x:c r="F14" s="28" t="str">
        <x:v>同侧 arb1 / arb2：车身相对坐标（m），按当前横向转轴计算。</x:v>
      </x:c>
      <x:c r="G14" s="28" t="str">
        <x:v>同侧 arb1 / arb2：车身相对坐标（m），按当前横向转轴计算。</x:v>
      </x:c>
      <x:c r="H14" s="28" t="str">
        <x:v>同侧 arb1 / arb2：车身相对坐标（m），按当前横向转轴计算。</x:v>
      </x:c>
      <x:c r="I14" s="25"/>
    </x:row>
    <x:row r="15" ht="26" customHeight="1">
      <x:c r="A15" s="25"/>
      <x:c r="B15" s="28" t="str">
        <x:v>轮行程：同一测量区间的轮心 Z 变化（mm）。</x:v>
      </x:c>
      <x:c r="C15" s="28" t="str">
        <x:v>轮行程：同一测量区间的轮心 Z 变化（mm）。</x:v>
      </x:c>
      <x:c r="D15" s="28" t="str">
        <x:v>轮行程：同一测量区间的轮心 Z 变化（mm）。</x:v>
      </x:c>
      <x:c r="E15" s="28" t="str">
        <x:v>轮行程：同一测量区间的轮心 Z 变化（mm）。</x:v>
      </x:c>
      <x:c r="F15" s="28" t="str">
        <x:v>轮行程：同一测量区间的轮心 Z 变化（mm）。</x:v>
      </x:c>
      <x:c r="G15" s="28" t="str">
        <x:v>轮行程：同一测量区间的轮心 Z 变化（mm）。</x:v>
      </x:c>
      <x:c r="H15" s="28" t="str">
        <x:v>轮行程：同一测量区间的轮心 Z 变化（mm）。</x:v>
      </x:c>
      <x:c r="I15" s="25"/>
    </x:row>
    <x:row r="16" ht="26" customHeight="1">
      <x:c r="A16" s="25"/>
      <x:c r="B16" s="25"/>
      <x:c r="C16" s="25"/>
      <x:c r="D16" s="25"/>
      <x:c r="E16" s="25"/>
      <x:c r="F16" s="25"/>
      <x:c r="G16" s="25"/>
      <x:c r="H16" s="25"/>
      <x:c r="I16" s="25"/>
    </x:row>
    <x:row r="17" ht="26" customHeight="1">
      <x:c r="A17" s="25"/>
      <x:c r="B17" s="44" t="str">
        <x:v>Tarmac / Front / Inner</x:v>
      </x:c>
      <x:c r="C17" s="44" t="str">
        <x:v>Tarmac / Front / Inner</x:v>
      </x:c>
      <x:c r="D17" s="44" t="str">
        <x:v>Tarmac / Front / Inner</x:v>
      </x:c>
      <x:c r="E17" s="44" t="str">
        <x:v>Tarmac / Front / Inner</x:v>
      </x:c>
      <x:c r="F17" s="44" t="str">
        <x:v>Tarmac / Front / Inner</x:v>
      </x:c>
      <x:c r="G17" s="44" t="str">
        <x:v>Tarmac / Front / Inner</x:v>
      </x:c>
      <x:c r="H17" s="44" t="str">
        <x:v>Tarmac / Front / Inner</x:v>
      </x:c>
      <x:c r="I17" s="25"/>
    </x:row>
    <x:row r="18" ht="26" customHeight="1">
      <x:c r="A18" s="25"/>
      <x:c r="B18" s="25" t="str">
        <x:v>Wheel ΔZ (mm)</x:v>
      </x:c>
      <x:c r="C18" s="48" t="n">
        <x:v>127</x:v>
      </x:c>
      <x:c r="D18" s="25"/>
      <x:c r="E18" s="25"/>
      <x:c r="F18" s="25"/>
      <x:c r="G18" s="25"/>
      <x:c r="H18" s="25"/>
      <x:c r="I18" s="25"/>
    </x:row>
    <x:row r="19" ht="40" customHeight="1">
      <x:c r="A19" s="25"/>
      <x:c r="B19" s="32" t="str">
        <x:v>State</x:v>
      </x:c>
      <x:c r="C19" s="32" t="str">
        <x:v>arb1 Y (m)</x:v>
      </x:c>
      <x:c r="D19" s="32" t="str">
        <x:v>arb1 Z (m)</x:v>
      </x:c>
      <x:c r="E19" s="32" t="str">
        <x:v>arb2 Y (m)</x:v>
      </x:c>
      <x:c r="F19" s="32" t="str">
        <x:v>arb2 Z (m)</x:v>
      </x:c>
      <x:c r="G19" s="32" t="str">
        <x:v>Arm angle (°)</x:v>
      </x:c>
      <x:c r="H19" s="32" t="str">
        <x:v>Radius (mm)</x:v>
      </x:c>
      <x:c r="I19" s="25"/>
    </x:row>
    <x:row r="20" ht="26" customHeight="1">
      <x:c r="A20" s="25"/>
      <x:c r="B20" s="35" t="str">
        <x:v>Start</x:v>
      </x:c>
      <x:c r="C20" s="49"/>
      <x:c r="D20" s="49"/>
      <x:c r="E20" s="49"/>
      <x:c r="F20" s="49"/>
      <x:c r="G20" s="50" t="str">
        <x:f>IF(COUNT(C20:F20)&lt;4,"",IF(H20=0,"无效半径",IF(D20&lt;F20,-1,1)*DEGREES(ACOS(MAX(-1,MIN(1,(E20-C20)*1000/H20))))))</x:f>
        <x:v/>
      </x:c>
      <x:c r="H20" s="52" t="str">
        <x:f>IF(COUNT(C20:F20)&lt;4,"",1000*SQRT((C20-E20)^2+(D20-F20)^2))</x:f>
        <x:v/>
      </x:c>
      <x:c r="I20" s="25"/>
    </x:row>
    <x:row r="21" ht="26" customHeight="1">
      <x:c r="A21" s="25"/>
      <x:c r="B21" s="34" t="str">
        <x:v>End</x:v>
      </x:c>
      <x:c r="C21" s="49"/>
      <x:c r="D21" s="49"/>
      <x:c r="E21" s="49"/>
      <x:c r="F21" s="49"/>
      <x:c r="G21" s="51" t="str">
        <x:f>IF(COUNT(C21:F21)&lt;4,"",IF(H21=0,"无效半径",IF(D21&lt;F21,-1,1)*DEGREES(ACOS(MAX(-1,MIN(1,(E21-C21)*1000/H21))))))</x:f>
        <x:v/>
      </x:c>
      <x:c r="H21" s="53" t="str">
        <x:f>IF(COUNT(C21:F21)&lt;4,"",1000*SQRT((C21-E21)^2+(D21-F21)^2))</x:f>
        <x:v/>
      </x:c>
      <x:c r="I21" s="25"/>
    </x:row>
    <x:row r="22" ht="26" customHeight="1">
      <x:c r="A22" s="25"/>
      <x:c r="B22" s="25"/>
      <x:c r="C22" s="25"/>
      <x:c r="D22" s="25"/>
      <x:c r="E22" s="25"/>
      <x:c r="F22" s="25"/>
      <x:c r="G22" s="25"/>
      <x:c r="H22" s="25"/>
      <x:c r="I22" s="25"/>
    </x:row>
    <x:row r="23" ht="26" customHeight="1">
      <x:c r="A23" s="25"/>
      <x:c r="B23" s="25"/>
      <x:c r="C23" s="25"/>
      <x:c r="D23" s="25"/>
      <x:c r="E23" s="25"/>
      <x:c r="F23" s="25"/>
      <x:c r="G23" s="25"/>
      <x:c r="H23" s="25"/>
      <x:c r="I23" s="25"/>
    </x:row>
    <x:row r="24" ht="26" customHeight="1">
      <x:c r="A24" s="25"/>
      <x:c r="B24" s="44" t="str">
        <x:v>Tarmac / Front / Middle</x:v>
      </x:c>
      <x:c r="C24" s="44" t="str">
        <x:v>Tarmac / Front / Middle</x:v>
      </x:c>
      <x:c r="D24" s="44" t="str">
        <x:v>Tarmac / Front / Middle</x:v>
      </x:c>
      <x:c r="E24" s="44" t="str">
        <x:v>Tarmac / Front / Middle</x:v>
      </x:c>
      <x:c r="F24" s="44" t="str">
        <x:v>Tarmac / Front / Middle</x:v>
      </x:c>
      <x:c r="G24" s="44" t="str">
        <x:v>Tarmac / Front / Middle</x:v>
      </x:c>
      <x:c r="H24" s="44" t="str">
        <x:v>Tarmac / Front / Middle</x:v>
      </x:c>
      <x:c r="I24" s="25"/>
    </x:row>
    <x:row r="25" ht="26" customHeight="1">
      <x:c r="A25" s="25"/>
      <x:c r="B25" s="25" t="str">
        <x:v>Wheel ΔZ (mm)</x:v>
      </x:c>
      <x:c r="C25" s="48" t="n">
        <x:v>127</x:v>
      </x:c>
      <x:c r="D25" s="25"/>
      <x:c r="E25" s="25"/>
      <x:c r="F25" s="25"/>
      <x:c r="G25" s="25"/>
      <x:c r="H25" s="25"/>
      <x:c r="I25" s="25"/>
    </x:row>
    <x:row r="26" ht="40" customHeight="1">
      <x:c r="A26" s="25"/>
      <x:c r="B26" s="32" t="str">
        <x:v>State</x:v>
      </x:c>
      <x:c r="C26" s="32" t="str">
        <x:v>arb1 Y (m)</x:v>
      </x:c>
      <x:c r="D26" s="32" t="str">
        <x:v>arb1 Z (m)</x:v>
      </x:c>
      <x:c r="E26" s="32" t="str">
        <x:v>arb2 Y (m)</x:v>
      </x:c>
      <x:c r="F26" s="32" t="str">
        <x:v>arb2 Z (m)</x:v>
      </x:c>
      <x:c r="G26" s="32" t="str">
        <x:v>Arm angle (°)</x:v>
      </x:c>
      <x:c r="H26" s="32" t="str">
        <x:v>Radius (mm)</x:v>
      </x:c>
      <x:c r="I26" s="25"/>
    </x:row>
    <x:row r="27" ht="26" customHeight="1">
      <x:c r="A27" s="25"/>
      <x:c r="B27" s="34" t="str">
        <x:v>Start</x:v>
      </x:c>
      <x:c r="C27" s="49"/>
      <x:c r="D27" s="49"/>
      <x:c r="E27" s="49"/>
      <x:c r="F27" s="49"/>
      <x:c r="G27" s="51" t="str">
        <x:f>IF(COUNT(C27:F27)&lt;4,"",IF(H27=0,"无效半径",IF(D27&lt;F27,-1,1)*DEGREES(ACOS(MAX(-1,MIN(1,(E27-C27)*1000/H27))))))</x:f>
        <x:v/>
      </x:c>
      <x:c r="H27" s="53" t="str">
        <x:f>IF(COUNT(C27:F27)&lt;4,"",1000*SQRT((C27-E27)^2+(D27-F27)^2))</x:f>
        <x:v/>
      </x:c>
      <x:c r="I27" s="25"/>
    </x:row>
    <x:row r="28" ht="26" customHeight="1">
      <x:c r="A28" s="25"/>
      <x:c r="B28" s="35" t="str">
        <x:v>End</x:v>
      </x:c>
      <x:c r="C28" s="49"/>
      <x:c r="D28" s="49"/>
      <x:c r="E28" s="49"/>
      <x:c r="F28" s="49"/>
      <x:c r="G28" s="50" t="str">
        <x:f>IF(COUNT(C28:F28)&lt;4,"",IF(H28=0,"无效半径",IF(D28&lt;F28,-1,1)*DEGREES(ACOS(MAX(-1,MIN(1,(E28-C28)*1000/H28))))))</x:f>
        <x:v/>
      </x:c>
      <x:c r="H28" s="52" t="str">
        <x:f>IF(COUNT(C28:F28)&lt;4,"",1000*SQRT((C28-E28)^2+(D28-F28)^2))</x:f>
        <x:v/>
      </x:c>
      <x:c r="I28" s="25"/>
    </x:row>
    <x:row r="29" ht="26" customHeight="1">
      <x:c r="A29" s="25"/>
      <x:c r="B29" s="25"/>
      <x:c r="C29" s="25"/>
      <x:c r="D29" s="25"/>
      <x:c r="E29" s="25"/>
      <x:c r="F29" s="25"/>
      <x:c r="G29" s="25"/>
      <x:c r="H29" s="25"/>
      <x:c r="I29" s="25"/>
    </x:row>
    <x:row r="30" ht="26" customHeight="1">
      <x:c r="A30" s="25"/>
      <x:c r="B30" s="25"/>
      <x:c r="C30" s="25"/>
      <x:c r="D30" s="25"/>
      <x:c r="E30" s="25"/>
      <x:c r="F30" s="25"/>
      <x:c r="G30" s="25"/>
      <x:c r="H30" s="25"/>
      <x:c r="I30" s="25"/>
    </x:row>
    <x:row r="31" ht="26" customHeight="1">
      <x:c r="A31" s="25"/>
      <x:c r="B31" s="44" t="str">
        <x:v>Tarmac / Front / Outer</x:v>
      </x:c>
      <x:c r="C31" s="44" t="str">
        <x:v>Tarmac / Front / Outer</x:v>
      </x:c>
      <x:c r="D31" s="44" t="str">
        <x:v>Tarmac / Front / Outer</x:v>
      </x:c>
      <x:c r="E31" s="44" t="str">
        <x:v>Tarmac / Front / Outer</x:v>
      </x:c>
      <x:c r="F31" s="44" t="str">
        <x:v>Tarmac / Front / Outer</x:v>
      </x:c>
      <x:c r="G31" s="44" t="str">
        <x:v>Tarmac / Front / Outer</x:v>
      </x:c>
      <x:c r="H31" s="44" t="str">
        <x:v>Tarmac / Front / Outer</x:v>
      </x:c>
      <x:c r="I31" s="25"/>
    </x:row>
    <x:row r="32" ht="26" customHeight="1">
      <x:c r="A32" s="25"/>
      <x:c r="B32" s="25" t="str">
        <x:v>Wheel ΔZ (mm)</x:v>
      </x:c>
      <x:c r="C32" s="48" t="n">
        <x:v>127</x:v>
      </x:c>
      <x:c r="D32" s="25"/>
      <x:c r="E32" s="25"/>
      <x:c r="F32" s="25"/>
      <x:c r="G32" s="25"/>
      <x:c r="H32" s="25"/>
      <x:c r="I32" s="25"/>
    </x:row>
    <x:row r="33" ht="40" customHeight="1">
      <x:c r="A33" s="25"/>
      <x:c r="B33" s="32" t="str">
        <x:v>State</x:v>
      </x:c>
      <x:c r="C33" s="32" t="str">
        <x:v>arb1 Y (m)</x:v>
      </x:c>
      <x:c r="D33" s="32" t="str">
        <x:v>arb1 Z (m)</x:v>
      </x:c>
      <x:c r="E33" s="32" t="str">
        <x:v>arb2 Y (m)</x:v>
      </x:c>
      <x:c r="F33" s="32" t="str">
        <x:v>arb2 Z (m)</x:v>
      </x:c>
      <x:c r="G33" s="32" t="str">
        <x:v>Arm angle (°)</x:v>
      </x:c>
      <x:c r="H33" s="32" t="str">
        <x:v>Radius (mm)</x:v>
      </x:c>
      <x:c r="I33" s="25"/>
    </x:row>
    <x:row r="34" ht="26" customHeight="1">
      <x:c r="A34" s="25"/>
      <x:c r="B34" s="35" t="str">
        <x:v>Start</x:v>
      </x:c>
      <x:c r="C34" s="49"/>
      <x:c r="D34" s="49"/>
      <x:c r="E34" s="49"/>
      <x:c r="F34" s="49"/>
      <x:c r="G34" s="50" t="str">
        <x:f>IF(COUNT(C34:F34)&lt;4,"",IF(H34=0,"无效半径",IF(D34&lt;F34,-1,1)*DEGREES(ACOS(MAX(-1,MIN(1,(E34-C34)*1000/H34))))))</x:f>
        <x:v/>
      </x:c>
      <x:c r="H34" s="52" t="str">
        <x:f>IF(COUNT(C34:F34)&lt;4,"",1000*SQRT((C34-E34)^2+(D34-F34)^2))</x:f>
        <x:v/>
      </x:c>
      <x:c r="I34" s="25"/>
    </x:row>
    <x:row r="35" ht="26" customHeight="1">
      <x:c r="A35" s="25"/>
      <x:c r="B35" s="34" t="str">
        <x:v>End</x:v>
      </x:c>
      <x:c r="C35" s="49"/>
      <x:c r="D35" s="49"/>
      <x:c r="E35" s="49"/>
      <x:c r="F35" s="49"/>
      <x:c r="G35" s="51" t="str">
        <x:f>IF(COUNT(C35:F35)&lt;4,"",IF(H35=0,"无效半径",IF(D35&lt;F35,-1,1)*DEGREES(ACOS(MAX(-1,MIN(1,(E35-C35)*1000/H35))))))</x:f>
        <x:v/>
      </x:c>
      <x:c r="H35" s="53" t="str">
        <x:f>IF(COUNT(C35:F35)&lt;4,"",1000*SQRT((C35-E35)^2+(D35-F35)^2))</x:f>
        <x:v/>
      </x:c>
      <x:c r="I35" s="25"/>
    </x:row>
    <x:row r="36" ht="26" customHeight="1">
      <x:c r="A36" s="25"/>
      <x:c r="B36" s="25"/>
      <x:c r="C36" s="25"/>
      <x:c r="D36" s="25"/>
      <x:c r="E36" s="25"/>
      <x:c r="F36" s="25"/>
      <x:c r="G36" s="25"/>
      <x:c r="H36" s="25"/>
      <x:c r="I36" s="25"/>
    </x:row>
    <x:row r="37" ht="26" customHeight="1">
      <x:c r="A37" s="25"/>
      <x:c r="B37" s="25"/>
      <x:c r="C37" s="25"/>
      <x:c r="D37" s="25"/>
      <x:c r="E37" s="25"/>
      <x:c r="F37" s="25"/>
      <x:c r="G37" s="25"/>
      <x:c r="H37" s="25"/>
      <x:c r="I37" s="25"/>
    </x:row>
    <x:row r="38" ht="26" customHeight="1">
      <x:c r="A38" s="25"/>
      <x:c r="B38" s="44" t="str">
        <x:v>Tarmac / Rear / Inner</x:v>
      </x:c>
      <x:c r="C38" s="44" t="str">
        <x:v>Tarmac / Rear / Inner</x:v>
      </x:c>
      <x:c r="D38" s="44" t="str">
        <x:v>Tarmac / Rear / Inner</x:v>
      </x:c>
      <x:c r="E38" s="44" t="str">
        <x:v>Tarmac / Rear / Inner</x:v>
      </x:c>
      <x:c r="F38" s="44" t="str">
        <x:v>Tarmac / Rear / Inner</x:v>
      </x:c>
      <x:c r="G38" s="44" t="str">
        <x:v>Tarmac / Rear / Inner</x:v>
      </x:c>
      <x:c r="H38" s="44" t="str">
        <x:v>Tarmac / Rear / Inner</x:v>
      </x:c>
      <x:c r="I38" s="25"/>
    </x:row>
    <x:row r="39" ht="26" customHeight="1">
      <x:c r="A39" s="25"/>
      <x:c r="B39" s="25" t="str">
        <x:v>Wheel ΔZ (mm)</x:v>
      </x:c>
      <x:c r="C39" s="48" t="n">
        <x:v>136</x:v>
      </x:c>
      <x:c r="D39" s="25"/>
      <x:c r="E39" s="25"/>
      <x:c r="F39" s="25"/>
      <x:c r="G39" s="25"/>
      <x:c r="H39" s="25"/>
      <x:c r="I39" s="25"/>
    </x:row>
    <x:row r="40" ht="40" customHeight="1">
      <x:c r="A40" s="25"/>
      <x:c r="B40" s="32" t="str">
        <x:v>State</x:v>
      </x:c>
      <x:c r="C40" s="32" t="str">
        <x:v>arb1 Y (m)</x:v>
      </x:c>
      <x:c r="D40" s="32" t="str">
        <x:v>arb1 Z (m)</x:v>
      </x:c>
      <x:c r="E40" s="32" t="str">
        <x:v>arb2 Y (m)</x:v>
      </x:c>
      <x:c r="F40" s="32" t="str">
        <x:v>arb2 Z (m)</x:v>
      </x:c>
      <x:c r="G40" s="32" t="str">
        <x:v>Arm angle (°)</x:v>
      </x:c>
      <x:c r="H40" s="32" t="str">
        <x:v>Radius (mm)</x:v>
      </x:c>
      <x:c r="I40" s="25"/>
    </x:row>
    <x:row r="41" ht="26" customHeight="1">
      <x:c r="A41" s="25"/>
      <x:c r="B41" s="34" t="str">
        <x:v>Start</x:v>
      </x:c>
      <x:c r="C41" s="49"/>
      <x:c r="D41" s="49"/>
      <x:c r="E41" s="49"/>
      <x:c r="F41" s="49"/>
      <x:c r="G41" s="51" t="str">
        <x:f>IF(COUNT(C41:F41)&lt;4,"",IF(H41=0,"无效半径",IF(D41&lt;F41,-1,1)*DEGREES(ACOS(MAX(-1,MIN(1,(E41-C41)*1000/H41))))))</x:f>
        <x:v/>
      </x:c>
      <x:c r="H41" s="53" t="str">
        <x:f>IF(COUNT(C41:F41)&lt;4,"",1000*SQRT((C41-E41)^2+(D41-F41)^2))</x:f>
        <x:v/>
      </x:c>
      <x:c r="I41" s="25"/>
    </x:row>
    <x:row r="42" ht="26" customHeight="1">
      <x:c r="A42" s="25"/>
      <x:c r="B42" s="35" t="str">
        <x:v>End</x:v>
      </x:c>
      <x:c r="C42" s="49"/>
      <x:c r="D42" s="49"/>
      <x:c r="E42" s="49"/>
      <x:c r="F42" s="49"/>
      <x:c r="G42" s="50" t="str">
        <x:f>IF(COUNT(C42:F42)&lt;4,"",IF(H42=0,"无效半径",IF(D42&lt;F42,-1,1)*DEGREES(ACOS(MAX(-1,MIN(1,(E42-C42)*1000/H42))))))</x:f>
        <x:v/>
      </x:c>
      <x:c r="H42" s="52" t="str">
        <x:f>IF(COUNT(C42:F42)&lt;4,"",1000*SQRT((C42-E42)^2+(D42-F42)^2))</x:f>
        <x:v/>
      </x:c>
      <x:c r="I42" s="25"/>
    </x:row>
    <x:row r="43" ht="26" customHeight="1">
      <x:c r="A43" s="25"/>
      <x:c r="B43" s="25"/>
      <x:c r="C43" s="25"/>
      <x:c r="D43" s="25"/>
      <x:c r="E43" s="25"/>
      <x:c r="F43" s="25"/>
      <x:c r="G43" s="25"/>
      <x:c r="H43" s="25"/>
      <x:c r="I43" s="25"/>
    </x:row>
    <x:row r="44" ht="26" customHeight="1">
      <x:c r="A44" s="25"/>
      <x:c r="B44" s="25"/>
      <x:c r="C44" s="25"/>
      <x:c r="D44" s="25"/>
      <x:c r="E44" s="25"/>
      <x:c r="F44" s="25"/>
      <x:c r="G44" s="25"/>
      <x:c r="H44" s="25"/>
      <x:c r="I44" s="25"/>
    </x:row>
    <x:row r="45" ht="26" customHeight="1">
      <x:c r="A45" s="25"/>
      <x:c r="B45" s="44" t="str">
        <x:v>Tarmac / Rear / Middle</x:v>
      </x:c>
      <x:c r="C45" s="44" t="str">
        <x:v>Tarmac / Rear / Middle</x:v>
      </x:c>
      <x:c r="D45" s="44" t="str">
        <x:v>Tarmac / Rear / Middle</x:v>
      </x:c>
      <x:c r="E45" s="44" t="str">
        <x:v>Tarmac / Rear / Middle</x:v>
      </x:c>
      <x:c r="F45" s="44" t="str">
        <x:v>Tarmac / Rear / Middle</x:v>
      </x:c>
      <x:c r="G45" s="44" t="str">
        <x:v>Tarmac / Rear / Middle</x:v>
      </x:c>
      <x:c r="H45" s="44" t="str">
        <x:v>Tarmac / Rear / Middle</x:v>
      </x:c>
      <x:c r="I45" s="25"/>
    </x:row>
    <x:row r="46" ht="26" customHeight="1">
      <x:c r="A46" s="25"/>
      <x:c r="B46" s="25" t="str">
        <x:v>Wheel ΔZ (mm)</x:v>
      </x:c>
      <x:c r="C46" s="48" t="n">
        <x:v>136</x:v>
      </x:c>
      <x:c r="D46" s="25"/>
      <x:c r="E46" s="25"/>
      <x:c r="F46" s="25"/>
      <x:c r="G46" s="25"/>
      <x:c r="H46" s="25"/>
      <x:c r="I46" s="25"/>
    </x:row>
    <x:row r="47" ht="40" customHeight="1">
      <x:c r="A47" s="25"/>
      <x:c r="B47" s="32" t="str">
        <x:v>State</x:v>
      </x:c>
      <x:c r="C47" s="32" t="str">
        <x:v>arb1 Y (m)</x:v>
      </x:c>
      <x:c r="D47" s="32" t="str">
        <x:v>arb1 Z (m)</x:v>
      </x:c>
      <x:c r="E47" s="32" t="str">
        <x:v>arb2 Y (m)</x:v>
      </x:c>
      <x:c r="F47" s="32" t="str">
        <x:v>arb2 Z (m)</x:v>
      </x:c>
      <x:c r="G47" s="32" t="str">
        <x:v>Arm angle (°)</x:v>
      </x:c>
      <x:c r="H47" s="32" t="str">
        <x:v>Radius (mm)</x:v>
      </x:c>
      <x:c r="I47" s="25"/>
    </x:row>
    <x:row r="48" ht="26" customHeight="1">
      <x:c r="A48" s="25"/>
      <x:c r="B48" s="35" t="str">
        <x:v>Start</x:v>
      </x:c>
      <x:c r="C48" s="49"/>
      <x:c r="D48" s="49"/>
      <x:c r="E48" s="49"/>
      <x:c r="F48" s="49"/>
      <x:c r="G48" s="50" t="str">
        <x:f>IF(COUNT(C48:F48)&lt;4,"",IF(H48=0,"无效半径",IF(D48&lt;F48,-1,1)*DEGREES(ACOS(MAX(-1,MIN(1,(E48-C48)*1000/H48))))))</x:f>
        <x:v/>
      </x:c>
      <x:c r="H48" s="52" t="str">
        <x:f>IF(COUNT(C48:F48)&lt;4,"",1000*SQRT((C48-E48)^2+(D48-F48)^2))</x:f>
        <x:v/>
      </x:c>
      <x:c r="I48" s="25"/>
    </x:row>
    <x:row r="49" ht="26" customHeight="1">
      <x:c r="A49" s="25"/>
      <x:c r="B49" s="34" t="str">
        <x:v>End</x:v>
      </x:c>
      <x:c r="C49" s="49"/>
      <x:c r="D49" s="49"/>
      <x:c r="E49" s="49"/>
      <x:c r="F49" s="49"/>
      <x:c r="G49" s="51" t="str">
        <x:f>IF(COUNT(C49:F49)&lt;4,"",IF(H49=0,"无效半径",IF(D49&lt;F49,-1,1)*DEGREES(ACOS(MAX(-1,MIN(1,(E49-C49)*1000/H49))))))</x:f>
        <x:v/>
      </x:c>
      <x:c r="H49" s="53" t="str">
        <x:f>IF(COUNT(C49:F49)&lt;4,"",1000*SQRT((C49-E49)^2+(D49-F49)^2))</x:f>
        <x:v/>
      </x:c>
      <x:c r="I49" s="25"/>
    </x:row>
    <x:row r="50" ht="26" customHeight="1">
      <x:c r="A50" s="25"/>
      <x:c r="B50" s="25"/>
      <x:c r="C50" s="25"/>
      <x:c r="D50" s="25"/>
      <x:c r="E50" s="25"/>
      <x:c r="F50" s="25"/>
      <x:c r="G50" s="25"/>
      <x:c r="H50" s="25"/>
      <x:c r="I50" s="25"/>
    </x:row>
    <x:row r="51" ht="26" customHeight="1">
      <x:c r="A51" s="25"/>
      <x:c r="B51" s="25"/>
      <x:c r="C51" s="25"/>
      <x:c r="D51" s="25"/>
      <x:c r="E51" s="25"/>
      <x:c r="F51" s="25"/>
      <x:c r="G51" s="25"/>
      <x:c r="H51" s="25"/>
      <x:c r="I51" s="25"/>
    </x:row>
    <x:row r="52" ht="26" customHeight="1">
      <x:c r="A52" s="25"/>
      <x:c r="B52" s="44" t="str">
        <x:v>Tarmac / Rear / Outer</x:v>
      </x:c>
      <x:c r="C52" s="44" t="str">
        <x:v>Tarmac / Rear / Outer</x:v>
      </x:c>
      <x:c r="D52" s="44" t="str">
        <x:v>Tarmac / Rear / Outer</x:v>
      </x:c>
      <x:c r="E52" s="44" t="str">
        <x:v>Tarmac / Rear / Outer</x:v>
      </x:c>
      <x:c r="F52" s="44" t="str">
        <x:v>Tarmac / Rear / Outer</x:v>
      </x:c>
      <x:c r="G52" s="44" t="str">
        <x:v>Tarmac / Rear / Outer</x:v>
      </x:c>
      <x:c r="H52" s="44" t="str">
        <x:v>Tarmac / Rear / Outer</x:v>
      </x:c>
      <x:c r="I52" s="25"/>
    </x:row>
    <x:row r="53" ht="26" customHeight="1">
      <x:c r="A53" s="25"/>
      <x:c r="B53" s="25" t="str">
        <x:v>Wheel ΔZ (mm)</x:v>
      </x:c>
      <x:c r="C53" s="48" t="n">
        <x:v>136</x:v>
      </x:c>
      <x:c r="D53" s="25"/>
      <x:c r="E53" s="25"/>
      <x:c r="F53" s="25"/>
      <x:c r="G53" s="25"/>
      <x:c r="H53" s="25"/>
      <x:c r="I53" s="25"/>
    </x:row>
    <x:row r="54" ht="40" customHeight="1">
      <x:c r="A54" s="25"/>
      <x:c r="B54" s="32" t="str">
        <x:v>State</x:v>
      </x:c>
      <x:c r="C54" s="32" t="str">
        <x:v>arb1 Y (m)</x:v>
      </x:c>
      <x:c r="D54" s="32" t="str">
        <x:v>arb1 Z (m)</x:v>
      </x:c>
      <x:c r="E54" s="32" t="str">
        <x:v>arb2 Y (m)</x:v>
      </x:c>
      <x:c r="F54" s="32" t="str">
        <x:v>arb2 Z (m)</x:v>
      </x:c>
      <x:c r="G54" s="32" t="str">
        <x:v>Arm angle (°)</x:v>
      </x:c>
      <x:c r="H54" s="32" t="str">
        <x:v>Radius (mm)</x:v>
      </x:c>
      <x:c r="I54" s="25"/>
    </x:row>
    <x:row r="55" ht="26" customHeight="1">
      <x:c r="A55" s="25"/>
      <x:c r="B55" s="34" t="str">
        <x:v>Start</x:v>
      </x:c>
      <x:c r="C55" s="49"/>
      <x:c r="D55" s="49"/>
      <x:c r="E55" s="49"/>
      <x:c r="F55" s="49"/>
      <x:c r="G55" s="51" t="str">
        <x:f>IF(COUNT(C55:F55)&lt;4,"",IF(H55=0,"无效半径",IF(D55&lt;F55,-1,1)*DEGREES(ACOS(MAX(-1,MIN(1,(E55-C55)*1000/H55))))))</x:f>
        <x:v/>
      </x:c>
      <x:c r="H55" s="53" t="str">
        <x:f>IF(COUNT(C55:F55)&lt;4,"",1000*SQRT((C55-E55)^2+(D55-F55)^2))</x:f>
        <x:v/>
      </x:c>
      <x:c r="I55" s="25"/>
    </x:row>
    <x:row r="56" ht="26" customHeight="1">
      <x:c r="A56" s="25"/>
      <x:c r="B56" s="35" t="str">
        <x:v>End</x:v>
      </x:c>
      <x:c r="C56" s="49"/>
      <x:c r="D56" s="49"/>
      <x:c r="E56" s="49"/>
      <x:c r="F56" s="49"/>
      <x:c r="G56" s="50" t="str">
        <x:f>IF(COUNT(C56:F56)&lt;4,"",IF(H56=0,"无效半径",IF(D56&lt;F56,-1,1)*DEGREES(ACOS(MAX(-1,MIN(1,(E56-C56)*1000/H56))))))</x:f>
        <x:v/>
      </x:c>
      <x:c r="H56" s="52" t="str">
        <x:f>IF(COUNT(C56:F56)&lt;4,"",1000*SQRT((C56-E56)^2+(D56-F56)^2))</x:f>
        <x:v/>
      </x:c>
      <x:c r="I56" s="25"/>
    </x:row>
    <x:row r="57" ht="26" customHeight="1">
      <x:c r="A57" s="25"/>
      <x:c r="B57" s="25"/>
      <x:c r="C57" s="25"/>
      <x:c r="D57" s="25"/>
      <x:c r="E57" s="25"/>
      <x:c r="F57" s="25"/>
      <x:c r="G57" s="25"/>
      <x:c r="H57" s="25"/>
      <x:c r="I57" s="25"/>
    </x:row>
    <x:row r="58" ht="26" customHeight="1">
      <x:c r="A58" s="25"/>
      <x:c r="B58" s="25"/>
      <x:c r="C58" s="25"/>
      <x:c r="D58" s="25"/>
      <x:c r="E58" s="25"/>
      <x:c r="F58" s="25"/>
      <x:c r="G58" s="25"/>
      <x:c r="H58" s="25"/>
      <x:c r="I58" s="25"/>
    </x:row>
    <x:row r="59" ht="26" customHeight="1">
      <x:c r="A59" s="25"/>
      <x:c r="B59" s="44" t="str">
        <x:v>Gravel / Front / Inner</x:v>
      </x:c>
      <x:c r="C59" s="44" t="str">
        <x:v>Gravel / Front / Inner</x:v>
      </x:c>
      <x:c r="D59" s="44" t="str">
        <x:v>Gravel / Front / Inner</x:v>
      </x:c>
      <x:c r="E59" s="44" t="str">
        <x:v>Gravel / Front / Inner</x:v>
      </x:c>
      <x:c r="F59" s="44" t="str">
        <x:v>Gravel / Front / Inner</x:v>
      </x:c>
      <x:c r="G59" s="44" t="str">
        <x:v>Gravel / Front / Inner</x:v>
      </x:c>
      <x:c r="H59" s="44" t="str">
        <x:v>Gravel / Front / Inner</x:v>
      </x:c>
      <x:c r="I59" s="25"/>
    </x:row>
    <x:row r="60" ht="26" customHeight="1">
      <x:c r="A60" s="25"/>
      <x:c r="B60" s="25" t="str">
        <x:v>Wheel ΔZ (mm)</x:v>
      </x:c>
      <x:c r="C60" s="48" t="n">
        <x:v>126</x:v>
      </x:c>
      <x:c r="D60" s="25"/>
      <x:c r="E60" s="25"/>
      <x:c r="F60" s="25"/>
      <x:c r="G60" s="25"/>
      <x:c r="H60" s="25"/>
      <x:c r="I60" s="25"/>
    </x:row>
    <x:row r="61" ht="40" customHeight="1">
      <x:c r="A61" s="25"/>
      <x:c r="B61" s="32" t="str">
        <x:v>State</x:v>
      </x:c>
      <x:c r="C61" s="32" t="str">
        <x:v>arb1 Y (m)</x:v>
      </x:c>
      <x:c r="D61" s="32" t="str">
        <x:v>arb1 Z (m)</x:v>
      </x:c>
      <x:c r="E61" s="32" t="str">
        <x:v>arb2 Y (m)</x:v>
      </x:c>
      <x:c r="F61" s="32" t="str">
        <x:v>arb2 Z (m)</x:v>
      </x:c>
      <x:c r="G61" s="32" t="str">
        <x:v>Arm angle (°)</x:v>
      </x:c>
      <x:c r="H61" s="32" t="str">
        <x:v>Radius (mm)</x:v>
      </x:c>
      <x:c r="I61" s="25"/>
    </x:row>
    <x:row r="62" ht="26" customHeight="1">
      <x:c r="A62" s="25"/>
      <x:c r="B62" s="35" t="str">
        <x:v>Start</x:v>
      </x:c>
      <x:c r="C62" s="49"/>
      <x:c r="D62" s="49"/>
      <x:c r="E62" s="49"/>
      <x:c r="F62" s="49"/>
      <x:c r="G62" s="50" t="str">
        <x:f>IF(COUNT(C62:F62)&lt;4,"",IF(H62=0,"无效半径",IF(D62&lt;F62,-1,1)*DEGREES(ACOS(MAX(-1,MIN(1,(E62-C62)*1000/H62))))))</x:f>
        <x:v/>
      </x:c>
      <x:c r="H62" s="52" t="str">
        <x:f>IF(COUNT(C62:F62)&lt;4,"",1000*SQRT((C62-E62)^2+(D62-F62)^2))</x:f>
        <x:v/>
      </x:c>
      <x:c r="I62" s="25"/>
    </x:row>
    <x:row r="63" ht="26" customHeight="1">
      <x:c r="A63" s="25"/>
      <x:c r="B63" s="34" t="str">
        <x:v>End</x:v>
      </x:c>
      <x:c r="C63" s="49"/>
      <x:c r="D63" s="49"/>
      <x:c r="E63" s="49"/>
      <x:c r="F63" s="49"/>
      <x:c r="G63" s="51" t="str">
        <x:f>IF(COUNT(C63:F63)&lt;4,"",IF(H63=0,"无效半径",IF(D63&lt;F63,-1,1)*DEGREES(ACOS(MAX(-1,MIN(1,(E63-C63)*1000/H63))))))</x:f>
        <x:v/>
      </x:c>
      <x:c r="H63" s="53" t="str">
        <x:f>IF(COUNT(C63:F63)&lt;4,"",1000*SQRT((C63-E63)^2+(D63-F63)^2))</x:f>
        <x:v/>
      </x:c>
      <x:c r="I63" s="25"/>
    </x:row>
    <x:row r="64" ht="26" customHeight="1">
      <x:c r="A64" s="25"/>
      <x:c r="B64" s="25"/>
      <x:c r="C64" s="25"/>
      <x:c r="D64" s="25"/>
      <x:c r="E64" s="25"/>
      <x:c r="F64" s="25"/>
      <x:c r="G64" s="25"/>
      <x:c r="H64" s="25"/>
      <x:c r="I64" s="25"/>
    </x:row>
    <x:row r="65" ht="26" customHeight="1">
      <x:c r="A65" s="25"/>
      <x:c r="B65" s="25"/>
      <x:c r="C65" s="25"/>
      <x:c r="D65" s="25"/>
      <x:c r="E65" s="25"/>
      <x:c r="F65" s="25"/>
      <x:c r="G65" s="25"/>
      <x:c r="H65" s="25"/>
      <x:c r="I65" s="25"/>
    </x:row>
    <x:row r="66" ht="26" customHeight="1">
      <x:c r="A66" s="25"/>
      <x:c r="B66" s="44" t="str">
        <x:v>Gravel / Front / Middle</x:v>
      </x:c>
      <x:c r="C66" s="44" t="str">
        <x:v>Gravel / Front / Middle</x:v>
      </x:c>
      <x:c r="D66" s="44" t="str">
        <x:v>Gravel / Front / Middle</x:v>
      </x:c>
      <x:c r="E66" s="44" t="str">
        <x:v>Gravel / Front / Middle</x:v>
      </x:c>
      <x:c r="F66" s="44" t="str">
        <x:v>Gravel / Front / Middle</x:v>
      </x:c>
      <x:c r="G66" s="44" t="str">
        <x:v>Gravel / Front / Middle</x:v>
      </x:c>
      <x:c r="H66" s="44" t="str">
        <x:v>Gravel / Front / Middle</x:v>
      </x:c>
      <x:c r="I66" s="25"/>
    </x:row>
    <x:row r="67" ht="26" customHeight="1">
      <x:c r="A67" s="25"/>
      <x:c r="B67" s="25" t="str">
        <x:v>Wheel ΔZ (mm)</x:v>
      </x:c>
      <x:c r="C67" s="48" t="n">
        <x:v>126</x:v>
      </x:c>
      <x:c r="D67" s="25"/>
      <x:c r="E67" s="25"/>
      <x:c r="F67" s="25"/>
      <x:c r="G67" s="25"/>
      <x:c r="H67" s="25"/>
      <x:c r="I67" s="25"/>
    </x:row>
    <x:row r="68" ht="40" customHeight="1">
      <x:c r="A68" s="25"/>
      <x:c r="B68" s="32" t="str">
        <x:v>State</x:v>
      </x:c>
      <x:c r="C68" s="32" t="str">
        <x:v>arb1 Y (m)</x:v>
      </x:c>
      <x:c r="D68" s="32" t="str">
        <x:v>arb1 Z (m)</x:v>
      </x:c>
      <x:c r="E68" s="32" t="str">
        <x:v>arb2 Y (m)</x:v>
      </x:c>
      <x:c r="F68" s="32" t="str">
        <x:v>arb2 Z (m)</x:v>
      </x:c>
      <x:c r="G68" s="32" t="str">
        <x:v>Arm angle (°)</x:v>
      </x:c>
      <x:c r="H68" s="32" t="str">
        <x:v>Radius (mm)</x:v>
      </x:c>
      <x:c r="I68" s="25"/>
    </x:row>
    <x:row r="69" ht="26" customHeight="1">
      <x:c r="A69" s="25"/>
      <x:c r="B69" s="34" t="str">
        <x:v>Start</x:v>
      </x:c>
      <x:c r="C69" s="49"/>
      <x:c r="D69" s="49"/>
      <x:c r="E69" s="49"/>
      <x:c r="F69" s="49"/>
      <x:c r="G69" s="51" t="str">
        <x:f>IF(COUNT(C69:F69)&lt;4,"",IF(H69=0,"无效半径",IF(D69&lt;F69,-1,1)*DEGREES(ACOS(MAX(-1,MIN(1,(E69-C69)*1000/H69))))))</x:f>
        <x:v/>
      </x:c>
      <x:c r="H69" s="53" t="str">
        <x:f>IF(COUNT(C69:F69)&lt;4,"",1000*SQRT((C69-E69)^2+(D69-F69)^2))</x:f>
        <x:v/>
      </x:c>
      <x:c r="I69" s="25"/>
    </x:row>
    <x:row r="70" ht="26" customHeight="1">
      <x:c r="A70" s="25"/>
      <x:c r="B70" s="35" t="str">
        <x:v>End</x:v>
      </x:c>
      <x:c r="C70" s="49"/>
      <x:c r="D70" s="49"/>
      <x:c r="E70" s="49"/>
      <x:c r="F70" s="49"/>
      <x:c r="G70" s="50" t="str">
        <x:f>IF(COUNT(C70:F70)&lt;4,"",IF(H70=0,"无效半径",IF(D70&lt;F70,-1,1)*DEGREES(ACOS(MAX(-1,MIN(1,(E70-C70)*1000/H70))))))</x:f>
        <x:v/>
      </x:c>
      <x:c r="H70" s="52" t="str">
        <x:f>IF(COUNT(C70:F70)&lt;4,"",1000*SQRT((C70-E70)^2+(D70-F70)^2))</x:f>
        <x:v/>
      </x:c>
      <x:c r="I70" s="25"/>
    </x:row>
    <x:row r="71" ht="26" customHeight="1">
      <x:c r="A71" s="25"/>
      <x:c r="B71" s="25"/>
      <x:c r="C71" s="25"/>
      <x:c r="D71" s="25"/>
      <x:c r="E71" s="25"/>
      <x:c r="F71" s="25"/>
      <x:c r="G71" s="25"/>
      <x:c r="H71" s="25"/>
      <x:c r="I71" s="25"/>
    </x:row>
    <x:row r="72" ht="26" customHeight="1">
      <x:c r="A72" s="25"/>
      <x:c r="B72" s="25"/>
      <x:c r="C72" s="25"/>
      <x:c r="D72" s="25"/>
      <x:c r="E72" s="25"/>
      <x:c r="F72" s="25"/>
      <x:c r="G72" s="25"/>
      <x:c r="H72" s="25"/>
      <x:c r="I72" s="25"/>
    </x:row>
    <x:row r="73" ht="26" customHeight="1">
      <x:c r="A73" s="25"/>
      <x:c r="B73" s="44" t="str">
        <x:v>Gravel / Front / Outer</x:v>
      </x:c>
      <x:c r="C73" s="44" t="str">
        <x:v>Gravel / Front / Outer</x:v>
      </x:c>
      <x:c r="D73" s="44" t="str">
        <x:v>Gravel / Front / Outer</x:v>
      </x:c>
      <x:c r="E73" s="44" t="str">
        <x:v>Gravel / Front / Outer</x:v>
      </x:c>
      <x:c r="F73" s="44" t="str">
        <x:v>Gravel / Front / Outer</x:v>
      </x:c>
      <x:c r="G73" s="44" t="str">
        <x:v>Gravel / Front / Outer</x:v>
      </x:c>
      <x:c r="H73" s="44" t="str">
        <x:v>Gravel / Front / Outer</x:v>
      </x:c>
      <x:c r="I73" s="25"/>
    </x:row>
    <x:row r="74" ht="26" customHeight="1">
      <x:c r="A74" s="25"/>
      <x:c r="B74" s="25" t="str">
        <x:v>Wheel ΔZ (mm)</x:v>
      </x:c>
      <x:c r="C74" s="48" t="n">
        <x:v>126</x:v>
      </x:c>
      <x:c r="D74" s="25"/>
      <x:c r="E74" s="25"/>
      <x:c r="F74" s="25"/>
      <x:c r="G74" s="25"/>
      <x:c r="H74" s="25"/>
      <x:c r="I74" s="25"/>
    </x:row>
    <x:row r="75" ht="40" customHeight="1">
      <x:c r="A75" s="25"/>
      <x:c r="B75" s="32" t="str">
        <x:v>State</x:v>
      </x:c>
      <x:c r="C75" s="32" t="str">
        <x:v>arb1 Y (m)</x:v>
      </x:c>
      <x:c r="D75" s="32" t="str">
        <x:v>arb1 Z (m)</x:v>
      </x:c>
      <x:c r="E75" s="32" t="str">
        <x:v>arb2 Y (m)</x:v>
      </x:c>
      <x:c r="F75" s="32" t="str">
        <x:v>arb2 Z (m)</x:v>
      </x:c>
      <x:c r="G75" s="32" t="str">
        <x:v>Arm angle (°)</x:v>
      </x:c>
      <x:c r="H75" s="32" t="str">
        <x:v>Radius (mm)</x:v>
      </x:c>
      <x:c r="I75" s="25"/>
    </x:row>
    <x:row r="76" ht="26" customHeight="1">
      <x:c r="A76" s="25"/>
      <x:c r="B76" s="35" t="str">
        <x:v>Start</x:v>
      </x:c>
      <x:c r="C76" s="49"/>
      <x:c r="D76" s="49"/>
      <x:c r="E76" s="49"/>
      <x:c r="F76" s="49"/>
      <x:c r="G76" s="50" t="str">
        <x:f>IF(COUNT(C76:F76)&lt;4,"",IF(H76=0,"无效半径",IF(D76&lt;F76,-1,1)*DEGREES(ACOS(MAX(-1,MIN(1,(E76-C76)*1000/H76))))))</x:f>
        <x:v/>
      </x:c>
      <x:c r="H76" s="52" t="str">
        <x:f>IF(COUNT(C76:F76)&lt;4,"",1000*SQRT((C76-E76)^2+(D76-F76)^2))</x:f>
        <x:v/>
      </x:c>
      <x:c r="I76" s="25"/>
    </x:row>
    <x:row r="77" ht="26" customHeight="1">
      <x:c r="A77" s="25"/>
      <x:c r="B77" s="34" t="str">
        <x:v>End</x:v>
      </x:c>
      <x:c r="C77" s="49"/>
      <x:c r="D77" s="49"/>
      <x:c r="E77" s="49"/>
      <x:c r="F77" s="49"/>
      <x:c r="G77" s="51" t="str">
        <x:f>IF(COUNT(C77:F77)&lt;4,"",IF(H77=0,"无效半径",IF(D77&lt;F77,-1,1)*DEGREES(ACOS(MAX(-1,MIN(1,(E77-C77)*1000/H77))))))</x:f>
        <x:v/>
      </x:c>
      <x:c r="H77" s="53" t="str">
        <x:f>IF(COUNT(C77:F77)&lt;4,"",1000*SQRT((C77-E77)^2+(D77-F77)^2))</x:f>
        <x:v/>
      </x:c>
      <x:c r="I77" s="25"/>
    </x:row>
    <x:row r="78" ht="26" customHeight="1">
      <x:c r="A78" s="25"/>
      <x:c r="B78" s="25"/>
      <x:c r="C78" s="25"/>
      <x:c r="D78" s="25"/>
      <x:c r="E78" s="25"/>
      <x:c r="F78" s="25"/>
      <x:c r="G78" s="25"/>
      <x:c r="H78" s="25"/>
      <x:c r="I78" s="25"/>
    </x:row>
    <x:row r="79" ht="26" customHeight="1">
      <x:c r="A79" s="25"/>
      <x:c r="B79" s="25"/>
      <x:c r="C79" s="25"/>
      <x:c r="D79" s="25"/>
      <x:c r="E79" s="25"/>
      <x:c r="F79" s="25"/>
      <x:c r="G79" s="25"/>
      <x:c r="H79" s="25"/>
      <x:c r="I79" s="25"/>
    </x:row>
    <x:row r="80" ht="26" customHeight="1">
      <x:c r="A80" s="25"/>
      <x:c r="B80" s="44" t="str">
        <x:v>Gravel / Rear / Inner</x:v>
      </x:c>
      <x:c r="C80" s="44" t="str">
        <x:v>Gravel / Rear / Inner</x:v>
      </x:c>
      <x:c r="D80" s="44" t="str">
        <x:v>Gravel / Rear / Inner</x:v>
      </x:c>
      <x:c r="E80" s="44" t="str">
        <x:v>Gravel / Rear / Inner</x:v>
      </x:c>
      <x:c r="F80" s="44" t="str">
        <x:v>Gravel / Rear / Inner</x:v>
      </x:c>
      <x:c r="G80" s="44" t="str">
        <x:v>Gravel / Rear / Inner</x:v>
      </x:c>
      <x:c r="H80" s="44" t="str">
        <x:v>Gravel / Rear / Inner</x:v>
      </x:c>
      <x:c r="I80" s="25"/>
    </x:row>
    <x:row r="81" ht="26" customHeight="1">
      <x:c r="A81" s="25"/>
      <x:c r="B81" s="25" t="str">
        <x:v>Wheel ΔZ (mm)</x:v>
      </x:c>
      <x:c r="C81" s="48" t="n">
        <x:v>127</x:v>
      </x:c>
      <x:c r="D81" s="25"/>
      <x:c r="E81" s="25"/>
      <x:c r="F81" s="25"/>
      <x:c r="G81" s="25"/>
      <x:c r="H81" s="25"/>
      <x:c r="I81" s="25"/>
    </x:row>
    <x:row r="82" ht="40" customHeight="1">
      <x:c r="A82" s="25"/>
      <x:c r="B82" s="32" t="str">
        <x:v>State</x:v>
      </x:c>
      <x:c r="C82" s="32" t="str">
        <x:v>arb1 Y (m)</x:v>
      </x:c>
      <x:c r="D82" s="32" t="str">
        <x:v>arb1 Z (m)</x:v>
      </x:c>
      <x:c r="E82" s="32" t="str">
        <x:v>arb2 Y (m)</x:v>
      </x:c>
      <x:c r="F82" s="32" t="str">
        <x:v>arb2 Z (m)</x:v>
      </x:c>
      <x:c r="G82" s="32" t="str">
        <x:v>Arm angle (°)</x:v>
      </x:c>
      <x:c r="H82" s="32" t="str">
        <x:v>Radius (mm)</x:v>
      </x:c>
      <x:c r="I82" s="25"/>
    </x:row>
    <x:row r="83" ht="26" customHeight="1">
      <x:c r="A83" s="25"/>
      <x:c r="B83" s="34" t="str">
        <x:v>Start</x:v>
      </x:c>
      <x:c r="C83" s="49"/>
      <x:c r="D83" s="49"/>
      <x:c r="E83" s="49"/>
      <x:c r="F83" s="49"/>
      <x:c r="G83" s="51" t="str">
        <x:f>IF(COUNT(C83:F83)&lt;4,"",IF(H83=0,"无效半径",IF(D83&lt;F83,-1,1)*DEGREES(ACOS(MAX(-1,MIN(1,(E83-C83)*1000/H83))))))</x:f>
        <x:v/>
      </x:c>
      <x:c r="H83" s="53" t="str">
        <x:f>IF(COUNT(C83:F83)&lt;4,"",1000*SQRT((C83-E83)^2+(D83-F83)^2))</x:f>
        <x:v/>
      </x:c>
      <x:c r="I83" s="25"/>
    </x:row>
    <x:row r="84" ht="26" customHeight="1">
      <x:c r="A84" s="25"/>
      <x:c r="B84" s="35" t="str">
        <x:v>End</x:v>
      </x:c>
      <x:c r="C84" s="49"/>
      <x:c r="D84" s="49"/>
      <x:c r="E84" s="49"/>
      <x:c r="F84" s="49"/>
      <x:c r="G84" s="50" t="str">
        <x:f>IF(COUNT(C84:F84)&lt;4,"",IF(H84=0,"无效半径",IF(D84&lt;F84,-1,1)*DEGREES(ACOS(MAX(-1,MIN(1,(E84-C84)*1000/H84))))))</x:f>
        <x:v/>
      </x:c>
      <x:c r="H84" s="52" t="str">
        <x:f>IF(COUNT(C84:F84)&lt;4,"",1000*SQRT((C84-E84)^2+(D84-F84)^2))</x:f>
        <x:v/>
      </x:c>
      <x:c r="I84" s="25"/>
    </x:row>
    <x:row r="85" ht="26" customHeight="1">
      <x:c r="A85" s="25"/>
      <x:c r="B85" s="25"/>
      <x:c r="C85" s="25"/>
      <x:c r="D85" s="25"/>
      <x:c r="E85" s="25"/>
      <x:c r="F85" s="25"/>
      <x:c r="G85" s="25"/>
      <x:c r="H85" s="25"/>
      <x:c r="I85" s="25"/>
    </x:row>
    <x:row r="86" ht="26" customHeight="1">
      <x:c r="A86" s="25"/>
      <x:c r="B86" s="25"/>
      <x:c r="C86" s="25"/>
      <x:c r="D86" s="25"/>
      <x:c r="E86" s="25"/>
      <x:c r="F86" s="25"/>
      <x:c r="G86" s="25"/>
      <x:c r="H86" s="25"/>
      <x:c r="I86" s="25"/>
    </x:row>
    <x:row r="87" ht="26" customHeight="1">
      <x:c r="A87" s="25"/>
      <x:c r="B87" s="44" t="str">
        <x:v>Gravel / Rear / Middle</x:v>
      </x:c>
      <x:c r="C87" s="44" t="str">
        <x:v>Gravel / Rear / Middle</x:v>
      </x:c>
      <x:c r="D87" s="44" t="str">
        <x:v>Gravel / Rear / Middle</x:v>
      </x:c>
      <x:c r="E87" s="44" t="str">
        <x:v>Gravel / Rear / Middle</x:v>
      </x:c>
      <x:c r="F87" s="44" t="str">
        <x:v>Gravel / Rear / Middle</x:v>
      </x:c>
      <x:c r="G87" s="44" t="str">
        <x:v>Gravel / Rear / Middle</x:v>
      </x:c>
      <x:c r="H87" s="44" t="str">
        <x:v>Gravel / Rear / Middle</x:v>
      </x:c>
      <x:c r="I87" s="25"/>
    </x:row>
    <x:row r="88" ht="26" customHeight="1">
      <x:c r="A88" s="25"/>
      <x:c r="B88" s="25" t="str">
        <x:v>Wheel ΔZ (mm)</x:v>
      </x:c>
      <x:c r="C88" s="48" t="n">
        <x:v>127</x:v>
      </x:c>
      <x:c r="D88" s="25"/>
      <x:c r="E88" s="25"/>
      <x:c r="F88" s="25"/>
      <x:c r="G88" s="25"/>
      <x:c r="H88" s="25"/>
      <x:c r="I88" s="25"/>
    </x:row>
    <x:row r="89" ht="40" customHeight="1">
      <x:c r="A89" s="25"/>
      <x:c r="B89" s="32" t="str">
        <x:v>State</x:v>
      </x:c>
      <x:c r="C89" s="32" t="str">
        <x:v>arb1 Y (m)</x:v>
      </x:c>
      <x:c r="D89" s="32" t="str">
        <x:v>arb1 Z (m)</x:v>
      </x:c>
      <x:c r="E89" s="32" t="str">
        <x:v>arb2 Y (m)</x:v>
      </x:c>
      <x:c r="F89" s="32" t="str">
        <x:v>arb2 Z (m)</x:v>
      </x:c>
      <x:c r="G89" s="32" t="str">
        <x:v>Arm angle (°)</x:v>
      </x:c>
      <x:c r="H89" s="32" t="str">
        <x:v>Radius (mm)</x:v>
      </x:c>
      <x:c r="I89" s="25"/>
    </x:row>
    <x:row r="90" ht="26" customHeight="1">
      <x:c r="A90" s="25"/>
      <x:c r="B90" s="35" t="str">
        <x:v>Start</x:v>
      </x:c>
      <x:c r="C90" s="49"/>
      <x:c r="D90" s="49"/>
      <x:c r="E90" s="49"/>
      <x:c r="F90" s="49"/>
      <x:c r="G90" s="50" t="str">
        <x:f>IF(COUNT(C90:F90)&lt;4,"",IF(H90=0,"无效半径",IF(D90&lt;F90,-1,1)*DEGREES(ACOS(MAX(-1,MIN(1,(E90-C90)*1000/H90))))))</x:f>
        <x:v/>
      </x:c>
      <x:c r="H90" s="52" t="str">
        <x:f>IF(COUNT(C90:F90)&lt;4,"",1000*SQRT((C90-E90)^2+(D90-F90)^2))</x:f>
        <x:v/>
      </x:c>
      <x:c r="I90" s="25"/>
    </x:row>
    <x:row r="91" ht="26" customHeight="1">
      <x:c r="A91" s="25"/>
      <x:c r="B91" s="34" t="str">
        <x:v>End</x:v>
      </x:c>
      <x:c r="C91" s="49"/>
      <x:c r="D91" s="49"/>
      <x:c r="E91" s="49"/>
      <x:c r="F91" s="49"/>
      <x:c r="G91" s="51" t="str">
        <x:f>IF(COUNT(C91:F91)&lt;4,"",IF(H91=0,"无效半径",IF(D91&lt;F91,-1,1)*DEGREES(ACOS(MAX(-1,MIN(1,(E91-C91)*1000/H91))))))</x:f>
        <x:v/>
      </x:c>
      <x:c r="H91" s="53" t="str">
        <x:f>IF(COUNT(C91:F91)&lt;4,"",1000*SQRT((C91-E91)^2+(D91-F91)^2))</x:f>
        <x:v/>
      </x:c>
      <x:c r="I91" s="25"/>
    </x:row>
    <x:row r="92" ht="26" customHeight="1">
      <x:c r="A92" s="25"/>
      <x:c r="B92" s="25"/>
      <x:c r="C92" s="25"/>
      <x:c r="D92" s="25"/>
      <x:c r="E92" s="25"/>
      <x:c r="F92" s="25"/>
      <x:c r="G92" s="25"/>
      <x:c r="H92" s="25"/>
      <x:c r="I92" s="25"/>
    </x:row>
    <x:row r="93" ht="26" customHeight="1">
      <x:c r="A93" s="25"/>
      <x:c r="B93" s="25"/>
      <x:c r="C93" s="25"/>
      <x:c r="D93" s="25"/>
      <x:c r="E93" s="25"/>
      <x:c r="F93" s="25"/>
      <x:c r="G93" s="25"/>
      <x:c r="H93" s="25"/>
      <x:c r="I93" s="25"/>
    </x:row>
    <x:row r="94" ht="26" customHeight="1">
      <x:c r="A94" s="25"/>
      <x:c r="B94" s="44" t="str">
        <x:v>Gravel / Rear / Outer</x:v>
      </x:c>
      <x:c r="C94" s="44" t="str">
        <x:v>Gravel / Rear / Outer</x:v>
      </x:c>
      <x:c r="D94" s="44" t="str">
        <x:v>Gravel / Rear / Outer</x:v>
      </x:c>
      <x:c r="E94" s="44" t="str">
        <x:v>Gravel / Rear / Outer</x:v>
      </x:c>
      <x:c r="F94" s="44" t="str">
        <x:v>Gravel / Rear / Outer</x:v>
      </x:c>
      <x:c r="G94" s="44" t="str">
        <x:v>Gravel / Rear / Outer</x:v>
      </x:c>
      <x:c r="H94" s="44" t="str">
        <x:v>Gravel / Rear / Outer</x:v>
      </x:c>
      <x:c r="I94" s="25"/>
    </x:row>
    <x:row r="95" ht="26" customHeight="1">
      <x:c r="A95" s="25"/>
      <x:c r="B95" s="25" t="str">
        <x:v>Wheel ΔZ (mm)</x:v>
      </x:c>
      <x:c r="C95" s="48" t="n">
        <x:v>127</x:v>
      </x:c>
      <x:c r="D95" s="25"/>
      <x:c r="E95" s="25"/>
      <x:c r="F95" s="25"/>
      <x:c r="G95" s="25"/>
      <x:c r="H95" s="25"/>
      <x:c r="I95" s="25"/>
    </x:row>
    <x:row r="96" ht="40" customHeight="1">
      <x:c r="A96" s="25"/>
      <x:c r="B96" s="32" t="str">
        <x:v>State</x:v>
      </x:c>
      <x:c r="C96" s="32" t="str">
        <x:v>arb1 Y (m)</x:v>
      </x:c>
      <x:c r="D96" s="32" t="str">
        <x:v>arb1 Z (m)</x:v>
      </x:c>
      <x:c r="E96" s="32" t="str">
        <x:v>arb2 Y (m)</x:v>
      </x:c>
      <x:c r="F96" s="32" t="str">
        <x:v>arb2 Z (m)</x:v>
      </x:c>
      <x:c r="G96" s="32" t="str">
        <x:v>Arm angle (°)</x:v>
      </x:c>
      <x:c r="H96" s="32" t="str">
        <x:v>Radius (mm)</x:v>
      </x:c>
      <x:c r="I96" s="25"/>
    </x:row>
    <x:row r="97" ht="26" customHeight="1">
      <x:c r="A97" s="25"/>
      <x:c r="B97" s="34" t="str">
        <x:v>Start</x:v>
      </x:c>
      <x:c r="C97" s="49"/>
      <x:c r="D97" s="49"/>
      <x:c r="E97" s="49"/>
      <x:c r="F97" s="49"/>
      <x:c r="G97" s="51" t="str">
        <x:f>IF(COUNT(C97:F97)&lt;4,"",IF(H97=0,"无效半径",IF(D97&lt;F97,-1,1)*DEGREES(ACOS(MAX(-1,MIN(1,(E97-C97)*1000/H97))))))</x:f>
        <x:v/>
      </x:c>
      <x:c r="H97" s="53" t="str">
        <x:f>IF(COUNT(C97:F97)&lt;4,"",1000*SQRT((C97-E97)^2+(D97-F97)^2))</x:f>
        <x:v/>
      </x:c>
      <x:c r="I97" s="25"/>
    </x:row>
    <x:row r="98" ht="26" customHeight="1">
      <x:c r="A98" s="25"/>
      <x:c r="B98" s="35" t="str">
        <x:v>End</x:v>
      </x:c>
      <x:c r="C98" s="49"/>
      <x:c r="D98" s="49"/>
      <x:c r="E98" s="49"/>
      <x:c r="F98" s="49"/>
      <x:c r="G98" s="50" t="str">
        <x:f>IF(COUNT(C98:F98)&lt;4,"",IF(H98=0,"无效半径",IF(D98&lt;F98,-1,1)*DEGREES(ACOS(MAX(-1,MIN(1,(E98-C98)*1000/H98))))))</x:f>
        <x:v/>
      </x:c>
      <x:c r="H98" s="52" t="str">
        <x:f>IF(COUNT(C98:F98)&lt;4,"",1000*SQRT((C98-E98)^2+(D98-F98)^2))</x:f>
        <x:v/>
      </x:c>
      <x:c r="I98" s="25"/>
    </x:row>
    <x:row r="99" ht="26" customHeight="1">
      <x:c r="A99" s="25"/>
      <x:c r="B99" s="25"/>
      <x:c r="C99" s="25"/>
      <x:c r="D99" s="25"/>
      <x:c r="E99" s="25"/>
      <x:c r="F99" s="25"/>
      <x:c r="G99" s="25"/>
      <x:c r="H99" s="25"/>
      <x:c r="I99" s="25"/>
    </x:row>
    <x:row r="100" ht="26" customHeight="1">
      <x:c r="A100" s="25"/>
      <x:c r="B100" s="25"/>
      <x:c r="C100" s="25"/>
      <x:c r="D100" s="25"/>
      <x:c r="E100" s="25"/>
      <x:c r="F100" s="25"/>
      <x:c r="G100" s="25"/>
      <x:c r="H100" s="25"/>
      <x:c r="I100" s="25"/>
    </x:row>
    <x:row r="101" ht="26" customHeight="1">
      <x:c r="A101" s="25"/>
      <x:c r="B101" s="25"/>
      <x:c r="C101" s="25"/>
      <x:c r="D101" s="25"/>
      <x:c r="E101" s="25"/>
      <x:c r="F101" s="25"/>
      <x:c r="G101" s="25"/>
      <x:c r="H101" s="25"/>
      <x:c r="I101" s="25"/>
    </x:row>
    <x:row r="102" ht="26" customHeight="1">
      <x:c r="A102" s="25"/>
      <x:c r="B102" s="55" t="str">
        <x:v>原 Z 测量记录（不参与刚度计算）</x:v>
      </x:c>
      <x:c r="C102" s="55" t="str">
        <x:v>原 Z 测量记录（不参与刚度计算）</x:v>
      </x:c>
      <x:c r="D102" s="55" t="str">
        <x:v>原 Z 测量记录（不参与刚度计算）</x:v>
      </x:c>
      <x:c r="E102" s="55" t="str">
        <x:v>原 Z 测量记录（不参与刚度计算）</x:v>
      </x:c>
      <x:c r="F102" s="55" t="str">
        <x:v>原 Z 测量记录（不参与刚度计算）</x:v>
      </x:c>
      <x:c r="G102" s="55" t="str">
        <x:v>原 Z 测量记录（不参与刚度计算）</x:v>
      </x:c>
      <x:c r="H102" s="55" t="str">
        <x:v>原 Z 测量记录（不参与刚度计算）</x:v>
      </x:c>
      <x:c r="I102" s="25"/>
    </x:row>
    <x:row r="103" ht="40" customHeight="1">
      <x:c r="A103" s="25"/>
      <x:c r="B103" s="32" t="str">
        <x:v>Surface</x:v>
      </x:c>
      <x:c r="C103" s="32" t="str">
        <x:v>Axle</x:v>
      </x:c>
      <x:c r="D103" s="32" t="str">
        <x:v>Position</x:v>
      </x:c>
      <x:c r="E103" s="32" t="str">
        <x:v>ARB ΔZ (mm)</x:v>
      </x:c>
      <x:c r="F103" s="32" t="str">
        <x:v>Original arm (mm)</x:v>
      </x:c>
      <x:c r="G103" s="25"/>
      <x:c r="H103" s="25"/>
      <x:c r="I103" s="25"/>
    </x:row>
    <x:row r="104" ht="26" customHeight="1">
      <x:c r="A104" s="25"/>
      <x:c r="B104" s="35" t="str">
        <x:v>Tarmac</x:v>
      </x:c>
      <x:c r="C104" s="35" t="str">
        <x:v>Front</x:v>
      </x:c>
      <x:c r="D104" s="35" t="str">
        <x:v>Inner</x:v>
      </x:c>
      <x:c r="E104" s="52" t="n">
        <x:v>35</x:v>
      </x:c>
      <x:c r="F104" s="52" t="n">
        <x:v>163</x:v>
      </x:c>
      <x:c r="G104" s="25"/>
      <x:c r="H104" s="25"/>
      <x:c r="I104" s="25"/>
    </x:row>
    <x:row r="105" ht="26" customHeight="1">
      <x:c r="A105" s="25"/>
      <x:c r="B105" s="34" t="str">
        <x:v>Tarmac</x:v>
      </x:c>
      <x:c r="C105" s="34" t="str">
        <x:v>Front</x:v>
      </x:c>
      <x:c r="D105" s="34" t="str">
        <x:v>Middle</x:v>
      </x:c>
      <x:c r="E105" s="53" t="n">
        <x:v>42</x:v>
      </x:c>
      <x:c r="F105" s="53" t="n">
        <x:v>163</x:v>
      </x:c>
      <x:c r="G105" s="25"/>
      <x:c r="H105" s="25"/>
      <x:c r="I105" s="25"/>
    </x:row>
    <x:row r="106" ht="26" customHeight="1">
      <x:c r="A106" s="25"/>
      <x:c r="B106" s="35" t="str">
        <x:v>Tarmac</x:v>
      </x:c>
      <x:c r="C106" s="35" t="str">
        <x:v>Front</x:v>
      </x:c>
      <x:c r="D106" s="35" t="str">
        <x:v>Outer</x:v>
      </x:c>
      <x:c r="E106" s="52" t="n">
        <x:v>46</x:v>
      </x:c>
      <x:c r="F106" s="52" t="n">
        <x:v>163</x:v>
      </x:c>
      <x:c r="G106" s="25"/>
      <x:c r="H106" s="25"/>
      <x:c r="I106" s="25"/>
    </x:row>
    <x:row r="107" ht="26" customHeight="1">
      <x:c r="A107" s="25"/>
      <x:c r="B107" s="34" t="str">
        <x:v>Tarmac</x:v>
      </x:c>
      <x:c r="C107" s="34" t="str">
        <x:v>Rear</x:v>
      </x:c>
      <x:c r="D107" s="34" t="str">
        <x:v>Inner</x:v>
      </x:c>
      <x:c r="E107" s="53" t="n">
        <x:v>41</x:v>
      </x:c>
      <x:c r="F107" s="53" t="n">
        <x:v>154</x:v>
      </x:c>
      <x:c r="G107" s="25"/>
      <x:c r="H107" s="25"/>
      <x:c r="I107" s="25"/>
    </x:row>
    <x:row r="108" ht="26" customHeight="1">
      <x:c r="A108" s="25"/>
      <x:c r="B108" s="35" t="str">
        <x:v>Tarmac</x:v>
      </x:c>
      <x:c r="C108" s="35" t="str">
        <x:v>Rear</x:v>
      </x:c>
      <x:c r="D108" s="35" t="str">
        <x:v>Middle</x:v>
      </x:c>
      <x:c r="E108" s="52" t="n">
        <x:v>49</x:v>
      </x:c>
      <x:c r="F108" s="52" t="n">
        <x:v>154</x:v>
      </x:c>
      <x:c r="G108" s="25"/>
      <x:c r="H108" s="25"/>
      <x:c r="I108" s="25"/>
    </x:row>
    <x:row r="109" ht="26" customHeight="1">
      <x:c r="A109" s="25"/>
      <x:c r="B109" s="34" t="str">
        <x:v>Tarmac</x:v>
      </x:c>
      <x:c r="C109" s="34" t="str">
        <x:v>Rear</x:v>
      </x:c>
      <x:c r="D109" s="34" t="str">
        <x:v>Outer</x:v>
      </x:c>
      <x:c r="E109" s="53" t="n">
        <x:v>54</x:v>
      </x:c>
      <x:c r="F109" s="53" t="n">
        <x:v>154</x:v>
      </x:c>
      <x:c r="G109" s="25"/>
      <x:c r="H109" s="25"/>
      <x:c r="I109" s="25"/>
    </x:row>
    <x:row r="110" ht="26" customHeight="1">
      <x:c r="A110" s="25"/>
      <x:c r="B110" s="35" t="str">
        <x:v>Gravel</x:v>
      </x:c>
      <x:c r="C110" s="35" t="str">
        <x:v>Front</x:v>
      </x:c>
      <x:c r="D110" s="35" t="str">
        <x:v>Inner</x:v>
      </x:c>
      <x:c r="E110" s="52" t="n">
        <x:v>32</x:v>
      </x:c>
      <x:c r="F110" s="52" t="n">
        <x:v>163</x:v>
      </x:c>
      <x:c r="G110" s="25"/>
      <x:c r="H110" s="25"/>
      <x:c r="I110" s="25"/>
    </x:row>
    <x:row r="111" ht="26" customHeight="1">
      <x:c r="A111" s="25"/>
      <x:c r="B111" s="34" t="str">
        <x:v>Gravel</x:v>
      </x:c>
      <x:c r="C111" s="34" t="str">
        <x:v>Front</x:v>
      </x:c>
      <x:c r="D111" s="34" t="str">
        <x:v>Middle</x:v>
      </x:c>
      <x:c r="E111" s="53" t="n">
        <x:v>40</x:v>
      </x:c>
      <x:c r="F111" s="53" t="n">
        <x:v>163</x:v>
      </x:c>
      <x:c r="G111" s="25"/>
      <x:c r="H111" s="25"/>
      <x:c r="I111" s="25"/>
    </x:row>
    <x:row r="112" ht="26" customHeight="1">
      <x:c r="A112" s="25"/>
      <x:c r="B112" s="35" t="str">
        <x:v>Gravel</x:v>
      </x:c>
      <x:c r="C112" s="35" t="str">
        <x:v>Front</x:v>
      </x:c>
      <x:c r="D112" s="35" t="str">
        <x:v>Outer</x:v>
      </x:c>
      <x:c r="E112" s="52" t="n">
        <x:v>45</x:v>
      </x:c>
      <x:c r="F112" s="52" t="n">
        <x:v>163</x:v>
      </x:c>
      <x:c r="G112" s="25"/>
      <x:c r="H112" s="25"/>
      <x:c r="I112" s="25"/>
    </x:row>
    <x:row r="113" ht="26" customHeight="1">
      <x:c r="A113" s="25"/>
      <x:c r="B113" s="34" t="str">
        <x:v>Gravel</x:v>
      </x:c>
      <x:c r="C113" s="34" t="str">
        <x:v>Rear</x:v>
      </x:c>
      <x:c r="D113" s="34" t="str">
        <x:v>Inner</x:v>
      </x:c>
      <x:c r="E113" s="53" t="n">
        <x:v>39</x:v>
      </x:c>
      <x:c r="F113" s="53" t="n">
        <x:v>154</x:v>
      </x:c>
      <x:c r="G113" s="25"/>
      <x:c r="H113" s="25"/>
      <x:c r="I113" s="25"/>
    </x:row>
    <x:row r="114" ht="26" customHeight="1">
      <x:c r="A114" s="25"/>
      <x:c r="B114" s="35" t="str">
        <x:v>Gravel</x:v>
      </x:c>
      <x:c r="C114" s="35" t="str">
        <x:v>Rear</x:v>
      </x:c>
      <x:c r="D114" s="35" t="str">
        <x:v>Middle</x:v>
      </x:c>
      <x:c r="E114" s="52" t="n">
        <x:v>47</x:v>
      </x:c>
      <x:c r="F114" s="52" t="n">
        <x:v>154</x:v>
      </x:c>
      <x:c r="G114" s="25"/>
      <x:c r="H114" s="25"/>
      <x:c r="I114" s="25"/>
    </x:row>
    <x:row r="115" ht="26" customHeight="1">
      <x:c r="A115" s="25"/>
      <x:c r="B115" s="34" t="str">
        <x:v>Gravel</x:v>
      </x:c>
      <x:c r="C115" s="34" t="str">
        <x:v>Rear</x:v>
      </x:c>
      <x:c r="D115" s="34" t="str">
        <x:v>Outer</x:v>
      </x:c>
      <x:c r="E115" s="53" t="n">
        <x:v>51</x:v>
      </x:c>
      <x:c r="F115" s="53" t="n">
        <x:v>154</x:v>
      </x:c>
      <x:c r="G115" s="25"/>
      <x:c r="H115" s="25"/>
      <x:c r="I115" s="25"/>
    </x:row>
    <x:row r="116" ht="26" customHeight="1">
      <x:c r="A116" s="25"/>
      <x:c r="B116" s="25"/>
      <x:c r="C116" s="25"/>
      <x:c r="D116" s="25"/>
      <x:c r="E116" s="25"/>
      <x:c r="F116" s="25"/>
      <x:c r="G116" s="25"/>
      <x:c r="H116" s="25"/>
      <x:c r="I116" s="25"/>
    </x:row>
    <x:row r="117" ht="26" customHeight="1">
      <x:c r="A117" s="25"/>
      <x:c r="B117" s="25"/>
      <x:c r="C117" s="25"/>
      <x:c r="D117" s="25"/>
      <x:c r="E117" s="25"/>
      <x:c r="F117" s="25"/>
      <x:c r="G117" s="25"/>
      <x:c r="H117" s="25"/>
      <x:c r="I117" s="25"/>
    </x:row>
    <x:row r="118" ht="26" customHeight="1">
      <x:c r="A118" s="25"/>
      <x:c r="B118" s="25"/>
      <x:c r="C118" s="25"/>
      <x:c r="D118" s="25"/>
      <x:c r="E118" s="25"/>
      <x:c r="F118" s="25"/>
      <x:c r="G118" s="25"/>
      <x:c r="H118" s="25"/>
      <x:c r="I118" s="25"/>
    </x:row>
  </x:sheetData>
  <x:mergeCells>
    <x:mergeCell ref="B2:H3"/>
    <x:mergeCell ref="B4:H4"/>
    <x:mergeCell ref="B14:H14"/>
    <x:mergeCell ref="B15:H15"/>
    <x:mergeCell ref="B17:H17"/>
    <x:mergeCell ref="B24:H24"/>
    <x:mergeCell ref="B31:H31"/>
    <x:mergeCell ref="B38:H38"/>
    <x:mergeCell ref="B45:H45"/>
    <x:mergeCell ref="B52:H52"/>
    <x:mergeCell ref="B59:H59"/>
    <x:mergeCell ref="B66:H66"/>
    <x:mergeCell ref="B73:H73"/>
    <x:mergeCell ref="B80:H80"/>
    <x:mergeCell ref="B87:H87"/>
    <x:mergeCell ref="B94:H94"/>
    <x:mergeCell ref="B102:H10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1475E"/>
  </x:sheetPr>
  <x:sheetViews>
    <x:sheetView showGridLines="0" workbookViewId="0">
      <x:pane ySplit="5" topLeftCell="A6" activePane="bottomLeft" state="frozen"/>
    </x:sheetView>
  </x:sheetViews>
  <x:sheetFormatPr defaultRowHeight="14.25"/>
  <x:cols>
    <x:col min="1" max="1" width="2.75" hidden="0" customWidth="1"/>
    <x:col min="2" max="2" width="12.5" hidden="0" customWidth="1"/>
    <x:col min="3" max="3" width="11" hidden="0" customWidth="1"/>
    <x:col min="4" max="5" width="10.25" customWidth="1"/>
    <x:col min="6" max="8" width="12.25" customWidth="1"/>
    <x:col min="9" max="9" width="12.5" hidden="0" customWidth="1"/>
    <x:col min="10" max="10" width="12.5" hidden="0" customWidth="1"/>
    <x:col min="11" max="11" width="18.1299991607666" hidden="0" customWidth="1"/>
    <x:col min="12" max="12" width="2.75" hidden="0" customWidth="1"/>
    <x:col min="13" max="13" width="2.75" hidden="0" customWidth="1"/>
    <x:col min="14" max="15" width="13" customWidth="1"/>
    <x:col min="16" max="16" width="18" customWidth="1"/>
    <x:col min="17" max="17" width="12" customWidth="1"/>
    <x:col min="18" max="22" width="13" customWidth="1"/>
    <x:col min="4" max="4" width="12" hidden="0" customWidth="1"/>
    <x:col min="5" max="5" width="13.5" hidden="0" customWidth="1"/>
    <x:col min="6" max="6" width="13.75" hidden="0" customWidth="1"/>
    <x:col min="7" max="7" width="15.630000114440918" hidden="0" customWidth="1"/>
    <x:col min="8" max="8" width="12.5" hidden="0" customWidth="1"/>
  </x:cols>
  <x:sheetData>
    <x:row r="1" ht="26" customHeight="1">
      <x:c r="A1" s="25"/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/>
    </x:row>
    <x:row r="2" ht="26" customHeight="1">
      <x:c r="A2" s="25"/>
      <x:c r="B2" s="26" t="str">
        <x:v>Astral · ARB Calculations</x:v>
      </x:c>
      <x:c r="C2" s="26" t="str">
        <x:v>Astral · ARB Calculations</x:v>
      </x:c>
      <x:c r="D2" s="26" t="str">
        <x:v>Astral · ARB Calculations</x:v>
      </x:c>
      <x:c r="E2" s="26" t="str">
        <x:v>Astral · ARB Calculations</x:v>
      </x:c>
      <x:c r="F2" s="26" t="str">
        <x:v>Astral · ARB Calculations</x:v>
      </x:c>
      <x:c r="G2" s="26" t="str">
        <x:v>Astral · ARB Calculations</x:v>
      </x:c>
      <x:c r="H2" s="26" t="str">
        <x:v>Astral · ARB Calculations</x:v>
      </x:c>
      <x:c r="I2" s="26" t="str">
        <x:v>Astral · ARB Calculations</x:v>
      </x:c>
      <x:c r="J2" s="26" t="str">
        <x:v>Astral · ARB Calculations</x:v>
      </x:c>
      <x:c r="K2" s="26" t="str">
        <x:v>Astral · ARB Calculations</x:v>
      </x:c>
      <x:c r="L2" s="25"/>
      <x:c r="M2" s="25"/>
      <x:c r="N2"/>
    </x:row>
    <x:row r="3" ht="26" customHeight="1">
      <x:c r="A3" s="25"/>
      <x:c r="B3" s="26" t="str">
        <x:v>Astral · ARB Calculations</x:v>
      </x:c>
      <x:c r="C3" s="26" t="str">
        <x:v>Astral · ARB Calculations</x:v>
      </x:c>
      <x:c r="D3" s="26" t="str">
        <x:v>Astral · ARB Calculations</x:v>
      </x:c>
      <x:c r="E3" s="26" t="str">
        <x:v>Astral · ARB Calculations</x:v>
      </x:c>
      <x:c r="F3" s="26" t="str">
        <x:v>Astral · ARB Calculations</x:v>
      </x:c>
      <x:c r="G3" s="26" t="str">
        <x:v>Astral · ARB Calculations</x:v>
      </x:c>
      <x:c r="H3" s="26" t="str">
        <x:v>Astral · ARB Calculations</x:v>
      </x:c>
      <x:c r="I3" s="26" t="str">
        <x:v>Astral · ARB Calculations</x:v>
      </x:c>
      <x:c r="J3" s="26" t="str">
        <x:v>Astral · ARB Calculations</x:v>
      </x:c>
      <x:c r="K3" s="26" t="str">
        <x:v>Astral · ARB Calculations</x:v>
      </x:c>
      <x:c r="L3" s="25"/>
      <x:c r="M3" s="25"/>
      <x:c r="N3"/>
    </x:row>
    <x:row r="4" ht="26" customHeight="1">
      <x:c r="A4" s="25"/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/>
      <x:c r="P4"/>
    </x:row>
    <x:row r="5" ht="40" customHeight="1">
      <x:c r="A5" s="25"/>
      <x:c r="B5" s="32" t="str">
        <x:v>Surface</x:v>
      </x:c>
      <x:c r="C5" s="32" t="str">
        <x:v>Axle</x:v>
      </x:c>
      <x:c r="D5" s="32" t="str">
        <x:v>Position</x:v>
      </x:c>
      <x:c r="E5" s="32" t="str">
        <x:v>Wheel ΔZ
(mm)</x:v>
      </x:c>
      <x:c r="F5" s="32" t="str">
        <x:v>Arm Δθ
(°)</x:v>
      </x:c>
      <x:c r="G5" s="32" t="str">
        <x:v>Angular MR
(rad/mm)</x:v>
      </x:c>
      <x:c r="H5" s="32" t="str">
        <x:v>Soft
(N/mm)</x:v>
      </x:c>
      <x:c r="I5" s="32" t="str">
        <x:v>Medium
(N/mm)</x:v>
      </x:c>
      <x:c r="J5" s="32" t="str">
        <x:v>Hard
(N/mm)</x:v>
      </x:c>
      <x:c r="K5" s="32" t="str">
        <x:v>Input</x:v>
      </x:c>
      <x:c r="L5" s="25"/>
      <x:c r="M5" s="25"/>
      <x:c r="N5"/>
      <x:c r="P5"/>
      <x:c r="Q5"/>
    </x:row>
    <x:row r="6" ht="26" customHeight="1">
      <x:c r="A6" s="25"/>
      <x:c r="B6" s="35" t="str">
        <x:v>Tarmac</x:v>
      </x:c>
      <x:c r="C6" s="35" t="str">
        <x:v>Front</x:v>
      </x:c>
      <x:c r="D6" s="35" t="str">
        <x:v>Inner</x:v>
      </x:c>
      <x:c r="E6" s="52">
        <x:f>IF(ISNUMBER(Parameters!C18),Parameters!C18,"")</x:f>
        <x:v>127</x:v>
      </x:c>
      <x:c r="F6" s="56" t="str">
        <x:f>IF(COUNT(Parameters!G20:G21)&lt;2,"",MOD(Parameters!G21-Parameters!G20+180,360)-180)</x:f>
        <x:v/>
      </x:c>
      <x:c r="G6" s="58" t="str">
        <x:f>IF(COUNT(E6:F6)&lt;2,"",IF(E6&lt;=0,"",RADIANS(F6)/E6))</x:f>
        <x:v/>
      </x:c>
      <x:c r="H6" s="50" t="str">
        <x:f>IF(ISNUMBER(G6),1000*Parameters!E7*G6^2,"")</x:f>
        <x:v/>
      </x:c>
      <x:c r="I6" s="50" t="str">
        <x:f>IF(ISNUMBER(G6),1000*Parameters!E8*G6^2,"")</x:f>
        <x:v/>
      </x:c>
      <x:c r="J6" s="50" t="str">
        <x:f>IF(ISNUMBER(G6),1000*Parameters!E9*G6^2,"")</x:f>
        <x:v/>
      </x:c>
      <x:c r="K6" s="60" t="str">
        <x:f>IF(COUNT(Parameters!C20:F21)&lt;8,"待补坐标",IF(NOT(ISNUMBER(E6)),"待填轮行程",IF(E6&lt;=0,"轮行程须大于0",IF(COUNT(Parameters!G20:G21)&lt;2,"无效半径",""))))</x:f>
        <x:v>待补坐标</x:v>
      </x:c>
      <x:c r="L6" s="25"/>
      <x:c r="M6" s="25"/>
      <x:c r="N6"/>
      <x:c r="P6"/>
      <x:c r="Q6"/>
    </x:row>
    <x:row r="7" ht="26" customHeight="1">
      <x:c r="A7" s="25"/>
      <x:c r="B7" s="34" t="str">
        <x:v>Tarmac</x:v>
      </x:c>
      <x:c r="C7" s="34" t="str">
        <x:v>Front</x:v>
      </x:c>
      <x:c r="D7" s="34" t="str">
        <x:v>Middle</x:v>
      </x:c>
      <x:c r="E7" s="53">
        <x:f>IF(ISNUMBER(Parameters!C25),Parameters!C25,"")</x:f>
        <x:v>127</x:v>
      </x:c>
      <x:c r="F7" s="57" t="str">
        <x:f>IF(COUNT(Parameters!G27:G28)&lt;2,"",MOD(Parameters!G28-Parameters!G27+180,360)-180)</x:f>
        <x:v/>
      </x:c>
      <x:c r="G7" s="59" t="str">
        <x:f>IF(COUNT(E7:F7)&lt;2,"",IF(E7&lt;=0,"",RADIANS(F7)/E7))</x:f>
        <x:v/>
      </x:c>
      <x:c r="H7" s="51" t="str">
        <x:f>IF(ISNUMBER(G7),1000*Parameters!E7*G7^2,"")</x:f>
        <x:v/>
      </x:c>
      <x:c r="I7" s="51" t="str">
        <x:f>IF(ISNUMBER(G7),1000*Parameters!E8*G7^2,"")</x:f>
        <x:v/>
      </x:c>
      <x:c r="J7" s="51" t="str">
        <x:f>IF(ISNUMBER(G7),1000*Parameters!E9*G7^2,"")</x:f>
        <x:v/>
      </x:c>
      <x:c r="K7" s="61" t="str">
        <x:f>IF(COUNT(Parameters!C27:F28)&lt;8,"待补坐标",IF(NOT(ISNUMBER(E7)),"待填轮行程",IF(E7&lt;=0,"轮行程须大于0",IF(COUNT(Parameters!G27:G28)&lt;2,"无效半径",""))))</x:f>
        <x:v>待补坐标</x:v>
      </x:c>
      <x:c r="L7" s="25"/>
      <x:c r="M7" s="25"/>
      <x:c r="N7"/>
      <x:c r="P7"/>
      <x:c r="Q7"/>
    </x:row>
    <x:row r="8" ht="26" customHeight="1">
      <x:c r="A8" s="25"/>
      <x:c r="B8" s="35" t="str">
        <x:v>Tarmac</x:v>
      </x:c>
      <x:c r="C8" s="35" t="str">
        <x:v>Front</x:v>
      </x:c>
      <x:c r="D8" s="35" t="str">
        <x:v>Outer</x:v>
      </x:c>
      <x:c r="E8" s="52">
        <x:f>IF(ISNUMBER(Parameters!C32),Parameters!C32,"")</x:f>
        <x:v>127</x:v>
      </x:c>
      <x:c r="F8" s="56" t="str">
        <x:f>IF(COUNT(Parameters!G34:G35)&lt;2,"",MOD(Parameters!G35-Parameters!G34+180,360)-180)</x:f>
        <x:v/>
      </x:c>
      <x:c r="G8" s="58" t="str">
        <x:f>IF(COUNT(E8:F8)&lt;2,"",IF(E8&lt;=0,"",RADIANS(F8)/E8))</x:f>
        <x:v/>
      </x:c>
      <x:c r="H8" s="50" t="str">
        <x:f>IF(ISNUMBER(G8),1000*Parameters!E7*G8^2,"")</x:f>
        <x:v/>
      </x:c>
      <x:c r="I8" s="50" t="str">
        <x:f>IF(ISNUMBER(G8),1000*Parameters!E8*G8^2,"")</x:f>
        <x:v/>
      </x:c>
      <x:c r="J8" s="50" t="str">
        <x:f>IF(ISNUMBER(G8),1000*Parameters!E9*G8^2,"")</x:f>
        <x:v/>
      </x:c>
      <x:c r="K8" s="60" t="str">
        <x:f>IF(COUNT(Parameters!C34:F35)&lt;8,"待补坐标",IF(NOT(ISNUMBER(E8)),"待填轮行程",IF(E8&lt;=0,"轮行程须大于0",IF(COUNT(Parameters!G34:G35)&lt;2,"无效半径",""))))</x:f>
        <x:v>待补坐标</x:v>
      </x:c>
      <x:c r="L8" s="25"/>
      <x:c r="M8" s="25"/>
      <x:c r="N8"/>
      <x:c r="P8"/>
      <x:c r="Q8"/>
    </x:row>
    <x:row r="9" ht="26" customHeight="1">
      <x:c r="A9" s="25"/>
      <x:c r="B9" s="34" t="str">
        <x:v>Tarmac</x:v>
      </x:c>
      <x:c r="C9" s="34" t="str">
        <x:v>Rear</x:v>
      </x:c>
      <x:c r="D9" s="34" t="str">
        <x:v>Inner</x:v>
      </x:c>
      <x:c r="E9" s="53">
        <x:f>IF(ISNUMBER(Parameters!C39),Parameters!C39,"")</x:f>
        <x:v>136</x:v>
      </x:c>
      <x:c r="F9" s="57" t="str">
        <x:f>IF(COUNT(Parameters!G41:G42)&lt;2,"",MOD(Parameters!G42-Parameters!G41+180,360)-180)</x:f>
        <x:v/>
      </x:c>
      <x:c r="G9" s="59" t="str">
        <x:f>IF(COUNT(E9:F9)&lt;2,"",IF(E9&lt;=0,"",RADIANS(F9)/E9))</x:f>
        <x:v/>
      </x:c>
      <x:c r="H9" s="51" t="str">
        <x:f>IF(ISNUMBER(G9),1000*Parameters!E10*G9^2,"")</x:f>
        <x:v/>
      </x:c>
      <x:c r="I9" s="51" t="str">
        <x:f>IF(ISNUMBER(G9),1000*Parameters!E11*G9^2,"")</x:f>
        <x:v/>
      </x:c>
      <x:c r="J9" s="51" t="str">
        <x:f>IF(ISNUMBER(G9),1000*Parameters!E12*G9^2,"")</x:f>
        <x:v/>
      </x:c>
      <x:c r="K9" s="61" t="str">
        <x:f>IF(COUNT(Parameters!C41:F42)&lt;8,"待补坐标",IF(NOT(ISNUMBER(E9)),"待填轮行程",IF(E9&lt;=0,"轮行程须大于0",IF(COUNT(Parameters!G41:G42)&lt;2,"无效半径",""))))</x:f>
        <x:v>待补坐标</x:v>
      </x:c>
      <x:c r="L9" s="25"/>
      <x:c r="M9" s="25"/>
      <x:c r="N9"/>
      <x:c r="P9"/>
      <x:c r="Q9"/>
    </x:row>
    <x:row r="10" ht="26" customHeight="1">
      <x:c r="A10" s="25"/>
      <x:c r="B10" s="35" t="str">
        <x:v>Tarmac</x:v>
      </x:c>
      <x:c r="C10" s="35" t="str">
        <x:v>Rear</x:v>
      </x:c>
      <x:c r="D10" s="35" t="str">
        <x:v>Middle</x:v>
      </x:c>
      <x:c r="E10" s="52">
        <x:f>IF(ISNUMBER(Parameters!C46),Parameters!C46,"")</x:f>
        <x:v>136</x:v>
      </x:c>
      <x:c r="F10" s="56" t="str">
        <x:f>IF(COUNT(Parameters!G48:G49)&lt;2,"",MOD(Parameters!G49-Parameters!G48+180,360)-180)</x:f>
        <x:v/>
      </x:c>
      <x:c r="G10" s="58" t="str">
        <x:f>IF(COUNT(E10:F10)&lt;2,"",IF(E10&lt;=0,"",RADIANS(F10)/E10))</x:f>
        <x:v/>
      </x:c>
      <x:c r="H10" s="50" t="str">
        <x:f>IF(ISNUMBER(G10),1000*Parameters!E10*G10^2,"")</x:f>
        <x:v/>
      </x:c>
      <x:c r="I10" s="50" t="str">
        <x:f>IF(ISNUMBER(G10),1000*Parameters!E11*G10^2,"")</x:f>
        <x:v/>
      </x:c>
      <x:c r="J10" s="50" t="str">
        <x:f>IF(ISNUMBER(G10),1000*Parameters!E12*G10^2,"")</x:f>
        <x:v/>
      </x:c>
      <x:c r="K10" s="60" t="str">
        <x:f>IF(COUNT(Parameters!C48:F49)&lt;8,"待补坐标",IF(NOT(ISNUMBER(E10)),"待填轮行程",IF(E10&lt;=0,"轮行程须大于0",IF(COUNT(Parameters!G48:G49)&lt;2,"无效半径",""))))</x:f>
        <x:v>待补坐标</x:v>
      </x:c>
      <x:c r="L10" s="25"/>
      <x:c r="M10" s="25"/>
      <x:c r="N10"/>
      <x:c r="P10"/>
      <x:c r="Q10"/>
    </x:row>
    <x:row r="11" ht="26" customHeight="1">
      <x:c r="A11" s="25"/>
      <x:c r="B11" s="34" t="str">
        <x:v>Tarmac</x:v>
      </x:c>
      <x:c r="C11" s="34" t="str">
        <x:v>Rear</x:v>
      </x:c>
      <x:c r="D11" s="34" t="str">
        <x:v>Outer</x:v>
      </x:c>
      <x:c r="E11" s="53">
        <x:f>IF(ISNUMBER(Parameters!C53),Parameters!C53,"")</x:f>
        <x:v>136</x:v>
      </x:c>
      <x:c r="F11" s="57" t="str">
        <x:f>IF(COUNT(Parameters!G55:G56)&lt;2,"",MOD(Parameters!G56-Parameters!G55+180,360)-180)</x:f>
        <x:v/>
      </x:c>
      <x:c r="G11" s="59" t="str">
        <x:f>IF(COUNT(E11:F11)&lt;2,"",IF(E11&lt;=0,"",RADIANS(F11)/E11))</x:f>
        <x:v/>
      </x:c>
      <x:c r="H11" s="51" t="str">
        <x:f>IF(ISNUMBER(G11),1000*Parameters!E10*G11^2,"")</x:f>
        <x:v/>
      </x:c>
      <x:c r="I11" s="51" t="str">
        <x:f>IF(ISNUMBER(G11),1000*Parameters!E11*G11^2,"")</x:f>
        <x:v/>
      </x:c>
      <x:c r="J11" s="51" t="str">
        <x:f>IF(ISNUMBER(G11),1000*Parameters!E12*G11^2,"")</x:f>
        <x:v/>
      </x:c>
      <x:c r="K11" s="61" t="str">
        <x:f>IF(COUNT(Parameters!C55:F56)&lt;8,"待补坐标",IF(NOT(ISNUMBER(E11)),"待填轮行程",IF(E11&lt;=0,"轮行程须大于0",IF(COUNT(Parameters!G55:G56)&lt;2,"无效半径",""))))</x:f>
        <x:v>待补坐标</x:v>
      </x:c>
      <x:c r="L11" s="25"/>
      <x:c r="M11" s="25"/>
      <x:c r="N11"/>
      <x:c r="P11"/>
      <x:c r="Q11"/>
    </x:row>
    <x:row r="12" ht="26" customHeight="1">
      <x:c r="A12" s="25"/>
      <x:c r="B12" s="35" t="str">
        <x:v>Gravel</x:v>
      </x:c>
      <x:c r="C12" s="35" t="str">
        <x:v>Front</x:v>
      </x:c>
      <x:c r="D12" s="35" t="str">
        <x:v>Inner</x:v>
      </x:c>
      <x:c r="E12" s="52">
        <x:f>IF(ISNUMBER(Parameters!C60),Parameters!C60,"")</x:f>
        <x:v>126</x:v>
      </x:c>
      <x:c r="F12" s="56" t="str">
        <x:f>IF(COUNT(Parameters!G62:G63)&lt;2,"",MOD(Parameters!G63-Parameters!G62+180,360)-180)</x:f>
        <x:v/>
      </x:c>
      <x:c r="G12" s="58" t="str">
        <x:f>IF(COUNT(E12:F12)&lt;2,"",IF(E12&lt;=0,"",RADIANS(F12)/E12))</x:f>
        <x:v/>
      </x:c>
      <x:c r="H12" s="50" t="str">
        <x:f>IF(ISNUMBER(G12),1000*Parameters!E7*G12^2,"")</x:f>
        <x:v/>
      </x:c>
      <x:c r="I12" s="50" t="str">
        <x:f>IF(ISNUMBER(G12),1000*Parameters!E8*G12^2,"")</x:f>
        <x:v/>
      </x:c>
      <x:c r="J12" s="50" t="str">
        <x:f>IF(ISNUMBER(G12),1000*Parameters!E9*G12^2,"")</x:f>
        <x:v/>
      </x:c>
      <x:c r="K12" s="60" t="str">
        <x:f>IF(COUNT(Parameters!C62:F63)&lt;8,"待补坐标",IF(NOT(ISNUMBER(E12)),"待填轮行程",IF(E12&lt;=0,"轮行程须大于0",IF(COUNT(Parameters!G62:G63)&lt;2,"无效半径",""))))</x:f>
        <x:v>待补坐标</x:v>
      </x:c>
      <x:c r="L12" s="25"/>
      <x:c r="M12" s="25"/>
      <x:c r="N12"/>
      <x:c r="P12"/>
      <x:c r="Q12"/>
    </x:row>
    <x:row r="13" ht="26" customHeight="1">
      <x:c r="A13" s="25"/>
      <x:c r="B13" s="34" t="str">
        <x:v>Gravel</x:v>
      </x:c>
      <x:c r="C13" s="34" t="str">
        <x:v>Front</x:v>
      </x:c>
      <x:c r="D13" s="34" t="str">
        <x:v>Middle</x:v>
      </x:c>
      <x:c r="E13" s="53">
        <x:f>IF(ISNUMBER(Parameters!C67),Parameters!C67,"")</x:f>
        <x:v>126</x:v>
      </x:c>
      <x:c r="F13" s="57" t="str">
        <x:f>IF(COUNT(Parameters!G69:G70)&lt;2,"",MOD(Parameters!G70-Parameters!G69+180,360)-180)</x:f>
        <x:v/>
      </x:c>
      <x:c r="G13" s="59" t="str">
        <x:f>IF(COUNT(E13:F13)&lt;2,"",IF(E13&lt;=0,"",RADIANS(F13)/E13))</x:f>
        <x:v/>
      </x:c>
      <x:c r="H13" s="51" t="str">
        <x:f>IF(ISNUMBER(G13),1000*Parameters!E7*G13^2,"")</x:f>
        <x:v/>
      </x:c>
      <x:c r="I13" s="51" t="str">
        <x:f>IF(ISNUMBER(G13),1000*Parameters!E8*G13^2,"")</x:f>
        <x:v/>
      </x:c>
      <x:c r="J13" s="51" t="str">
        <x:f>IF(ISNUMBER(G13),1000*Parameters!E9*G13^2,"")</x:f>
        <x:v/>
      </x:c>
      <x:c r="K13" s="61" t="str">
        <x:f>IF(COUNT(Parameters!C69:F70)&lt;8,"待补坐标",IF(NOT(ISNUMBER(E13)),"待填轮行程",IF(E13&lt;=0,"轮行程须大于0",IF(COUNT(Parameters!G69:G70)&lt;2,"无效半径",""))))</x:f>
        <x:v>待补坐标</x:v>
      </x:c>
      <x:c r="L13" s="25"/>
      <x:c r="M13" s="25"/>
      <x:c r="N13"/>
      <x:c r="P13"/>
      <x:c r="Q13"/>
    </x:row>
    <x:row r="14" ht="26" customHeight="1">
      <x:c r="A14" s="25"/>
      <x:c r="B14" s="35" t="str">
        <x:v>Gravel</x:v>
      </x:c>
      <x:c r="C14" s="35" t="str">
        <x:v>Front</x:v>
      </x:c>
      <x:c r="D14" s="35" t="str">
        <x:v>Outer</x:v>
      </x:c>
      <x:c r="E14" s="52">
        <x:f>IF(ISNUMBER(Parameters!C74),Parameters!C74,"")</x:f>
        <x:v>126</x:v>
      </x:c>
      <x:c r="F14" s="56" t="str">
        <x:f>IF(COUNT(Parameters!G76:G77)&lt;2,"",MOD(Parameters!G77-Parameters!G76+180,360)-180)</x:f>
        <x:v/>
      </x:c>
      <x:c r="G14" s="58" t="str">
        <x:f>IF(COUNT(E14:F14)&lt;2,"",IF(E14&lt;=0,"",RADIANS(F14)/E14))</x:f>
        <x:v/>
      </x:c>
      <x:c r="H14" s="50" t="str">
        <x:f>IF(ISNUMBER(G14),1000*Parameters!E7*G14^2,"")</x:f>
        <x:v/>
      </x:c>
      <x:c r="I14" s="50" t="str">
        <x:f>IF(ISNUMBER(G14),1000*Parameters!E8*G14^2,"")</x:f>
        <x:v/>
      </x:c>
      <x:c r="J14" s="50" t="str">
        <x:f>IF(ISNUMBER(G14),1000*Parameters!E9*G14^2,"")</x:f>
        <x:v/>
      </x:c>
      <x:c r="K14" s="60" t="str">
        <x:f>IF(COUNT(Parameters!C76:F77)&lt;8,"待补坐标",IF(NOT(ISNUMBER(E14)),"待填轮行程",IF(E14&lt;=0,"轮行程须大于0",IF(COUNT(Parameters!G76:G77)&lt;2,"无效半径",""))))</x:f>
        <x:v>待补坐标</x:v>
      </x:c>
      <x:c r="L14" s="25"/>
      <x:c r="M14" s="25"/>
      <x:c r="N14"/>
    </x:row>
    <x:row r="15" ht="26" customHeight="1">
      <x:c r="A15" s="25"/>
      <x:c r="B15" s="34" t="str">
        <x:v>Gravel</x:v>
      </x:c>
      <x:c r="C15" s="34" t="str">
        <x:v>Rear</x:v>
      </x:c>
      <x:c r="D15" s="34" t="str">
        <x:v>Inner</x:v>
      </x:c>
      <x:c r="E15" s="53">
        <x:f>IF(ISNUMBER(Parameters!C81),Parameters!C81,"")</x:f>
        <x:v>127</x:v>
      </x:c>
      <x:c r="F15" s="57" t="str">
        <x:f>IF(COUNT(Parameters!G83:G84)&lt;2,"",MOD(Parameters!G84-Parameters!G83+180,360)-180)</x:f>
        <x:v/>
      </x:c>
      <x:c r="G15" s="59" t="str">
        <x:f>IF(COUNT(E15:F15)&lt;2,"",IF(E15&lt;=0,"",RADIANS(F15)/E15))</x:f>
        <x:v/>
      </x:c>
      <x:c r="H15" s="51" t="str">
        <x:f>IF(ISNUMBER(G15),1000*Parameters!E10*G15^2,"")</x:f>
        <x:v/>
      </x:c>
      <x:c r="I15" s="51" t="str">
        <x:f>IF(ISNUMBER(G15),1000*Parameters!E11*G15^2,"")</x:f>
        <x:v/>
      </x:c>
      <x:c r="J15" s="51" t="str">
        <x:f>IF(ISNUMBER(G15),1000*Parameters!E12*G15^2,"")</x:f>
        <x:v/>
      </x:c>
      <x:c r="K15" s="61" t="str">
        <x:f>IF(COUNT(Parameters!C83:F84)&lt;8,"待补坐标",IF(NOT(ISNUMBER(E15)),"待填轮行程",IF(E15&lt;=0,"轮行程须大于0",IF(COUNT(Parameters!G83:G84)&lt;2,"无效半径",""))))</x:f>
        <x:v>待补坐标</x:v>
      </x:c>
      <x:c r="L15" s="25"/>
      <x:c r="M15" s="25"/>
      <x:c r="N15"/>
    </x:row>
    <x:row r="16" ht="26" customHeight="1">
      <x:c r="A16" s="25"/>
      <x:c r="B16" s="35" t="str">
        <x:v>Gravel</x:v>
      </x:c>
      <x:c r="C16" s="35" t="str">
        <x:v>Rear</x:v>
      </x:c>
      <x:c r="D16" s="35" t="str">
        <x:v>Middle</x:v>
      </x:c>
      <x:c r="E16" s="52">
        <x:f>IF(ISNUMBER(Parameters!C88),Parameters!C88,"")</x:f>
        <x:v>127</x:v>
      </x:c>
      <x:c r="F16" s="56" t="str">
        <x:f>IF(COUNT(Parameters!G90:G91)&lt;2,"",MOD(Parameters!G91-Parameters!G90+180,360)-180)</x:f>
        <x:v/>
      </x:c>
      <x:c r="G16" s="58" t="str">
        <x:f>IF(COUNT(E16:F16)&lt;2,"",IF(E16&lt;=0,"",RADIANS(F16)/E16))</x:f>
        <x:v/>
      </x:c>
      <x:c r="H16" s="50" t="str">
        <x:f>IF(ISNUMBER(G16),1000*Parameters!E10*G16^2,"")</x:f>
        <x:v/>
      </x:c>
      <x:c r="I16" s="50" t="str">
        <x:f>IF(ISNUMBER(G16),1000*Parameters!E11*G16^2,"")</x:f>
        <x:v/>
      </x:c>
      <x:c r="J16" s="50" t="str">
        <x:f>IF(ISNUMBER(G16),1000*Parameters!E12*G16^2,"")</x:f>
        <x:v/>
      </x:c>
      <x:c r="K16" s="60" t="str">
        <x:f>IF(COUNT(Parameters!C90:F91)&lt;8,"待补坐标",IF(NOT(ISNUMBER(E16)),"待填轮行程",IF(E16&lt;=0,"轮行程须大于0",IF(COUNT(Parameters!G90:G91)&lt;2,"无效半径",""))))</x:f>
        <x:v>待补坐标</x:v>
      </x:c>
      <x:c r="L16" s="25"/>
      <x:c r="M16" s="25"/>
      <x:c r="N16"/>
    </x:row>
    <x:row r="17" ht="26" customHeight="1">
      <x:c r="A17" s="25"/>
      <x:c r="B17" s="34" t="str">
        <x:v>Gravel</x:v>
      </x:c>
      <x:c r="C17" s="34" t="str">
        <x:v>Rear</x:v>
      </x:c>
      <x:c r="D17" s="34" t="str">
        <x:v>Outer</x:v>
      </x:c>
      <x:c r="E17" s="53">
        <x:f>IF(ISNUMBER(Parameters!C95),Parameters!C95,"")</x:f>
        <x:v>127</x:v>
      </x:c>
      <x:c r="F17" s="57" t="str">
        <x:f>IF(COUNT(Parameters!G97:G98)&lt;2,"",MOD(Parameters!G98-Parameters!G97+180,360)-180)</x:f>
        <x:v/>
      </x:c>
      <x:c r="G17" s="59" t="str">
        <x:f>IF(COUNT(E17:F17)&lt;2,"",IF(E17&lt;=0,"",RADIANS(F17)/E17))</x:f>
        <x:v/>
      </x:c>
      <x:c r="H17" s="51" t="str">
        <x:f>IF(ISNUMBER(G17),1000*Parameters!E10*G17^2,"")</x:f>
        <x:v/>
      </x:c>
      <x:c r="I17" s="51" t="str">
        <x:f>IF(ISNUMBER(G17),1000*Parameters!E11*G17^2,"")</x:f>
        <x:v/>
      </x:c>
      <x:c r="J17" s="51" t="str">
        <x:f>IF(ISNUMBER(G17),1000*Parameters!E12*G17^2,"")</x:f>
        <x:v/>
      </x:c>
      <x:c r="K17" s="61" t="str">
        <x:f>IF(COUNT(Parameters!C97:F98)&lt;8,"待补坐标",IF(NOT(ISNUMBER(E17)),"待填轮行程",IF(E17&lt;=0,"轮行程须大于0",IF(COUNT(Parameters!G97:G98)&lt;2,"无效半径",""))))</x:f>
        <x:v>待补坐标</x:v>
      </x:c>
      <x:c r="L17" s="25"/>
      <x:c r="M17" s="25"/>
      <x:c r="N17"/>
    </x:row>
    <x:row r="18" ht="26" customHeight="1">
      <x:c r="A18" s="25"/>
      <x:c r="B18" s="25"/>
      <x:c r="C18" s="25"/>
      <x:c r="D18" s="25"/>
      <x:c r="E18" s="25"/>
      <x:c r="F18" s="25"/>
      <x:c r="G18" s="25"/>
      <x:c r="H18" s="25"/>
      <x:c r="I18" s="25"/>
      <x:c r="J18" s="25"/>
      <x:c r="K18" s="25"/>
      <x:c r="L18" s="25"/>
      <x:c r="M18" s="25"/>
      <x:c r="N18"/>
    </x:row>
    <x:row r="19" ht="26" customHeight="1">
      <x:c r="A19" s="25"/>
      <x:c r="B19" s="25"/>
      <x:c r="C19" s="25"/>
      <x:c r="D19" s="25"/>
      <x:c r="E19" s="25"/>
      <x:c r="F19" s="25"/>
      <x:c r="G19" s="25"/>
      <x:c r="H19" s="25"/>
      <x:c r="I19" s="25"/>
      <x:c r="J19" s="25"/>
      <x:c r="K19" s="25"/>
      <x:c r="L19" s="25"/>
      <x:c r="M19" s="25"/>
      <x:c r="N19"/>
    </x:row>
    <x:row r="20" ht="26" customHeight="1">
      <x:c r="A20" s="25"/>
      <x:c r="B20" s="25"/>
      <x:c r="C20" s="25"/>
      <x:c r="D20" s="25"/>
      <x:c r="E20" s="25"/>
      <x:c r="F20" s="25"/>
      <x:c r="G20" s="25"/>
      <x:c r="H20" s="25"/>
      <x:c r="I20" s="25"/>
      <x:c r="J20" s="25"/>
      <x:c r="K20" s="25"/>
      <x:c r="L20" s="25"/>
      <x:c r="M20" s="25"/>
      <x:c r="N20"/>
    </x:row>
    <x:row r="21" ht="26" customHeight="1">
      <x:c r="A21" s="25"/>
      <x:c r="B21" s="25"/>
      <x:c r="C21" s="25"/>
      <x:c r="D21" s="25"/>
      <x:c r="E21" s="25"/>
      <x:c r="F21" s="25"/>
      <x:c r="G21" s="25"/>
      <x:c r="H21" s="25"/>
      <x:c r="I21" s="25"/>
      <x:c r="J21" s="25"/>
      <x:c r="K21" s="25"/>
      <x:c r="L21" s="25"/>
      <x:c r="M21" s="25"/>
      <x:c r="N21"/>
    </x:row>
    <x:row r="22" ht="40" customHeight="1">
      <x:c r="A22" s="25"/>
      <x:c r="B22" s="32" t="str">
        <x:v>Setting</x:v>
      </x:c>
      <x:c r="C22" s="32" t="str">
        <x:v>Front</x:v>
      </x:c>
      <x:c r="D22" s="32" t="str">
        <x:v>Rear</x:v>
      </x:c>
      <x:c r="E22" s="25"/>
      <x:c r="F22" s="25"/>
      <x:c r="G22" s="25"/>
      <x:c r="H22" s="25"/>
      <x:c r="I22" s="25"/>
      <x:c r="J22" s="25"/>
      <x:c r="K22" s="25"/>
      <x:c r="L22" s="25"/>
      <x:c r="M22" s="25"/>
      <x:c r="N22"/>
    </x:row>
    <x:row r="23" ht="26" customHeight="1">
      <x:c r="A23" s="25"/>
      <x:c r="B23" s="34" t="str">
        <x:v>Soft Inner</x:v>
      </x:c>
      <x:c r="C23" s="51" t="e">
        <x:f>IF(ISNUMBER(H12),H12,NA())</x:f>
        <x:v>#N/A</x:v>
      </x:c>
      <x:c r="D23" s="51" t="e">
        <x:f>IF(ISNUMBER(H15),H15,NA())</x:f>
        <x:v>#N/A</x:v>
      </x:c>
      <x:c r="E23" s="25"/>
      <x:c r="F23" s="25"/>
      <x:c r="G23" s="25"/>
      <x:c r="H23" s="25"/>
      <x:c r="I23" s="25"/>
      <x:c r="J23" s="25"/>
      <x:c r="K23" s="25"/>
      <x:c r="L23" s="25"/>
      <x:c r="M23" s="25"/>
      <x:c r="N23"/>
    </x:row>
    <x:row r="24" ht="26" customHeight="1">
      <x:c r="A24" s="25"/>
      <x:c r="B24" s="35" t="str">
        <x:v>Soft Middle</x:v>
      </x:c>
      <x:c r="C24" s="50" t="e">
        <x:f>IF(ISNUMBER(H13),H13,NA())</x:f>
        <x:v>#N/A</x:v>
      </x:c>
      <x:c r="D24" s="50" t="e">
        <x:f>IF(ISNUMBER(H16),H16,NA())</x:f>
        <x:v>#N/A</x:v>
      </x:c>
      <x:c r="E24" s="25"/>
      <x:c r="F24" s="25"/>
      <x:c r="G24" s="25"/>
      <x:c r="H24" s="25"/>
      <x:c r="I24" s="25"/>
      <x:c r="J24" s="25"/>
      <x:c r="K24" s="25"/>
      <x:c r="L24" s="25"/>
      <x:c r="M24" s="25"/>
      <x:c r="N24"/>
    </x:row>
    <x:row r="25" ht="26" customHeight="1">
      <x:c r="A25" s="25"/>
      <x:c r="B25" s="34" t="str">
        <x:v>Soft Outer</x:v>
      </x:c>
      <x:c r="C25" s="51" t="e">
        <x:f>IF(ISNUMBER(H14),H14,NA())</x:f>
        <x:v>#N/A</x:v>
      </x:c>
      <x:c r="D25" s="51" t="e">
        <x:f>IF(ISNUMBER(H17),H17,NA())</x:f>
        <x:v>#N/A</x:v>
      </x:c>
      <x:c r="E25" s="25"/>
      <x:c r="F25" s="25"/>
      <x:c r="G25" s="25"/>
      <x:c r="H25" s="25"/>
      <x:c r="I25" s="25"/>
      <x:c r="J25" s="25"/>
      <x:c r="K25" s="25"/>
      <x:c r="L25" s="25"/>
      <x:c r="M25" s="25"/>
      <x:c r="N25"/>
    </x:row>
    <x:row r="26" ht="26" customHeight="1">
      <x:c r="A26" s="25"/>
      <x:c r="B26" s="35" t="str">
        <x:v>Medium Inner</x:v>
      </x:c>
      <x:c r="C26" s="50" t="e">
        <x:f>IF(ISNUMBER(I12),I12,NA())</x:f>
        <x:v>#N/A</x:v>
      </x:c>
      <x:c r="D26" s="50" t="e">
        <x:f>IF(ISNUMBER(I15),I15,NA())</x:f>
        <x:v>#N/A</x:v>
      </x:c>
      <x:c r="E26" s="25"/>
      <x:c r="F26" s="25"/>
      <x:c r="G26" s="25"/>
      <x:c r="H26" s="25"/>
      <x:c r="I26" s="25"/>
      <x:c r="J26" s="25"/>
      <x:c r="K26" s="25"/>
      <x:c r="L26" s="25"/>
      <x:c r="M26" s="25"/>
      <x:c r="N26"/>
    </x:row>
    <x:row r="27" ht="26" customHeight="1">
      <x:c r="A27" s="25"/>
      <x:c r="B27" s="34" t="str">
        <x:v>Medium Middle</x:v>
      </x:c>
      <x:c r="C27" s="51" t="e">
        <x:f>IF(ISNUMBER(I13),I13,NA())</x:f>
        <x:v>#N/A</x:v>
      </x:c>
      <x:c r="D27" s="51" t="e">
        <x:f>IF(ISNUMBER(I16),I16,NA())</x:f>
        <x:v>#N/A</x:v>
      </x:c>
      <x:c r="E27" s="25"/>
      <x:c r="F27" s="25"/>
      <x:c r="G27" s="25"/>
      <x:c r="H27" s="25"/>
      <x:c r="I27" s="25"/>
      <x:c r="J27" s="25"/>
      <x:c r="K27" s="25"/>
      <x:c r="L27" s="25"/>
      <x:c r="M27" s="25"/>
      <x:c r="N27"/>
    </x:row>
    <x:row r="28" ht="26" customHeight="1">
      <x:c r="A28" s="25"/>
      <x:c r="B28" s="35" t="str">
        <x:v>Medium Outer</x:v>
      </x:c>
      <x:c r="C28" s="50" t="e">
        <x:f>IF(ISNUMBER(I14),I14,NA())</x:f>
        <x:v>#N/A</x:v>
      </x:c>
      <x:c r="D28" s="50" t="e">
        <x:f>IF(ISNUMBER(I17),I17,NA())</x:f>
        <x:v>#N/A</x:v>
      </x:c>
      <x:c r="E28" s="25"/>
      <x:c r="F28" s="25"/>
      <x:c r="G28" s="25"/>
      <x:c r="H28" s="25"/>
      <x:c r="I28" s="25"/>
      <x:c r="J28" s="25"/>
      <x:c r="K28" s="25"/>
      <x:c r="L28" s="25"/>
      <x:c r="M28" s="25"/>
      <x:c r="N28"/>
    </x:row>
    <x:row r="29" ht="26" customHeight="1">
      <x:c r="A29" s="25"/>
      <x:c r="B29" s="34" t="str">
        <x:v>Hard Inner</x:v>
      </x:c>
      <x:c r="C29" s="51" t="e">
        <x:f>IF(ISNUMBER(J12),J12,NA())</x:f>
        <x:v>#N/A</x:v>
      </x:c>
      <x:c r="D29" s="51" t="e">
        <x:f>IF(ISNUMBER(J15),J15,NA())</x:f>
        <x:v>#N/A</x:v>
      </x:c>
      <x:c r="E29" s="25"/>
      <x:c r="F29" s="25"/>
      <x:c r="G29" s="25"/>
      <x:c r="H29" s="25"/>
      <x:c r="I29" s="25"/>
      <x:c r="J29" s="25"/>
      <x:c r="K29" s="25"/>
      <x:c r="L29" s="25"/>
      <x:c r="M29" s="25"/>
      <x:c r="N29"/>
    </x:row>
    <x:row r="30" ht="26" customHeight="1">
      <x:c r="A30" s="25"/>
      <x:c r="B30" s="35" t="str">
        <x:v>Hard Middle</x:v>
      </x:c>
      <x:c r="C30" s="50" t="e">
        <x:f>IF(ISNUMBER(J13),J13,NA())</x:f>
        <x:v>#N/A</x:v>
      </x:c>
      <x:c r="D30" s="50" t="e">
        <x:f>IF(ISNUMBER(J16),J16,NA())</x:f>
        <x:v>#N/A</x:v>
      </x:c>
      <x:c r="E30" s="25"/>
      <x:c r="F30" s="25"/>
      <x:c r="G30" s="25"/>
      <x:c r="H30" s="25"/>
      <x:c r="I30" s="25"/>
      <x:c r="J30" s="25"/>
      <x:c r="K30" s="25"/>
      <x:c r="L30" s="25"/>
      <x:c r="M30" s="25"/>
      <x:c r="N30"/>
    </x:row>
    <x:row r="31" ht="26" customHeight="1">
      <x:c r="A31" s="25"/>
      <x:c r="B31" s="34" t="str">
        <x:v>Hard Outer</x:v>
      </x:c>
      <x:c r="C31" s="51" t="e">
        <x:f>IF(ISNUMBER(J14),J14,NA())</x:f>
        <x:v>#N/A</x:v>
      </x:c>
      <x:c r="D31" s="51" t="e">
        <x:f>IF(ISNUMBER(J17),J17,NA())</x:f>
        <x:v>#N/A</x:v>
      </x:c>
      <x:c r="E31" s="25"/>
      <x:c r="F31" s="25"/>
      <x:c r="G31" s="25"/>
      <x:c r="H31" s="25"/>
      <x:c r="I31" s="25"/>
      <x:c r="J31" s="25"/>
      <x:c r="K31" s="25"/>
      <x:c r="L31" s="25"/>
      <x:c r="M31" s="25"/>
      <x:c r="N31"/>
    </x:row>
    <x:row r="32" ht="26" customHeight="1">
      <x:c r="A32" s="25"/>
      <x:c r="B32" s="25"/>
      <x:c r="C32" s="25"/>
      <x:c r="D32" s="25"/>
      <x:c r="E32" s="25"/>
      <x:c r="F32" s="25"/>
      <x:c r="G32" s="25"/>
      <x:c r="H32" s="25"/>
      <x:c r="I32" s="25"/>
      <x:c r="J32" s="25"/>
      <x:c r="K32" s="25"/>
      <x:c r="L32" s="25"/>
      <x:c r="M32" s="25"/>
      <x:c r="N32"/>
    </x:row>
    <x:row r="33" ht="26" customHeight="1">
      <x:c r="A33" s="25"/>
      <x:c r="B33" s="25"/>
      <x:c r="C33" s="25"/>
      <x:c r="D33" s="25"/>
      <x:c r="E33" s="25"/>
      <x:c r="F33" s="25"/>
      <x:c r="G33" s="25"/>
      <x:c r="H33" s="25"/>
      <x:c r="I33" s="25"/>
      <x:c r="J33" s="25"/>
      <x:c r="K33" s="25"/>
      <x:c r="L33" s="25"/>
      <x:c r="M33" s="25"/>
      <x:c r="N33"/>
    </x:row>
    <x:row r="34" ht="26" customHeight="1">
      <x:c r="A34" s="25"/>
      <x:c r="B34" s="25"/>
      <x:c r="C34" s="25"/>
      <x:c r="D34" s="25"/>
      <x:c r="E34" s="25"/>
      <x:c r="F34" s="25"/>
      <x:c r="G34" s="25"/>
      <x:c r="H34" s="25"/>
      <x:c r="I34" s="25"/>
      <x:c r="J34" s="25"/>
      <x:c r="K34" s="25"/>
      <x:c r="L34" s="25"/>
      <x:c r="M34" s="25"/>
      <x:c r="N34"/>
    </x:row>
    <x:row r="35" ht="40" customHeight="1">
      <x:c r="A35" s="25"/>
      <x:c r="B35" s="32" t="str">
        <x:v>Setting</x:v>
      </x:c>
      <x:c r="C35" s="32" t="str">
        <x:v>Front</x:v>
      </x:c>
      <x:c r="D35" s="32" t="str">
        <x:v>Rear</x:v>
      </x:c>
      <x:c r="E35" s="25"/>
      <x:c r="F35" s="25"/>
      <x:c r="G35" s="25"/>
      <x:c r="H35" s="25"/>
      <x:c r="I35" s="25"/>
      <x:c r="J35" s="25"/>
      <x:c r="K35" s="25"/>
      <x:c r="L35" s="25"/>
      <x:c r="M35" s="25"/>
      <x:c r="N35"/>
    </x:row>
    <x:row r="36" ht="26" customHeight="1">
      <x:c r="A36" s="25"/>
      <x:c r="B36" s="35" t="str">
        <x:v>Soft Inner</x:v>
      </x:c>
      <x:c r="C36" s="50" t="e">
        <x:f>IF(ISNUMBER(H6),H6,NA())</x:f>
        <x:v>#N/A</x:v>
      </x:c>
      <x:c r="D36" s="50" t="e">
        <x:f>IF(ISNUMBER(H9),H9,NA())</x:f>
        <x:v>#N/A</x:v>
      </x:c>
      <x:c r="E36" s="25"/>
      <x:c r="F36" s="25"/>
      <x:c r="G36" s="25"/>
      <x:c r="H36" s="25"/>
      <x:c r="I36" s="25"/>
      <x:c r="J36" s="25"/>
      <x:c r="K36" s="25"/>
      <x:c r="L36" s="25"/>
      <x:c r="M36" s="25"/>
      <x:c r="N36"/>
    </x:row>
    <x:row r="37" ht="26" customHeight="1">
      <x:c r="A37" s="25"/>
      <x:c r="B37" s="34" t="str">
        <x:v>Soft Middle</x:v>
      </x:c>
      <x:c r="C37" s="51" t="e">
        <x:f>IF(ISNUMBER(H7),H7,NA())</x:f>
        <x:v>#N/A</x:v>
      </x:c>
      <x:c r="D37" s="51" t="e">
        <x:f>IF(ISNUMBER(H10),H10,NA())</x:f>
        <x:v>#N/A</x:v>
      </x:c>
      <x:c r="E37" s="25"/>
      <x:c r="F37" s="25"/>
      <x:c r="G37" s="25"/>
      <x:c r="H37" s="25"/>
      <x:c r="I37" s="25"/>
      <x:c r="J37" s="25"/>
      <x:c r="K37" s="25"/>
      <x:c r="L37" s="25"/>
      <x:c r="M37" s="25"/>
      <x:c r="N37"/>
    </x:row>
    <x:row r="38" ht="26" customHeight="1">
      <x:c r="A38" s="25"/>
      <x:c r="B38" s="35" t="str">
        <x:v>Soft Outer</x:v>
      </x:c>
      <x:c r="C38" s="50" t="e">
        <x:f>IF(ISNUMBER(H8),H8,NA())</x:f>
        <x:v>#N/A</x:v>
      </x:c>
      <x:c r="D38" s="50" t="e">
        <x:f>IF(ISNUMBER(H11),H11,NA())</x:f>
        <x:v>#N/A</x:v>
      </x:c>
      <x:c r="E38" s="25"/>
      <x:c r="F38" s="25"/>
      <x:c r="G38" s="25"/>
      <x:c r="H38" s="25"/>
      <x:c r="I38" s="25"/>
      <x:c r="J38" s="25"/>
      <x:c r="K38" s="25"/>
      <x:c r="L38" s="25"/>
      <x:c r="M38" s="25"/>
      <x:c r="N38"/>
    </x:row>
    <x:row r="39" ht="26" customHeight="1">
      <x:c r="A39" s="25"/>
      <x:c r="B39" s="34" t="str">
        <x:v>Medium Inner</x:v>
      </x:c>
      <x:c r="C39" s="51" t="e">
        <x:f>IF(ISNUMBER(I6),I6,NA())</x:f>
        <x:v>#N/A</x:v>
      </x:c>
      <x:c r="D39" s="51" t="e">
        <x:f>IF(ISNUMBER(I9),I9,NA())</x:f>
        <x:v>#N/A</x:v>
      </x:c>
      <x:c r="E39" s="25"/>
      <x:c r="F39" s="25"/>
      <x:c r="G39" s="25"/>
      <x:c r="H39" s="25"/>
      <x:c r="I39" s="25"/>
      <x:c r="J39" s="25"/>
      <x:c r="K39" s="25"/>
      <x:c r="L39" s="25"/>
      <x:c r="M39" s="25"/>
      <x:c r="N39"/>
    </x:row>
    <x:row r="40" ht="26" customHeight="1">
      <x:c r="A40" s="25"/>
      <x:c r="B40" s="35" t="str">
        <x:v>Medium Middle</x:v>
      </x:c>
      <x:c r="C40" s="50" t="e">
        <x:f>IF(ISNUMBER(I7),I7,NA())</x:f>
        <x:v>#N/A</x:v>
      </x:c>
      <x:c r="D40" s="50" t="e">
        <x:f>IF(ISNUMBER(I10),I10,NA())</x:f>
        <x:v>#N/A</x:v>
      </x:c>
      <x:c r="E40" s="25"/>
      <x:c r="F40" s="25"/>
      <x:c r="G40" s="25"/>
      <x:c r="H40" s="25"/>
      <x:c r="I40" s="25"/>
      <x:c r="J40" s="25"/>
      <x:c r="K40" s="25"/>
      <x:c r="L40" s="25"/>
      <x:c r="M40" s="25"/>
      <x:c r="N40"/>
    </x:row>
    <x:row r="41" ht="26" customHeight="1">
      <x:c r="A41" s="25"/>
      <x:c r="B41" s="34" t="str">
        <x:v>Medium Outer</x:v>
      </x:c>
      <x:c r="C41" s="51" t="e">
        <x:f>IF(ISNUMBER(I8),I8,NA())</x:f>
        <x:v>#N/A</x:v>
      </x:c>
      <x:c r="D41" s="51" t="e">
        <x:f>IF(ISNUMBER(I11),I11,NA())</x:f>
        <x:v>#N/A</x:v>
      </x:c>
      <x:c r="E41" s="25"/>
      <x:c r="F41" s="25"/>
      <x:c r="G41" s="25"/>
      <x:c r="H41" s="25"/>
      <x:c r="I41" s="25"/>
      <x:c r="J41" s="25"/>
      <x:c r="K41" s="25"/>
      <x:c r="L41" s="25"/>
      <x:c r="M41" s="25"/>
      <x:c r="N41"/>
    </x:row>
    <x:row r="42" ht="26" customHeight="1">
      <x:c r="A42" s="25"/>
      <x:c r="B42" s="35" t="str">
        <x:v>Hard Inner</x:v>
      </x:c>
      <x:c r="C42" s="50" t="e">
        <x:f>IF(ISNUMBER(J6),J6,NA())</x:f>
        <x:v>#N/A</x:v>
      </x:c>
      <x:c r="D42" s="50" t="e">
        <x:f>IF(ISNUMBER(J9),J9,NA())</x:f>
        <x:v>#N/A</x:v>
      </x:c>
      <x:c r="E42" s="25"/>
      <x:c r="F42" s="25"/>
      <x:c r="G42" s="25"/>
      <x:c r="H42" s="25"/>
      <x:c r="I42" s="25"/>
      <x:c r="J42" s="25"/>
      <x:c r="K42" s="25"/>
      <x:c r="L42" s="25"/>
      <x:c r="M42" s="25"/>
      <x:c r="N42"/>
    </x:row>
    <x:row r="43" ht="26" customHeight="1">
      <x:c r="A43" s="25"/>
      <x:c r="B43" s="34" t="str">
        <x:v>Hard Middle</x:v>
      </x:c>
      <x:c r="C43" s="51" t="e">
        <x:f>IF(ISNUMBER(J7),J7,NA())</x:f>
        <x:v>#N/A</x:v>
      </x:c>
      <x:c r="D43" s="51" t="e">
        <x:f>IF(ISNUMBER(J10),J10,NA())</x:f>
        <x:v>#N/A</x:v>
      </x:c>
      <x:c r="E43" s="25"/>
      <x:c r="F43" s="25"/>
      <x:c r="G43" s="25"/>
      <x:c r="H43" s="25"/>
      <x:c r="I43" s="25"/>
      <x:c r="J43" s="25"/>
      <x:c r="K43" s="25"/>
      <x:c r="L43" s="25"/>
      <x:c r="M43" s="25"/>
      <x:c r="N43"/>
    </x:row>
    <x:row r="44" ht="26" customHeight="1">
      <x:c r="A44" s="25"/>
      <x:c r="B44" s="35" t="str">
        <x:v>Hard Outer</x:v>
      </x:c>
      <x:c r="C44" s="50" t="e">
        <x:f>IF(ISNUMBER(J8),J8,NA())</x:f>
        <x:v>#N/A</x:v>
      </x:c>
      <x:c r="D44" s="50" t="e">
        <x:f>IF(ISNUMBER(J11),J11,NA())</x:f>
        <x:v>#N/A</x:v>
      </x:c>
      <x:c r="E44" s="25"/>
      <x:c r="F44" s="25"/>
      <x:c r="G44" s="25"/>
      <x:c r="H44" s="25"/>
      <x:c r="I44" s="25"/>
      <x:c r="J44" s="25"/>
      <x:c r="K44" s="25"/>
      <x:c r="L44" s="25"/>
      <x:c r="M44" s="25"/>
      <x:c r="N44"/>
    </x:row>
    <x:row r="45" ht="26" customHeight="1">
      <x:c r="A45" s="25"/>
      <x:c r="B45" s="25"/>
      <x:c r="C45" s="25"/>
      <x:c r="D45" s="25"/>
      <x:c r="E45" s="25"/>
      <x:c r="F45" s="25"/>
      <x:c r="G45" s="25"/>
      <x:c r="H45" s="25"/>
      <x:c r="I45" s="25"/>
      <x:c r="J45" s="25"/>
      <x:c r="K45" s="25"/>
      <x:c r="L45" s="25"/>
      <x:c r="M45" s="25"/>
      <x:c r="N45"/>
    </x:row>
    <x:row r="46" ht="26" customHeight="1">
      <x:c r="A46" s="25"/>
      <x:c r="B46" s="25"/>
      <x:c r="C46" s="25"/>
      <x:c r="D46" s="25"/>
      <x:c r="E46" s="25"/>
      <x:c r="F46" s="25"/>
      <x:c r="G46" s="25"/>
      <x:c r="H46" s="25"/>
      <x:c r="I46" s="25"/>
      <x:c r="J46" s="25"/>
      <x:c r="K46" s="25"/>
      <x:c r="L46" s="25"/>
      <x:c r="M46" s="25"/>
      <x:c r="N46"/>
    </x:row>
    <x:row r="47" ht="26" customHeight="1">
      <x:c r="A47" s="25"/>
      <x:c r="B47" s="25"/>
      <x:c r="C47" s="25"/>
      <x:c r="D47" s="25"/>
      <x:c r="E47" s="25"/>
      <x:c r="F47" s="25"/>
      <x:c r="G47" s="25"/>
      <x:c r="H47" s="25"/>
      <x:c r="I47" s="25"/>
      <x:c r="J47" s="25"/>
      <x:c r="K47" s="25"/>
      <x:c r="L47" s="25"/>
      <x:c r="M47" s="25"/>
      <x:c r="N47"/>
    </x:row>
    <x:row r="48" ht="26" customHeight="1">
      <x:c r="A48" s="25"/>
      <x:c r="B48" s="25"/>
      <x:c r="C48" s="25"/>
      <x:c r="D48" s="25"/>
      <x:c r="E48" s="25"/>
      <x:c r="F48" s="25"/>
      <x:c r="G48" s="25"/>
      <x:c r="H48" s="25"/>
      <x:c r="I48" s="25"/>
      <x:c r="J48" s="25"/>
      <x:c r="K48" s="25"/>
      <x:c r="L48" s="25"/>
      <x:c r="M48" s="25"/>
      <x:c r="N48"/>
    </x:row>
    <x:row r="49" ht="26" customHeight="1">
      <x:c r="A49" s="25"/>
      <x:c r="B49" s="55" t="str">
        <x:v>旧表原值</x:v>
      </x:c>
      <x:c r="C49" s="55" t="inlineStr">
        <x:is>
          <x:t>旧表原值</x:t>
        </x:is>
      </x:c>
      <x:c r="D49" s="55" t="inlineStr">
        <x:is>
          <x:t>旧表原值</x:t>
        </x:is>
      </x:c>
      <x:c r="E49" s="25"/>
      <x:c r="F49" s="25"/>
      <x:c r="G49" s="25"/>
      <x:c r="H49" s="25"/>
      <x:c r="I49" s="25"/>
      <x:c r="J49" s="25"/>
      <x:c r="K49" s="25"/>
      <x:c r="L49" s="25"/>
      <x:c r="M49" s="25"/>
      <x:c r="N49"/>
    </x:row>
    <x:row r="50" ht="26" customHeight="1">
      <x:c r="A50" s="25"/>
      <x:c r="B50" s="25" t="str">
        <x:v>Tarmac!I19</x:v>
      </x:c>
      <x:c r="C50" s="25">
        <x:v>223</x:v>
      </x:c>
      <x:c r="D50" s="25"/>
      <x:c r="E50" s="25"/>
      <x:c r="F50" s="25"/>
      <x:c r="G50" s="25"/>
      <x:c r="H50" s="25"/>
      <x:c r="I50" s="25"/>
      <x:c r="J50" s="25"/>
      <x:c r="K50" s="25"/>
      <x:c r="L50" s="25"/>
      <x:c r="M50" s="25"/>
      <x:c r="N50"/>
    </x:row>
    <x:row r="51" ht="26" customHeight="1">
      <x:c r="A51" s="25"/>
      <x:c r="B51" s="25" t="str">
        <x:v>Tarmac!J19</x:v>
      </x:c>
      <x:c r="C51" s="25">
        <x:v>267</x:v>
      </x:c>
      <x:c r="D51" s="25"/>
      <x:c r="E51" s="25"/>
      <x:c r="F51" s="25"/>
      <x:c r="G51" s="25"/>
      <x:c r="H51" s="25"/>
      <x:c r="I51" s="25"/>
      <x:c r="J51" s="25"/>
      <x:c r="K51" s="25"/>
      <x:c r="L51" s="25"/>
      <x:c r="M51" s="25"/>
      <x:c r="N51"/>
    </x:row>
    <x:row r="52" ht="26" customHeight="1">
      <x:c r="A52" s="25"/>
      <x:c r="B52" s="25" t="str">
        <x:v>Tarmac!K19</x:v>
      </x:c>
      <x:c r="C52" s="25">
        <x:v>236</x:v>
      </x:c>
      <x:c r="D52" s="25"/>
      <x:c r="E52" s="25"/>
      <x:c r="F52" s="25"/>
      <x:c r="G52" s="25"/>
      <x:c r="H52" s="25"/>
      <x:c r="I52" s="25"/>
      <x:c r="J52" s="25"/>
      <x:c r="K52" s="25"/>
      <x:c r="L52" s="25"/>
      <x:c r="M52" s="25"/>
      <x:c r="N52"/>
    </x:row>
    <x:row r="53" ht="26" customHeight="1">
      <x:c r="A53" s="25"/>
      <x:c r="B53" s="25" t="str">
        <x:v>Tarmac!I20</x:v>
      </x:c>
      <x:c r="C53" s="25">
        <x:v>238</x:v>
      </x:c>
      <x:c r="D53" s="25"/>
      <x:c r="E53" s="25"/>
      <x:c r="F53" s="25"/>
      <x:c r="G53" s="25"/>
      <x:c r="H53" s="25"/>
      <x:c r="I53" s="25"/>
      <x:c r="J53" s="25"/>
      <x:c r="K53" s="25"/>
      <x:c r="L53" s="25"/>
      <x:c r="M53" s="25"/>
      <x:c r="N53"/>
    </x:row>
    <x:row r="54" ht="26" customHeight="1">
      <x:c r="A54" s="25"/>
      <x:c r="B54" s="25" t="str">
        <x:v>Tarmac!J20</x:v>
      </x:c>
      <x:c r="C54" s="25">
        <x:v>279</x:v>
      </x:c>
      <x:c r="D54" s="25"/>
      <x:c r="E54" s="25"/>
      <x:c r="F54" s="25"/>
      <x:c r="G54" s="25"/>
      <x:c r="H54" s="25"/>
      <x:c r="I54" s="25"/>
      <x:c r="J54" s="25"/>
      <x:c r="K54" s="25"/>
      <x:c r="L54" s="25"/>
      <x:c r="M54" s="25"/>
      <x:c r="N54"/>
    </x:row>
    <x:row r="55" ht="26" customHeight="1">
      <x:c r="A55" s="25"/>
      <x:c r="B55" s="25" t="str">
        <x:v>Gravel!K6</x:v>
      </x:c>
      <x:c r="C55" s="25" t="n">
        <x:v>16</x:v>
      </x:c>
      <x:c r="D55" s="25"/>
      <x:c r="E55" s="25"/>
      <x:c r="F55" s="25"/>
      <x:c r="G55" s="25"/>
      <x:c r="H55" s="25"/>
      <x:c r="I55" s="25"/>
      <x:c r="J55" s="25"/>
      <x:c r="K55" s="25"/>
      <x:c r="L55" s="25"/>
      <x:c r="M55" s="25"/>
      <x:c r="N55"/>
    </x:row>
    <x:row r="56" ht="26" customHeight="1">
      <x:c r="A56" s="25"/>
      <x:c r="B56" s="25" t="str">
        <x:v>Gravel!K7</x:v>
      </x:c>
      <x:c r="C56" s="25" t="n">
        <x:v>23</x:v>
      </x:c>
      <x:c r="D56" s="25"/>
      <x:c r="E56" s="25"/>
      <x:c r="F56" s="25"/>
      <x:c r="G56" s="25"/>
      <x:c r="H56" s="25"/>
      <x:c r="I56" s="25"/>
      <x:c r="J56" s="25"/>
      <x:c r="K56" s="25"/>
      <x:c r="L56" s="25"/>
      <x:c r="M56" s="25"/>
      <x:c r="N56"/>
    </x:row>
    <x:row r="57" ht="26" customHeight="1">
      <x:c r="A57" s="25"/>
      <x:c r="B57" s="25" t="str">
        <x:v>Gravel!K8</x:v>
      </x:c>
      <x:c r="C57" s="25" t="n">
        <x:v>24</x:v>
      </x:c>
      <x:c r="D57" s="25"/>
      <x:c r="E57" s="25"/>
      <x:c r="F57" s="25"/>
      <x:c r="G57" s="25"/>
      <x:c r="H57" s="25"/>
      <x:c r="I57" s="25"/>
      <x:c r="J57" s="25"/>
      <x:c r="K57" s="25"/>
      <x:c r="L57" s="25"/>
      <x:c r="M57" s="25"/>
      <x:c r="N57"/>
    </x:row>
    <x:row r="58" ht="26" customHeight="1">
      <x:c r="A58" s="25"/>
      <x:c r="B58" s="25"/>
      <x:c r="C58" s="25"/>
      <x:c r="D58" s="25"/>
      <x:c r="E58" s="25"/>
      <x:c r="F58" s="25"/>
      <x:c r="G58" s="25"/>
      <x:c r="H58" s="25"/>
      <x:c r="I58" s="25"/>
      <x:c r="J58" s="25"/>
      <x:c r="K58" s="25"/>
      <x:c r="L58" s="25"/>
      <x:c r="M58" s="25"/>
      <x:c r="N58"/>
    </x:row>
    <x:row r="59" ht="26" customHeight="1">
      <x:c r="A59" s="25"/>
      <x:c r="B59" s="25"/>
      <x:c r="C59" s="25"/>
      <x:c r="D59" s="25"/>
      <x:c r="E59" s="25"/>
      <x:c r="F59" s="25"/>
      <x:c r="G59" s="25"/>
      <x:c r="H59" s="25"/>
      <x:c r="I59" s="25"/>
      <x:c r="J59" s="25"/>
      <x:c r="K59" s="25"/>
      <x:c r="L59" s="25"/>
      <x:c r="M59" s="25"/>
      <x:c r="N59"/>
    </x:row>
    <x:row r="60" ht="26" customHeight="1">
      <x:c r="A60" s="25"/>
      <x:c r="B60" s="25"/>
      <x:c r="C60" s="25"/>
      <x:c r="D60" s="25"/>
      <x:c r="E60" s="25"/>
      <x:c r="F60" s="25"/>
      <x:c r="G60" s="25"/>
      <x:c r="H60" s="25"/>
      <x:c r="I60" s="25"/>
      <x:c r="J60" s="25"/>
      <x:c r="K60" s="25"/>
      <x:c r="L60" s="25"/>
      <x:c r="M60" s="25"/>
      <x:c r="N60"/>
    </x:row>
    <x:row r="61" ht="26" customHeight="1">
      <x:c r="A61" s="25"/>
      <x:c r="B61" s="25"/>
      <x:c r="C61" s="25"/>
      <x:c r="D61" s="25"/>
      <x:c r="E61" s="25"/>
      <x:c r="F61" s="25"/>
      <x:c r="G61" s="25"/>
      <x:c r="H61" s="25"/>
      <x:c r="I61" s="25"/>
      <x:c r="J61" s="25"/>
      <x:c r="K61" s="25"/>
      <x:c r="L61" s="25"/>
      <x:c r="M61" s="25"/>
      <x:c r="N61"/>
    </x:row>
    <x:row r="62" ht="26" customHeight="1">
      <x:c r="A62" s="25"/>
      <x:c r="B62" s="25"/>
      <x:c r="C62" s="25"/>
      <x:c r="D62" s="25"/>
      <x:c r="E62" s="25"/>
      <x:c r="F62" s="25"/>
      <x:c r="G62" s="25"/>
      <x:c r="H62" s="25"/>
      <x:c r="I62" s="25"/>
      <x:c r="J62" s="25"/>
      <x:c r="K62" s="25"/>
      <x:c r="L62" s="25"/>
      <x:c r="M62" s="25"/>
      <x:c r="N62"/>
    </x:row>
    <x:row r="63" ht="26" customHeight="1">
      <x:c r="A63" s="25"/>
      <x:c r="B63" s="25"/>
      <x:c r="C63" s="25"/>
      <x:c r="D63" s="25"/>
      <x:c r="E63" s="25"/>
      <x:c r="F63" s="25"/>
      <x:c r="G63" s="25"/>
      <x:c r="H63" s="25"/>
      <x:c r="I63" s="25"/>
      <x:c r="J63" s="25"/>
      <x:c r="K63" s="25"/>
      <x:c r="L63" s="25"/>
      <x:c r="M63" s="25"/>
      <x:c r="N63"/>
    </x:row>
    <x:row r="64" ht="26" customHeight="1">
      <x:c r="A64" s="25"/>
      <x:c r="B64" s="25"/>
      <x:c r="C64" s="25"/>
      <x:c r="D64" s="25"/>
      <x:c r="E64" s="25"/>
      <x:c r="F64" s="25"/>
      <x:c r="G64" s="25"/>
      <x:c r="H64" s="25"/>
      <x:c r="I64" s="25"/>
      <x:c r="J64" s="25"/>
      <x:c r="K64" s="25"/>
      <x:c r="L64" s="25"/>
      <x:c r="M64" s="25"/>
      <x:c r="N64"/>
    </x:row>
    <x:row r="65" ht="26" customHeight="1">
      <x:c r="A65" s="25"/>
      <x:c r="B65" s="25"/>
      <x:c r="C65" s="25"/>
      <x:c r="D65" s="25"/>
      <x:c r="E65" s="25"/>
      <x:c r="F65" s="25"/>
      <x:c r="G65" s="25"/>
      <x:c r="H65" s="25"/>
      <x:c r="I65" s="25"/>
      <x:c r="J65" s="25"/>
      <x:c r="K65" s="25"/>
      <x:c r="L65" s="25"/>
      <x:c r="M65" s="25"/>
      <x:c r="N65"/>
    </x:row>
    <x:row r="66" ht="26" customHeight="1">
      <x:c r="A66" s="25"/>
      <x:c r="B66" s="25"/>
      <x:c r="C66" s="25"/>
      <x:c r="D66" s="25"/>
      <x:c r="E66" s="25"/>
      <x:c r="F66" s="25"/>
      <x:c r="G66" s="25"/>
      <x:c r="H66" s="25"/>
      <x:c r="I66" s="25"/>
      <x:c r="J66" s="25"/>
      <x:c r="K66" s="25"/>
      <x:c r="L66" s="25"/>
      <x:c r="M66" s="25"/>
      <x:c r="N66"/>
    </x:row>
    <x:row r="67" ht="26" customHeight="1">
      <x:c r="A67" s="25"/>
      <x:c r="B67" s="25"/>
      <x:c r="C67" s="25"/>
      <x:c r="D67" s="25"/>
      <x:c r="E67" s="25"/>
      <x:c r="F67" s="25"/>
      <x:c r="G67" s="25"/>
      <x:c r="H67" s="25"/>
      <x:c r="I67" s="25"/>
      <x:c r="J67" s="25"/>
      <x:c r="K67" s="25"/>
      <x:c r="L67" s="25"/>
      <x:c r="M67" s="25"/>
      <x:c r="N67"/>
    </x:row>
    <x:row r="68" ht="26" customHeight="1">
      <x:c r="A68" s="25"/>
      <x:c r="B68" s="25"/>
      <x:c r="C68" s="25"/>
      <x:c r="D68" s="25"/>
      <x:c r="E68" s="25"/>
      <x:c r="F68" s="25"/>
      <x:c r="G68" s="25"/>
      <x:c r="H68" s="25"/>
      <x:c r="I68" s="25"/>
      <x:c r="J68" s="25"/>
      <x:c r="K68" s="25"/>
      <x:c r="L68" s="25"/>
      <x:c r="M68" s="25"/>
      <x:c r="N68"/>
    </x:row>
    <x:row r="69" ht="26" customHeight="1">
      <x:c r="A69" s="25"/>
      <x:c r="B69" s="25"/>
      <x:c r="C69" s="25"/>
      <x:c r="D69" s="25"/>
      <x:c r="E69" s="25"/>
      <x:c r="F69" s="25"/>
      <x:c r="G69" s="25"/>
      <x:c r="H69" s="25"/>
      <x:c r="I69" s="25"/>
      <x:c r="J69" s="25"/>
      <x:c r="K69" s="25"/>
      <x:c r="L69" s="25"/>
      <x:c r="M69" s="25"/>
      <x:c r="N69"/>
    </x:row>
    <x:row r="70" ht="26" customHeight="1">
      <x:c r="A70" s="25"/>
      <x:c r="B70" s="25"/>
      <x:c r="C70" s="25"/>
      <x:c r="D70" s="25"/>
      <x:c r="E70" s="25"/>
      <x:c r="F70" s="25"/>
      <x:c r="G70" s="25"/>
      <x:c r="H70" s="25"/>
      <x:c r="I70" s="25"/>
      <x:c r="J70" s="25"/>
      <x:c r="K70" s="25"/>
      <x:c r="L70" s="25"/>
      <x:c r="M70" s="25"/>
      <x:c r="N70"/>
    </x:row>
    <x:row r="71" ht="26" customHeight="1">
      <x:c r="A71" s="25"/>
      <x:c r="B71" s="25"/>
      <x:c r="C71" s="25"/>
      <x:c r="D71" s="25"/>
      <x:c r="E71" s="25"/>
      <x:c r="F71" s="25"/>
      <x:c r="G71" s="25"/>
      <x:c r="H71" s="25"/>
      <x:c r="I71" s="25"/>
      <x:c r="J71" s="25"/>
      <x:c r="K71" s="25"/>
      <x:c r="L71" s="25"/>
      <x:c r="M71" s="25"/>
      <x:c r="N71"/>
    </x:row>
    <x:row r="72" ht="26" customHeight="1">
      <x:c r="A72" s="25"/>
      <x:c r="B72" s="25"/>
      <x:c r="C72" s="25"/>
      <x:c r="D72" s="25"/>
      <x:c r="E72" s="25"/>
      <x:c r="F72" s="25"/>
      <x:c r="G72" s="25"/>
      <x:c r="H72" s="25"/>
      <x:c r="I72" s="25"/>
      <x:c r="J72" s="25"/>
      <x:c r="K72" s="25"/>
      <x:c r="L72" s="25"/>
      <x:c r="M72" s="25"/>
    </x:row>
    <x:row r="73" ht="26" customHeight="1">
      <x:c r="A73" s="25"/>
      <x:c r="B73" s="25"/>
      <x:c r="C73" s="25"/>
      <x:c r="D73" s="25"/>
      <x:c r="E73" s="25"/>
      <x:c r="F73" s="25"/>
      <x:c r="G73" s="25"/>
      <x:c r="H73" s="25"/>
      <x:c r="I73" s="25"/>
      <x:c r="J73" s="25"/>
      <x:c r="K73" s="25"/>
      <x:c r="L73" s="25"/>
      <x:c r="M73" s="25"/>
    </x:row>
    <x:row r="74" ht="26" customHeight="1">
      <x:c r="A74" s="25"/>
      <x:c r="B74" s="25"/>
      <x:c r="C74" s="25"/>
      <x:c r="D74" s="25"/>
      <x:c r="E74" s="25"/>
      <x:c r="F74" s="25"/>
      <x:c r="G74" s="25"/>
      <x:c r="H74" s="25"/>
      <x:c r="I74" s="25"/>
      <x:c r="J74" s="25"/>
      <x:c r="K74" s="25"/>
      <x:c r="L74" s="25"/>
      <x:c r="M74" s="25"/>
    </x:row>
    <x:row r="75" ht="26" customHeight="1">
      <x:c r="A75" s="25"/>
      <x:c r="B75" s="25"/>
      <x:c r="C75" s="25"/>
      <x:c r="D75" s="25"/>
      <x:c r="E75" s="25"/>
      <x:c r="F75" s="25"/>
      <x:c r="G75" s="25"/>
      <x:c r="H75" s="25"/>
      <x:c r="I75" s="25"/>
      <x:c r="J75" s="25"/>
      <x:c r="K75" s="25"/>
      <x:c r="L75" s="25"/>
      <x:c r="M75" s="25"/>
    </x:row>
    <x:row r="76" ht="26" customHeight="1">
      <x:c r="A76" s="25"/>
      <x:c r="B76" s="25"/>
      <x:c r="C76" s="25"/>
      <x:c r="D76" s="25"/>
      <x:c r="E76" s="25"/>
      <x:c r="F76" s="25"/>
      <x:c r="G76" s="25"/>
      <x:c r="H76" s="25"/>
      <x:c r="I76" s="25"/>
      <x:c r="J76" s="25"/>
      <x:c r="K76" s="25"/>
      <x:c r="L76" s="25"/>
      <x:c r="M76" s="25"/>
    </x:row>
    <x:row r="77" ht="26" customHeight="1">
      <x:c r="A77" s="25"/>
      <x:c r="B77" s="25"/>
      <x:c r="C77" s="25"/>
      <x:c r="D77" s="25"/>
      <x:c r="E77" s="25"/>
      <x:c r="F77" s="25"/>
      <x:c r="G77" s="25"/>
      <x:c r="H77" s="25"/>
      <x:c r="I77" s="25"/>
      <x:c r="J77" s="25"/>
      <x:c r="K77" s="25"/>
      <x:c r="L77" s="25"/>
      <x:c r="M77" s="25"/>
    </x:row>
    <x:row r="78" ht="26" customHeight="1">
      <x:c r="A78" s="25"/>
      <x:c r="B78" s="25"/>
      <x:c r="C78" s="25"/>
      <x:c r="D78" s="25"/>
      <x:c r="E78" s="25"/>
      <x:c r="F78" s="25"/>
      <x:c r="G78" s="25"/>
      <x:c r="H78" s="25"/>
      <x:c r="I78" s="25"/>
      <x:c r="J78" s="25"/>
      <x:c r="K78" s="25"/>
      <x:c r="L78" s="25"/>
      <x:c r="M78" s="25"/>
    </x:row>
    <x:row r="79" ht="26" customHeight="1">
      <x:c r="A79" s="25"/>
      <x:c r="B79" s="25"/>
      <x:c r="C79" s="25"/>
      <x:c r="D79" s="25"/>
      <x:c r="E79" s="25"/>
      <x:c r="F79" s="25"/>
      <x:c r="G79" s="25"/>
      <x:c r="H79" s="25"/>
      <x:c r="I79" s="25"/>
      <x:c r="J79" s="25"/>
      <x:c r="K79" s="25"/>
      <x:c r="L79" s="25"/>
      <x:c r="M79" s="25"/>
    </x:row>
    <x:row r="80" ht="26" customHeight="1">
      <x:c r="A80" s="25"/>
      <x:c r="B80" s="25"/>
      <x:c r="C80" s="25"/>
      <x:c r="D80" s="25"/>
      <x:c r="E80" s="25"/>
      <x:c r="F80" s="25"/>
      <x:c r="G80" s="25"/>
      <x:c r="H80" s="25"/>
      <x:c r="I80" s="25"/>
      <x:c r="J80" s="25"/>
      <x:c r="K80" s="25"/>
      <x:c r="L80" s="25"/>
      <x:c r="M80" s="25"/>
    </x:row>
    <x:row r="81" ht="26" customHeight="1">
      <x:c r="A81" s="25"/>
      <x:c r="B81" s="25"/>
      <x:c r="C81" s="25"/>
      <x:c r="D81" s="25"/>
      <x:c r="E81" s="25"/>
      <x:c r="F81" s="25"/>
      <x:c r="G81" s="25"/>
      <x:c r="H81" s="25"/>
      <x:c r="I81" s="25"/>
      <x:c r="J81" s="25"/>
      <x:c r="K81" s="25"/>
      <x:c r="L81" s="25"/>
      <x:c r="M81" s="25"/>
    </x:row>
    <x:row r="82" ht="26" customHeight="1">
      <x:c r="A82" s="25"/>
      <x:c r="B82" s="25"/>
      <x:c r="C82" s="25"/>
      <x:c r="D82" s="25"/>
      <x:c r="E82" s="25"/>
      <x:c r="F82" s="25"/>
      <x:c r="G82" s="25"/>
      <x:c r="H82" s="25"/>
      <x:c r="I82" s="25"/>
      <x:c r="J82" s="25"/>
      <x:c r="K82" s="25"/>
      <x:c r="L82" s="25"/>
      <x:c r="M82" s="25"/>
    </x:row>
    <x:row r="83" ht="26" customHeight="1">
      <x:c r="A83" s="25"/>
      <x:c r="B83" s="25"/>
      <x:c r="C83" s="25"/>
      <x:c r="D83" s="25"/>
      <x:c r="E83" s="25"/>
      <x:c r="F83" s="25"/>
      <x:c r="G83" s="25"/>
      <x:c r="H83" s="25"/>
      <x:c r="I83" s="25"/>
      <x:c r="J83" s="25"/>
      <x:c r="K83" s="25"/>
      <x:c r="L83" s="25"/>
      <x:c r="M83" s="25"/>
    </x:row>
    <x:row r="84" ht="26" customHeight="1">
      <x:c r="A84" s="25"/>
      <x:c r="B84" s="25"/>
      <x:c r="C84" s="25"/>
      <x:c r="D84" s="25"/>
      <x:c r="E84" s="25"/>
      <x:c r="F84" s="25"/>
      <x:c r="G84" s="25"/>
      <x:c r="H84" s="25"/>
      <x:c r="I84" s="25"/>
      <x:c r="J84" s="25"/>
      <x:c r="K84" s="25"/>
      <x:c r="L84" s="25"/>
      <x:c r="M84" s="25"/>
    </x:row>
    <x:row r="85" ht="26" customHeight="1">
      <x:c r="A85" s="25"/>
      <x:c r="B85" s="25"/>
      <x:c r="C85" s="25"/>
      <x:c r="D85" s="25"/>
      <x:c r="E85" s="25"/>
      <x:c r="F85" s="25"/>
      <x:c r="G85" s="25"/>
      <x:c r="H85" s="25"/>
      <x:c r="I85" s="25"/>
      <x:c r="J85" s="25"/>
      <x:c r="K85" s="25"/>
      <x:c r="L85" s="25"/>
      <x:c r="M85" s="25"/>
    </x:row>
    <x:row r="86" ht="26" customHeight="1">
      <x:c r="A86" s="25"/>
      <x:c r="B86" s="25"/>
      <x:c r="C86" s="25"/>
      <x:c r="D86" s="25"/>
      <x:c r="E86" s="25"/>
      <x:c r="F86" s="25"/>
      <x:c r="G86" s="25"/>
      <x:c r="H86" s="25"/>
      <x:c r="I86" s="25"/>
      <x:c r="J86" s="25"/>
      <x:c r="K86" s="25"/>
      <x:c r="L86" s="25"/>
      <x:c r="M86" s="25"/>
    </x:row>
    <x:row r="87" ht="26" customHeight="1">
      <x:c r="A87" s="25"/>
      <x:c r="B87" s="25"/>
      <x:c r="C87" s="25"/>
      <x:c r="D87" s="25"/>
      <x:c r="E87" s="25"/>
      <x:c r="F87" s="25"/>
      <x:c r="G87" s="25"/>
      <x:c r="H87" s="25"/>
      <x:c r="I87" s="25"/>
      <x:c r="J87" s="25"/>
      <x:c r="K87" s="25"/>
      <x:c r="L87" s="25"/>
      <x:c r="M87" s="25"/>
    </x:row>
    <x:row r="88" ht="26" customHeight="1">
      <x:c r="A88" s="25"/>
      <x:c r="B88" s="25"/>
      <x:c r="C88" s="25"/>
      <x:c r="D88" s="25"/>
      <x:c r="E88" s="25"/>
      <x:c r="F88" s="25"/>
      <x:c r="G88" s="25"/>
      <x:c r="H88" s="25"/>
      <x:c r="I88" s="25"/>
      <x:c r="J88" s="25"/>
      <x:c r="K88" s="25"/>
      <x:c r="L88" s="25"/>
      <x:c r="M88" s="25"/>
    </x:row>
    <x:row r="89" ht="26" customHeight="1">
      <x:c r="A89" s="25"/>
      <x:c r="B89" s="25"/>
      <x:c r="C89" s="25"/>
      <x:c r="D89" s="25"/>
      <x:c r="E89" s="25"/>
      <x:c r="F89" s="25"/>
      <x:c r="G89" s="25"/>
      <x:c r="H89" s="25"/>
      <x:c r="I89" s="25"/>
      <x:c r="J89" s="25"/>
      <x:c r="K89" s="25"/>
      <x:c r="L89" s="25"/>
      <x:c r="M89" s="25"/>
    </x:row>
    <x:row r="90" ht="26" customHeight="1">
      <x:c r="A90" s="25"/>
      <x:c r="B90" s="25"/>
      <x:c r="C90" s="25"/>
      <x:c r="D90" s="25"/>
      <x:c r="E90" s="25"/>
      <x:c r="F90" s="25"/>
      <x:c r="G90" s="25"/>
      <x:c r="H90" s="25"/>
      <x:c r="I90" s="25"/>
      <x:c r="J90" s="25"/>
      <x:c r="K90" s="25"/>
      <x:c r="L90" s="25"/>
      <x:c r="M90" s="25"/>
    </x:row>
    <x:row r="91" ht="21.950000762939453" customHeight="1"/>
    <x:row r="92" ht="21.950000762939453" customHeight="1"/>
    <x:row r="93" ht="21.950000762939453" customHeight="1"/>
    <x:row r="94" ht="21.950000762939453" customHeight="1"/>
    <x:row r="95" ht="21.950000762939453" customHeight="1"/>
    <x:row r="96" ht="21.950000762939453" customHeight="1"/>
    <x:row r="97" ht="21.950000762939453" customHeight="1"/>
    <x:row r="98" ht="21.950000762939453" customHeight="1"/>
    <x:row r="99" ht="21.950000762939453" customHeight="1"/>
    <x:row r="100" ht="21.950000762939453" customHeight="1"/>
    <x:row r="101" ht="21.950000762939453" customHeight="1"/>
    <x:row r="102" ht="21.950000762939453" customHeight="1"/>
    <x:row r="103" ht="21.950000762939453" customHeight="1"/>
    <x:row r="104" ht="21.950000762939453" customHeight="1"/>
    <x:row r="105" ht="21.950000762939453" customHeight="1"/>
    <x:row r="106" ht="21.950000762939453" customHeight="1"/>
    <x:row r="107" ht="21.950000762939453" customHeight="1"/>
    <x:row r="108" ht="21.950000762939453" customHeight="1"/>
    <x:row r="109" ht="21.950000762939453" customHeight="1"/>
    <x:row r="110" ht="21.950000762939453" customHeight="1"/>
    <x:row r="111" ht="21.950000762939453" customHeight="1"/>
    <x:row r="112" ht="21.950000762939453" customHeight="1"/>
    <x:row r="113" ht="21.950000762939453" customHeight="1"/>
    <x:row r="114" ht="21.950000762939453" customHeight="1"/>
    <x:row r="115" ht="21.950000762939453" customHeight="1"/>
    <x:row r="116" ht="21.950000762939453" customHeight="1"/>
    <x:row r="117" ht="21.950000762939453" customHeight="1"/>
    <x:row r="118" ht="21.950000762939453" customHeight="1"/>
    <x:row r="119" ht="21.950000762939453" customHeight="1"/>
    <x:row r="120" ht="21.950000762939453" customHeight="1"/>
    <x:row r="121" ht="21.950000762939453" customHeight="1"/>
    <x:row r="122" ht="21.950000762939453" customHeight="1"/>
    <x:row r="123" ht="21.950000762939453" customHeight="1"/>
    <x:row r="124" ht="35.099998474121094" customHeight="1"/>
    <x:row r="125" ht="21.950000762939453" customHeight="1"/>
    <x:row r="126" ht="21.950000762939453" customHeight="1"/>
    <x:row r="127" ht="21.950000762939453" customHeight="1"/>
    <x:row r="128" ht="21.950000762939453" customHeight="1"/>
    <x:row r="129" ht="21.950000762939453" customHeight="1"/>
    <x:row r="130" ht="21.950000762939453" customHeight="1"/>
    <x:row r="131" ht="21.950000762939453" customHeight="1"/>
    <x:row r="132" ht="21.950000762939453" customHeight="1"/>
    <x:row r="133" ht="21.950000762939453" customHeight="1"/>
    <x:row r="134" ht="21.950000762939453" customHeight="1"/>
    <x:row r="135" ht="21.950000762939453" customHeight="1"/>
    <x:row r="136" ht="21.950000762939453" customHeight="1"/>
    <x:row r="137" ht="21.950000762939453" customHeight="1"/>
    <x:row r="138" ht="21.950000762939453" customHeight="1"/>
    <x:row r="139" ht="21.950000762939453" customHeight="1"/>
    <x:row r="140" ht="21.950000762939453" customHeight="1"/>
    <x:row r="141" ht="21.950000762939453" customHeight="1"/>
    <x:row r="142" ht="21.950000762939453" customHeight="1"/>
    <x:row r="143" ht="21.950000762939453" customHeight="1"/>
    <x:row r="144" ht="21.950000762939453" customHeight="1"/>
    <x:row r="145" ht="21.950000762939453" customHeight="1"/>
    <x:row r="146" ht="21.950000762939453" customHeight="1"/>
    <x:row r="147" ht="21.950000762939453" customHeight="1"/>
    <x:row r="148" ht="21.950000762939453" customHeight="1"/>
    <x:row r="149" ht="21.950000762939453" customHeight="1"/>
    <x:row r="150" ht="21.950000762939453" customHeight="1"/>
    <x:row r="151" ht="21.950000762939453" customHeight="1"/>
    <x:row r="152" ht="21.950000762939453" customHeight="1"/>
    <x:row r="153" ht="21.950000762939453" customHeight="1"/>
    <x:row r="154" ht="21.950000762939453" customHeight="1"/>
    <x:row r="155" ht="21.950000762939453" customHeight="1"/>
    <x:row r="156" ht="21.950000762939453" customHeight="1"/>
    <x:row r="157" ht="21.950000762939453" customHeight="1"/>
  </x:sheetData>
  <x:mergeCells>
    <x:mergeCell ref="B2:K3"/>
    <x:mergeCell ref="B49:D49"/>
  </x:mergeCells>
  <x:pageMargins left="0.7" right="0.7" top="0.75" bottom="0.75" header="0.3" footer="0.3"/>
</x:worksheet>
</file>