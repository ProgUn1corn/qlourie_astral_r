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n1corn\.codex\visualizations\2026\09\05\01a07025-ed7a-7f60-89f7-3275b6531400\xlsx-locale-20261027\output\"/>
    </mc:Choice>
  </mc:AlternateContent>
  <xr:revisionPtr revIDLastSave="0" documentId="13_ncr:1_{AFB83C99-68F3-40E7-A8CA-B2880586DE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Locale" sheetId="2" state="hidden" r:id="rId2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A1" i="1" s="1"/>
  <c r="D17" i="2"/>
  <c r="A23" i="1" s="1"/>
  <c r="D16" i="2"/>
  <c r="A9" i="1" s="1"/>
  <c r="D15" i="2"/>
  <c r="D14" i="2"/>
  <c r="A13" i="1" s="1"/>
  <c r="D13" i="2"/>
  <c r="E12" i="1" s="1"/>
  <c r="D12" i="2"/>
  <c r="D11" i="2"/>
  <c r="D10" i="2"/>
  <c r="D9" i="2"/>
  <c r="A4" i="1" s="1"/>
  <c r="D8" i="2"/>
  <c r="D7" i="2"/>
  <c r="D6" i="2"/>
  <c r="A20" i="1" s="1"/>
  <c r="D5" i="2"/>
  <c r="D4" i="2"/>
  <c r="D3" i="2"/>
  <c r="A18" i="1" s="1"/>
  <c r="D2" i="2"/>
  <c r="A17" i="1" s="1"/>
  <c r="A21" i="1"/>
  <c r="E19" i="1"/>
  <c r="A19" i="1"/>
  <c r="A16" i="1"/>
  <c r="A14" i="1"/>
  <c r="A12" i="1"/>
  <c r="A11" i="1"/>
  <c r="A10" i="1"/>
  <c r="C7" i="1"/>
  <c r="B7" i="1"/>
  <c r="D6" i="1"/>
  <c r="B6" i="1"/>
  <c r="D5" i="1"/>
  <c r="C5" i="1"/>
  <c r="E4" i="1"/>
</calcChain>
</file>

<file path=xl/sharedStrings.xml><?xml version="1.0" encoding="utf-8"?>
<sst xmlns="http://schemas.openxmlformats.org/spreadsheetml/2006/main" count="68" uniqueCount="67">
  <si>
    <t>X</t>
    <phoneticPr fontId="3" type="noConversion"/>
  </si>
  <si>
    <t>Y</t>
    <phoneticPr fontId="3" type="noConversion"/>
  </si>
  <si>
    <t>Z</t>
    <phoneticPr fontId="3" type="noConversion"/>
  </si>
  <si>
    <t>P1</t>
    <phoneticPr fontId="3" type="noConversion"/>
  </si>
  <si>
    <t>P2</t>
    <phoneticPr fontId="3" type="noConversion"/>
  </si>
  <si>
    <t>P3X</t>
    <phoneticPr fontId="3" type="noConversion"/>
  </si>
  <si>
    <t>P3Y</t>
    <phoneticPr fontId="3" type="noConversion"/>
  </si>
  <si>
    <t>P3Z</t>
    <phoneticPr fontId="3" type="noConversion"/>
  </si>
  <si>
    <t>A</t>
    <phoneticPr fontId="3" type="noConversion"/>
  </si>
  <si>
    <t>Rail calculator</t>
  </si>
  <si>
    <t>坐标与长度单位：m。黄色单元格为手动输入。</t>
  </si>
  <si>
    <t>Language / 语言</t>
  </si>
  <si>
    <t>简体中文</t>
  </si>
  <si>
    <t>key</t>
  </si>
  <si>
    <t>en-US</t>
  </si>
  <si>
    <t>zh-CN</t>
  </si>
  <si>
    <t>Active</t>
  </si>
  <si>
    <t>label.frontArm</t>
  </si>
  <si>
    <t>Front Arm</t>
  </si>
  <si>
    <t>前轴摆臂</t>
  </si>
  <si>
    <t>label.frontGravelBottom</t>
  </si>
  <si>
    <t>Front Gravel Bottom</t>
  </si>
  <si>
    <t>前轴砂石下支点</t>
  </si>
  <si>
    <t>label.frontGravelCaster</t>
  </si>
  <si>
    <t>Front Gravel Caster</t>
  </si>
  <si>
    <t>前轴砂石后倾角</t>
  </si>
  <si>
    <t>label.frontRxCaster</t>
  </si>
  <si>
    <t>Front RX Caster</t>
  </si>
  <si>
    <t>前轴 RX 后倾角</t>
  </si>
  <si>
    <t>label.frontTarmacBottom</t>
  </si>
  <si>
    <t>Front Tarmac Bottom</t>
  </si>
  <si>
    <t>前轴柏油下支点</t>
  </si>
  <si>
    <t>label.frontTarmacCaster</t>
  </si>
  <si>
    <t>Front Tarmac Caster</t>
  </si>
  <si>
    <t>前轴柏油后倾角</t>
  </si>
  <si>
    <t>label.frontTop</t>
  </si>
  <si>
    <t>Front Top</t>
  </si>
  <si>
    <t>前轴上支点</t>
  </si>
  <si>
    <t>label.length</t>
  </si>
  <si>
    <t>Length</t>
  </si>
  <si>
    <t>长度</t>
  </si>
  <si>
    <t>label.rearArm</t>
  </si>
  <si>
    <t>Rear Arm</t>
  </si>
  <si>
    <t>后轴摆臂</t>
  </si>
  <si>
    <t>label.rearGravelBottom</t>
  </si>
  <si>
    <t>Rear Gravel Bottom</t>
  </si>
  <si>
    <t>后轴砂石下支点</t>
  </si>
  <si>
    <t>label.rearGravelCaster</t>
  </si>
  <si>
    <t>Rear Gravel Caster</t>
  </si>
  <si>
    <t>后轴砂石后倾角</t>
  </si>
  <si>
    <t>label.rearRxCaster</t>
  </si>
  <si>
    <t>Rear RX Caster</t>
  </si>
  <si>
    <t>后轴 RX 后倾角</t>
  </si>
  <si>
    <t>label.rearTarmacBottom</t>
  </si>
  <si>
    <t>Rear Tarmac Bottom</t>
  </si>
  <si>
    <t>后轴柏油下支点</t>
  </si>
  <si>
    <t>label.rearTarmacCaster</t>
  </si>
  <si>
    <t>Rear Tarmac Caster</t>
  </si>
  <si>
    <t>后轴柏油后倾角</t>
  </si>
  <si>
    <t>label.rearTop</t>
  </si>
  <si>
    <t>Rear Top</t>
  </si>
  <si>
    <t>后轴上支点</t>
  </si>
  <si>
    <t>note.coordinateLengthUnits</t>
  </si>
  <si>
    <t>Coordinate and length units: m. Yellow cells are manual inputs.</t>
  </si>
  <si>
    <t>title.railCalculator</t>
  </si>
  <si>
    <t>滑轨计算器</t>
  </si>
  <si>
    <t>简体中文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</si>
</sst>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0"/>
      <color rgb="FF283C50"/>
      <name val="Arial"/>
      <family val="2"/>
    </font>
    <font>
      <b/>
      <sz val="12"/>
      <color rgb="FFFFFFFF"/>
      <name val="Arial"/>
      <family val="2"/>
    </font>
    <font>
      <sz val="11"/>
      <color rgb="FF667B91"/>
      <name val="Arial"/>
      <family val="2"/>
    </font>
    <font>
      <sz val="11"/>
      <color rgb="FF667B91"/>
      <name val="Arial"/>
      <family val="2"/>
    </font>
    <font>
      <b/>
      <sz val="11"/>
      <color rgb="FF283C50"/>
      <name val="Arial"/>
      <family val="2"/>
    </font>
    <font>
      <b/>
      <sz val="11"/>
      <color rgb="FF283C50"/>
      <name val="Arial"/>
      <family val="2"/>
    </font>
    <font>
      <sz val="11"/>
      <color rgb="FF195DB1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195DB1"/>
      <name val="Arial"/>
      <family val="2"/>
    </font>
    <font>
      <sz val="11"/>
      <color rgb="FF195DB1"/>
      <name val="Arial"/>
      <family val="2"/>
    </font>
    <font>
      <sz val="11"/>
      <color rgb="FF667B91"/>
      <name val="Arial"/>
      <family val="2"/>
    </font>
    <font>
      <sz val="11"/>
      <color rgb="FF283C50"/>
      <name val="Arial"/>
      <family val="2"/>
    </font>
    <font>
      <sz val="11"/>
      <color rgb="FF667B91"/>
      <name val="Arial"/>
      <family val="2"/>
    </font>
    <font>
      <sz val="11"/>
      <color rgb="FF283C50"/>
      <name val="Arial"/>
      <family val="2"/>
    </font>
    <font>
      <sz val="10"/>
      <color rgb="FF667B91"/>
      <name val="Arial"/>
      <family val="2"/>
    </font>
    <font>
      <sz val="10"/>
      <color rgb="FF667B91"/>
      <name val="微软雅黑"/>
      <family val="2"/>
      <charset val="134"/>
    </font>
    <font>
      <sz val="10"/>
      <color rgb="FF667B91"/>
      <name val="Arial"/>
      <family val="2"/>
    </font>
    <font>
      <sz val="10"/>
      <color rgb="FF667B91"/>
      <name val="Arial"/>
      <family val="2"/>
    </font>
    <font>
      <sz val="11"/>
      <color rgb="FF222222"/>
      <name val="Arial"/>
      <family val="2"/>
    </font>
    <font>
      <b/>
      <sz val="11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24">
    <xf numFmtId="0" fontId="0" fillId="0" borderId="0" xfId="0"/>
    <xf numFmtId="0" fontId="4" fillId="4" borderId="1" xfId="2" applyFont="1" applyFill="1" applyBorder="1" applyAlignment="1">
      <alignment horizontal="left" vertical="center"/>
    </xf>
    <xf numFmtId="0" fontId="5" fillId="5" borderId="2" xfId="2" applyFont="1" applyFill="1" applyBorder="1" applyAlignment="1">
      <alignment horizontal="left" vertical="center" wrapText="1"/>
    </xf>
    <xf numFmtId="0" fontId="6" fillId="6" borderId="3" xfId="2" applyFont="1" applyFill="1" applyBorder="1" applyAlignment="1">
      <alignment horizontal="left" vertical="center"/>
    </xf>
    <xf numFmtId="0" fontId="7" fillId="7" borderId="4" xfId="2" applyFont="1" applyFill="1" applyBorder="1" applyAlignment="1">
      <alignment horizontal="left" vertical="center"/>
    </xf>
    <xf numFmtId="0" fontId="8" fillId="8" borderId="5" xfId="1" applyFont="1" applyFill="1" applyBorder="1" applyAlignment="1">
      <alignment vertical="center" wrapText="1"/>
    </xf>
    <xf numFmtId="0" fontId="9" fillId="9" borderId="6" xfId="1" applyFont="1" applyFill="1" applyBorder="1" applyAlignment="1">
      <alignment horizontal="right" vertical="center" wrapText="1"/>
    </xf>
    <xf numFmtId="0" fontId="10" fillId="10" borderId="7" xfId="2" applyFont="1" applyFill="1" applyBorder="1" applyAlignment="1">
      <alignment horizontal="right" vertical="center"/>
    </xf>
    <xf numFmtId="0" fontId="11" fillId="11" borderId="8" xfId="2" applyFont="1" applyFill="1" applyBorder="1" applyAlignment="1">
      <alignment horizontal="right" vertical="center"/>
    </xf>
    <xf numFmtId="0" fontId="12" fillId="12" borderId="9" xfId="2" applyFont="1" applyFill="1" applyBorder="1" applyAlignment="1">
      <alignment horizontal="right" vertical="center"/>
    </xf>
    <xf numFmtId="0" fontId="13" fillId="13" borderId="10" xfId="2" applyFont="1" applyFill="1" applyBorder="1" applyAlignment="1">
      <alignment horizontal="right" vertical="center"/>
    </xf>
    <xf numFmtId="0" fontId="14" fillId="14" borderId="11" xfId="2" applyFont="1" applyFill="1" applyBorder="1" applyAlignment="1">
      <alignment horizontal="right" vertical="center"/>
    </xf>
    <xf numFmtId="0" fontId="15" fillId="15" borderId="12" xfId="2" applyFont="1" applyFill="1" applyBorder="1" applyAlignment="1">
      <alignment horizontal="left" vertical="center"/>
    </xf>
    <xf numFmtId="0" fontId="16" fillId="16" borderId="13" xfId="0" applyFont="1" applyFill="1" applyBorder="1" applyAlignment="1">
      <alignment horizontal="right" vertical="center"/>
    </xf>
    <xf numFmtId="0" fontId="17" fillId="17" borderId="14" xfId="2" applyFont="1" applyFill="1" applyBorder="1" applyAlignment="1">
      <alignment horizontal="left" vertical="center"/>
    </xf>
    <xf numFmtId="0" fontId="18" fillId="18" borderId="15" xfId="0" applyFont="1" applyFill="1" applyBorder="1" applyAlignment="1">
      <alignment horizontal="right" vertical="center"/>
    </xf>
    <xf numFmtId="0" fontId="19" fillId="19" borderId="16" xfId="2" applyFont="1" applyFill="1" applyBorder="1" applyAlignment="1">
      <alignment vertical="center"/>
    </xf>
    <xf numFmtId="0" fontId="20" fillId="20" borderId="17" xfId="0" applyFont="1" applyFill="1" applyBorder="1" applyAlignment="1">
      <alignment horizontal="left" vertical="center"/>
    </xf>
    <xf numFmtId="0" fontId="21" fillId="21" borderId="18" xfId="0" applyFont="1" applyFill="1" applyBorder="1" applyAlignment="1">
      <alignment vertical="center"/>
    </xf>
    <xf numFmtId="0" fontId="22" fillId="22" borderId="19" xfId="0" applyFont="1" applyFill="1" applyBorder="1" applyAlignment="1">
      <alignment horizontal="left" vertical="center"/>
    </xf>
    <xf numFmtId="0" fontId="23" fillId="23" borderId="20" xfId="0" applyFont="1" applyFill="1" applyBorder="1"/>
    <xf numFmtId="0" fontId="24" fillId="25" borderId="20" xfId="0" applyFont="1" applyFill="1" applyBorder="1"/>
    <xf numFmtId="0" fontId="23" fillId="23" borderId="20" xfId="0" applyFont="1" applyFill="1" applyBorder="1" applyAlignment="1">
      <alignment vertical="center"/>
    </xf>
    <xf numFmtId="0" fontId="23" fillId="24" borderId="20" xfId="0" applyFont="1" applyFill="1" applyBorder="1" applyAlignment="1">
      <alignment vertical="center"/>
    </xf>
  </cellXfs>
  <cellStyles count="3">
    <cellStyle name="40% - 着色 1" xfId="2" builtinId="31"/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205" zoomScaleNormal="205" workbookViewId="0">
      <selection activeCell="C8" sqref="C8"/>
    </sheetView>
  </sheetViews>
  <sheetFormatPr defaultRowHeight="14" x14ac:dyDescent="0.3"/>
  <cols>
    <col min="1" max="1" width="31" customWidth="1"/>
    <col min="2" max="4" width="16" bestFit="1" customWidth="1"/>
    <col min="5" max="5" width="31" customWidth="1"/>
    <col min="6" max="8" width="16" customWidth="1"/>
  </cols>
  <sheetData>
    <row r="1" spans="1:9" ht="22" customHeight="1" x14ac:dyDescent="0.3">
      <c r="A1" s="1" t="str">
        <f>VLOOKUP("title.railCalculator",Locale!$A$2:$D$18,4,FALSE)</f>
        <v>滑轨计算器</v>
      </c>
      <c r="B1" s="2" t="s">
        <v>0</v>
      </c>
      <c r="C1" s="2" t="s">
        <v>1</v>
      </c>
      <c r="D1" s="2" t="s">
        <v>2</v>
      </c>
      <c r="F1" s="22" t="s">
        <v>11</v>
      </c>
      <c r="G1" s="22" t="s">
        <v>11</v>
      </c>
      <c r="H1" s="23" t="s">
        <v>66</v>
      </c>
      <c r="I1" s="23" t="s">
        <v>12</v>
      </c>
    </row>
    <row r="2" spans="1:9" ht="30" customHeight="1" x14ac:dyDescent="0.3">
      <c r="A2" s="3" t="s">
        <v>3</v>
      </c>
      <c r="B2" s="15">
        <v>0.752</v>
      </c>
      <c r="C2" s="15">
        <v>-1.2949999999999999</v>
      </c>
      <c r="D2" s="15">
        <v>2.1000000000000001E-2</v>
      </c>
    </row>
    <row r="3" spans="1:9" ht="30" customHeight="1" x14ac:dyDescent="0.3">
      <c r="A3" s="4" t="s">
        <v>4</v>
      </c>
      <c r="B3" s="15">
        <v>0.27200000000000002</v>
      </c>
      <c r="C3" s="15">
        <v>-0.97499999999999998</v>
      </c>
      <c r="D3" s="15">
        <v>0.105</v>
      </c>
    </row>
    <row r="4" spans="1:9" ht="32.15" customHeight="1" x14ac:dyDescent="0.3">
      <c r="A4" s="5" t="str">
        <f>VLOOKUP("label.length",Locale!$A$2:$D$18,4,FALSE)</f>
        <v>长度</v>
      </c>
      <c r="B4" s="5"/>
      <c r="C4" s="5"/>
      <c r="D4" s="5" t="s">
        <v>8</v>
      </c>
      <c r="E4" s="6">
        <f>SQRT((B3-B2)^2+(C3-C2)^2+(D3-D2)^2)</f>
        <v>0.58297169742621291</v>
      </c>
    </row>
    <row r="5" spans="1:9" ht="30" customHeight="1" x14ac:dyDescent="0.3">
      <c r="A5" s="3" t="s">
        <v>5</v>
      </c>
      <c r="B5" s="7">
        <v>0.47899999999999998</v>
      </c>
      <c r="C5" s="8">
        <f>((B5-B3)/(B3-B2))*(C3-C2)+C3</f>
        <v>-1.113</v>
      </c>
      <c r="D5" s="8">
        <f>((B5-B3)/(B3-B2))*(D3-D2)+D3</f>
        <v>6.8775000000000003E-2</v>
      </c>
    </row>
    <row r="6" spans="1:9" ht="30" customHeight="1" x14ac:dyDescent="0.3">
      <c r="A6" s="4" t="s">
        <v>6</v>
      </c>
      <c r="B6" s="9">
        <f>((C6-C3)/(C3-C2))*(B3-B2)+B3</f>
        <v>-1.1905000000000001</v>
      </c>
      <c r="C6" s="10">
        <v>0</v>
      </c>
      <c r="D6" s="9">
        <f>((C6-C3)/(C3-C2))*(D3-D2)+D3</f>
        <v>0.36093749999999997</v>
      </c>
    </row>
    <row r="7" spans="1:9" ht="30" customHeight="1" x14ac:dyDescent="0.3">
      <c r="A7" s="3" t="s">
        <v>7</v>
      </c>
      <c r="B7" s="8">
        <f>((D7-D3)/(D3-D2))*(B3-B2)+B3</f>
        <v>-0.47085714285714297</v>
      </c>
      <c r="C7" s="8">
        <f>((D7-D3)/(D3-D2))*(C3-C2)+C3</f>
        <v>-0.47976190476190472</v>
      </c>
      <c r="D7" s="11">
        <v>0.23499999999999999</v>
      </c>
    </row>
    <row r="8" spans="1:9" x14ac:dyDescent="0.3">
      <c r="A8" s="18"/>
      <c r="B8" s="18"/>
      <c r="C8" s="18"/>
      <c r="D8" s="18"/>
      <c r="E8" s="18"/>
      <c r="F8" s="18"/>
      <c r="G8" s="18"/>
      <c r="H8" s="18"/>
    </row>
    <row r="9" spans="1:9" ht="30" customHeight="1" x14ac:dyDescent="0.3">
      <c r="A9" s="12" t="str">
        <f>VLOOKUP("label.rearTop",Locale!$A$2:$D$18,4,FALSE)</f>
        <v>后轴上支点</v>
      </c>
      <c r="B9" s="13">
        <v>0.55000000000000004</v>
      </c>
      <c r="C9" s="13">
        <v>1.337</v>
      </c>
      <c r="D9" s="13">
        <v>0.79700000000000004</v>
      </c>
    </row>
    <row r="10" spans="1:9" ht="30" customHeight="1" x14ac:dyDescent="0.3">
      <c r="A10" s="14" t="str">
        <f>VLOOKUP("label.rearArm",Locale!$A$2:$D$18,4,FALSE)</f>
        <v>后轴摆臂</v>
      </c>
      <c r="B10" s="15">
        <v>0.222</v>
      </c>
      <c r="C10" s="15">
        <v>1.333</v>
      </c>
      <c r="D10" s="15">
        <v>0.108</v>
      </c>
    </row>
    <row r="11" spans="1:9" ht="30" customHeight="1" x14ac:dyDescent="0.3">
      <c r="A11" s="12" t="str">
        <f>VLOOKUP("label.rearGravelBottom",Locale!$A$2:$D$18,4,FALSE)</f>
        <v>后轴砂石下支点</v>
      </c>
      <c r="B11" s="13">
        <v>0.57640000000000002</v>
      </c>
      <c r="C11" s="13">
        <v>1.355</v>
      </c>
      <c r="D11" s="13">
        <v>1.41E-2</v>
      </c>
    </row>
    <row r="12" spans="1:9" ht="30" customHeight="1" x14ac:dyDescent="0.3">
      <c r="A12" s="14" t="str">
        <f>VLOOKUP("label.rearGravelCaster",Locale!$A$2:$D$18,4,FALSE)</f>
        <v>后轴砂石后倾角</v>
      </c>
      <c r="B12" s="15">
        <v>0.747</v>
      </c>
      <c r="C12" s="15">
        <v>1.3009999999999999</v>
      </c>
      <c r="D12" s="15">
        <v>-6.3E-2</v>
      </c>
      <c r="E12" s="12" t="str">
        <f>VLOOKUP("label.rearRxCaster",Locale!$A$2:$D$18,4,FALSE)</f>
        <v>后轴 RX 后倾角</v>
      </c>
      <c r="F12" s="13">
        <v>0.747</v>
      </c>
      <c r="G12" s="13">
        <v>1.3009999999999999</v>
      </c>
      <c r="H12" s="13">
        <v>-6.3E-2</v>
      </c>
    </row>
    <row r="13" spans="1:9" ht="30" customHeight="1" x14ac:dyDescent="0.3">
      <c r="A13" s="12" t="str">
        <f>VLOOKUP("label.rearTarmacBottom",Locale!$A$2:$D$18,4,FALSE)</f>
        <v>后轴柏油下支点</v>
      </c>
      <c r="B13" s="13">
        <v>0.56769999999999998</v>
      </c>
      <c r="C13" s="13">
        <v>1.351</v>
      </c>
      <c r="D13" s="13">
        <v>0.17</v>
      </c>
    </row>
    <row r="14" spans="1:9" ht="30" customHeight="1" x14ac:dyDescent="0.3">
      <c r="A14" s="14" t="str">
        <f>VLOOKUP("label.rearTarmacCaster",Locale!$A$2:$D$18,4,FALSE)</f>
        <v>后轴柏油后倾角</v>
      </c>
      <c r="B14" s="15">
        <v>0.749</v>
      </c>
      <c r="C14" s="15">
        <v>1.341</v>
      </c>
      <c r="D14" s="15">
        <v>0.01</v>
      </c>
    </row>
    <row r="15" spans="1:9" x14ac:dyDescent="0.3">
      <c r="A15" s="16"/>
      <c r="B15" s="18"/>
      <c r="C15" s="18"/>
      <c r="D15" s="18"/>
      <c r="E15" s="18"/>
      <c r="F15" s="18"/>
      <c r="G15" s="18"/>
      <c r="H15" s="18"/>
    </row>
    <row r="16" spans="1:9" ht="30" customHeight="1" x14ac:dyDescent="0.3">
      <c r="A16" s="12" t="str">
        <f>VLOOKUP("label.frontTop",Locale!$A$2:$D$18,4,FALSE)</f>
        <v>前轴上支点</v>
      </c>
      <c r="B16" s="13">
        <v>0.58099999999999996</v>
      </c>
      <c r="C16" s="13">
        <v>-1.22</v>
      </c>
      <c r="D16" s="13">
        <v>0.81499999999999995</v>
      </c>
    </row>
    <row r="17" spans="1:8" ht="30" customHeight="1" x14ac:dyDescent="0.3">
      <c r="A17" s="14" t="str">
        <f>VLOOKUP("label.frontArm",Locale!$A$2:$D$18,4,FALSE)</f>
        <v>前轴摆臂</v>
      </c>
      <c r="B17" s="15">
        <v>0.27200000000000002</v>
      </c>
      <c r="C17" s="15">
        <v>-0.97499999999999998</v>
      </c>
      <c r="D17" s="15">
        <v>0.105</v>
      </c>
    </row>
    <row r="18" spans="1:8" ht="30" customHeight="1" x14ac:dyDescent="0.3">
      <c r="A18" s="12" t="str">
        <f>VLOOKUP("label.frontGravelBottom",Locale!$A$2:$D$18,4,FALSE)</f>
        <v>前轴砂石下支点</v>
      </c>
      <c r="B18" s="13">
        <v>0.62270000000000003</v>
      </c>
      <c r="C18" s="13">
        <v>-1.3589</v>
      </c>
      <c r="D18" s="13">
        <v>5.0700000000000002E-2</v>
      </c>
    </row>
    <row r="19" spans="1:8" ht="30" customHeight="1" x14ac:dyDescent="0.3">
      <c r="A19" s="14" t="str">
        <f>VLOOKUP("label.frontGravelCaster",Locale!$A$2:$D$18,4,FALSE)</f>
        <v>前轴砂石后倾角</v>
      </c>
      <c r="B19" s="15">
        <v>0.747</v>
      </c>
      <c r="C19" s="15">
        <v>-1.3</v>
      </c>
      <c r="D19" s="15">
        <v>-5.2999999999999999E-2</v>
      </c>
      <c r="E19" s="12" t="str">
        <f>VLOOKUP("label.frontRxCaster",Locale!$A$2:$D$18,4,FALSE)</f>
        <v>前轴 RX 后倾角</v>
      </c>
      <c r="F19" s="13">
        <v>0.747</v>
      </c>
      <c r="G19" s="13">
        <v>-1.3</v>
      </c>
      <c r="H19" s="13">
        <v>-6.3E-2</v>
      </c>
    </row>
    <row r="20" spans="1:8" ht="30" customHeight="1" x14ac:dyDescent="0.3">
      <c r="A20" s="12" t="str">
        <f>VLOOKUP("label.frontTarmacBottom",Locale!$A$2:$D$18,4,FALSE)</f>
        <v>前轴柏油下支点</v>
      </c>
      <c r="B20" s="13">
        <v>0.61099999999999999</v>
      </c>
      <c r="C20" s="13">
        <v>-1.333</v>
      </c>
      <c r="D20" s="13">
        <v>0.20300000000000001</v>
      </c>
    </row>
    <row r="21" spans="1:8" ht="30" customHeight="1" x14ac:dyDescent="0.3">
      <c r="A21" s="14" t="str">
        <f>VLOOKUP("label.frontTarmacCaster",Locale!$A$2:$D$18,4,FALSE)</f>
        <v>前轴柏油后倾角</v>
      </c>
      <c r="B21" s="15">
        <v>0.752</v>
      </c>
      <c r="C21" s="15">
        <v>-1.2949999999999999</v>
      </c>
      <c r="D21" s="15">
        <v>2.1000000000000001E-2</v>
      </c>
    </row>
    <row r="22" spans="1:8" x14ac:dyDescent="0.3">
      <c r="A22" s="18"/>
      <c r="B22" s="18"/>
      <c r="C22" s="18"/>
      <c r="D22" s="18"/>
      <c r="E22" s="18"/>
      <c r="F22" s="18"/>
      <c r="G22" s="18"/>
      <c r="H22" s="18"/>
    </row>
    <row r="23" spans="1:8" ht="28" customHeight="1" x14ac:dyDescent="0.3">
      <c r="A23" s="17" t="str">
        <f>VLOOKUP("note.coordinateLengthUnits",Locale!$A$2:$D$18,4,FALSE)</f>
        <v>坐标与长度单位：m。黄色单元格为手动输入。</v>
      </c>
      <c r="B23" s="19"/>
      <c r="C23" s="19"/>
      <c r="D23" s="19"/>
      <c r="E23" s="19"/>
      <c r="F23" s="19"/>
      <c r="G23" s="19"/>
      <c r="H23" s="19"/>
    </row>
  </sheetData>
  <mergeCells count="2">
    <mergeCell ref="F1:G1"/>
    <mergeCell ref="H1:I1"/>
  </mergeCells>
  <phoneticPr fontId="3" type="noConversion"/>
  <dataValidations count="1">
    <dataValidation type="list" sqref="H1:I1" xr:uid="{00000000-0002-0000-0000-000000000000}">
      <formula1>"English,简体中文"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4" x14ac:dyDescent="0.3"/>
  <sheetData>
    <row r="1" spans="1:4" x14ac:dyDescent="0.3">
      <c r="A1" s="21" t="s">
        <v>13</v>
      </c>
      <c r="B1" s="21" t="s">
        <v>14</v>
      </c>
      <c r="C1" s="21" t="s">
        <v>15</v>
      </c>
      <c r="D1" s="21" t="s">
        <v>16</v>
      </c>
    </row>
    <row r="2" spans="1:4" x14ac:dyDescent="0.3">
      <c r="A2" s="20" t="s">
        <v>17</v>
      </c>
      <c r="B2" s="20" t="s">
        <v>18</v>
      </c>
      <c r="C2" s="20" t="s">
        <v>19</v>
      </c>
      <c r="D2" s="20" t="str">
        <f>IF(Sheet1!$H$1="English",B2,C2)</f>
        <v>前轴摆臂</v>
      </c>
    </row>
    <row r="3" spans="1:4" x14ac:dyDescent="0.3">
      <c r="A3" s="20" t="s">
        <v>20</v>
      </c>
      <c r="B3" s="20" t="s">
        <v>21</v>
      </c>
      <c r="C3" s="20" t="s">
        <v>22</v>
      </c>
      <c r="D3" s="20" t="str">
        <f>IF(Sheet1!$H$1="English",B3,C3)</f>
        <v>前轴砂石下支点</v>
      </c>
    </row>
    <row r="4" spans="1:4" x14ac:dyDescent="0.3">
      <c r="A4" s="20" t="s">
        <v>23</v>
      </c>
      <c r="B4" s="20" t="s">
        <v>24</v>
      </c>
      <c r="C4" s="20" t="s">
        <v>25</v>
      </c>
      <c r="D4" s="20" t="str">
        <f>IF(Sheet1!$H$1="English",B4,C4)</f>
        <v>前轴砂石后倾角</v>
      </c>
    </row>
    <row r="5" spans="1:4" x14ac:dyDescent="0.3">
      <c r="A5" s="20" t="s">
        <v>26</v>
      </c>
      <c r="B5" s="20" t="s">
        <v>27</v>
      </c>
      <c r="C5" s="20" t="s">
        <v>28</v>
      </c>
      <c r="D5" s="20" t="str">
        <f>IF(Sheet1!$H$1="English",B5,C5)</f>
        <v>前轴 RX 后倾角</v>
      </c>
    </row>
    <row r="6" spans="1:4" x14ac:dyDescent="0.3">
      <c r="A6" s="20" t="s">
        <v>29</v>
      </c>
      <c r="B6" s="20" t="s">
        <v>30</v>
      </c>
      <c r="C6" s="20" t="s">
        <v>31</v>
      </c>
      <c r="D6" s="20" t="str">
        <f>IF(Sheet1!$H$1="English",B6,C6)</f>
        <v>前轴柏油下支点</v>
      </c>
    </row>
    <row r="7" spans="1:4" x14ac:dyDescent="0.3">
      <c r="A7" s="20" t="s">
        <v>32</v>
      </c>
      <c r="B7" s="20" t="s">
        <v>33</v>
      </c>
      <c r="C7" s="20" t="s">
        <v>34</v>
      </c>
      <c r="D7" s="20" t="str">
        <f>IF(Sheet1!$H$1="English",B7,C7)</f>
        <v>前轴柏油后倾角</v>
      </c>
    </row>
    <row r="8" spans="1:4" x14ac:dyDescent="0.3">
      <c r="A8" s="20" t="s">
        <v>35</v>
      </c>
      <c r="B8" s="20" t="s">
        <v>36</v>
      </c>
      <c r="C8" s="20" t="s">
        <v>37</v>
      </c>
      <c r="D8" s="20" t="str">
        <f>IF(Sheet1!$H$1="English",B8,C8)</f>
        <v>前轴上支点</v>
      </c>
    </row>
    <row r="9" spans="1:4" x14ac:dyDescent="0.3">
      <c r="A9" s="20" t="s">
        <v>38</v>
      </c>
      <c r="B9" s="20" t="s">
        <v>39</v>
      </c>
      <c r="C9" s="20" t="s">
        <v>40</v>
      </c>
      <c r="D9" s="20" t="str">
        <f>IF(Sheet1!$H$1="English",B9,C9)</f>
        <v>长度</v>
      </c>
    </row>
    <row r="10" spans="1:4" x14ac:dyDescent="0.3">
      <c r="A10" s="20" t="s">
        <v>41</v>
      </c>
      <c r="B10" s="20" t="s">
        <v>42</v>
      </c>
      <c r="C10" s="20" t="s">
        <v>43</v>
      </c>
      <c r="D10" s="20" t="str">
        <f>IF(Sheet1!$H$1="English",B10,C10)</f>
        <v>后轴摆臂</v>
      </c>
    </row>
    <row r="11" spans="1:4" x14ac:dyDescent="0.3">
      <c r="A11" s="20" t="s">
        <v>44</v>
      </c>
      <c r="B11" s="20" t="s">
        <v>45</v>
      </c>
      <c r="C11" s="20" t="s">
        <v>46</v>
      </c>
      <c r="D11" s="20" t="str">
        <f>IF(Sheet1!$H$1="English",B11,C11)</f>
        <v>后轴砂石下支点</v>
      </c>
    </row>
    <row r="12" spans="1:4" x14ac:dyDescent="0.3">
      <c r="A12" s="20" t="s">
        <v>47</v>
      </c>
      <c r="B12" s="20" t="s">
        <v>48</v>
      </c>
      <c r="C12" s="20" t="s">
        <v>49</v>
      </c>
      <c r="D12" s="20" t="str">
        <f>IF(Sheet1!$H$1="English",B12,C12)</f>
        <v>后轴砂石后倾角</v>
      </c>
    </row>
    <row r="13" spans="1:4" x14ac:dyDescent="0.3">
      <c r="A13" s="20" t="s">
        <v>50</v>
      </c>
      <c r="B13" s="20" t="s">
        <v>51</v>
      </c>
      <c r="C13" s="20" t="s">
        <v>52</v>
      </c>
      <c r="D13" s="20" t="str">
        <f>IF(Sheet1!$H$1="English",B13,C13)</f>
        <v>后轴 RX 后倾角</v>
      </c>
    </row>
    <row r="14" spans="1:4" x14ac:dyDescent="0.3">
      <c r="A14" s="20" t="s">
        <v>53</v>
      </c>
      <c r="B14" s="20" t="s">
        <v>54</v>
      </c>
      <c r="C14" s="20" t="s">
        <v>55</v>
      </c>
      <c r="D14" s="20" t="str">
        <f>IF(Sheet1!$H$1="English",B14,C14)</f>
        <v>后轴柏油下支点</v>
      </c>
    </row>
    <row r="15" spans="1:4" x14ac:dyDescent="0.3">
      <c r="A15" s="20" t="s">
        <v>56</v>
      </c>
      <c r="B15" s="20" t="s">
        <v>57</v>
      </c>
      <c r="C15" s="20" t="s">
        <v>58</v>
      </c>
      <c r="D15" s="20" t="str">
        <f>IF(Sheet1!$H$1="English",B15,C15)</f>
        <v>后轴柏油后倾角</v>
      </c>
    </row>
    <row r="16" spans="1:4" x14ac:dyDescent="0.3">
      <c r="A16" s="20" t="s">
        <v>59</v>
      </c>
      <c r="B16" s="20" t="s">
        <v>60</v>
      </c>
      <c r="C16" s="20" t="s">
        <v>61</v>
      </c>
      <c r="D16" s="20" t="str">
        <f>IF(Sheet1!$H$1="English",B16,C16)</f>
        <v>后轴上支点</v>
      </c>
    </row>
    <row r="17" spans="1:4" x14ac:dyDescent="0.3">
      <c r="A17" s="20" t="s">
        <v>62</v>
      </c>
      <c r="B17" s="20" t="s">
        <v>63</v>
      </c>
      <c r="C17" s="20" t="s">
        <v>10</v>
      </c>
      <c r="D17" s="20" t="str">
        <f>IF(Sheet1!$H$1="English",B17,C17)</f>
        <v>坐标与长度单位：m。黄色单元格为手动输入。</v>
      </c>
    </row>
    <row r="18" spans="1:4" x14ac:dyDescent="0.3">
      <c r="A18" s="20" t="s">
        <v>64</v>
      </c>
      <c r="B18" s="20" t="s">
        <v>9</v>
      </c>
      <c r="C18" s="20" t="s">
        <v>65</v>
      </c>
      <c r="D18" s="20" t="str">
        <f>IF(Sheet1!$H$1="English",B18,C18)</f>
        <v>滑轨计算器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Locale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Un1corn Prog</dc:creator>
  <cp:lastModifiedBy>Un1corn Prog</cp:lastModifiedBy>
  <cp:lastPrinted>2026-10-27T06:19:08Z</cp:lastPrinted>
  <dcterms:created xsi:type="dcterms:W3CDTF">2015-06-05T18:19:34Z</dcterms:created>
  <dcterms:modified xsi:type="dcterms:W3CDTF">2026-10-27T06:19:12Z</dcterms:modified>
</cp:coreProperties>
</file>