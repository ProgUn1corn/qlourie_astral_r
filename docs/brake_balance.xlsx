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xlsx-locale-20261027\output\"/>
    </mc:Choice>
  </mc:AlternateContent>
  <xr:revisionPtr revIDLastSave="0" documentId="13_ncr:1_{F1AC3E66-BF99-4FD5-A577-E247D35DA850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Balance Map" sheetId="1" r:id="rId1"/>
    <sheet name="Parameters" sheetId="2" r:id="rId2"/>
    <sheet name="Calculations" sheetId="3" r:id="rId3"/>
    <sheet name="Locale" sheetId="4" state="hidden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4" l="1"/>
  <c r="B2" i="2" s="1"/>
  <c r="D39" i="4"/>
  <c r="B2" i="3" s="1"/>
  <c r="D38" i="4"/>
  <c r="B2" i="1" s="1"/>
  <c r="D37" i="4"/>
  <c r="B8" i="3" s="1"/>
  <c r="D36" i="4"/>
  <c r="D35" i="4"/>
  <c r="B5" i="3" s="1"/>
  <c r="D34" i="4"/>
  <c r="G12" i="3" s="1"/>
  <c r="D33" i="4"/>
  <c r="D32" i="4"/>
  <c r="C12" i="3" s="1"/>
  <c r="D31" i="4"/>
  <c r="E12" i="3" s="1"/>
  <c r="D30" i="4"/>
  <c r="D29" i="4"/>
  <c r="D28" i="4"/>
  <c r="H8" i="1" s="1"/>
  <c r="D27" i="4"/>
  <c r="D26" i="4"/>
  <c r="D25" i="4"/>
  <c r="D5" i="3" s="1"/>
  <c r="D24" i="4"/>
  <c r="B7" i="3" s="1"/>
  <c r="D23" i="4"/>
  <c r="D22" i="4"/>
  <c r="D21" i="4"/>
  <c r="D20" i="4"/>
  <c r="B11" i="3" s="1"/>
  <c r="D19" i="4"/>
  <c r="F12" i="3" s="1"/>
  <c r="D18" i="4"/>
  <c r="D17" i="4"/>
  <c r="H12" i="3" s="1"/>
  <c r="D16" i="4"/>
  <c r="H9" i="1" s="1"/>
  <c r="D15" i="4"/>
  <c r="D14" i="4"/>
  <c r="D12" i="3" s="1"/>
  <c r="D13" i="4"/>
  <c r="B12" i="3" s="1"/>
  <c r="D12" i="4"/>
  <c r="B6" i="1" s="1"/>
  <c r="D11" i="4"/>
  <c r="D10" i="4"/>
  <c r="D9" i="4"/>
  <c r="D8" i="4"/>
  <c r="D7" i="4"/>
  <c r="D6" i="4"/>
  <c r="D5" i="4"/>
  <c r="D4" i="4"/>
  <c r="D3" i="4"/>
  <c r="D2" i="4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D7" i="3"/>
  <c r="C7" i="3"/>
  <c r="D6" i="3"/>
  <c r="C6" i="3"/>
  <c r="B6" i="3"/>
  <c r="C5" i="3"/>
  <c r="D14" i="2"/>
  <c r="C14" i="2"/>
  <c r="B14" i="2"/>
  <c r="B13" i="2"/>
  <c r="I6" i="2"/>
  <c r="H6" i="2"/>
  <c r="G6" i="2"/>
  <c r="D6" i="2"/>
  <c r="C6" i="2"/>
  <c r="B6" i="2"/>
  <c r="G5" i="2"/>
  <c r="B5" i="2"/>
  <c r="F13" i="1"/>
  <c r="E13" i="1"/>
  <c r="D13" i="1"/>
  <c r="C12" i="1"/>
  <c r="H10" i="1"/>
  <c r="C9" i="1"/>
  <c r="C8" i="1"/>
  <c r="H7" i="1"/>
  <c r="C7" i="1"/>
  <c r="H6" i="1"/>
  <c r="F6" i="1"/>
  <c r="E6" i="1"/>
  <c r="D6" i="1"/>
  <c r="H5" i="1"/>
  <c r="C5" i="1"/>
  <c r="D8" i="3" l="1"/>
  <c r="C8" i="3"/>
  <c r="G13" i="3" l="1"/>
  <c r="G14" i="3"/>
  <c r="G15" i="3"/>
  <c r="G16" i="3"/>
  <c r="G17" i="3"/>
  <c r="G18" i="3"/>
  <c r="G19" i="3"/>
  <c r="G20" i="3"/>
  <c r="G21" i="3"/>
  <c r="F13" i="3"/>
  <c r="F14" i="3"/>
  <c r="F15" i="3"/>
  <c r="F16" i="3"/>
  <c r="F17" i="3"/>
  <c r="F18" i="3"/>
  <c r="F19" i="3"/>
  <c r="F20" i="3"/>
  <c r="F21" i="3"/>
  <c r="H20" i="3" l="1"/>
  <c r="E9" i="1" s="1"/>
  <c r="H21" i="3"/>
  <c r="F9" i="1" s="1"/>
  <c r="H19" i="3"/>
  <c r="D9" i="1" s="1"/>
  <c r="H18" i="3"/>
  <c r="F8" i="1" s="1"/>
  <c r="H17" i="3"/>
  <c r="E8" i="1" s="1"/>
  <c r="H16" i="3"/>
  <c r="D8" i="1" s="1"/>
  <c r="H13" i="3"/>
  <c r="D7" i="1" s="1"/>
  <c r="H15" i="3"/>
  <c r="F7" i="1" s="1"/>
  <c r="H14" i="3"/>
  <c r="E7" i="1" s="1"/>
</calcChain>
</file>

<file path=xl/sharedStrings.xml><?xml version="1.0" encoding="utf-8"?>
<sst xmlns="http://schemas.openxmlformats.org/spreadsheetml/2006/main" count="132" uniqueCount="127">
  <si>
    <t>Astral · Brake balance</t>
  </si>
  <si>
    <t>Setup</t>
  </si>
  <si>
    <t>Rear MC</t>
  </si>
  <si>
    <t>Balance bar</t>
  </si>
  <si>
    <t>Front MC</t>
  </si>
  <si>
    <t>Front disc</t>
  </si>
  <si>
    <t>Rear disc</t>
  </si>
  <si>
    <t>Front pad</t>
  </si>
  <si>
    <t>Type-C</t>
  </si>
  <si>
    <t>Rear pad</t>
  </si>
  <si>
    <t>固定色阶</t>
  </si>
  <si>
    <t>偏后</t>
  </si>
  <si>
    <t>前后相等</t>
  </si>
  <si>
    <t>偏前</t>
  </si>
  <si>
    <t>Astral · Brake parameters</t>
  </si>
  <si>
    <t>Brake disc constants</t>
  </si>
  <si>
    <t>Brake pad multipliers</t>
  </si>
  <si>
    <t>Disc (mm)</t>
  </si>
  <si>
    <t>Front K (N·m)</t>
  </si>
  <si>
    <t>Rear K (N·m)</t>
  </si>
  <si>
    <t>Pad</t>
  </si>
  <si>
    <t>Front ×</t>
  </si>
  <si>
    <t>Rear ×</t>
  </si>
  <si>
    <t>Type-A</t>
  </si>
  <si>
    <t>Type-B</t>
  </si>
  <si>
    <t>Master cylinder multipliers</t>
  </si>
  <si>
    <t>MC (mm)</t>
  </si>
  <si>
    <t>Astral · Brake calculations</t>
  </si>
  <si>
    <t>Selected setup</t>
  </si>
  <si>
    <t>Front</t>
  </si>
  <si>
    <t>Rear</t>
  </si>
  <si>
    <t>Disc K (N·m)</t>
  </si>
  <si>
    <t>Pad multiplier</t>
  </si>
  <si>
    <t>Weight before MC</t>
  </si>
  <si>
    <t>Master cylinder combinations</t>
  </si>
  <si>
    <t>Front MC (mm)</t>
  </si>
  <si>
    <t>Rear MC (mm)</t>
  </si>
  <si>
    <t>Front MC ×</t>
  </si>
  <si>
    <t>Rear MC ×</t>
  </si>
  <si>
    <t>Front weight</t>
  </si>
  <si>
    <t>Rear weight</t>
  </si>
  <si>
    <t>Front share</t>
  </si>
  <si>
    <t>Language / 语言</t>
  </si>
  <si>
    <t>简体中文</t>
  </si>
  <si>
    <t>key</t>
  </si>
  <si>
    <t>en-US</t>
  </si>
  <si>
    <t>zh-CN</t>
  </si>
  <si>
    <t>Active</t>
  </si>
  <si>
    <t>label.balanceBar</t>
  </si>
  <si>
    <t>制动平衡杆</t>
  </si>
  <si>
    <t>label.brakeDiscConstants</t>
  </si>
  <si>
    <t>制动盘常数</t>
  </si>
  <si>
    <t>label.brakePadMultipliers</t>
  </si>
  <si>
    <t>制动片倍率</t>
  </si>
  <si>
    <t>label.discMm</t>
  </si>
  <si>
    <t>制动盘 (mm)</t>
  </si>
  <si>
    <t>label.discTorqueConstant</t>
  </si>
  <si>
    <t>制动盘 K (N·m)</t>
  </si>
  <si>
    <t>label.equalFrontRear</t>
  </si>
  <si>
    <t>Equal front / rear</t>
  </si>
  <si>
    <t>label.fixedColorScale</t>
  </si>
  <si>
    <t>Fixed color scale</t>
  </si>
  <si>
    <t>label.front</t>
  </si>
  <si>
    <t>前轴</t>
  </si>
  <si>
    <t>label.frontBiased</t>
  </si>
  <si>
    <t>Front-biased</t>
  </si>
  <si>
    <t>label.frontDisc</t>
  </si>
  <si>
    <t>前轴制动盘</t>
  </si>
  <si>
    <t>label.frontMasterCylinder</t>
  </si>
  <si>
    <t>前制动主缸</t>
  </si>
  <si>
    <t>label.frontMasterCylinderMm</t>
  </si>
  <si>
    <t>前制动主缸 (mm)</t>
  </si>
  <si>
    <t>label.frontMasterCylinderMultiplier</t>
  </si>
  <si>
    <t>前制动主缸 ×</t>
  </si>
  <si>
    <t>label.frontMultiplier</t>
  </si>
  <si>
    <t>前轴 ×</t>
  </si>
  <si>
    <t>label.frontPad</t>
  </si>
  <si>
    <t>前轴制动片</t>
  </si>
  <si>
    <t>label.frontShare</t>
  </si>
  <si>
    <t>前轴占比</t>
  </si>
  <si>
    <t>label.frontTorqueConstant</t>
  </si>
  <si>
    <t>前轴 K (N·m)</t>
  </si>
  <si>
    <t>label.frontWeight</t>
  </si>
  <si>
    <t>前轴权重</t>
  </si>
  <si>
    <t>label.masterCylinderCombinations</t>
  </si>
  <si>
    <t>制动主缸组合</t>
  </si>
  <si>
    <t>label.masterCylinderMm</t>
  </si>
  <si>
    <t>制动主缸 (mm)</t>
  </si>
  <si>
    <t>label.masterCylinderMultipliers</t>
  </si>
  <si>
    <t>制动主缸倍率</t>
  </si>
  <si>
    <t>label.pad</t>
  </si>
  <si>
    <t>制动片</t>
  </si>
  <si>
    <t>label.padMultiplier</t>
  </si>
  <si>
    <t>label.rear</t>
  </si>
  <si>
    <t>后轴</t>
  </si>
  <si>
    <t>label.rearBiased</t>
  </si>
  <si>
    <t>Rear-biased</t>
  </si>
  <si>
    <t>label.rearBrakeK</t>
  </si>
  <si>
    <t>后轴 K (N·m)</t>
  </si>
  <si>
    <t>label.rearDisc</t>
  </si>
  <si>
    <t>后轴制动盘</t>
  </si>
  <si>
    <t>label.rearFactor</t>
  </si>
  <si>
    <t>后轴 ×</t>
  </si>
  <si>
    <t>label.rearMasterCylinder</t>
  </si>
  <si>
    <t>后制动主缸</t>
  </si>
  <si>
    <t>label.rearMasterCylinderFactor</t>
  </si>
  <si>
    <t>后制动主缸 ×</t>
  </si>
  <si>
    <t>label.rearMasterCylinderMm</t>
  </si>
  <si>
    <t>后制动主缸 (mm)</t>
  </si>
  <si>
    <t>label.rearPad</t>
  </si>
  <si>
    <t>后轴制动片</t>
  </si>
  <si>
    <t>label.rearWeight</t>
  </si>
  <si>
    <t>后轴权重</t>
  </si>
  <si>
    <t>label.selectedSetup</t>
  </si>
  <si>
    <t>所选设定</t>
  </si>
  <si>
    <t>label.setup</t>
  </si>
  <si>
    <t>设定组合</t>
  </si>
  <si>
    <t>label.weightBeforeMasterCylinder</t>
  </si>
  <si>
    <t>主缸前权重</t>
  </si>
  <si>
    <t>title.brakeBalance</t>
  </si>
  <si>
    <t>Astral · 制动平衡</t>
  </si>
  <si>
    <t>title.brakeCalculations</t>
  </si>
  <si>
    <t>Astral · 制动计算</t>
  </si>
  <si>
    <t>title.brakeParameters</t>
  </si>
  <si>
    <t>Astral · 制动参数</t>
  </si>
  <si>
    <t>Type-A</t>
    <phoneticPr fontId="2" type="noConversion"/>
  </si>
  <si>
    <t>简体中文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</si>
</sst>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&quot; mm&quot;"/>
    <numFmt numFmtId="177" formatCode="0.0%"/>
    <numFmt numFmtId="178" formatCode="0&quot; mm&quot;"/>
    <numFmt numFmtId="179" formatCode="0.000"/>
  </numFmts>
  <fonts count="30" x14ac:knownFonts="1">
    <font>
      <sz val="11"/>
      <color theme="1"/>
      <name val="Arial"/>
    </font>
    <font>
      <sz val="11"/>
      <color rgb="FF283C50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b/>
      <sz val="22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5" fillId="5" borderId="3" xfId="0" applyFont="1" applyFill="1" applyBorder="1">
      <alignment vertical="center"/>
    </xf>
    <xf numFmtId="9" fontId="6" fillId="6" borderId="4" xfId="0" applyNumberFormat="1" applyFont="1" applyFill="1" applyBorder="1" applyAlignment="1">
      <alignment horizontal="right" vertical="center"/>
    </xf>
    <xf numFmtId="0" fontId="7" fillId="7" borderId="5" xfId="0" applyFont="1" applyFill="1" applyBorder="1" applyAlignment="1">
      <alignment horizontal="center" vertical="center" wrapText="1"/>
    </xf>
    <xf numFmtId="0" fontId="8" fillId="8" borderId="6" xfId="0" applyFont="1" applyFill="1" applyBorder="1">
      <alignment vertical="center"/>
    </xf>
    <xf numFmtId="178" fontId="9" fillId="9" borderId="7" xfId="0" applyNumberFormat="1" applyFont="1" applyFill="1" applyBorder="1" applyAlignment="1">
      <alignment horizontal="right" vertical="center"/>
    </xf>
    <xf numFmtId="176" fontId="10" fillId="10" borderId="8" xfId="0" applyNumberFormat="1" applyFont="1" applyFill="1" applyBorder="1" applyAlignment="1">
      <alignment horizontal="center" vertical="center"/>
    </xf>
    <xf numFmtId="177" fontId="11" fillId="11" borderId="1" xfId="0" applyNumberFormat="1" applyFont="1" applyFill="1" applyBorder="1" applyAlignment="1">
      <alignment horizontal="center" vertical="center"/>
    </xf>
    <xf numFmtId="176" fontId="12" fillId="12" borderId="9" xfId="0" applyNumberFormat="1" applyFon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right" vertical="center"/>
    </xf>
    <xf numFmtId="0" fontId="14" fillId="14" borderId="0" xfId="0" applyFont="1" applyFill="1">
      <alignment vertical="center"/>
    </xf>
    <xf numFmtId="9" fontId="15" fillId="15" borderId="0" xfId="0" applyNumberFormat="1" applyFont="1" applyFill="1" applyAlignment="1">
      <alignment horizontal="center" vertical="center"/>
    </xf>
    <xf numFmtId="0" fontId="16" fillId="16" borderId="0" xfId="0" applyFont="1" applyFill="1" applyAlignment="1">
      <alignment horizontal="center" vertical="center"/>
    </xf>
    <xf numFmtId="0" fontId="17" fillId="17" borderId="11" xfId="0" applyFont="1" applyFill="1" applyBorder="1" applyAlignment="1">
      <alignment horizontal="center" vertical="center" wrapText="1"/>
    </xf>
    <xf numFmtId="1" fontId="18" fillId="18" borderId="12" xfId="0" applyNumberFormat="1" applyFont="1" applyFill="1" applyBorder="1">
      <alignment vertical="center"/>
    </xf>
    <xf numFmtId="1" fontId="19" fillId="19" borderId="13" xfId="0" applyNumberFormat="1" applyFont="1" applyFill="1" applyBorder="1" applyAlignment="1">
      <alignment horizontal="right" vertical="center"/>
    </xf>
    <xf numFmtId="179" fontId="20" fillId="20" borderId="14" xfId="0" applyNumberFormat="1" applyFont="1" applyFill="1" applyBorder="1" applyAlignment="1">
      <alignment horizontal="right" vertical="center"/>
    </xf>
    <xf numFmtId="1" fontId="21" fillId="21" borderId="15" xfId="0" applyNumberFormat="1" applyFont="1" applyFill="1" applyBorder="1">
      <alignment vertical="center"/>
    </xf>
    <xf numFmtId="2" fontId="22" fillId="22" borderId="16" xfId="0" applyNumberFormat="1" applyFont="1" applyFill="1" applyBorder="1">
      <alignment vertical="center"/>
    </xf>
    <xf numFmtId="2" fontId="23" fillId="23" borderId="17" xfId="0" applyNumberFormat="1" applyFont="1" applyFill="1" applyBorder="1">
      <alignment vertical="center"/>
    </xf>
    <xf numFmtId="179" fontId="24" fillId="24" borderId="18" xfId="0" applyNumberFormat="1" applyFont="1" applyFill="1" applyBorder="1">
      <alignment vertical="center"/>
    </xf>
    <xf numFmtId="179" fontId="25" fillId="25" borderId="19" xfId="0" applyNumberFormat="1" applyFont="1" applyFill="1" applyBorder="1">
      <alignment vertical="center"/>
    </xf>
    <xf numFmtId="10" fontId="26" fillId="26" borderId="20" xfId="0" applyNumberFormat="1" applyFont="1" applyFill="1" applyBorder="1">
      <alignment vertical="center"/>
    </xf>
    <xf numFmtId="10" fontId="27" fillId="27" borderId="21" xfId="0" applyNumberFormat="1" applyFont="1" applyFill="1" applyBorder="1">
      <alignment vertical="center"/>
    </xf>
    <xf numFmtId="0" fontId="7" fillId="7" borderId="11" xfId="0" applyFont="1" applyFill="1" applyBorder="1" applyAlignment="1">
      <alignment vertical="center" wrapText="1"/>
    </xf>
    <xf numFmtId="2" fontId="20" fillId="20" borderId="14" xfId="0" applyNumberFormat="1" applyFont="1" applyFill="1" applyBorder="1" applyAlignment="1">
      <alignment horizontal="right" vertical="center"/>
    </xf>
    <xf numFmtId="1" fontId="24" fillId="24" borderId="18" xfId="0" applyNumberFormat="1" applyFont="1" applyFill="1" applyBorder="1">
      <alignment vertical="center"/>
    </xf>
    <xf numFmtId="2" fontId="25" fillId="25" borderId="19" xfId="0" applyNumberFormat="1" applyFont="1" applyFill="1" applyBorder="1">
      <alignment vertical="center"/>
    </xf>
    <xf numFmtId="1" fontId="25" fillId="25" borderId="19" xfId="0" applyNumberFormat="1" applyFont="1" applyFill="1" applyBorder="1">
      <alignment vertical="center"/>
    </xf>
    <xf numFmtId="0" fontId="28" fillId="28" borderId="22" xfId="0" applyFont="1" applyFill="1" applyBorder="1" applyAlignment="1"/>
    <xf numFmtId="0" fontId="29" fillId="30" borderId="22" xfId="0" applyFont="1" applyFill="1" applyBorder="1" applyAlignment="1"/>
    <xf numFmtId="0" fontId="7" fillId="7" borderId="11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28" fillId="28" borderId="22" xfId="0" applyFont="1" applyFill="1" applyBorder="1">
      <alignment vertical="center"/>
    </xf>
    <xf numFmtId="0" fontId="28" fillId="29" borderId="22" xfId="0" applyFont="1" applyFill="1" applyBorder="1">
      <alignment vertical="center"/>
    </xf>
    <xf numFmtId="0" fontId="3" fillId="3" borderId="0" xfId="0" applyFont="1" applyFill="1">
      <alignment vertical="center"/>
    </xf>
    <xf numFmtId="0" fontId="1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J19"/>
  <sheetViews>
    <sheetView showGridLines="0" zoomScale="110" workbookViewId="0">
      <selection activeCell="K7" sqref="K7"/>
    </sheetView>
  </sheetViews>
  <sheetFormatPr defaultRowHeight="14" x14ac:dyDescent="0.3"/>
  <cols>
    <col min="1" max="1" width="3" customWidth="1"/>
    <col min="2" max="2" width="12.08203125" customWidth="1"/>
    <col min="3" max="6" width="17.58203125" customWidth="1"/>
    <col min="7" max="7" width="4" customWidth="1"/>
    <col min="8" max="8" width="22" customWidth="1"/>
    <col min="9" max="9" width="18" customWidth="1"/>
    <col min="10" max="10" width="3" customWidth="1"/>
    <col min="11" max="11" width="29.08203125" customWidth="1"/>
    <col min="12" max="12" width="30.5" customWidth="1"/>
  </cols>
  <sheetData>
    <row r="1" spans="1:10" ht="22" customHeight="1" x14ac:dyDescent="0.3">
      <c r="A1" s="1"/>
      <c r="B1" s="36" t="s">
        <v>42</v>
      </c>
      <c r="C1" s="36" t="s">
        <v>42</v>
      </c>
      <c r="D1" s="36" t="s">
        <v>42</v>
      </c>
      <c r="E1" s="37" t="s">
        <v>126</v>
      </c>
      <c r="F1" s="37" t="s">
        <v>43</v>
      </c>
      <c r="G1" s="37" t="s">
        <v>43</v>
      </c>
      <c r="H1" s="1"/>
      <c r="I1" s="1"/>
      <c r="J1" s="1"/>
    </row>
    <row r="2" spans="1:10" ht="35.15" customHeight="1" x14ac:dyDescent="0.3">
      <c r="A2" s="1"/>
      <c r="B2" s="2" t="str">
        <f>VLOOKUP("title.brakeBalance",Locale!$A$2:$D$40,4,FALSE)</f>
        <v>Astral · 制动平衡</v>
      </c>
      <c r="C2" s="1"/>
      <c r="D2" s="1"/>
      <c r="E2" s="1"/>
      <c r="F2" s="1"/>
      <c r="G2" s="1"/>
      <c r="H2" s="1"/>
      <c r="J2" s="1"/>
    </row>
    <row r="3" spans="1:10" ht="24" customHeight="1" x14ac:dyDescent="0.3">
      <c r="A3" s="1"/>
      <c r="B3" s="1"/>
      <c r="J3" s="1"/>
    </row>
    <row r="4" spans="1:10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1" customHeight="1" x14ac:dyDescent="0.3">
      <c r="A5" s="1"/>
      <c r="B5" s="26"/>
      <c r="C5" s="33" t="str">
        <f>VLOOKUP("label.rearMasterCylinder",Locale!$A$2:$D$40,4,FALSE)</f>
        <v>后制动主缸</v>
      </c>
      <c r="D5" s="33"/>
      <c r="E5" s="33"/>
      <c r="F5" s="33"/>
      <c r="G5" s="1"/>
      <c r="H5" s="35" t="str">
        <f>VLOOKUP("label.setup",Locale!$A$2:$D$40,4,FALSE)</f>
        <v>设定组合</v>
      </c>
      <c r="I5" s="35"/>
      <c r="J5" s="1"/>
    </row>
    <row r="6" spans="1:10" ht="32.15" customHeight="1" x14ac:dyDescent="0.3">
      <c r="A6" s="1"/>
      <c r="B6" s="34" t="str">
        <f>VLOOKUP("label.frontMasterCylinder",Locale!$A$2:$D$40,4,FALSE)</f>
        <v>前制动主缸</v>
      </c>
      <c r="D6" s="8">
        <f>Parameters!B15</f>
        <v>17.8</v>
      </c>
      <c r="E6" s="10">
        <f>Parameters!B16</f>
        <v>19.7</v>
      </c>
      <c r="F6" s="8">
        <f>Parameters!B17</f>
        <v>21.5</v>
      </c>
      <c r="G6" s="1"/>
      <c r="H6" s="3" t="str">
        <f>VLOOKUP("label.balanceBar",Locale!$A$2:$D$40,4,FALSE)</f>
        <v>制动平衡杆</v>
      </c>
      <c r="I6" s="4">
        <v>0.62</v>
      </c>
      <c r="J6" s="1"/>
    </row>
    <row r="7" spans="1:10" ht="52" customHeight="1" x14ac:dyDescent="0.3">
      <c r="A7" s="1"/>
      <c r="B7" s="34"/>
      <c r="C7" s="8">
        <f>Parameters!B15</f>
        <v>17.8</v>
      </c>
      <c r="D7" s="9">
        <f>Calculations!H13</f>
        <v>0.62</v>
      </c>
      <c r="E7" s="9">
        <f>Calculations!H14</f>
        <v>0.66647162083089517</v>
      </c>
      <c r="F7" s="9">
        <f>Calculations!H15</f>
        <v>0.70409587620642899</v>
      </c>
      <c r="G7" s="1"/>
      <c r="H7" s="6" t="str">
        <f>VLOOKUP("label.frontDisc",Locale!$A$2:$D$40,4,FALSE)</f>
        <v>前轴制动盘</v>
      </c>
      <c r="I7" s="7">
        <v>320</v>
      </c>
      <c r="J7" s="1"/>
    </row>
    <row r="8" spans="1:10" ht="52" customHeight="1" x14ac:dyDescent="0.3">
      <c r="A8" s="1"/>
      <c r="B8" s="34"/>
      <c r="C8" s="10">
        <f>Parameters!B16</f>
        <v>19.7</v>
      </c>
      <c r="D8" s="9">
        <f>Calculations!H16</f>
        <v>0.5712191159279586</v>
      </c>
      <c r="E8" s="9">
        <f>Calculations!H17</f>
        <v>0.61999999999999988</v>
      </c>
      <c r="F8" s="9">
        <f>Calculations!H18</f>
        <v>0.66019373010602489</v>
      </c>
      <c r="G8" s="1"/>
      <c r="H8" s="3" t="str">
        <f>VLOOKUP("label.rearDisc",Locale!$A$2:$D$40,4,FALSE)</f>
        <v>后轴制动盘</v>
      </c>
      <c r="I8" s="7">
        <v>320</v>
      </c>
      <c r="J8" s="1"/>
    </row>
    <row r="9" spans="1:10" ht="52" customHeight="1" x14ac:dyDescent="0.3">
      <c r="A9" s="1"/>
      <c r="B9" s="34"/>
      <c r="C9" s="8">
        <f>Parameters!B17</f>
        <v>21.5</v>
      </c>
      <c r="D9" s="9">
        <f>Calculations!H19</f>
        <v>0.52802494983861115</v>
      </c>
      <c r="E9" s="9">
        <f>Calculations!H20</f>
        <v>0.57809030347890455</v>
      </c>
      <c r="F9" s="9">
        <f>Calculations!H21</f>
        <v>0.61999999999999988</v>
      </c>
      <c r="G9" s="1"/>
      <c r="H9" s="6" t="str">
        <f>VLOOKUP("label.frontPad",Locale!$A$2:$D$40,4,FALSE)</f>
        <v>前轴制动片</v>
      </c>
      <c r="I9" s="11" t="s">
        <v>125</v>
      </c>
      <c r="J9" s="1"/>
    </row>
    <row r="10" spans="1:10" ht="24" customHeight="1" x14ac:dyDescent="0.3">
      <c r="A10" s="1"/>
      <c r="B10" s="1"/>
      <c r="C10" s="1"/>
      <c r="D10" s="1"/>
      <c r="E10" s="1"/>
      <c r="F10" s="1"/>
      <c r="G10" s="1"/>
      <c r="H10" s="3" t="str">
        <f>VLOOKUP("label.rearPad",Locale!$A$2:$D$40,4,FALSE)</f>
        <v>后轴制动片</v>
      </c>
      <c r="I10" s="11" t="s">
        <v>125</v>
      </c>
      <c r="J10" s="1"/>
    </row>
    <row r="11" spans="1:10" ht="24" customHeight="1" x14ac:dyDescent="0.3">
      <c r="A11" s="1"/>
      <c r="B11" s="1"/>
      <c r="C11" s="1"/>
      <c r="D11" s="1"/>
      <c r="E11" s="1"/>
      <c r="F11" s="1"/>
      <c r="G11" s="1"/>
      <c r="J11" s="1"/>
    </row>
    <row r="12" spans="1:10" ht="24" customHeight="1" x14ac:dyDescent="0.3">
      <c r="A12" s="1"/>
      <c r="B12" s="1"/>
      <c r="C12" s="12" t="str">
        <f>VLOOKUP("label.fixedColorScale",Locale!$A$2:$D$40,4,FALSE)</f>
        <v>固定色阶</v>
      </c>
      <c r="D12" s="13">
        <v>0.3</v>
      </c>
      <c r="E12" s="13">
        <v>0.5</v>
      </c>
      <c r="F12" s="13">
        <v>0.7</v>
      </c>
      <c r="G12" s="1"/>
      <c r="J12" s="1"/>
    </row>
    <row r="13" spans="1:10" ht="24" customHeight="1" x14ac:dyDescent="0.3">
      <c r="A13" s="1"/>
      <c r="B13" s="1"/>
      <c r="C13" s="1"/>
      <c r="D13" s="14" t="str">
        <f>VLOOKUP("label.rearBiased",Locale!$A$2:$D$40,4,FALSE)</f>
        <v>偏后</v>
      </c>
      <c r="E13" s="14" t="str">
        <f>VLOOKUP("label.equalFrontRear",Locale!$A$2:$D$40,4,FALSE)</f>
        <v>前后相等</v>
      </c>
      <c r="F13" s="14" t="str">
        <f>VLOOKUP("label.frontBiased",Locale!$A$2:$D$40,4,FALSE)</f>
        <v>偏前</v>
      </c>
      <c r="G13" s="1"/>
      <c r="J13" s="1"/>
    </row>
    <row r="14" spans="1:10" ht="24" customHeight="1" x14ac:dyDescent="0.3">
      <c r="A14" s="1"/>
      <c r="B14" s="1"/>
      <c r="C14" s="1"/>
      <c r="D14" s="1"/>
      <c r="E14" s="1"/>
      <c r="F14" s="1"/>
      <c r="G14" s="1"/>
      <c r="J14" s="1"/>
    </row>
    <row r="15" spans="1:10" ht="24" customHeight="1" x14ac:dyDescent="0.3">
      <c r="A15" s="1"/>
      <c r="B15" s="1"/>
      <c r="J15" s="1"/>
    </row>
    <row r="16" spans="1:10" ht="24" customHeight="1" x14ac:dyDescent="0.3">
      <c r="A16" s="1"/>
      <c r="B16" s="1"/>
      <c r="J16" s="1"/>
    </row>
    <row r="17" spans="1:10" ht="24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4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</sheetData>
  <mergeCells count="5">
    <mergeCell ref="C5:F5"/>
    <mergeCell ref="B6:B9"/>
    <mergeCell ref="H5:I5"/>
    <mergeCell ref="B1:D1"/>
    <mergeCell ref="E1:G1"/>
  </mergeCells>
  <phoneticPr fontId="2" type="noConversion"/>
  <conditionalFormatting sqref="D7:F9">
    <cfRule type="colorScale" priority="1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conditionalFormatting sqref="D12:F12">
    <cfRule type="colorScale" priority="2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dataValidations count="2">
    <dataValidation type="decimal" sqref="I6" xr:uid="{00000000-0002-0000-0000-000000000000}">
      <formula1>0.4</formula1>
      <formula2>0.6</formula2>
    </dataValidation>
    <dataValidation type="list" sqref="E1:G1" xr:uid="{00000000-0002-0000-0000-000001000000}">
      <formula1>"English,简体中文"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Parameters!$B$7:$B$10</xm:f>
          </x14:formula1>
          <xm:sqref>I7:I8</xm:sqref>
        </x14:dataValidation>
        <x14:dataValidation type="list" xr:uid="{00000000-0002-0000-0000-000003000000}">
          <x14:formula1>
            <xm:f>Parameters!$G$7:$G$9</xm:f>
          </x14:formula1>
          <xm:sqref>I9:I10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K26"/>
  <sheetViews>
    <sheetView showGridLines="0" workbookViewId="0">
      <selection activeCell="I7" sqref="I7"/>
    </sheetView>
  </sheetViews>
  <sheetFormatPr defaultRowHeight="14" x14ac:dyDescent="0.3"/>
  <cols>
    <col min="1" max="1" width="3" customWidth="1"/>
    <col min="2" max="2" width="19" customWidth="1"/>
    <col min="3" max="4" width="17" customWidth="1"/>
    <col min="5" max="6" width="4" customWidth="1"/>
    <col min="7" max="7" width="20" customWidth="1"/>
    <col min="8" max="9" width="17" customWidth="1"/>
    <col min="10" max="11" width="4" customWidth="1"/>
  </cols>
  <sheetData>
    <row r="1" spans="1:11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5.15" customHeight="1" x14ac:dyDescent="0.3">
      <c r="A2" s="1"/>
      <c r="B2" s="38" t="str">
        <f>VLOOKUP("title.brakeParameters",Locale!$A$2:$D$40,4,FALSE)</f>
        <v>Astral · 制动参数</v>
      </c>
      <c r="C2" s="39"/>
      <c r="D2" s="39"/>
      <c r="E2" s="39"/>
      <c r="F2" s="39"/>
      <c r="G2" s="39"/>
      <c r="H2" s="39"/>
      <c r="I2" s="39"/>
      <c r="J2" s="1"/>
      <c r="K2" s="1"/>
    </row>
    <row r="3" spans="1:11" ht="24" customHeight="1" x14ac:dyDescent="0.3">
      <c r="A3" s="1"/>
      <c r="J3" s="1"/>
      <c r="K3" s="1"/>
    </row>
    <row r="4" spans="1:11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2.15" customHeight="1" x14ac:dyDescent="0.3">
      <c r="A5" s="1"/>
      <c r="B5" s="35" t="str">
        <f>VLOOKUP("label.brakeDiscConstants",Locale!$A$2:$D$40,4,FALSE)</f>
        <v>制动盘常数</v>
      </c>
      <c r="C5" s="35"/>
      <c r="D5" s="35"/>
      <c r="E5" s="1"/>
      <c r="F5" s="1"/>
      <c r="G5" s="35" t="str">
        <f>VLOOKUP("label.brakePadMultipliers",Locale!$A$2:$D$40,4,FALSE)</f>
        <v>制动片倍率</v>
      </c>
      <c r="H5" s="35"/>
      <c r="I5" s="35"/>
      <c r="J5" s="1"/>
      <c r="K5" s="1"/>
    </row>
    <row r="6" spans="1:11" ht="24" customHeight="1" x14ac:dyDescent="0.3">
      <c r="A6" s="1"/>
      <c r="B6" s="15" t="str">
        <f>VLOOKUP("label.discMm",Locale!$A$2:$D$40,4,FALSE)</f>
        <v>制动盘 (mm)</v>
      </c>
      <c r="C6" s="15" t="str">
        <f>VLOOKUP("label.frontTorqueConstant",Locale!$A$2:$D$40,4,FALSE)</f>
        <v>前轴 K (N·m)</v>
      </c>
      <c r="D6" s="15" t="str">
        <f>VLOOKUP("label.rearBrakeK",Locale!$A$2:$D$40,4,FALSE)</f>
        <v>后轴 K (N·m)</v>
      </c>
      <c r="E6" s="1"/>
      <c r="F6" s="1"/>
      <c r="G6" s="15" t="str">
        <f>VLOOKUP("label.pad",Locale!$A$2:$D$40,4,FALSE)</f>
        <v>制动片</v>
      </c>
      <c r="H6" s="15" t="str">
        <f>VLOOKUP("label.frontMultiplier",Locale!$A$2:$D$40,4,FALSE)</f>
        <v>前轴 ×</v>
      </c>
      <c r="I6" s="15" t="str">
        <f>VLOOKUP("label.rearFactor",Locale!$A$2:$D$40,4,FALSE)</f>
        <v>后轴 ×</v>
      </c>
      <c r="J6" s="1"/>
      <c r="K6" s="1"/>
    </row>
    <row r="7" spans="1:11" ht="31" customHeight="1" x14ac:dyDescent="0.3">
      <c r="A7" s="1"/>
      <c r="B7" s="16">
        <v>300</v>
      </c>
      <c r="C7" s="17">
        <v>3509</v>
      </c>
      <c r="D7" s="17">
        <v>3509</v>
      </c>
      <c r="E7" s="1"/>
      <c r="F7" s="1"/>
      <c r="G7" s="3" t="s">
        <v>23</v>
      </c>
      <c r="H7" s="27">
        <v>0.72</v>
      </c>
      <c r="I7" s="27">
        <v>0.72</v>
      </c>
      <c r="J7" s="1"/>
      <c r="K7" s="1"/>
    </row>
    <row r="8" spans="1:11" ht="31" customHeight="1" x14ac:dyDescent="0.3">
      <c r="A8" s="1"/>
      <c r="B8" s="19">
        <v>320</v>
      </c>
      <c r="C8" s="17">
        <v>3743</v>
      </c>
      <c r="D8" s="17">
        <v>3743</v>
      </c>
      <c r="E8" s="1"/>
      <c r="F8" s="1"/>
      <c r="G8" s="6" t="s">
        <v>24</v>
      </c>
      <c r="H8" s="27">
        <v>0.68</v>
      </c>
      <c r="I8" s="27">
        <v>0.68</v>
      </c>
      <c r="J8" s="1"/>
      <c r="K8" s="1"/>
    </row>
    <row r="9" spans="1:11" ht="31" customHeight="1" x14ac:dyDescent="0.3">
      <c r="A9" s="1"/>
      <c r="B9" s="16">
        <v>355</v>
      </c>
      <c r="C9" s="17">
        <v>4153</v>
      </c>
      <c r="D9" s="17">
        <v>4153</v>
      </c>
      <c r="E9" s="1"/>
      <c r="F9" s="1"/>
      <c r="G9" s="3" t="s">
        <v>8</v>
      </c>
      <c r="H9" s="27">
        <v>0.65</v>
      </c>
      <c r="I9" s="27">
        <v>0.65</v>
      </c>
      <c r="J9" s="1"/>
      <c r="K9" s="1"/>
    </row>
    <row r="10" spans="1:11" ht="31" customHeight="1" x14ac:dyDescent="0.3">
      <c r="A10" s="1"/>
      <c r="B10" s="19">
        <v>370</v>
      </c>
      <c r="C10" s="17">
        <v>4329</v>
      </c>
      <c r="D10" s="17">
        <v>4329</v>
      </c>
      <c r="E10" s="1"/>
      <c r="F10" s="1"/>
      <c r="G10" s="1"/>
      <c r="H10" s="1"/>
      <c r="I10" s="1"/>
      <c r="J10" s="1"/>
      <c r="K10" s="1"/>
    </row>
    <row r="11" spans="1:11" ht="24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 x14ac:dyDescent="0.3">
      <c r="A12" s="1"/>
      <c r="B12" s="1"/>
      <c r="C12" s="1"/>
      <c r="D12" s="1"/>
      <c r="E12" s="1"/>
      <c r="F12" s="1"/>
      <c r="J12" s="1"/>
      <c r="K12" s="1"/>
    </row>
    <row r="13" spans="1:11" ht="32.15" customHeight="1" x14ac:dyDescent="0.3">
      <c r="A13" s="1"/>
      <c r="B13" s="35" t="str">
        <f>VLOOKUP("label.masterCylinderMultipliers",Locale!$A$2:$D$40,4,FALSE)</f>
        <v>制动主缸倍率</v>
      </c>
      <c r="C13" s="35"/>
      <c r="D13" s="35"/>
      <c r="E13" s="1"/>
      <c r="F13" s="1"/>
      <c r="J13" s="1"/>
      <c r="K13" s="1"/>
    </row>
    <row r="14" spans="1:11" ht="24" customHeight="1" x14ac:dyDescent="0.3">
      <c r="A14" s="1"/>
      <c r="B14" s="15" t="str">
        <f>VLOOKUP("label.masterCylinderMm",Locale!$A$2:$D$40,4,FALSE)</f>
        <v>制动主缸 (mm)</v>
      </c>
      <c r="C14" s="15" t="str">
        <f>VLOOKUP("label.frontMultiplier",Locale!$A$2:$D$40,4,FALSE)</f>
        <v>前轴 ×</v>
      </c>
      <c r="D14" s="15" t="str">
        <f>VLOOKUP("label.rearFactor",Locale!$A$2:$D$40,4,FALSE)</f>
        <v>后轴 ×</v>
      </c>
      <c r="E14" s="1"/>
      <c r="F14" s="1"/>
      <c r="J14" s="1"/>
      <c r="K14" s="1"/>
    </row>
    <row r="15" spans="1:11" ht="31" customHeight="1" x14ac:dyDescent="0.3">
      <c r="A15" s="1"/>
      <c r="B15" s="20">
        <v>17.8</v>
      </c>
      <c r="C15" s="18">
        <v>1.139</v>
      </c>
      <c r="D15" s="18">
        <v>1.139</v>
      </c>
      <c r="E15" s="1"/>
      <c r="F15" s="1"/>
      <c r="J15" s="1"/>
      <c r="K15" s="1"/>
    </row>
    <row r="16" spans="1:11" ht="31" customHeight="1" x14ac:dyDescent="0.3">
      <c r="A16" s="1"/>
      <c r="B16" s="21">
        <v>19.7</v>
      </c>
      <c r="C16" s="18">
        <v>0.93</v>
      </c>
      <c r="D16" s="18">
        <v>0.93</v>
      </c>
      <c r="E16" s="1"/>
      <c r="F16" s="1"/>
      <c r="G16" s="1"/>
      <c r="H16" s="1"/>
      <c r="I16" s="1"/>
      <c r="J16" s="1"/>
      <c r="K16" s="1"/>
    </row>
    <row r="17" spans="1:11" ht="31" customHeight="1" x14ac:dyDescent="0.3">
      <c r="A17" s="1"/>
      <c r="B17" s="20">
        <v>21.5</v>
      </c>
      <c r="C17" s="18">
        <v>0.78100000000000003</v>
      </c>
      <c r="D17" s="18">
        <v>0.78100000000000003</v>
      </c>
      <c r="E17" s="1"/>
      <c r="F17" s="1"/>
      <c r="G17" s="1"/>
      <c r="H17" s="1"/>
      <c r="I17" s="1"/>
      <c r="J17" s="1"/>
      <c r="K17" s="1"/>
    </row>
    <row r="18" spans="1:11" ht="2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32.15" customHeight="1" x14ac:dyDescent="0.3">
      <c r="A19" s="1"/>
      <c r="J19" s="1"/>
      <c r="K19" s="1"/>
    </row>
    <row r="20" spans="1:11" ht="24" customHeight="1" x14ac:dyDescent="0.3">
      <c r="A20" s="1"/>
      <c r="J20" s="1"/>
      <c r="K20" s="1"/>
    </row>
    <row r="21" spans="1:11" ht="24" customHeight="1" x14ac:dyDescent="0.3">
      <c r="A21" s="1"/>
      <c r="J21" s="1"/>
      <c r="K21" s="1"/>
    </row>
    <row r="22" spans="1:11" ht="24" customHeight="1" x14ac:dyDescent="0.3">
      <c r="A22" s="1"/>
      <c r="J22" s="1"/>
      <c r="K22" s="1"/>
    </row>
    <row r="23" spans="1:11" ht="24" customHeight="1" x14ac:dyDescent="0.3">
      <c r="A23" s="1"/>
      <c r="J23" s="1"/>
      <c r="K23" s="1"/>
    </row>
    <row r="24" spans="1:11" ht="24" customHeight="1" x14ac:dyDescent="0.3">
      <c r="A24" s="1"/>
      <c r="J24" s="1"/>
      <c r="K24" s="1"/>
    </row>
    <row r="25" spans="1:11" ht="24" customHeight="1" x14ac:dyDescent="0.3">
      <c r="A25" s="1"/>
      <c r="J25" s="1"/>
      <c r="K25" s="1"/>
    </row>
    <row r="26" spans="1:11" ht="24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</sheetData>
  <mergeCells count="4">
    <mergeCell ref="B2:I2"/>
    <mergeCell ref="B5:D5"/>
    <mergeCell ref="B13:D13"/>
    <mergeCell ref="G5:I5"/>
  </mergeCells>
  <phoneticPr fontId="2" type="noConversion"/>
  <dataValidations count="1">
    <dataValidation type="decimal" operator="greaterThan" sqref="C7:D10 H7:I9 C15:D17" xr:uid="{00000000-0002-0000-0100-000000000000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5"/>
  <sheetViews>
    <sheetView showGridLines="0" tabSelected="1" workbookViewId="0">
      <pane ySplit="12" topLeftCell="A15" activePane="bottomLeft" state="frozen"/>
      <selection pane="bottomLeft" activeCell="C14" sqref="C14"/>
    </sheetView>
  </sheetViews>
  <sheetFormatPr defaultRowHeight="14" x14ac:dyDescent="0.3"/>
  <cols>
    <col min="1" max="1" width="3" customWidth="1"/>
    <col min="2" max="2" width="25" customWidth="1"/>
    <col min="3" max="5" width="15" customWidth="1"/>
    <col min="6" max="8" width="20" customWidth="1"/>
    <col min="9" max="10" width="3" customWidth="1"/>
  </cols>
  <sheetData>
    <row r="1" spans="1:10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.15" customHeight="1" x14ac:dyDescent="0.3">
      <c r="A2" s="1"/>
      <c r="B2" s="38" t="str">
        <f>VLOOKUP("title.brakeCalculations",Locale!$A$2:$D$40,4,FALSE)</f>
        <v>Astral · 制动计算</v>
      </c>
      <c r="C2" s="39"/>
      <c r="D2" s="39"/>
      <c r="E2" s="39"/>
      <c r="F2" s="39"/>
      <c r="G2" s="39"/>
      <c r="H2" s="39"/>
      <c r="I2" s="1"/>
      <c r="J2" s="1"/>
    </row>
    <row r="3" spans="1:10" ht="24" customHeight="1" x14ac:dyDescent="0.3">
      <c r="A3" s="1"/>
      <c r="I3" s="1"/>
      <c r="J3" s="1"/>
    </row>
    <row r="4" spans="1:10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2.15" customHeight="1" x14ac:dyDescent="0.3">
      <c r="A5" s="1"/>
      <c r="B5" s="5" t="str">
        <f>VLOOKUP("label.selectedSetup",Locale!$A$2:$D$40,4,FALSE)</f>
        <v>所选设定</v>
      </c>
      <c r="C5" s="5" t="str">
        <f>VLOOKUP("label.front",Locale!$A$2:$D$40,4,FALSE)</f>
        <v>前轴</v>
      </c>
      <c r="D5" s="5" t="str">
        <f>VLOOKUP("label.rear",Locale!$A$2:$D$40,4,FALSE)</f>
        <v>后轴</v>
      </c>
      <c r="E5" s="1"/>
      <c r="F5" s="1"/>
      <c r="G5" s="1"/>
      <c r="H5" s="1"/>
      <c r="I5" s="1"/>
      <c r="J5" s="1"/>
    </row>
    <row r="6" spans="1:10" ht="31" customHeight="1" x14ac:dyDescent="0.3">
      <c r="A6" s="1"/>
      <c r="B6" s="3" t="str">
        <f>VLOOKUP("label.discTorqueConstant",Locale!$A$2:$D$40,4,FALSE)</f>
        <v>制动盘 K (N·m)</v>
      </c>
      <c r="C6" s="28">
        <f>INDEX(Parameters!$C$7:$C$10,MATCH('Balance Map'!$I$7,Parameters!$B$7:$B$10,0))</f>
        <v>3743</v>
      </c>
      <c r="D6" s="28">
        <f>INDEX(Parameters!$D$7:$D$10,MATCH('Balance Map'!$I$8,Parameters!$B$7:$B$10,0))</f>
        <v>3743</v>
      </c>
      <c r="E6" s="1"/>
      <c r="F6" s="1"/>
      <c r="G6" s="1"/>
      <c r="H6" s="1"/>
      <c r="I6" s="1"/>
      <c r="J6" s="1"/>
    </row>
    <row r="7" spans="1:10" ht="31" customHeight="1" x14ac:dyDescent="0.3">
      <c r="A7" s="1"/>
      <c r="B7" s="6" t="str">
        <f>VLOOKUP("label.padMultiplier",Locale!$A$2:$D$40,4,FALSE)</f>
        <v>制动片倍率</v>
      </c>
      <c r="C7" s="29">
        <f>INDEX(Parameters!$H$7:$H$9,MATCH('Balance Map'!$I$9,Parameters!$G$7:$G$9,0))</f>
        <v>0.72</v>
      </c>
      <c r="D7" s="29">
        <f>INDEX(Parameters!$I$7:$I$9,MATCH('Balance Map'!$I$10,Parameters!$G$7:$G$9,0))</f>
        <v>0.72</v>
      </c>
      <c r="E7" s="1"/>
      <c r="F7" s="1"/>
      <c r="G7" s="1"/>
      <c r="H7" s="1"/>
      <c r="I7" s="1"/>
      <c r="J7" s="1"/>
    </row>
    <row r="8" spans="1:10" ht="31" customHeight="1" x14ac:dyDescent="0.3">
      <c r="A8" s="1"/>
      <c r="B8" s="3" t="str">
        <f>VLOOKUP("label.weightBeforeMasterCylinder",Locale!$A$2:$D$40,4,FALSE)</f>
        <v>主缸前权重</v>
      </c>
      <c r="C8" s="28">
        <f>C6*C7*'Balance Map'!$I$6</f>
        <v>1670.8751999999999</v>
      </c>
      <c r="D8" s="28">
        <f>D6*D7*(1-'Balance Map'!$I$6)</f>
        <v>1024.0848000000001</v>
      </c>
      <c r="E8" s="1"/>
      <c r="F8" s="1"/>
      <c r="G8" s="1"/>
      <c r="H8" s="1"/>
      <c r="I8" s="1"/>
      <c r="J8" s="1"/>
    </row>
    <row r="9" spans="1:10" ht="24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4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32.15" customHeight="1" x14ac:dyDescent="0.3">
      <c r="A11" s="1"/>
      <c r="B11" s="35" t="str">
        <f>VLOOKUP("label.masterCylinderCombinations",Locale!$A$2:$D$40,4,FALSE)</f>
        <v>制动主缸组合</v>
      </c>
      <c r="C11" s="35"/>
      <c r="D11" s="35"/>
      <c r="E11" s="35"/>
      <c r="F11" s="35"/>
      <c r="G11" s="35"/>
      <c r="H11" s="35"/>
      <c r="I11" s="1"/>
      <c r="J11" s="1"/>
    </row>
    <row r="12" spans="1:10" ht="24" customHeight="1" x14ac:dyDescent="0.3">
      <c r="A12" s="1"/>
      <c r="B12" s="15" t="str">
        <f>VLOOKUP("label.frontMasterCylinderMm",Locale!$A$2:$D$40,4,FALSE)</f>
        <v>前制动主缸 (mm)</v>
      </c>
      <c r="C12" s="15" t="str">
        <f>VLOOKUP("label.rearMasterCylinderMm",Locale!$A$2:$D$40,4,FALSE)</f>
        <v>后制动主缸 (mm)</v>
      </c>
      <c r="D12" s="15" t="str">
        <f>VLOOKUP("label.frontMasterCylinderMultiplier",Locale!$A$2:$D$40,4,FALSE)</f>
        <v>前制动主缸 ×</v>
      </c>
      <c r="E12" s="15" t="str">
        <f>VLOOKUP("label.rearMasterCylinderFactor",Locale!$A$2:$D$40,4,FALSE)</f>
        <v>后制动主缸 ×</v>
      </c>
      <c r="F12" s="15" t="str">
        <f>VLOOKUP("label.frontWeight",Locale!$A$2:$D$40,4,FALSE)</f>
        <v>前轴权重</v>
      </c>
      <c r="G12" s="15" t="str">
        <f>VLOOKUP("label.rearWeight",Locale!$A$2:$D$40,4,FALSE)</f>
        <v>后轴权重</v>
      </c>
      <c r="H12" s="15" t="str">
        <f>VLOOKUP("label.frontShare",Locale!$A$2:$D$40,4,FALSE)</f>
        <v>前轴占比</v>
      </c>
      <c r="I12" s="1"/>
      <c r="J12" s="1"/>
    </row>
    <row r="13" spans="1:10" ht="31" customHeight="1" x14ac:dyDescent="0.3">
      <c r="A13" s="1"/>
      <c r="B13" s="20">
        <f>Parameters!B15</f>
        <v>17.8</v>
      </c>
      <c r="C13" s="20">
        <f>Parameters!B15</f>
        <v>17.8</v>
      </c>
      <c r="D13" s="22">
        <f>Parameters!C15</f>
        <v>1.139</v>
      </c>
      <c r="E13" s="22">
        <f>Parameters!D15</f>
        <v>1.139</v>
      </c>
      <c r="F13" s="28">
        <f t="shared" ref="F13:F21" si="0">$C$8*D13</f>
        <v>1903.1268528000001</v>
      </c>
      <c r="G13" s="28">
        <f t="shared" ref="G13:G21" si="1">$D$8*E13</f>
        <v>1166.4325872000002</v>
      </c>
      <c r="H13" s="24">
        <f t="shared" ref="H13:H21" si="2">F13/(F13+G13)</f>
        <v>0.62</v>
      </c>
      <c r="I13" s="1"/>
      <c r="J13" s="1"/>
    </row>
    <row r="14" spans="1:10" ht="31" customHeight="1" x14ac:dyDescent="0.3">
      <c r="A14" s="1"/>
      <c r="B14" s="21">
        <f>Parameters!B15</f>
        <v>17.8</v>
      </c>
      <c r="C14" s="21">
        <f>Parameters!B16</f>
        <v>19.7</v>
      </c>
      <c r="D14" s="23">
        <f>Parameters!C15</f>
        <v>1.139</v>
      </c>
      <c r="E14" s="23">
        <f>Parameters!D16</f>
        <v>0.93</v>
      </c>
      <c r="F14" s="30">
        <f t="shared" si="0"/>
        <v>1903.1268528000001</v>
      </c>
      <c r="G14" s="30">
        <f t="shared" si="1"/>
        <v>952.39886400000012</v>
      </c>
      <c r="H14" s="25">
        <f t="shared" si="2"/>
        <v>0.66647162083089517</v>
      </c>
      <c r="I14" s="1"/>
      <c r="J14" s="1"/>
    </row>
    <row r="15" spans="1:10" ht="31" customHeight="1" x14ac:dyDescent="0.3">
      <c r="A15" s="1"/>
      <c r="B15" s="20">
        <f>Parameters!B15</f>
        <v>17.8</v>
      </c>
      <c r="C15" s="20">
        <f>Parameters!B17</f>
        <v>21.5</v>
      </c>
      <c r="D15" s="22">
        <f>Parameters!C15</f>
        <v>1.139</v>
      </c>
      <c r="E15" s="22">
        <f>Parameters!D17</f>
        <v>0.78100000000000003</v>
      </c>
      <c r="F15" s="28">
        <f t="shared" si="0"/>
        <v>1903.1268528000001</v>
      </c>
      <c r="G15" s="28">
        <f t="shared" si="1"/>
        <v>799.81022880000012</v>
      </c>
      <c r="H15" s="24">
        <f t="shared" si="2"/>
        <v>0.70409587620642899</v>
      </c>
      <c r="I15" s="1"/>
      <c r="J15" s="1"/>
    </row>
    <row r="16" spans="1:10" ht="31" customHeight="1" x14ac:dyDescent="0.3">
      <c r="A16" s="1"/>
      <c r="B16" s="21">
        <f>Parameters!B16</f>
        <v>19.7</v>
      </c>
      <c r="C16" s="21">
        <f>Parameters!B15</f>
        <v>17.8</v>
      </c>
      <c r="D16" s="23">
        <f>Parameters!C16</f>
        <v>0.93</v>
      </c>
      <c r="E16" s="23">
        <f>Parameters!D15</f>
        <v>1.139</v>
      </c>
      <c r="F16" s="30">
        <f t="shared" si="0"/>
        <v>1553.9139359999999</v>
      </c>
      <c r="G16" s="30">
        <f t="shared" si="1"/>
        <v>1166.4325872000002</v>
      </c>
      <c r="H16" s="25">
        <f t="shared" si="2"/>
        <v>0.5712191159279586</v>
      </c>
      <c r="I16" s="1"/>
      <c r="J16" s="1"/>
    </row>
    <row r="17" spans="1:10" ht="31" customHeight="1" x14ac:dyDescent="0.3">
      <c r="A17" s="1"/>
      <c r="B17" s="20">
        <f>Parameters!B16</f>
        <v>19.7</v>
      </c>
      <c r="C17" s="20">
        <f>Parameters!B16</f>
        <v>19.7</v>
      </c>
      <c r="D17" s="22">
        <f>Parameters!C16</f>
        <v>0.93</v>
      </c>
      <c r="E17" s="22">
        <f>Parameters!D16</f>
        <v>0.93</v>
      </c>
      <c r="F17" s="28">
        <f t="shared" si="0"/>
        <v>1553.9139359999999</v>
      </c>
      <c r="G17" s="28">
        <f t="shared" si="1"/>
        <v>952.39886400000012</v>
      </c>
      <c r="H17" s="24">
        <f t="shared" si="2"/>
        <v>0.61999999999999988</v>
      </c>
      <c r="I17" s="1"/>
      <c r="J17" s="1"/>
    </row>
    <row r="18" spans="1:10" ht="31" customHeight="1" x14ac:dyDescent="0.3">
      <c r="A18" s="1"/>
      <c r="B18" s="21">
        <f>Parameters!B16</f>
        <v>19.7</v>
      </c>
      <c r="C18" s="21">
        <f>Parameters!B17</f>
        <v>21.5</v>
      </c>
      <c r="D18" s="23">
        <f>Parameters!C16</f>
        <v>0.93</v>
      </c>
      <c r="E18" s="23">
        <f>Parameters!D17</f>
        <v>0.78100000000000003</v>
      </c>
      <c r="F18" s="30">
        <f t="shared" si="0"/>
        <v>1553.9139359999999</v>
      </c>
      <c r="G18" s="30">
        <f t="shared" si="1"/>
        <v>799.81022880000012</v>
      </c>
      <c r="H18" s="25">
        <f t="shared" si="2"/>
        <v>0.66019373010602489</v>
      </c>
      <c r="I18" s="1"/>
      <c r="J18" s="1"/>
    </row>
    <row r="19" spans="1:10" ht="31" customHeight="1" x14ac:dyDescent="0.3">
      <c r="A19" s="1"/>
      <c r="B19" s="20">
        <f>Parameters!B17</f>
        <v>21.5</v>
      </c>
      <c r="C19" s="20">
        <f>Parameters!B15</f>
        <v>17.8</v>
      </c>
      <c r="D19" s="22">
        <f>Parameters!C17</f>
        <v>0.78100000000000003</v>
      </c>
      <c r="E19" s="22">
        <f>Parameters!D15</f>
        <v>1.139</v>
      </c>
      <c r="F19" s="28">
        <f t="shared" si="0"/>
        <v>1304.9535312</v>
      </c>
      <c r="G19" s="28">
        <f t="shared" si="1"/>
        <v>1166.4325872000002</v>
      </c>
      <c r="H19" s="24">
        <f t="shared" si="2"/>
        <v>0.52802494983861115</v>
      </c>
      <c r="I19" s="1"/>
      <c r="J19" s="1"/>
    </row>
    <row r="20" spans="1:10" ht="31" customHeight="1" x14ac:dyDescent="0.3">
      <c r="A20" s="1"/>
      <c r="B20" s="21">
        <f>Parameters!B17</f>
        <v>21.5</v>
      </c>
      <c r="C20" s="21">
        <f>Parameters!B16</f>
        <v>19.7</v>
      </c>
      <c r="D20" s="23">
        <f>Parameters!C17</f>
        <v>0.78100000000000003</v>
      </c>
      <c r="E20" s="23">
        <f>Parameters!D16</f>
        <v>0.93</v>
      </c>
      <c r="F20" s="30">
        <f t="shared" si="0"/>
        <v>1304.9535312</v>
      </c>
      <c r="G20" s="30">
        <f t="shared" si="1"/>
        <v>952.39886400000012</v>
      </c>
      <c r="H20" s="25">
        <f t="shared" si="2"/>
        <v>0.57809030347890455</v>
      </c>
      <c r="I20" s="1"/>
      <c r="J20" s="1"/>
    </row>
    <row r="21" spans="1:10" ht="31" customHeight="1" x14ac:dyDescent="0.3">
      <c r="A21" s="1"/>
      <c r="B21" s="20">
        <f>Parameters!B17</f>
        <v>21.5</v>
      </c>
      <c r="C21" s="20">
        <f>Parameters!B17</f>
        <v>21.5</v>
      </c>
      <c r="D21" s="22">
        <f>Parameters!C17</f>
        <v>0.78100000000000003</v>
      </c>
      <c r="E21" s="22">
        <f>Parameters!D17</f>
        <v>0.78100000000000003</v>
      </c>
      <c r="F21" s="28">
        <f t="shared" si="0"/>
        <v>1304.9535312</v>
      </c>
      <c r="G21" s="28">
        <f t="shared" si="1"/>
        <v>799.81022880000012</v>
      </c>
      <c r="H21" s="24">
        <f t="shared" si="2"/>
        <v>0.61999999999999988</v>
      </c>
      <c r="I21" s="1"/>
      <c r="J21" s="1"/>
    </row>
    <row r="22" spans="1:10" ht="24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4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4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2">
    <mergeCell ref="B2:H2"/>
    <mergeCell ref="B11:H1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0"/>
  <sheetViews>
    <sheetView workbookViewId="0"/>
  </sheetViews>
  <sheetFormatPr defaultRowHeight="14" x14ac:dyDescent="0.3"/>
  <sheetData>
    <row r="1" spans="1:4" x14ac:dyDescent="0.3">
      <c r="A1" s="32" t="s">
        <v>44</v>
      </c>
      <c r="B1" s="32" t="s">
        <v>45</v>
      </c>
      <c r="C1" s="32" t="s">
        <v>46</v>
      </c>
      <c r="D1" s="32" t="s">
        <v>47</v>
      </c>
    </row>
    <row r="2" spans="1:4" x14ac:dyDescent="0.3">
      <c r="A2" s="31" t="s">
        <v>48</v>
      </c>
      <c r="B2" s="31" t="s">
        <v>3</v>
      </c>
      <c r="C2" s="31" t="s">
        <v>49</v>
      </c>
      <c r="D2" s="31" t="str">
        <f>IF('Balance Map'!$E$1="English",B2,C2)</f>
        <v>制动平衡杆</v>
      </c>
    </row>
    <row r="3" spans="1:4" x14ac:dyDescent="0.3">
      <c r="A3" s="31" t="s">
        <v>50</v>
      </c>
      <c r="B3" s="31" t="s">
        <v>15</v>
      </c>
      <c r="C3" s="31" t="s">
        <v>51</v>
      </c>
      <c r="D3" s="31" t="str">
        <f>IF('Balance Map'!$E$1="English",B3,C3)</f>
        <v>制动盘常数</v>
      </c>
    </row>
    <row r="4" spans="1:4" x14ac:dyDescent="0.3">
      <c r="A4" s="31" t="s">
        <v>52</v>
      </c>
      <c r="B4" s="31" t="s">
        <v>16</v>
      </c>
      <c r="C4" s="31" t="s">
        <v>53</v>
      </c>
      <c r="D4" s="31" t="str">
        <f>IF('Balance Map'!$E$1="English",B4,C4)</f>
        <v>制动片倍率</v>
      </c>
    </row>
    <row r="5" spans="1:4" x14ac:dyDescent="0.3">
      <c r="A5" s="31" t="s">
        <v>54</v>
      </c>
      <c r="B5" s="31" t="s">
        <v>17</v>
      </c>
      <c r="C5" s="31" t="s">
        <v>55</v>
      </c>
      <c r="D5" s="31" t="str">
        <f>IF('Balance Map'!$E$1="English",B5,C5)</f>
        <v>制动盘 (mm)</v>
      </c>
    </row>
    <row r="6" spans="1:4" x14ac:dyDescent="0.3">
      <c r="A6" s="31" t="s">
        <v>56</v>
      </c>
      <c r="B6" s="31" t="s">
        <v>31</v>
      </c>
      <c r="C6" s="31" t="s">
        <v>57</v>
      </c>
      <c r="D6" s="31" t="str">
        <f>IF('Balance Map'!$E$1="English",B6,C6)</f>
        <v>制动盘 K (N·m)</v>
      </c>
    </row>
    <row r="7" spans="1:4" x14ac:dyDescent="0.3">
      <c r="A7" s="31" t="s">
        <v>58</v>
      </c>
      <c r="B7" s="31" t="s">
        <v>59</v>
      </c>
      <c r="C7" s="31" t="s">
        <v>12</v>
      </c>
      <c r="D7" s="31" t="str">
        <f>IF('Balance Map'!$E$1="English",B7,C7)</f>
        <v>前后相等</v>
      </c>
    </row>
    <row r="8" spans="1:4" x14ac:dyDescent="0.3">
      <c r="A8" s="31" t="s">
        <v>60</v>
      </c>
      <c r="B8" s="31" t="s">
        <v>61</v>
      </c>
      <c r="C8" s="31" t="s">
        <v>10</v>
      </c>
      <c r="D8" s="31" t="str">
        <f>IF('Balance Map'!$E$1="English",B8,C8)</f>
        <v>固定色阶</v>
      </c>
    </row>
    <row r="9" spans="1:4" x14ac:dyDescent="0.3">
      <c r="A9" s="31" t="s">
        <v>62</v>
      </c>
      <c r="B9" s="31" t="s">
        <v>29</v>
      </c>
      <c r="C9" s="31" t="s">
        <v>63</v>
      </c>
      <c r="D9" s="31" t="str">
        <f>IF('Balance Map'!$E$1="English",B9,C9)</f>
        <v>前轴</v>
      </c>
    </row>
    <row r="10" spans="1:4" x14ac:dyDescent="0.3">
      <c r="A10" s="31" t="s">
        <v>64</v>
      </c>
      <c r="B10" s="31" t="s">
        <v>65</v>
      </c>
      <c r="C10" s="31" t="s">
        <v>13</v>
      </c>
      <c r="D10" s="31" t="str">
        <f>IF('Balance Map'!$E$1="English",B10,C10)</f>
        <v>偏前</v>
      </c>
    </row>
    <row r="11" spans="1:4" x14ac:dyDescent="0.3">
      <c r="A11" s="31" t="s">
        <v>66</v>
      </c>
      <c r="B11" s="31" t="s">
        <v>5</v>
      </c>
      <c r="C11" s="31" t="s">
        <v>67</v>
      </c>
      <c r="D11" s="31" t="str">
        <f>IF('Balance Map'!$E$1="English",B11,C11)</f>
        <v>前轴制动盘</v>
      </c>
    </row>
    <row r="12" spans="1:4" x14ac:dyDescent="0.3">
      <c r="A12" s="31" t="s">
        <v>68</v>
      </c>
      <c r="B12" s="31" t="s">
        <v>4</v>
      </c>
      <c r="C12" s="31" t="s">
        <v>69</v>
      </c>
      <c r="D12" s="31" t="str">
        <f>IF('Balance Map'!$E$1="English",B12,C12)</f>
        <v>前制动主缸</v>
      </c>
    </row>
    <row r="13" spans="1:4" x14ac:dyDescent="0.3">
      <c r="A13" s="31" t="s">
        <v>70</v>
      </c>
      <c r="B13" s="31" t="s">
        <v>35</v>
      </c>
      <c r="C13" s="31" t="s">
        <v>71</v>
      </c>
      <c r="D13" s="31" t="str">
        <f>IF('Balance Map'!$E$1="English",B13,C13)</f>
        <v>前制动主缸 (mm)</v>
      </c>
    </row>
    <row r="14" spans="1:4" x14ac:dyDescent="0.3">
      <c r="A14" s="31" t="s">
        <v>72</v>
      </c>
      <c r="B14" s="31" t="s">
        <v>37</v>
      </c>
      <c r="C14" s="31" t="s">
        <v>73</v>
      </c>
      <c r="D14" s="31" t="str">
        <f>IF('Balance Map'!$E$1="English",B14,C14)</f>
        <v>前制动主缸 ×</v>
      </c>
    </row>
    <row r="15" spans="1:4" x14ac:dyDescent="0.3">
      <c r="A15" s="31" t="s">
        <v>74</v>
      </c>
      <c r="B15" s="31" t="s">
        <v>21</v>
      </c>
      <c r="C15" s="31" t="s">
        <v>75</v>
      </c>
      <c r="D15" s="31" t="str">
        <f>IF('Balance Map'!$E$1="English",B15,C15)</f>
        <v>前轴 ×</v>
      </c>
    </row>
    <row r="16" spans="1:4" x14ac:dyDescent="0.3">
      <c r="A16" s="31" t="s">
        <v>76</v>
      </c>
      <c r="B16" s="31" t="s">
        <v>7</v>
      </c>
      <c r="C16" s="31" t="s">
        <v>77</v>
      </c>
      <c r="D16" s="31" t="str">
        <f>IF('Balance Map'!$E$1="English",B16,C16)</f>
        <v>前轴制动片</v>
      </c>
    </row>
    <row r="17" spans="1:4" x14ac:dyDescent="0.3">
      <c r="A17" s="31" t="s">
        <v>78</v>
      </c>
      <c r="B17" s="31" t="s">
        <v>41</v>
      </c>
      <c r="C17" s="31" t="s">
        <v>79</v>
      </c>
      <c r="D17" s="31" t="str">
        <f>IF('Balance Map'!$E$1="English",B17,C17)</f>
        <v>前轴占比</v>
      </c>
    </row>
    <row r="18" spans="1:4" x14ac:dyDescent="0.3">
      <c r="A18" s="31" t="s">
        <v>80</v>
      </c>
      <c r="B18" s="31" t="s">
        <v>18</v>
      </c>
      <c r="C18" s="31" t="s">
        <v>81</v>
      </c>
      <c r="D18" s="31" t="str">
        <f>IF('Balance Map'!$E$1="English",B18,C18)</f>
        <v>前轴 K (N·m)</v>
      </c>
    </row>
    <row r="19" spans="1:4" x14ac:dyDescent="0.3">
      <c r="A19" s="31" t="s">
        <v>82</v>
      </c>
      <c r="B19" s="31" t="s">
        <v>39</v>
      </c>
      <c r="C19" s="31" t="s">
        <v>83</v>
      </c>
      <c r="D19" s="31" t="str">
        <f>IF('Balance Map'!$E$1="English",B19,C19)</f>
        <v>前轴权重</v>
      </c>
    </row>
    <row r="20" spans="1:4" x14ac:dyDescent="0.3">
      <c r="A20" s="31" t="s">
        <v>84</v>
      </c>
      <c r="B20" s="31" t="s">
        <v>34</v>
      </c>
      <c r="C20" s="31" t="s">
        <v>85</v>
      </c>
      <c r="D20" s="31" t="str">
        <f>IF('Balance Map'!$E$1="English",B20,C20)</f>
        <v>制动主缸组合</v>
      </c>
    </row>
    <row r="21" spans="1:4" x14ac:dyDescent="0.3">
      <c r="A21" s="31" t="s">
        <v>86</v>
      </c>
      <c r="B21" s="31" t="s">
        <v>26</v>
      </c>
      <c r="C21" s="31" t="s">
        <v>87</v>
      </c>
      <c r="D21" s="31" t="str">
        <f>IF('Balance Map'!$E$1="English",B21,C21)</f>
        <v>制动主缸 (mm)</v>
      </c>
    </row>
    <row r="22" spans="1:4" x14ac:dyDescent="0.3">
      <c r="A22" s="31" t="s">
        <v>88</v>
      </c>
      <c r="B22" s="31" t="s">
        <v>25</v>
      </c>
      <c r="C22" s="31" t="s">
        <v>89</v>
      </c>
      <c r="D22" s="31" t="str">
        <f>IF('Balance Map'!$E$1="English",B22,C22)</f>
        <v>制动主缸倍率</v>
      </c>
    </row>
    <row r="23" spans="1:4" x14ac:dyDescent="0.3">
      <c r="A23" s="31" t="s">
        <v>90</v>
      </c>
      <c r="B23" s="31" t="s">
        <v>20</v>
      </c>
      <c r="C23" s="31" t="s">
        <v>91</v>
      </c>
      <c r="D23" s="31" t="str">
        <f>IF('Balance Map'!$E$1="English",B23,C23)</f>
        <v>制动片</v>
      </c>
    </row>
    <row r="24" spans="1:4" x14ac:dyDescent="0.3">
      <c r="A24" s="31" t="s">
        <v>92</v>
      </c>
      <c r="B24" s="31" t="s">
        <v>32</v>
      </c>
      <c r="C24" s="31" t="s">
        <v>53</v>
      </c>
      <c r="D24" s="31" t="str">
        <f>IF('Balance Map'!$E$1="English",B24,C24)</f>
        <v>制动片倍率</v>
      </c>
    </row>
    <row r="25" spans="1:4" x14ac:dyDescent="0.3">
      <c r="A25" s="31" t="s">
        <v>93</v>
      </c>
      <c r="B25" s="31" t="s">
        <v>30</v>
      </c>
      <c r="C25" s="31" t="s">
        <v>94</v>
      </c>
      <c r="D25" s="31" t="str">
        <f>IF('Balance Map'!$E$1="English",B25,C25)</f>
        <v>后轴</v>
      </c>
    </row>
    <row r="26" spans="1:4" x14ac:dyDescent="0.3">
      <c r="A26" s="31" t="s">
        <v>95</v>
      </c>
      <c r="B26" s="31" t="s">
        <v>96</v>
      </c>
      <c r="C26" s="31" t="s">
        <v>11</v>
      </c>
      <c r="D26" s="31" t="str">
        <f>IF('Balance Map'!$E$1="English",B26,C26)</f>
        <v>偏后</v>
      </c>
    </row>
    <row r="27" spans="1:4" x14ac:dyDescent="0.3">
      <c r="A27" s="31" t="s">
        <v>97</v>
      </c>
      <c r="B27" s="31" t="s">
        <v>19</v>
      </c>
      <c r="C27" s="31" t="s">
        <v>98</v>
      </c>
      <c r="D27" s="31" t="str">
        <f>IF('Balance Map'!$E$1="English",B27,C27)</f>
        <v>后轴 K (N·m)</v>
      </c>
    </row>
    <row r="28" spans="1:4" x14ac:dyDescent="0.3">
      <c r="A28" s="31" t="s">
        <v>99</v>
      </c>
      <c r="B28" s="31" t="s">
        <v>6</v>
      </c>
      <c r="C28" s="31" t="s">
        <v>100</v>
      </c>
      <c r="D28" s="31" t="str">
        <f>IF('Balance Map'!$E$1="English",B28,C28)</f>
        <v>后轴制动盘</v>
      </c>
    </row>
    <row r="29" spans="1:4" x14ac:dyDescent="0.3">
      <c r="A29" s="31" t="s">
        <v>101</v>
      </c>
      <c r="B29" s="31" t="s">
        <v>22</v>
      </c>
      <c r="C29" s="31" t="s">
        <v>102</v>
      </c>
      <c r="D29" s="31" t="str">
        <f>IF('Balance Map'!$E$1="English",B29,C29)</f>
        <v>后轴 ×</v>
      </c>
    </row>
    <row r="30" spans="1:4" x14ac:dyDescent="0.3">
      <c r="A30" s="31" t="s">
        <v>103</v>
      </c>
      <c r="B30" s="31" t="s">
        <v>2</v>
      </c>
      <c r="C30" s="31" t="s">
        <v>104</v>
      </c>
      <c r="D30" s="31" t="str">
        <f>IF('Balance Map'!$E$1="English",B30,C30)</f>
        <v>后制动主缸</v>
      </c>
    </row>
    <row r="31" spans="1:4" x14ac:dyDescent="0.3">
      <c r="A31" s="31" t="s">
        <v>105</v>
      </c>
      <c r="B31" s="31" t="s">
        <v>38</v>
      </c>
      <c r="C31" s="31" t="s">
        <v>106</v>
      </c>
      <c r="D31" s="31" t="str">
        <f>IF('Balance Map'!$E$1="English",B31,C31)</f>
        <v>后制动主缸 ×</v>
      </c>
    </row>
    <row r="32" spans="1:4" x14ac:dyDescent="0.3">
      <c r="A32" s="31" t="s">
        <v>107</v>
      </c>
      <c r="B32" s="31" t="s">
        <v>36</v>
      </c>
      <c r="C32" s="31" t="s">
        <v>108</v>
      </c>
      <c r="D32" s="31" t="str">
        <f>IF('Balance Map'!$E$1="English",B32,C32)</f>
        <v>后制动主缸 (mm)</v>
      </c>
    </row>
    <row r="33" spans="1:4" x14ac:dyDescent="0.3">
      <c r="A33" s="31" t="s">
        <v>109</v>
      </c>
      <c r="B33" s="31" t="s">
        <v>9</v>
      </c>
      <c r="C33" s="31" t="s">
        <v>110</v>
      </c>
      <c r="D33" s="31" t="str">
        <f>IF('Balance Map'!$E$1="English",B33,C33)</f>
        <v>后轴制动片</v>
      </c>
    </row>
    <row r="34" spans="1:4" x14ac:dyDescent="0.3">
      <c r="A34" s="31" t="s">
        <v>111</v>
      </c>
      <c r="B34" s="31" t="s">
        <v>40</v>
      </c>
      <c r="C34" s="31" t="s">
        <v>112</v>
      </c>
      <c r="D34" s="31" t="str">
        <f>IF('Balance Map'!$E$1="English",B34,C34)</f>
        <v>后轴权重</v>
      </c>
    </row>
    <row r="35" spans="1:4" x14ac:dyDescent="0.3">
      <c r="A35" s="31" t="s">
        <v>113</v>
      </c>
      <c r="B35" s="31" t="s">
        <v>28</v>
      </c>
      <c r="C35" s="31" t="s">
        <v>114</v>
      </c>
      <c r="D35" s="31" t="str">
        <f>IF('Balance Map'!$E$1="English",B35,C35)</f>
        <v>所选设定</v>
      </c>
    </row>
    <row r="36" spans="1:4" x14ac:dyDescent="0.3">
      <c r="A36" s="31" t="s">
        <v>115</v>
      </c>
      <c r="B36" s="31" t="s">
        <v>1</v>
      </c>
      <c r="C36" s="31" t="s">
        <v>116</v>
      </c>
      <c r="D36" s="31" t="str">
        <f>IF('Balance Map'!$E$1="English",B36,C36)</f>
        <v>设定组合</v>
      </c>
    </row>
    <row r="37" spans="1:4" x14ac:dyDescent="0.3">
      <c r="A37" s="31" t="s">
        <v>117</v>
      </c>
      <c r="B37" s="31" t="s">
        <v>33</v>
      </c>
      <c r="C37" s="31" t="s">
        <v>118</v>
      </c>
      <c r="D37" s="31" t="str">
        <f>IF('Balance Map'!$E$1="English",B37,C37)</f>
        <v>主缸前权重</v>
      </c>
    </row>
    <row r="38" spans="1:4" x14ac:dyDescent="0.3">
      <c r="A38" s="31" t="s">
        <v>119</v>
      </c>
      <c r="B38" s="31" t="s">
        <v>0</v>
      </c>
      <c r="C38" s="31" t="s">
        <v>120</v>
      </c>
      <c r="D38" s="31" t="str">
        <f>IF('Balance Map'!$E$1="English",B38,C38)</f>
        <v>Astral · 制动平衡</v>
      </c>
    </row>
    <row r="39" spans="1:4" x14ac:dyDescent="0.3">
      <c r="A39" s="31" t="s">
        <v>121</v>
      </c>
      <c r="B39" s="31" t="s">
        <v>27</v>
      </c>
      <c r="C39" s="31" t="s">
        <v>122</v>
      </c>
      <c r="D39" s="31" t="str">
        <f>IF('Balance Map'!$E$1="English",B39,C39)</f>
        <v>Astral · 制动计算</v>
      </c>
    </row>
    <row r="40" spans="1:4" x14ac:dyDescent="0.3">
      <c r="A40" s="31" t="s">
        <v>123</v>
      </c>
      <c r="B40" s="31" t="s">
        <v>14</v>
      </c>
      <c r="C40" s="31" t="s">
        <v>124</v>
      </c>
      <c r="D40" s="31" t="str">
        <f>IF('Balance Map'!$E$1="English",B40,C40)</f>
        <v>Astral · 制动参数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Balance Map</vt:lpstr>
      <vt:lpstr>Parameters</vt:lpstr>
      <vt:lpstr>Calculations</vt:lpstr>
      <vt:lpstr>Locale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2026-10-27T06:07:23Z</cp:lastPrinted>
  <dcterms:modified xsi:type="dcterms:W3CDTF">2026-10-27T06:07:27Z</dcterms:modified>
</cp:coreProperties>
</file>