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CF95BFD3-9C65-43E6-BE3C-A10A9BAA71E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F16" i="3"/>
  <c r="F18" i="3"/>
  <c r="F19" i="3"/>
  <c r="F21" i="3"/>
  <c r="F14" i="3"/>
  <c r="F17" i="3"/>
  <c r="F20" i="3"/>
  <c r="H15" i="3" l="1"/>
  <c r="F7" i="1" s="1"/>
  <c r="H16" i="3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<sst xmlns="http://schemas.openxmlformats.org/spreadsheetml/2006/main" count="46" uniqueCount="42">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</sst>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8" x14ac:knownFonts="1">
    <font>
      <sz val="11"/>
      <color theme="1"/>
      <name val="Arial"/>
    </font>
    <font>
      <sz val="11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b/>
      <sz val="22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7" fillId="7" borderId="11" xfId="0" applyFont="1" applyFill="1" applyBorder="1" applyAlignment="1">
      <alignment horizontal="center" vertical="center" wrapText="1"/>
    </xf>
    <xf numFmtId="0" fontId="1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5" borderId="3" xfId="0" applyFont="1" applyFill="1" applyBorder="1">
      <alignment vertical="center"/>
    </xf>
    <xf numFmtId="9" fontId="6" fillId="6" borderId="4" xfId="0" applyNumberFormat="1" applyFont="1" applyFill="1" applyBorder="1" applyAlignment="1">
      <alignment horizontal="right" vertical="center"/>
    </xf>
    <xf numFmtId="0" fontId="7" fillId="7" borderId="5" xfId="0" applyFont="1" applyFill="1" applyBorder="1" applyAlignment="1">
      <alignment horizontal="center" vertical="center" wrapText="1"/>
    </xf>
    <xf numFmtId="0" fontId="8" fillId="8" borderId="6" xfId="0" applyFont="1" applyFill="1" applyBorder="1">
      <alignment vertical="center"/>
    </xf>
    <xf numFmtId="178" fontId="9" fillId="9" borderId="7" xfId="0" applyNumberFormat="1" applyFont="1" applyFill="1" applyBorder="1" applyAlignment="1">
      <alignment horizontal="right" vertical="center"/>
    </xf>
    <xf numFmtId="176" fontId="10" fillId="10" borderId="8" xfId="0" applyNumberFormat="1" applyFont="1" applyFill="1" applyBorder="1" applyAlignment="1">
      <alignment horizontal="center" vertical="center"/>
    </xf>
    <xf numFmtId="177" fontId="11" fillId="11" borderId="1" xfId="0" applyNumberFormat="1" applyFont="1" applyFill="1" applyBorder="1" applyAlignment="1">
      <alignment horizontal="center" vertical="center"/>
    </xf>
    <xf numFmtId="176" fontId="12" fillId="12" borderId="9" xfId="0" applyNumberFormat="1" applyFon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right" vertical="center"/>
    </xf>
    <xf numFmtId="0" fontId="14" fillId="14" borderId="0" xfId="0" applyFont="1" applyFill="1">
      <alignment vertical="center"/>
    </xf>
    <xf numFmtId="9" fontId="15" fillId="15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11" xfId="0" applyFont="1" applyFill="1" applyBorder="1" applyAlignment="1">
      <alignment horizontal="center" vertical="center" wrapText="1"/>
    </xf>
    <xf numFmtId="1" fontId="18" fillId="18" borderId="12" xfId="0" applyNumberFormat="1" applyFont="1" applyFill="1" applyBorder="1">
      <alignment vertical="center"/>
    </xf>
    <xf numFmtId="1" fontId="19" fillId="19" borderId="13" xfId="0" applyNumberFormat="1" applyFont="1" applyFill="1" applyBorder="1" applyAlignment="1">
      <alignment horizontal="right" vertical="center"/>
    </xf>
    <xf numFmtId="179" fontId="20" fillId="20" borderId="14" xfId="0" applyNumberFormat="1" applyFont="1" applyFill="1" applyBorder="1" applyAlignment="1">
      <alignment horizontal="right" vertical="center"/>
    </xf>
    <xf numFmtId="1" fontId="21" fillId="21" borderId="15" xfId="0" applyNumberFormat="1" applyFont="1" applyFill="1" applyBorder="1">
      <alignment vertical="center"/>
    </xf>
    <xf numFmtId="2" fontId="22" fillId="22" borderId="16" xfId="0" applyNumberFormat="1" applyFont="1" applyFill="1" applyBorder="1">
      <alignment vertical="center"/>
    </xf>
    <xf numFmtId="2" fontId="23" fillId="23" borderId="17" xfId="0" applyNumberFormat="1" applyFont="1" applyFill="1" applyBorder="1">
      <alignment vertical="center"/>
    </xf>
    <xf numFmtId="179" fontId="24" fillId="24" borderId="18" xfId="0" applyNumberFormat="1" applyFont="1" applyFill="1" applyBorder="1">
      <alignment vertical="center"/>
    </xf>
    <xf numFmtId="179" fontId="25" fillId="25" borderId="19" xfId="0" applyNumberFormat="1" applyFont="1" applyFill="1" applyBorder="1">
      <alignment vertical="center"/>
    </xf>
    <xf numFmtId="10" fontId="26" fillId="26" borderId="20" xfId="0" applyNumberFormat="1" applyFont="1" applyFill="1" applyBorder="1">
      <alignment vertical="center"/>
    </xf>
    <xf numFmtId="10" fontId="27" fillId="27" borderId="21" xfId="0" applyNumberFormat="1" applyFont="1" applyFill="1" applyBorder="1">
      <alignment vertical="center"/>
    </xf>
    <xf numFmtId="0" fontId="7" fillId="7" borderId="11" xfId="0" applyFont="1" applyFill="1" applyBorder="1" applyAlignment="1">
      <alignment vertical="center" wrapText="1"/>
    </xf>
    <xf numFmtId="2" fontId="20" fillId="20" borderId="14" xfId="0" applyNumberFormat="1" applyFont="1" applyFill="1" applyBorder="1" applyAlignment="1">
      <alignment horizontal="right" vertical="center"/>
    </xf>
    <xf numFmtId="1" fontId="24" fillId="24" borderId="18" xfId="0" applyNumberFormat="1" applyFont="1" applyFill="1" applyBorder="1">
      <alignment vertical="center"/>
    </xf>
    <xf numFmtId="2" fontId="25" fillId="25" borderId="19" xfId="0" applyNumberFormat="1" applyFont="1" applyFill="1" applyBorder="1">
      <alignment vertical="center"/>
    </xf>
    <xf numFmtId="1" fontId="25" fillId="25" borderId="19" xfId="0" applyNumberFormat="1" applyFont="1" applyFill="1" applyBorder="1">
      <alignment vertical="center"/>
    </xf>
    <xf numFmtId="0" fontId="7" fillId="7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3" fillId="3" borderId="0" xfId="0" applyFont="1" applyFill="1">
      <alignment vertical="center"/>
    </xf>
    <xf numFmtId="0" fontId="1" fillId="2" borderId="0" xfId="0" applyFon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I16" sqref="I16"/>
    </sheetView>
  </sheetViews>
  <sheetFormatPr defaultRowHeight="14.25" x14ac:dyDescent="0.2"/>
  <cols>
    <col min="1" max="1" width="3" customWidth="1"/>
    <col min="2" max="2" width="12.125" customWidth="1"/>
    <col min="3" max="6" width="17.625" customWidth="1"/>
    <col min="7" max="7" width="4" customWidth="1"/>
    <col min="8" max="8" width="22" customWidth="1"/>
    <col min="9" max="9" width="18" customWidth="1"/>
    <col min="10" max="10" width="3" customWidth="1"/>
    <col min="11" max="11" width="29.125" customWidth="1"/>
    <col min="12" max="12" width="30.5" customWidth="1"/>
  </cols>
  <sheetData>
    <row r="1" spans="1:10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35.1" customHeight="1" x14ac:dyDescent="0.2">
      <c r="A2" s="2"/>
      <c r="B2" s="3" t="s">
        <v>0</v>
      </c>
      <c r="C2" s="2"/>
      <c r="D2" s="2"/>
      <c r="E2" s="2"/>
      <c r="F2" s="2"/>
      <c r="G2" s="2"/>
      <c r="H2" s="2"/>
      <c r="J2" s="2"/>
    </row>
    <row r="3" spans="1:10" ht="24" customHeight="1" x14ac:dyDescent="0.2">
      <c r="A3" s="2"/>
      <c r="B3" s="2"/>
      <c r="J3" s="2"/>
    </row>
    <row r="4" spans="1:10" ht="24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.95" customHeight="1" x14ac:dyDescent="0.2">
      <c r="A5" s="2"/>
      <c r="B5" s="27"/>
      <c r="C5" s="1" t="s">
        <v>2</v>
      </c>
      <c r="D5" s="1"/>
      <c r="E5" s="1"/>
      <c r="F5" s="1"/>
      <c r="G5" s="2"/>
      <c r="H5" s="33" t="s">
        <v>1</v>
      </c>
      <c r="I5" s="33"/>
      <c r="J5" s="2"/>
    </row>
    <row r="6" spans="1:10" ht="32.1" customHeight="1" x14ac:dyDescent="0.2">
      <c r="A6" s="2"/>
      <c r="B6" s="32" t="s">
        <v>4</v>
      </c>
      <c r="D6" s="9">
        <f>Parameters!B15</f>
        <v>17.8</v>
      </c>
      <c r="E6" s="11">
        <f>Parameters!B16</f>
        <v>19.7</v>
      </c>
      <c r="F6" s="9">
        <f>Parameters!B17</f>
        <v>21.5</v>
      </c>
      <c r="G6" s="2"/>
      <c r="H6" s="4" t="s">
        <v>3</v>
      </c>
      <c r="I6" s="5">
        <v>0.6</v>
      </c>
      <c r="J6" s="2"/>
    </row>
    <row r="7" spans="1:10" ht="51.95" customHeight="1" x14ac:dyDescent="0.2">
      <c r="A7" s="2"/>
      <c r="B7" s="32"/>
      <c r="C7" s="9">
        <f>Parameters!B15</f>
        <v>17.8</v>
      </c>
      <c r="D7" s="10">
        <f>Calculations!H13</f>
        <v>0.60000000000000009</v>
      </c>
      <c r="E7" s="10">
        <f>Calculations!H14</f>
        <v>0.64752700397953378</v>
      </c>
      <c r="F7" s="10">
        <f>Calculations!H15</f>
        <v>0.68628238602128944</v>
      </c>
      <c r="G7" s="2"/>
      <c r="H7" s="7" t="s">
        <v>5</v>
      </c>
      <c r="I7" s="8">
        <v>300</v>
      </c>
      <c r="J7" s="2"/>
    </row>
    <row r="8" spans="1:10" ht="51.95" customHeight="1" x14ac:dyDescent="0.2">
      <c r="A8" s="2"/>
      <c r="B8" s="32"/>
      <c r="C8" s="11">
        <f>Parameters!B16</f>
        <v>19.7</v>
      </c>
      <c r="D8" s="10">
        <f>Calculations!H16</f>
        <v>0.55051302288871351</v>
      </c>
      <c r="E8" s="10">
        <f>Calculations!H17</f>
        <v>0.6</v>
      </c>
      <c r="F8" s="10">
        <f>Calculations!H18</f>
        <v>0.64108455882352944</v>
      </c>
      <c r="G8" s="2"/>
      <c r="H8" s="4" t="s">
        <v>6</v>
      </c>
      <c r="I8" s="8">
        <v>300</v>
      </c>
      <c r="J8" s="2"/>
    </row>
    <row r="9" spans="1:10" ht="51.95" customHeight="1" x14ac:dyDescent="0.2">
      <c r="A9" s="2"/>
      <c r="B9" s="32"/>
      <c r="C9" s="9">
        <f>Parameters!B17</f>
        <v>21.5</v>
      </c>
      <c r="D9" s="10">
        <f>Calculations!H19</f>
        <v>0.50703310971651161</v>
      </c>
      <c r="E9" s="10">
        <f>Calculations!H20</f>
        <v>0.55745895788722333</v>
      </c>
      <c r="F9" s="10">
        <f>Calculations!H21</f>
        <v>0.6</v>
      </c>
      <c r="G9" s="2"/>
      <c r="H9" s="7" t="s">
        <v>7</v>
      </c>
      <c r="I9" s="12" t="s">
        <v>8</v>
      </c>
      <c r="J9" s="2"/>
    </row>
    <row r="10" spans="1:10" ht="24" customHeight="1" x14ac:dyDescent="0.2">
      <c r="A10" s="2"/>
      <c r="B10" s="2"/>
      <c r="C10" s="2"/>
      <c r="D10" s="2"/>
      <c r="E10" s="2"/>
      <c r="F10" s="2"/>
      <c r="G10" s="2"/>
      <c r="H10" s="4" t="s">
        <v>9</v>
      </c>
      <c r="I10" s="12" t="s">
        <v>8</v>
      </c>
      <c r="J10" s="2"/>
    </row>
    <row r="11" spans="1:10" ht="24" customHeight="1" x14ac:dyDescent="0.2">
      <c r="A11" s="2"/>
      <c r="B11" s="2"/>
      <c r="C11" s="2"/>
      <c r="D11" s="2"/>
      <c r="E11" s="2"/>
      <c r="F11" s="2"/>
      <c r="G11" s="2"/>
      <c r="J11" s="2"/>
    </row>
    <row r="12" spans="1:10" ht="24" customHeight="1" x14ac:dyDescent="0.2">
      <c r="A12" s="2"/>
      <c r="B12" s="2"/>
      <c r="C12" s="13" t="s">
        <v>10</v>
      </c>
      <c r="D12" s="14">
        <v>0.3</v>
      </c>
      <c r="E12" s="14">
        <v>0.5</v>
      </c>
      <c r="F12" s="14">
        <v>0.7</v>
      </c>
      <c r="G12" s="2"/>
      <c r="J12" s="2"/>
    </row>
    <row r="13" spans="1:10" ht="24" customHeight="1" x14ac:dyDescent="0.2">
      <c r="A13" s="2"/>
      <c r="B13" s="2"/>
      <c r="C13" s="2"/>
      <c r="D13" s="15" t="s">
        <v>11</v>
      </c>
      <c r="E13" s="15" t="s">
        <v>12</v>
      </c>
      <c r="F13" s="15" t="s">
        <v>13</v>
      </c>
      <c r="G13" s="2"/>
      <c r="J13" s="2"/>
    </row>
    <row r="14" spans="1:10" ht="24" customHeight="1" x14ac:dyDescent="0.2">
      <c r="A14" s="2"/>
      <c r="B14" s="2"/>
      <c r="C14" s="2"/>
      <c r="D14" s="2"/>
      <c r="E14" s="2"/>
      <c r="F14" s="2"/>
      <c r="G14" s="2"/>
      <c r="J14" s="2"/>
    </row>
    <row r="15" spans="1:10" ht="24" customHeight="1" x14ac:dyDescent="0.2">
      <c r="A15" s="2"/>
      <c r="B15" s="2"/>
      <c r="J15" s="2"/>
    </row>
    <row r="16" spans="1:10" ht="24" customHeight="1" x14ac:dyDescent="0.2">
      <c r="A16" s="2"/>
      <c r="B16" s="2"/>
      <c r="J16" s="2"/>
    </row>
    <row r="17" spans="1:10" ht="24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ht="24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ht="24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</sheetData>
  <mergeCells count="3">
    <mergeCell ref="C5:F5"/>
    <mergeCell ref="B6:B9"/>
    <mergeCell ref="H5:I5"/>
  </mergeCells>
  <phoneticPr fontId="2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.25" x14ac:dyDescent="0.2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ht="35.1" customHeight="1" x14ac:dyDescent="0.2">
      <c r="A2" s="2"/>
      <c r="B2" s="34" t="s">
        <v>14</v>
      </c>
      <c r="C2" s="35"/>
      <c r="D2" s="35"/>
      <c r="E2" s="35"/>
      <c r="F2" s="35"/>
      <c r="G2" s="35"/>
      <c r="H2" s="35"/>
      <c r="I2" s="35"/>
      <c r="J2" s="2"/>
      <c r="K2" s="2"/>
    </row>
    <row r="3" spans="1:11" ht="24" customHeight="1" x14ac:dyDescent="0.2">
      <c r="A3" s="2"/>
      <c r="J3" s="2"/>
      <c r="K3" s="2"/>
    </row>
    <row r="4" spans="1:11" ht="24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ht="32.1" customHeight="1" x14ac:dyDescent="0.2">
      <c r="A5" s="2"/>
      <c r="B5" s="33" t="s">
        <v>15</v>
      </c>
      <c r="C5" s="33"/>
      <c r="D5" s="33"/>
      <c r="E5" s="2"/>
      <c r="F5" s="2"/>
      <c r="G5" s="33" t="s">
        <v>16</v>
      </c>
      <c r="H5" s="33"/>
      <c r="I5" s="33"/>
      <c r="J5" s="2"/>
      <c r="K5" s="2"/>
    </row>
    <row r="6" spans="1:11" ht="24" customHeight="1" x14ac:dyDescent="0.2">
      <c r="A6" s="2"/>
      <c r="B6" s="16" t="s">
        <v>17</v>
      </c>
      <c r="C6" s="16" t="s">
        <v>18</v>
      </c>
      <c r="D6" s="16" t="s">
        <v>19</v>
      </c>
      <c r="E6" s="2"/>
      <c r="F6" s="2"/>
      <c r="G6" s="16" t="s">
        <v>20</v>
      </c>
      <c r="H6" s="16" t="s">
        <v>21</v>
      </c>
      <c r="I6" s="16" t="s">
        <v>22</v>
      </c>
      <c r="J6" s="2"/>
      <c r="K6" s="2"/>
    </row>
    <row r="7" spans="1:11" ht="30.95" customHeight="1" x14ac:dyDescent="0.2">
      <c r="A7" s="2"/>
      <c r="B7" s="17">
        <v>300</v>
      </c>
      <c r="C7" s="18">
        <v>3509</v>
      </c>
      <c r="D7" s="18">
        <v>3509</v>
      </c>
      <c r="E7" s="2"/>
      <c r="F7" s="2"/>
      <c r="G7" s="4" t="s">
        <v>23</v>
      </c>
      <c r="H7" s="28">
        <v>0.72</v>
      </c>
      <c r="I7" s="28">
        <v>0.72</v>
      </c>
      <c r="J7" s="2"/>
      <c r="K7" s="2"/>
    </row>
    <row r="8" spans="1:11" ht="30.95" customHeight="1" x14ac:dyDescent="0.2">
      <c r="A8" s="2"/>
      <c r="B8" s="20">
        <v>320</v>
      </c>
      <c r="C8" s="18">
        <v>3743</v>
      </c>
      <c r="D8" s="18">
        <v>3743</v>
      </c>
      <c r="E8" s="2"/>
      <c r="F8" s="2"/>
      <c r="G8" s="7" t="s">
        <v>24</v>
      </c>
      <c r="H8" s="28">
        <v>0.68</v>
      </c>
      <c r="I8" s="28">
        <v>0.68</v>
      </c>
      <c r="J8" s="2"/>
      <c r="K8" s="2"/>
    </row>
    <row r="9" spans="1:11" ht="30.95" customHeight="1" x14ac:dyDescent="0.2">
      <c r="A9" s="2"/>
      <c r="B9" s="17">
        <v>355</v>
      </c>
      <c r="C9" s="18">
        <v>4153</v>
      </c>
      <c r="D9" s="18">
        <v>4153</v>
      </c>
      <c r="E9" s="2"/>
      <c r="F9" s="2"/>
      <c r="G9" s="4" t="s">
        <v>8</v>
      </c>
      <c r="H9" s="28">
        <v>0.65</v>
      </c>
      <c r="I9" s="28">
        <v>0.65</v>
      </c>
      <c r="J9" s="2"/>
      <c r="K9" s="2"/>
    </row>
    <row r="10" spans="1:11" ht="30.95" customHeight="1" x14ac:dyDescent="0.2">
      <c r="A10" s="2"/>
      <c r="B10" s="20">
        <v>370</v>
      </c>
      <c r="C10" s="18">
        <v>4329</v>
      </c>
      <c r="D10" s="18">
        <v>4329</v>
      </c>
      <c r="E10" s="2"/>
      <c r="F10" s="2"/>
      <c r="G10" s="2"/>
      <c r="H10" s="2"/>
      <c r="I10" s="2"/>
      <c r="J10" s="2"/>
      <c r="K10" s="2"/>
    </row>
    <row r="11" spans="1:11" ht="24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ht="24" customHeight="1" x14ac:dyDescent="0.2">
      <c r="A12" s="2"/>
      <c r="B12" s="2"/>
      <c r="C12" s="2"/>
      <c r="D12" s="2"/>
      <c r="E12" s="2"/>
      <c r="F12" s="2"/>
      <c r="J12" s="2"/>
      <c r="K12" s="2"/>
    </row>
    <row r="13" spans="1:11" ht="32.1" customHeight="1" x14ac:dyDescent="0.2">
      <c r="A13" s="2"/>
      <c r="B13" s="33" t="s">
        <v>25</v>
      </c>
      <c r="C13" s="33"/>
      <c r="D13" s="33"/>
      <c r="E13" s="2"/>
      <c r="F13" s="2"/>
      <c r="J13" s="2"/>
      <c r="K13" s="2"/>
    </row>
    <row r="14" spans="1:11" ht="24" customHeight="1" x14ac:dyDescent="0.2">
      <c r="A14" s="2"/>
      <c r="B14" s="16" t="s">
        <v>26</v>
      </c>
      <c r="C14" s="16" t="s">
        <v>21</v>
      </c>
      <c r="D14" s="16" t="s">
        <v>22</v>
      </c>
      <c r="E14" s="2"/>
      <c r="F14" s="2"/>
      <c r="J14" s="2"/>
      <c r="K14" s="2"/>
    </row>
    <row r="15" spans="1:11" ht="30.95" customHeight="1" x14ac:dyDescent="0.2">
      <c r="A15" s="2"/>
      <c r="B15" s="21">
        <v>17.8</v>
      </c>
      <c r="C15" s="19">
        <v>1.139</v>
      </c>
      <c r="D15" s="19">
        <v>1.139</v>
      </c>
      <c r="E15" s="2"/>
      <c r="F15" s="2"/>
      <c r="J15" s="2"/>
      <c r="K15" s="2"/>
    </row>
    <row r="16" spans="1:11" ht="30.95" customHeight="1" x14ac:dyDescent="0.2">
      <c r="A16" s="2"/>
      <c r="B16" s="22">
        <v>19.7</v>
      </c>
      <c r="C16" s="19">
        <v>0.93</v>
      </c>
      <c r="D16" s="19">
        <v>0.93</v>
      </c>
      <c r="E16" s="2"/>
      <c r="F16" s="2"/>
      <c r="G16" s="2"/>
      <c r="H16" s="2"/>
      <c r="I16" s="2"/>
      <c r="J16" s="2"/>
      <c r="K16" s="2"/>
    </row>
    <row r="17" spans="1:11" ht="30.95" customHeight="1" x14ac:dyDescent="0.2">
      <c r="A17" s="2"/>
      <c r="B17" s="21">
        <v>21.5</v>
      </c>
      <c r="C17" s="19">
        <v>0.78100000000000003</v>
      </c>
      <c r="D17" s="19">
        <v>0.78100000000000003</v>
      </c>
      <c r="E17" s="2"/>
      <c r="F17" s="2"/>
      <c r="G17" s="2"/>
      <c r="H17" s="2"/>
      <c r="I17" s="2"/>
      <c r="J17" s="2"/>
      <c r="K17" s="2"/>
    </row>
    <row r="18" spans="1:11" ht="24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ht="32.1" customHeight="1" x14ac:dyDescent="0.2">
      <c r="A19" s="2"/>
      <c r="J19" s="2"/>
      <c r="K19" s="2"/>
    </row>
    <row r="20" spans="1:11" ht="24" customHeight="1" x14ac:dyDescent="0.2">
      <c r="A20" s="2"/>
      <c r="J20" s="2"/>
      <c r="K20" s="2"/>
    </row>
    <row r="21" spans="1:11" ht="24" customHeight="1" x14ac:dyDescent="0.2">
      <c r="A21" s="2"/>
      <c r="J21" s="2"/>
      <c r="K21" s="2"/>
    </row>
    <row r="22" spans="1:11" ht="24" customHeight="1" x14ac:dyDescent="0.2">
      <c r="A22" s="2"/>
      <c r="J22" s="2"/>
      <c r="K22" s="2"/>
    </row>
    <row r="23" spans="1:11" ht="24" customHeight="1" x14ac:dyDescent="0.2">
      <c r="A23" s="2"/>
      <c r="J23" s="2"/>
      <c r="K23" s="2"/>
    </row>
    <row r="24" spans="1:11" ht="24" customHeight="1" x14ac:dyDescent="0.2">
      <c r="A24" s="2"/>
      <c r="J24" s="2"/>
      <c r="K24" s="2"/>
    </row>
    <row r="25" spans="1:11" ht="24" customHeight="1" x14ac:dyDescent="0.2">
      <c r="A25" s="2"/>
      <c r="J25" s="2"/>
      <c r="K25" s="2"/>
    </row>
    <row r="26" spans="1:11" ht="24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</sheetData>
  <mergeCells count="4">
    <mergeCell ref="B2:I2"/>
    <mergeCell ref="B5:D5"/>
    <mergeCell ref="B13:D13"/>
    <mergeCell ref="G5:I5"/>
  </mergeCells>
  <phoneticPr fontId="2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5" activePane="bottomLeft" state="frozen"/>
      <selection pane="bottomLeft" activeCell="C14" sqref="C14"/>
    </sheetView>
  </sheetViews>
  <sheetFormatPr defaultRowHeight="14.25" x14ac:dyDescent="0.2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35.1" customHeight="1" x14ac:dyDescent="0.2">
      <c r="A2" s="2"/>
      <c r="B2" s="34" t="s">
        <v>27</v>
      </c>
      <c r="C2" s="35"/>
      <c r="D2" s="35"/>
      <c r="E2" s="35"/>
      <c r="F2" s="35"/>
      <c r="G2" s="35"/>
      <c r="H2" s="35"/>
      <c r="I2" s="2"/>
      <c r="J2" s="2"/>
    </row>
    <row r="3" spans="1:10" ht="24" customHeight="1" x14ac:dyDescent="0.2">
      <c r="A3" s="2"/>
      <c r="I3" s="2"/>
      <c r="J3" s="2"/>
    </row>
    <row r="4" spans="1:10" ht="24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2.1" customHeight="1" x14ac:dyDescent="0.2">
      <c r="A5" s="2"/>
      <c r="B5" s="6" t="s">
        <v>28</v>
      </c>
      <c r="C5" s="6" t="s">
        <v>29</v>
      </c>
      <c r="D5" s="6" t="s">
        <v>30</v>
      </c>
      <c r="E5" s="2"/>
      <c r="F5" s="2"/>
      <c r="G5" s="2"/>
      <c r="H5" s="2"/>
      <c r="I5" s="2"/>
      <c r="J5" s="2"/>
    </row>
    <row r="6" spans="1:10" ht="30.95" customHeight="1" x14ac:dyDescent="0.2">
      <c r="A6" s="2"/>
      <c r="B6" s="4" t="s">
        <v>31</v>
      </c>
      <c r="C6" s="29">
        <f>INDEX(Parameters!$C$7:$C$10,MATCH('Balance Map'!$I$7,Parameters!$B$7:$B$10,0))</f>
        <v>3509</v>
      </c>
      <c r="D6" s="29">
        <f>INDEX(Parameters!$D$7:$D$10,MATCH('Balance Map'!$I$8,Parameters!$B$7:$B$10,0))</f>
        <v>3509</v>
      </c>
      <c r="E6" s="2"/>
      <c r="F6" s="2"/>
      <c r="G6" s="2"/>
      <c r="H6" s="2"/>
      <c r="I6" s="2"/>
      <c r="J6" s="2"/>
    </row>
    <row r="7" spans="1:10" ht="30.95" customHeight="1" x14ac:dyDescent="0.2">
      <c r="A7" s="2"/>
      <c r="B7" s="7" t="s">
        <v>32</v>
      </c>
      <c r="C7" s="30">
        <f>INDEX(Parameters!$H$7:$H$9,MATCH('Balance Map'!$I$9,Parameters!$G$7:$G$9,0))</f>
        <v>0.65</v>
      </c>
      <c r="D7" s="30">
        <f>INDEX(Parameters!$I$7:$I$9,MATCH('Balance Map'!$I$10,Parameters!$G$7:$G$9,0))</f>
        <v>0.65</v>
      </c>
      <c r="E7" s="2"/>
      <c r="F7" s="2"/>
      <c r="G7" s="2"/>
      <c r="H7" s="2"/>
      <c r="I7" s="2"/>
      <c r="J7" s="2"/>
    </row>
    <row r="8" spans="1:10" ht="30.95" customHeight="1" x14ac:dyDescent="0.2">
      <c r="A8" s="2"/>
      <c r="B8" s="4" t="s">
        <v>33</v>
      </c>
      <c r="C8" s="29">
        <f>C6*C7*'Balance Map'!$I$6</f>
        <v>1368.51</v>
      </c>
      <c r="D8" s="29">
        <f>D6*D7*(1-'Balance Map'!$I$6)</f>
        <v>912.34</v>
      </c>
      <c r="E8" s="2"/>
      <c r="F8" s="2"/>
      <c r="G8" s="2"/>
      <c r="H8" s="2"/>
      <c r="I8" s="2"/>
      <c r="J8" s="2"/>
    </row>
    <row r="9" spans="1:10" ht="24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ht="24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ht="32.1" customHeight="1" x14ac:dyDescent="0.2">
      <c r="A11" s="2"/>
      <c r="B11" s="33" t="s">
        <v>34</v>
      </c>
      <c r="C11" s="33"/>
      <c r="D11" s="33"/>
      <c r="E11" s="33"/>
      <c r="F11" s="33"/>
      <c r="G11" s="33"/>
      <c r="H11" s="33"/>
      <c r="I11" s="2"/>
      <c r="J11" s="2"/>
    </row>
    <row r="12" spans="1:10" ht="24" customHeight="1" x14ac:dyDescent="0.2">
      <c r="A12" s="2"/>
      <c r="B12" s="16" t="s">
        <v>35</v>
      </c>
      <c r="C12" s="16" t="s">
        <v>36</v>
      </c>
      <c r="D12" s="16" t="s">
        <v>37</v>
      </c>
      <c r="E12" s="16" t="s">
        <v>38</v>
      </c>
      <c r="F12" s="16" t="s">
        <v>39</v>
      </c>
      <c r="G12" s="16" t="s">
        <v>40</v>
      </c>
      <c r="H12" s="16" t="s">
        <v>41</v>
      </c>
      <c r="I12" s="2"/>
      <c r="J12" s="2"/>
    </row>
    <row r="13" spans="1:10" ht="30.95" customHeight="1" x14ac:dyDescent="0.2">
      <c r="A13" s="2"/>
      <c r="B13" s="21">
        <f>Parameters!B15</f>
        <v>17.8</v>
      </c>
      <c r="C13" s="21">
        <f>Parameters!B15</f>
        <v>17.8</v>
      </c>
      <c r="D13" s="23">
        <f>Parameters!C15</f>
        <v>1.139</v>
      </c>
      <c r="E13" s="23">
        <f>Parameters!D15</f>
        <v>1.139</v>
      </c>
      <c r="F13" s="29">
        <f t="shared" ref="F13:F21" si="0">$C$8*D13</f>
        <v>1558.73289</v>
      </c>
      <c r="G13" s="29">
        <f t="shared" ref="G13:G21" si="1">$D$8*E13</f>
        <v>1039.15526</v>
      </c>
      <c r="H13" s="25">
        <f t="shared" ref="H13:H21" si="2">F13/(F13+G13)</f>
        <v>0.60000000000000009</v>
      </c>
      <c r="I13" s="2"/>
      <c r="J13" s="2"/>
    </row>
    <row r="14" spans="1:10" ht="30.95" customHeight="1" x14ac:dyDescent="0.2">
      <c r="A14" s="2"/>
      <c r="B14" s="22">
        <f>Parameters!B15</f>
        <v>17.8</v>
      </c>
      <c r="C14" s="22">
        <f>Parameters!B16</f>
        <v>19.7</v>
      </c>
      <c r="D14" s="24">
        <f>Parameters!C15</f>
        <v>1.139</v>
      </c>
      <c r="E14" s="24">
        <f>Parameters!D16</f>
        <v>0.93</v>
      </c>
      <c r="F14" s="31">
        <f t="shared" si="0"/>
        <v>1558.73289</v>
      </c>
      <c r="G14" s="31">
        <f t="shared" si="1"/>
        <v>848.47620000000006</v>
      </c>
      <c r="H14" s="26">
        <f t="shared" si="2"/>
        <v>0.64752700397953378</v>
      </c>
      <c r="I14" s="2"/>
      <c r="J14" s="2"/>
    </row>
    <row r="15" spans="1:10" ht="30.95" customHeight="1" x14ac:dyDescent="0.2">
      <c r="A15" s="2"/>
      <c r="B15" s="21">
        <f>Parameters!B15</f>
        <v>17.8</v>
      </c>
      <c r="C15" s="21">
        <f>Parameters!B17</f>
        <v>21.5</v>
      </c>
      <c r="D15" s="23">
        <f>Parameters!C15</f>
        <v>1.139</v>
      </c>
      <c r="E15" s="23">
        <f>Parameters!D17</f>
        <v>0.78100000000000003</v>
      </c>
      <c r="F15" s="29">
        <f t="shared" si="0"/>
        <v>1558.73289</v>
      </c>
      <c r="G15" s="29">
        <f t="shared" si="1"/>
        <v>712.53754000000004</v>
      </c>
      <c r="H15" s="25">
        <f t="shared" si="2"/>
        <v>0.68628238602128944</v>
      </c>
      <c r="I15" s="2"/>
      <c r="J15" s="2"/>
    </row>
    <row r="16" spans="1:10" ht="30.95" customHeight="1" x14ac:dyDescent="0.2">
      <c r="A16" s="2"/>
      <c r="B16" s="22">
        <f>Parameters!B16</f>
        <v>19.7</v>
      </c>
      <c r="C16" s="22">
        <f>Parameters!B15</f>
        <v>17.8</v>
      </c>
      <c r="D16" s="24">
        <f>Parameters!C16</f>
        <v>0.93</v>
      </c>
      <c r="E16" s="24">
        <f>Parameters!D15</f>
        <v>1.139</v>
      </c>
      <c r="F16" s="31">
        <f t="shared" si="0"/>
        <v>1272.7143000000001</v>
      </c>
      <c r="G16" s="31">
        <f t="shared" si="1"/>
        <v>1039.15526</v>
      </c>
      <c r="H16" s="26">
        <f t="shared" si="2"/>
        <v>0.55051302288871351</v>
      </c>
      <c r="I16" s="2"/>
      <c r="J16" s="2"/>
    </row>
    <row r="17" spans="1:10" ht="30.95" customHeight="1" x14ac:dyDescent="0.2">
      <c r="A17" s="2"/>
      <c r="B17" s="21">
        <f>Parameters!B16</f>
        <v>19.7</v>
      </c>
      <c r="C17" s="21">
        <f>Parameters!B16</f>
        <v>19.7</v>
      </c>
      <c r="D17" s="23">
        <f>Parameters!C16</f>
        <v>0.93</v>
      </c>
      <c r="E17" s="23">
        <f>Parameters!D16</f>
        <v>0.93</v>
      </c>
      <c r="F17" s="29">
        <f t="shared" si="0"/>
        <v>1272.7143000000001</v>
      </c>
      <c r="G17" s="29">
        <f t="shared" si="1"/>
        <v>848.47620000000006</v>
      </c>
      <c r="H17" s="25">
        <f t="shared" si="2"/>
        <v>0.6</v>
      </c>
      <c r="I17" s="2"/>
      <c r="J17" s="2"/>
    </row>
    <row r="18" spans="1:10" ht="30.95" customHeight="1" x14ac:dyDescent="0.2">
      <c r="A18" s="2"/>
      <c r="B18" s="22">
        <f>Parameters!B16</f>
        <v>19.7</v>
      </c>
      <c r="C18" s="22">
        <f>Parameters!B17</f>
        <v>21.5</v>
      </c>
      <c r="D18" s="24">
        <f>Parameters!C16</f>
        <v>0.93</v>
      </c>
      <c r="E18" s="24">
        <f>Parameters!D17</f>
        <v>0.78100000000000003</v>
      </c>
      <c r="F18" s="31">
        <f t="shared" si="0"/>
        <v>1272.7143000000001</v>
      </c>
      <c r="G18" s="31">
        <f t="shared" si="1"/>
        <v>712.53754000000004</v>
      </c>
      <c r="H18" s="26">
        <f t="shared" si="2"/>
        <v>0.64108455882352944</v>
      </c>
      <c r="I18" s="2"/>
      <c r="J18" s="2"/>
    </row>
    <row r="19" spans="1:10" ht="30.95" customHeight="1" x14ac:dyDescent="0.2">
      <c r="A19" s="2"/>
      <c r="B19" s="21">
        <f>Parameters!B17</f>
        <v>21.5</v>
      </c>
      <c r="C19" s="21">
        <f>Parameters!B15</f>
        <v>17.8</v>
      </c>
      <c r="D19" s="23">
        <f>Parameters!C17</f>
        <v>0.78100000000000003</v>
      </c>
      <c r="E19" s="23">
        <f>Parameters!D15</f>
        <v>1.139</v>
      </c>
      <c r="F19" s="29">
        <f t="shared" si="0"/>
        <v>1068.8063099999999</v>
      </c>
      <c r="G19" s="29">
        <f t="shared" si="1"/>
        <v>1039.15526</v>
      </c>
      <c r="H19" s="25">
        <f t="shared" si="2"/>
        <v>0.50703310971651161</v>
      </c>
      <c r="I19" s="2"/>
      <c r="J19" s="2"/>
    </row>
    <row r="20" spans="1:10" ht="30.95" customHeight="1" x14ac:dyDescent="0.2">
      <c r="A20" s="2"/>
      <c r="B20" s="22">
        <f>Parameters!B17</f>
        <v>21.5</v>
      </c>
      <c r="C20" s="22">
        <f>Parameters!B16</f>
        <v>19.7</v>
      </c>
      <c r="D20" s="24">
        <f>Parameters!C17</f>
        <v>0.78100000000000003</v>
      </c>
      <c r="E20" s="24">
        <f>Parameters!D16</f>
        <v>0.93</v>
      </c>
      <c r="F20" s="31">
        <f t="shared" si="0"/>
        <v>1068.8063099999999</v>
      </c>
      <c r="G20" s="31">
        <f t="shared" si="1"/>
        <v>848.47620000000006</v>
      </c>
      <c r="H20" s="26">
        <f t="shared" si="2"/>
        <v>0.55745895788722333</v>
      </c>
      <c r="I20" s="2"/>
      <c r="J20" s="2"/>
    </row>
    <row r="21" spans="1:10" ht="30.95" customHeight="1" x14ac:dyDescent="0.2">
      <c r="A21" s="2"/>
      <c r="B21" s="21">
        <f>Parameters!B17</f>
        <v>21.5</v>
      </c>
      <c r="C21" s="21">
        <f>Parameters!B17</f>
        <v>21.5</v>
      </c>
      <c r="D21" s="23">
        <f>Parameters!C17</f>
        <v>0.78100000000000003</v>
      </c>
      <c r="E21" s="23">
        <f>Parameters!D17</f>
        <v>0.78100000000000003</v>
      </c>
      <c r="F21" s="29">
        <f t="shared" si="0"/>
        <v>1068.8063099999999</v>
      </c>
      <c r="G21" s="29">
        <f t="shared" si="1"/>
        <v>712.53754000000004</v>
      </c>
      <c r="H21" s="25">
        <f t="shared" si="2"/>
        <v>0.6</v>
      </c>
      <c r="I21" s="2"/>
      <c r="J21" s="2"/>
    </row>
    <row r="22" spans="1:10" ht="24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ht="24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ht="24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4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</sheetData>
  <mergeCells count="2">
    <mergeCell ref="B2:H2"/>
    <mergeCell ref="B11:H1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2026-10-26T13:21:03Z</dcterms:modified>
</cp:coreProperties>
</file>