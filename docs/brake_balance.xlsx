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22F38E0D-29DD-4EFA-A7C6-EAFCC2E1457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<sst xmlns="http://schemas.openxmlformats.org/spreadsheetml/2006/main" count="46" uniqueCount="42">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</sst>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9" x14ac:knownFonts="1">
    <font>
      <sz val="11"/>
      <color theme="1"/>
      <name val="Arial"/>
    </font>
    <font>
      <sz val="11"/>
      <color rgb="FF283C50"/>
      <name val="Arial"/>
    </font>
    <font>
      <sz val="11"/>
      <color theme="1"/>
      <name val="Arial"/>
    </font>
    <font>
      <sz val="9"/>
      <name val="宋体"/>
      <family val="3"/>
      <charset val="134"/>
    </font>
    <font>
      <b/>
      <sz val="20"/>
      <color rgb="FF283C50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283C50"/>
      <name val="Arial"/>
    </font>
    <font>
      <b/>
      <sz val="22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微软雅黑"/>
      <family val="2"/>
      <charset val="134"/>
    </font>
    <font>
      <sz val="11"/>
      <color rgb="FF283C50"/>
      <name val="Arial"/>
    </font>
    <font>
      <sz val="10"/>
      <color rgb="FF667B91"/>
      <name val="微软雅黑"/>
      <family val="2"/>
      <charset val="134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6" fillId="5" borderId="3" xfId="1" applyFont="1" applyFill="1" applyBorder="1">
      <alignment vertical="center"/>
    </xf>
    <xf numFmtId="9" fontId="7" fillId="6" borderId="4" xfId="1" applyNumberFormat="1" applyFont="1" applyFill="1" applyBorder="1" applyAlignment="1">
      <alignment horizontal="right" vertical="center"/>
    </xf>
    <xf numFmtId="0" fontId="8" fillId="7" borderId="5" xfId="1" applyFont="1" applyFill="1" applyBorder="1" applyAlignment="1">
      <alignment horizontal="center" vertical="center" wrapText="1"/>
    </xf>
    <xf numFmtId="0" fontId="9" fillId="8" borderId="6" xfId="1" applyFont="1" applyFill="1" applyBorder="1">
      <alignment vertical="center"/>
    </xf>
    <xf numFmtId="178" fontId="10" fillId="9" borderId="7" xfId="1" applyNumberFormat="1" applyFont="1" applyFill="1" applyBorder="1" applyAlignment="1">
      <alignment horizontal="right" vertical="center"/>
    </xf>
    <xf numFmtId="176" fontId="11" fillId="10" borderId="8" xfId="1" applyNumberFormat="1" applyFont="1" applyFill="1" applyBorder="1" applyAlignment="1">
      <alignment horizontal="center" vertical="center"/>
    </xf>
    <xf numFmtId="177" fontId="12" fillId="11" borderId="1" xfId="1" applyNumberFormat="1" applyFont="1" applyFill="1" applyBorder="1" applyAlignment="1">
      <alignment horizontal="center" vertical="center"/>
    </xf>
    <xf numFmtId="176" fontId="13" fillId="12" borderId="9" xfId="1" applyNumberFormat="1" applyFont="1" applyFill="1" applyBorder="1" applyAlignment="1">
      <alignment horizontal="center" vertical="center"/>
    </xf>
    <xf numFmtId="0" fontId="14" fillId="13" borderId="10" xfId="1" applyFont="1" applyFill="1" applyBorder="1" applyAlignment="1">
      <alignment horizontal="right" vertical="center"/>
    </xf>
    <xf numFmtId="0" fontId="15" fillId="14" borderId="0" xfId="1" applyFont="1" applyFill="1">
      <alignment vertical="center"/>
    </xf>
    <xf numFmtId="9" fontId="16" fillId="15" borderId="0" xfId="1" applyNumberFormat="1" applyFont="1" applyFill="1" applyAlignment="1">
      <alignment horizontal="center" vertical="center"/>
    </xf>
    <xf numFmtId="0" fontId="17" fillId="16" borderId="0" xfId="1" applyFont="1" applyFill="1" applyAlignment="1">
      <alignment horizontal="center" vertical="center"/>
    </xf>
    <xf numFmtId="0" fontId="18" fillId="17" borderId="11" xfId="1" applyFont="1" applyFill="1" applyBorder="1" applyAlignment="1">
      <alignment horizontal="center" vertical="center" wrapText="1"/>
    </xf>
    <xf numFmtId="1" fontId="19" fillId="18" borderId="12" xfId="1" applyNumberFormat="1" applyFont="1" applyFill="1" applyBorder="1">
      <alignment vertical="center"/>
    </xf>
    <xf numFmtId="1" fontId="20" fillId="19" borderId="13" xfId="1" applyNumberFormat="1" applyFont="1" applyFill="1" applyBorder="1" applyAlignment="1">
      <alignment horizontal="right" vertical="center"/>
    </xf>
    <xf numFmtId="179" fontId="21" fillId="20" borderId="14" xfId="1" applyNumberFormat="1" applyFont="1" applyFill="1" applyBorder="1" applyAlignment="1">
      <alignment horizontal="right" vertical="center"/>
    </xf>
    <xf numFmtId="1" fontId="22" fillId="21" borderId="15" xfId="1" applyNumberFormat="1" applyFont="1" applyFill="1" applyBorder="1">
      <alignment vertical="center"/>
    </xf>
    <xf numFmtId="2" fontId="23" fillId="22" borderId="16" xfId="1" applyNumberFormat="1" applyFont="1" applyFill="1" applyBorder="1">
      <alignment vertical="center"/>
    </xf>
    <xf numFmtId="2" fontId="24" fillId="23" borderId="17" xfId="1" applyNumberFormat="1" applyFont="1" applyFill="1" applyBorder="1">
      <alignment vertical="center"/>
    </xf>
    <xf numFmtId="179" fontId="25" fillId="24" borderId="18" xfId="1" applyNumberFormat="1" applyFont="1" applyFill="1" applyBorder="1">
      <alignment vertical="center"/>
    </xf>
    <xf numFmtId="179" fontId="26" fillId="25" borderId="19" xfId="1" applyNumberFormat="1" applyFont="1" applyFill="1" applyBorder="1">
      <alignment vertical="center"/>
    </xf>
    <xf numFmtId="10" fontId="27" fillId="26" borderId="20" xfId="1" applyNumberFormat="1" applyFont="1" applyFill="1" applyBorder="1">
      <alignment vertical="center"/>
    </xf>
    <xf numFmtId="10" fontId="28" fillId="27" borderId="21" xfId="1" applyNumberFormat="1" applyFont="1" applyFill="1" applyBorder="1">
      <alignment vertical="center"/>
    </xf>
    <xf numFmtId="0" fontId="8" fillId="7" borderId="11" xfId="1" applyFont="1" applyFill="1" applyBorder="1" applyAlignment="1">
      <alignment vertical="center" wrapText="1"/>
    </xf>
    <xf numFmtId="2" fontId="21" fillId="20" borderId="14" xfId="1" applyNumberFormat="1" applyFont="1" applyFill="1" applyBorder="1" applyAlignment="1">
      <alignment horizontal="right" vertical="center"/>
    </xf>
    <xf numFmtId="1" fontId="25" fillId="24" borderId="18" xfId="1" applyNumberFormat="1" applyFont="1" applyFill="1" applyBorder="1">
      <alignment vertical="center"/>
    </xf>
    <xf numFmtId="2" fontId="26" fillId="25" borderId="19" xfId="1" applyNumberFormat="1" applyFont="1" applyFill="1" applyBorder="1">
      <alignment vertical="center"/>
    </xf>
    <xf numFmtId="1" fontId="26" fillId="25" borderId="19" xfId="1" applyNumberFormat="1" applyFont="1" applyFill="1" applyBorder="1">
      <alignment vertical="center"/>
    </xf>
    <xf numFmtId="0" fontId="8" fillId="7" borderId="11" xfId="1" applyFont="1" applyFill="1" applyBorder="1" applyAlignment="1">
      <alignment horizontal="center" vertical="center" wrapText="1"/>
    </xf>
    <xf numFmtId="0" fontId="8" fillId="7" borderId="5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 wrapText="1"/>
    </xf>
    <xf numFmtId="0" fontId="4" fillId="3" borderId="0" xfId="1" applyFont="1" applyFill="1">
      <alignment vertical="center"/>
    </xf>
    <xf numFmtId="0" fontId="1" fillId="2" borderId="0" xfId="1" applyFont="1" applyFill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I7" sqref="I7"/>
    </sheetView>
  </sheetViews>
  <sheetFormatPr defaultRowHeight="14" x14ac:dyDescent="0.3"/>
  <cols>
    <col min="1" max="1" width="3" customWidth="1"/>
    <col min="2" max="2" width="12.08203125" customWidth="1"/>
    <col min="3" max="6" width="17.58203125" customWidth="1"/>
    <col min="7" max="7" width="4" customWidth="1"/>
    <col min="8" max="8" width="22" customWidth="1"/>
    <col min="9" max="9" width="18" customWidth="1"/>
    <col min="10" max="10" width="3" customWidth="1"/>
    <col min="11" max="11" width="29.08203125" customWidth="1"/>
    <col min="12" max="12" width="30.5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3">
      <c r="A3" s="1"/>
      <c r="B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1" customHeight="1" x14ac:dyDescent="0.3">
      <c r="A5" s="1"/>
      <c r="B5" s="26"/>
      <c r="C5" s="31" t="s">
        <v>2</v>
      </c>
      <c r="D5" s="31"/>
      <c r="E5" s="31"/>
      <c r="F5" s="31"/>
      <c r="G5" s="1"/>
      <c r="H5" s="33" t="s">
        <v>1</v>
      </c>
      <c r="I5" s="33"/>
      <c r="J5" s="1"/>
    </row>
    <row r="6" spans="1:10" ht="32" customHeight="1" x14ac:dyDescent="0.3">
      <c r="A6" s="1"/>
      <c r="B6" s="32" t="s">
        <v>4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">
        <v>3</v>
      </c>
      <c r="I6" s="4">
        <v>0.6</v>
      </c>
      <c r="J6" s="1"/>
    </row>
    <row r="7" spans="1:10" ht="52" customHeight="1" x14ac:dyDescent="0.3">
      <c r="A7" s="1"/>
      <c r="B7" s="32"/>
      <c r="C7" s="8">
        <f>Parameters!B15</f>
        <v>17.8</v>
      </c>
      <c r="D7" s="9">
        <f>Calculations!H13</f>
        <v>0.60000000000000009</v>
      </c>
      <c r="E7" s="9">
        <f>Calculations!H14</f>
        <v>0.64752700397953378</v>
      </c>
      <c r="F7" s="9">
        <f>Calculations!H15</f>
        <v>0.68628238602128944</v>
      </c>
      <c r="G7" s="1"/>
      <c r="H7" s="6" t="s">
        <v>5</v>
      </c>
      <c r="I7" s="7">
        <v>300</v>
      </c>
      <c r="J7" s="1"/>
    </row>
    <row r="8" spans="1:10" ht="52" customHeight="1" x14ac:dyDescent="0.3">
      <c r="A8" s="1"/>
      <c r="B8" s="32"/>
      <c r="C8" s="10">
        <f>Parameters!B16</f>
        <v>19.7</v>
      </c>
      <c r="D8" s="9">
        <f>Calculations!H16</f>
        <v>0.55051302288871351</v>
      </c>
      <c r="E8" s="9">
        <f>Calculations!H17</f>
        <v>0.6</v>
      </c>
      <c r="F8" s="9">
        <f>Calculations!H18</f>
        <v>0.64108455882352944</v>
      </c>
      <c r="G8" s="1"/>
      <c r="H8" s="3" t="s">
        <v>6</v>
      </c>
      <c r="I8" s="7">
        <v>300</v>
      </c>
      <c r="J8" s="1"/>
    </row>
    <row r="9" spans="1:10" ht="52" customHeight="1" x14ac:dyDescent="0.3">
      <c r="A9" s="1"/>
      <c r="B9" s="32"/>
      <c r="C9" s="8">
        <f>Parameters!B17</f>
        <v>21.5</v>
      </c>
      <c r="D9" s="9">
        <f>Calculations!H19</f>
        <v>0.50703310971651161</v>
      </c>
      <c r="E9" s="9">
        <f>Calculations!H20</f>
        <v>0.55745895788722333</v>
      </c>
      <c r="F9" s="9">
        <f>Calculations!H21</f>
        <v>0.6</v>
      </c>
      <c r="G9" s="1"/>
      <c r="H9" s="6" t="s">
        <v>7</v>
      </c>
      <c r="I9" s="11" t="s">
        <v>8</v>
      </c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3" t="s">
        <v>9</v>
      </c>
      <c r="I10" s="11" t="s">
        <v>8</v>
      </c>
      <c r="J10" s="1"/>
    </row>
    <row r="11" spans="1:10" ht="24" customHeight="1" x14ac:dyDescent="0.3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3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3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3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3">
      <c r="A15" s="1"/>
      <c r="B15" s="1"/>
      <c r="J15" s="1"/>
    </row>
    <row r="16" spans="1:10" ht="24" customHeight="1" x14ac:dyDescent="0.3">
      <c r="A16" s="1"/>
      <c r="B16" s="1"/>
      <c r="J16" s="1"/>
    </row>
    <row r="17" spans="1:10" ht="24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3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" x14ac:dyDescent="0.3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" customHeight="1" x14ac:dyDescent="0.3">
      <c r="A2" s="1"/>
      <c r="B2" s="34" t="s">
        <v>14</v>
      </c>
      <c r="C2" s="35"/>
      <c r="D2" s="35"/>
      <c r="E2" s="35"/>
      <c r="F2" s="35"/>
      <c r="G2" s="35"/>
      <c r="H2" s="35"/>
      <c r="I2" s="35"/>
      <c r="J2" s="1"/>
      <c r="K2" s="1"/>
    </row>
    <row r="3" spans="1:11" ht="24" customHeight="1" x14ac:dyDescent="0.3">
      <c r="A3" s="1"/>
      <c r="J3" s="1"/>
      <c r="K3" s="1"/>
    </row>
    <row r="4" spans="1:11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" customHeight="1" x14ac:dyDescent="0.3">
      <c r="A5" s="1"/>
      <c r="B5" s="33" t="s">
        <v>15</v>
      </c>
      <c r="C5" s="33"/>
      <c r="D5" s="33"/>
      <c r="E5" s="1"/>
      <c r="F5" s="1"/>
      <c r="G5" s="33" t="s">
        <v>16</v>
      </c>
      <c r="H5" s="33"/>
      <c r="I5" s="33"/>
      <c r="J5" s="1"/>
      <c r="K5" s="1"/>
    </row>
    <row r="6" spans="1:11" ht="24" customHeight="1" x14ac:dyDescent="0.3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1" customHeight="1" x14ac:dyDescent="0.3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1" customHeight="1" x14ac:dyDescent="0.3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1" customHeight="1" x14ac:dyDescent="0.3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1" customHeight="1" x14ac:dyDescent="0.3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3">
      <c r="A12" s="1"/>
      <c r="B12" s="1"/>
      <c r="C12" s="1"/>
      <c r="D12" s="1"/>
      <c r="E12" s="1"/>
      <c r="F12" s="1"/>
      <c r="J12" s="1"/>
      <c r="K12" s="1"/>
    </row>
    <row r="13" spans="1:11" ht="32" customHeight="1" x14ac:dyDescent="0.3">
      <c r="A13" s="1"/>
      <c r="B13" s="33" t="s">
        <v>25</v>
      </c>
      <c r="C13" s="33"/>
      <c r="D13" s="33"/>
      <c r="E13" s="1"/>
      <c r="F13" s="1"/>
      <c r="J13" s="1"/>
      <c r="K13" s="1"/>
    </row>
    <row r="14" spans="1:11" ht="24" customHeight="1" x14ac:dyDescent="0.3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1" customHeight="1" x14ac:dyDescent="0.3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1" customHeight="1" x14ac:dyDescent="0.3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1" customHeight="1" x14ac:dyDescent="0.3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" customHeight="1" x14ac:dyDescent="0.3">
      <c r="A19" s="1"/>
      <c r="J19" s="1"/>
      <c r="K19" s="1"/>
    </row>
    <row r="20" spans="1:11" ht="24" customHeight="1" x14ac:dyDescent="0.3">
      <c r="A20" s="1"/>
      <c r="J20" s="1"/>
      <c r="K20" s="1"/>
    </row>
    <row r="21" spans="1:11" ht="24" customHeight="1" x14ac:dyDescent="0.3">
      <c r="A21" s="1"/>
      <c r="J21" s="1"/>
      <c r="K21" s="1"/>
    </row>
    <row r="22" spans="1:11" ht="24" customHeight="1" x14ac:dyDescent="0.3">
      <c r="A22" s="1"/>
      <c r="J22" s="1"/>
      <c r="K22" s="1"/>
    </row>
    <row r="23" spans="1:11" ht="24" customHeight="1" x14ac:dyDescent="0.3">
      <c r="A23" s="1"/>
      <c r="J23" s="1"/>
      <c r="K23" s="1"/>
    </row>
    <row r="24" spans="1:11" ht="24" customHeight="1" x14ac:dyDescent="0.3">
      <c r="A24" s="1"/>
      <c r="J24" s="1"/>
      <c r="K24" s="1"/>
    </row>
    <row r="25" spans="1:11" ht="24" customHeight="1" x14ac:dyDescent="0.3">
      <c r="A25" s="1"/>
      <c r="J25" s="1"/>
      <c r="K25" s="1"/>
    </row>
    <row r="26" spans="1:11" ht="24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3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5" activePane="bottomLeft" state="frozen"/>
      <selection pane="bottomLeft" activeCell="C14" sqref="C14"/>
    </sheetView>
  </sheetViews>
  <sheetFormatPr defaultRowHeight="14" x14ac:dyDescent="0.3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34" t="s">
        <v>27</v>
      </c>
      <c r="C2" s="35"/>
      <c r="D2" s="35"/>
      <c r="E2" s="35"/>
      <c r="F2" s="35"/>
      <c r="G2" s="35"/>
      <c r="H2" s="35"/>
      <c r="I2" s="1"/>
      <c r="J2" s="1"/>
    </row>
    <row r="3" spans="1:10" ht="24" customHeight="1" x14ac:dyDescent="0.3">
      <c r="A3" s="1"/>
      <c r="I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" customHeight="1" x14ac:dyDescent="0.3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1" customHeight="1" x14ac:dyDescent="0.3">
      <c r="A6" s="1"/>
      <c r="B6" s="3" t="s">
        <v>31</v>
      </c>
      <c r="C6" s="28">
        <f>INDEX(Parameters!$C$7:$C$10,MATCH('Balance Map'!$I$7,Parameters!$B$7:$B$10,0))</f>
        <v>3509</v>
      </c>
      <c r="D6" s="28">
        <f>INDEX(Parameters!$D$7:$D$10,MATCH('Balance Map'!$I$8,Parameters!$B$7:$B$10,0))</f>
        <v>3509</v>
      </c>
      <c r="E6" s="1"/>
      <c r="F6" s="1"/>
      <c r="G6" s="1"/>
      <c r="H6" s="1"/>
      <c r="I6" s="1"/>
      <c r="J6" s="1"/>
    </row>
    <row r="7" spans="1:10" ht="31" customHeight="1" x14ac:dyDescent="0.3">
      <c r="A7" s="1"/>
      <c r="B7" s="6" t="s">
        <v>32</v>
      </c>
      <c r="C7" s="29">
        <f>INDEX(Parameters!$H$7:$H$9,MATCH('Balance Map'!$I$9,Parameters!$G$7:$G$9,0))</f>
        <v>0.65</v>
      </c>
      <c r="D7" s="29">
        <f>INDEX(Parameters!$I$7:$I$9,MATCH('Balance Map'!$I$10,Parameters!$G$7:$G$9,0))</f>
        <v>0.65</v>
      </c>
      <c r="E7" s="1"/>
      <c r="F7" s="1"/>
      <c r="G7" s="1"/>
      <c r="H7" s="1"/>
      <c r="I7" s="1"/>
      <c r="J7" s="1"/>
    </row>
    <row r="8" spans="1:10" ht="31" customHeight="1" x14ac:dyDescent="0.3">
      <c r="A8" s="1"/>
      <c r="B8" s="3" t="s">
        <v>33</v>
      </c>
      <c r="C8" s="28">
        <f>C6*C7*'Balance Map'!$I$6</f>
        <v>1368.51</v>
      </c>
      <c r="D8" s="28">
        <f>D6*D7*(1-'Balance Map'!$I$6)</f>
        <v>912.34</v>
      </c>
      <c r="E8" s="1"/>
      <c r="F8" s="1"/>
      <c r="G8" s="1"/>
      <c r="H8" s="1"/>
      <c r="I8" s="1"/>
      <c r="J8" s="1"/>
    </row>
    <row r="9" spans="1:10" ht="24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" customHeight="1" x14ac:dyDescent="0.3">
      <c r="A11" s="1"/>
      <c r="B11" s="33" t="s">
        <v>34</v>
      </c>
      <c r="C11" s="33"/>
      <c r="D11" s="33"/>
      <c r="E11" s="33"/>
      <c r="F11" s="33"/>
      <c r="G11" s="33"/>
      <c r="H11" s="33"/>
      <c r="I11" s="1"/>
      <c r="J11" s="1"/>
    </row>
    <row r="12" spans="1:10" ht="24" customHeight="1" x14ac:dyDescent="0.3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1" customHeight="1" x14ac:dyDescent="0.3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1558.73289</v>
      </c>
      <c r="G13" s="28">
        <f t="shared" ref="G13:G21" si="1">$D$8*E13</f>
        <v>1039.15526</v>
      </c>
      <c r="H13" s="24">
        <f t="shared" ref="H13:H21" si="2">F13/(F13+G13)</f>
        <v>0.60000000000000009</v>
      </c>
      <c r="I13" s="1"/>
      <c r="J13" s="1"/>
    </row>
    <row r="14" spans="1:10" ht="31" customHeight="1" x14ac:dyDescent="0.3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1558.73289</v>
      </c>
      <c r="G14" s="30">
        <f t="shared" si="1"/>
        <v>848.47620000000006</v>
      </c>
      <c r="H14" s="25">
        <f t="shared" si="2"/>
        <v>0.64752700397953378</v>
      </c>
      <c r="I14" s="1"/>
      <c r="J14" s="1"/>
    </row>
    <row r="15" spans="1:10" ht="31" customHeight="1" x14ac:dyDescent="0.3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1558.73289</v>
      </c>
      <c r="G15" s="28">
        <f t="shared" si="1"/>
        <v>712.53754000000004</v>
      </c>
      <c r="H15" s="24">
        <f t="shared" si="2"/>
        <v>0.68628238602128944</v>
      </c>
      <c r="I15" s="1"/>
      <c r="J15" s="1"/>
    </row>
    <row r="16" spans="1:10" ht="31" customHeight="1" x14ac:dyDescent="0.3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1272.7143000000001</v>
      </c>
      <c r="G16" s="30">
        <f t="shared" si="1"/>
        <v>1039.15526</v>
      </c>
      <c r="H16" s="25">
        <f t="shared" si="2"/>
        <v>0.55051302288871351</v>
      </c>
      <c r="I16" s="1"/>
      <c r="J16" s="1"/>
    </row>
    <row r="17" spans="1:10" ht="31" customHeight="1" x14ac:dyDescent="0.3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1272.7143000000001</v>
      </c>
      <c r="G17" s="28">
        <f t="shared" si="1"/>
        <v>848.47620000000006</v>
      </c>
      <c r="H17" s="24">
        <f t="shared" si="2"/>
        <v>0.6</v>
      </c>
      <c r="I17" s="1"/>
      <c r="J17" s="1"/>
    </row>
    <row r="18" spans="1:10" ht="31" customHeight="1" x14ac:dyDescent="0.3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1272.7143000000001</v>
      </c>
      <c r="G18" s="30">
        <f t="shared" si="1"/>
        <v>712.53754000000004</v>
      </c>
      <c r="H18" s="25">
        <f t="shared" si="2"/>
        <v>0.64108455882352944</v>
      </c>
      <c r="I18" s="1"/>
      <c r="J18" s="1"/>
    </row>
    <row r="19" spans="1:10" ht="31" customHeight="1" x14ac:dyDescent="0.3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1068.8063099999999</v>
      </c>
      <c r="G19" s="28">
        <f t="shared" si="1"/>
        <v>1039.15526</v>
      </c>
      <c r="H19" s="24">
        <f t="shared" si="2"/>
        <v>0.50703310971651161</v>
      </c>
      <c r="I19" s="1"/>
      <c r="J19" s="1"/>
    </row>
    <row r="20" spans="1:10" ht="31" customHeight="1" x14ac:dyDescent="0.3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1068.8063099999999</v>
      </c>
      <c r="G20" s="30">
        <f t="shared" si="1"/>
        <v>848.47620000000006</v>
      </c>
      <c r="H20" s="25">
        <f t="shared" si="2"/>
        <v>0.55745895788722333</v>
      </c>
      <c r="I20" s="1"/>
      <c r="J20" s="1"/>
    </row>
    <row r="21" spans="1:10" ht="31" customHeight="1" x14ac:dyDescent="0.3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1068.8063099999999</v>
      </c>
      <c r="G21" s="28">
        <f t="shared" si="1"/>
        <v>712.53754000000004</v>
      </c>
      <c r="H21" s="24">
        <f t="shared" si="2"/>
        <v>0.6</v>
      </c>
      <c r="I21" s="1"/>
      <c r="J21" s="1"/>
    </row>
    <row r="22" spans="1:10" ht="24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2026-10-26T10:19:35Z</dcterms:modified>
</cp:coreProperties>
</file>