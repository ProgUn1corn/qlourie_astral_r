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d030e980fc414b5/Documents/BeamNG/"/>
    </mc:Choice>
  </mc:AlternateContent>
  <xr:revisionPtr revIDLastSave="15" documentId="11_80A2A0981AC1FEC60C714A46B0171722A8242396" xr6:coauthVersionLast="47" xr6:coauthVersionMax="47" xr10:uidLastSave="{FC235506-1075-4AD9-BB5A-70CC7EE6FC37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13" i="1" s="1"/>
  <c r="E4" i="1"/>
  <c r="E12" i="1" s="1"/>
  <c r="E3" i="1"/>
  <c r="E10" i="1" s="1"/>
  <c r="H10" i="1" s="1"/>
  <c r="F2" i="1"/>
  <c r="D2" i="1"/>
  <c r="D3" i="1" s="1"/>
  <c r="C2" i="1"/>
  <c r="C5" i="1" s="1"/>
  <c r="E9" i="1" l="1"/>
  <c r="E8" i="1"/>
  <c r="E11" i="1"/>
  <c r="C13" i="1"/>
  <c r="F13" i="1" s="1"/>
  <c r="D8" i="1"/>
  <c r="C4" i="1"/>
  <c r="D4" i="1"/>
  <c r="D5" i="1"/>
  <c r="D13" i="1" s="1"/>
  <c r="C3" i="1"/>
  <c r="D12" i="1" l="1"/>
  <c r="D11" i="1"/>
  <c r="D9" i="1"/>
  <c r="C8" i="1"/>
  <c r="F8" i="1" s="1"/>
  <c r="C10" i="1"/>
  <c r="F10" i="1" s="1"/>
  <c r="C9" i="1"/>
  <c r="F9" i="1" s="1"/>
  <c r="C12" i="1"/>
  <c r="F12" i="1" s="1"/>
  <c r="C11" i="1"/>
  <c r="F11" i="1" s="1"/>
  <c r="D10" i="1"/>
</calcChain>
</file>

<file path=xl/sharedStrings.xml><?xml version="1.0" encoding="utf-8"?>
<sst xmlns="http://schemas.openxmlformats.org/spreadsheetml/2006/main" count="15" uniqueCount="15">
  <si>
    <t>300mm</t>
  </si>
  <si>
    <t>355mm</t>
  </si>
  <si>
    <t>370mm</t>
  </si>
  <si>
    <t>P</t>
  </si>
  <si>
    <t>BB/PAD</t>
  </si>
  <si>
    <t>TOTAL 300mm</t>
  </si>
  <si>
    <t>TOTAL 355mm</t>
  </si>
  <si>
    <t>TOTAL 370mm</t>
  </si>
  <si>
    <t>FINAL BB</t>
  </si>
  <si>
    <t>17.42+17.42</t>
  </si>
  <si>
    <t>17.42+19</t>
  </si>
  <si>
    <t>17.42+21.38</t>
  </si>
  <si>
    <t>19+19</t>
  </si>
  <si>
    <t>19+21.38</t>
  </si>
  <si>
    <t>21.38+21.38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</si>
</sst>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scheme val="minor"/>
    </font>
    <font>
      <b/>
      <sz val="14"/>
      <color theme="0"/>
      <name val="Arial"/>
      <scheme val="minor"/>
    </font>
    <font>
      <b/>
      <sz val="14"/>
      <color theme="1"/>
      <name val="Arial"/>
      <scheme val="minor"/>
    </font>
    <font>
      <b/>
      <sz val="14"/>
      <name val="Arial"/>
      <scheme val="minor"/>
    </font>
    <font>
      <sz val="9"/>
      <name val="Arial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499984740745262"/>
        <bgColor indexed="65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</patternFill>
    </fill>
  </fills>
  <borders count="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tabSelected="1" zoomScale="160" workbookViewId="0">
      <selection activeCell="E2" sqref="E2"/>
    </sheetView>
  </sheetViews>
  <sheetFormatPr defaultRowHeight="39.950000000000003" customHeight="1" x14ac:dyDescent="0.2"/>
  <cols>
    <col min="1" max="6" width="15.625" customWidth="1"/>
    <col min="7" max="7" width="14.625" bestFit="1" customWidth="1"/>
    <col min="8" max="9" width="12.125" bestFit="1" customWidth="1"/>
    <col min="10" max="10" width="29.125" customWidth="1"/>
    <col min="11" max="11" width="30.5" customWidth="1"/>
  </cols>
  <sheetData>
    <row r="1" spans="1:10" ht="39.950000000000003" customHeight="1" x14ac:dyDescent="0.2">
      <c r="B1" s="1"/>
      <c r="C1" s="2" t="s">
        <v>0</v>
      </c>
      <c r="D1" s="2" t="s">
        <v>1</v>
      </c>
      <c r="E1" s="3" t="s">
        <v>2</v>
      </c>
      <c r="F1">
        <v>320</v>
      </c>
    </row>
    <row r="2" spans="1:10" ht="39.950000000000003" customHeight="1" x14ac:dyDescent="0.2">
      <c r="B2" s="4"/>
      <c r="C2" s="5">
        <f>E2*(300/370)</f>
        <v>2918.9189189189192</v>
      </c>
      <c r="D2" s="5">
        <f>E2*(355/370)</f>
        <v>3454.0540540540537</v>
      </c>
      <c r="E2" s="6">
        <v>3600</v>
      </c>
      <c r="F2">
        <f>E2*(320/370)</f>
        <v>3113.5135135135138</v>
      </c>
    </row>
    <row r="3" spans="1:10" ht="39.950000000000003" customHeight="1" x14ac:dyDescent="0.2">
      <c r="B3" s="7">
        <v>17.420000000000002</v>
      </c>
      <c r="C3" s="8">
        <f>C2*1.19</f>
        <v>3473.5135135135138</v>
      </c>
      <c r="D3" s="8">
        <f>D2*1.19</f>
        <v>4110.3243243243242</v>
      </c>
      <c r="E3" s="9">
        <f>E2*1.19</f>
        <v>4284</v>
      </c>
    </row>
    <row r="4" spans="1:10" ht="39.950000000000003" customHeight="1" x14ac:dyDescent="0.2">
      <c r="B4" s="4">
        <v>19</v>
      </c>
      <c r="C4" s="8">
        <f>C2*1</f>
        <v>2918.9189189189192</v>
      </c>
      <c r="D4" s="8">
        <f>D2*1</f>
        <v>3454.0540540540537</v>
      </c>
      <c r="E4" s="9">
        <f>E2*1</f>
        <v>3600</v>
      </c>
    </row>
    <row r="5" spans="1:10" ht="39.950000000000003" customHeight="1" x14ac:dyDescent="0.2">
      <c r="B5" s="10">
        <v>21.38</v>
      </c>
      <c r="C5" s="11">
        <f>C2*0.79</f>
        <v>2305.9459459459463</v>
      </c>
      <c r="D5" s="11">
        <f>D2*0.79</f>
        <v>2728.7027027027025</v>
      </c>
      <c r="E5" s="12">
        <f>E2*0.79</f>
        <v>2844</v>
      </c>
    </row>
    <row r="7" spans="1:10" ht="39.950000000000003" customHeight="1" x14ac:dyDescent="0.2">
      <c r="A7" s="1" t="s">
        <v>3</v>
      </c>
      <c r="B7" s="2" t="s">
        <v>4</v>
      </c>
      <c r="C7" s="2" t="s">
        <v>5</v>
      </c>
      <c r="D7" s="2" t="s">
        <v>6</v>
      </c>
      <c r="E7" s="13" t="s">
        <v>7</v>
      </c>
      <c r="F7" s="13" t="s">
        <v>8</v>
      </c>
      <c r="G7" s="14"/>
      <c r="H7" s="15"/>
      <c r="I7" s="15"/>
      <c r="J7" s="14"/>
    </row>
    <row r="8" spans="1:10" ht="39.950000000000003" customHeight="1" x14ac:dyDescent="0.2">
      <c r="A8" s="7" t="s">
        <v>9</v>
      </c>
      <c r="B8" s="16">
        <v>1</v>
      </c>
      <c r="C8" s="8">
        <f>C3*B11*B8+C3*B11*(1-B8)</f>
        <v>3542.983783783784</v>
      </c>
      <c r="D8" s="8">
        <f>D3*B11*B8+D3*B11*(1-B8)</f>
        <v>4192.5308108108111</v>
      </c>
      <c r="E8" s="8">
        <f>E3*B11*B8+E3*B11*(1-B8)</f>
        <v>4369.68</v>
      </c>
      <c r="F8" s="8">
        <f>C3*B11*B8/C8</f>
        <v>1</v>
      </c>
    </row>
    <row r="9" spans="1:10" ht="39.950000000000003" customHeight="1" x14ac:dyDescent="0.2">
      <c r="A9" s="4" t="s">
        <v>10</v>
      </c>
      <c r="B9" s="17"/>
      <c r="C9" s="8">
        <f>C3*B11*B8+C4*B11*(1-B8)</f>
        <v>3542.983783783784</v>
      </c>
      <c r="D9" s="8">
        <f>D3*B11*B8+D4*B11*(1-B8)</f>
        <v>4192.5308108108111</v>
      </c>
      <c r="E9" s="8">
        <f>E3*B11*B8+E4*B11*(1-B8)</f>
        <v>4369.68</v>
      </c>
      <c r="F9" s="8">
        <f>C3*B11*B8/C9</f>
        <v>1</v>
      </c>
    </row>
    <row r="10" spans="1:10" ht="39.950000000000003" customHeight="1" x14ac:dyDescent="0.2">
      <c r="A10" s="4" t="s">
        <v>11</v>
      </c>
      <c r="B10" s="17"/>
      <c r="C10" s="8">
        <f>C3*B11*B8+C5*B11*(1-B8)</f>
        <v>3542.983783783784</v>
      </c>
      <c r="D10" s="8">
        <f>D3*B11*B8+D5*B11*(1-B8)</f>
        <v>4192.5308108108111</v>
      </c>
      <c r="E10" s="8">
        <f>E3*B11*B8+E5*B11*(1-B8)</f>
        <v>4369.68</v>
      </c>
      <c r="F10" s="8">
        <f>C3*B11*B8/C10</f>
        <v>1</v>
      </c>
      <c r="H10">
        <f>E10*0.82</f>
        <v>3583.1376</v>
      </c>
    </row>
    <row r="11" spans="1:10" ht="39.950000000000003" customHeight="1" x14ac:dyDescent="0.2">
      <c r="A11" s="4" t="s">
        <v>12</v>
      </c>
      <c r="B11" s="17">
        <v>1.02</v>
      </c>
      <c r="C11" s="8">
        <f>C4*B11*B8+C4*B11*(1-B8)</f>
        <v>2977.2972972972975</v>
      </c>
      <c r="D11" s="8">
        <f>D4*B11*B8+D4*B11*(1-B8)</f>
        <v>3523.135135135135</v>
      </c>
      <c r="E11" s="8">
        <f>E4*B11*B8+E4*B11*(1-B8)</f>
        <v>3672</v>
      </c>
      <c r="F11" s="8">
        <f>C4*B11*B8/C11</f>
        <v>1</v>
      </c>
    </row>
    <row r="12" spans="1:10" ht="39.950000000000003" customHeight="1" x14ac:dyDescent="0.2">
      <c r="A12" s="4" t="s">
        <v>13</v>
      </c>
      <c r="B12" s="17"/>
      <c r="C12" s="8">
        <f>C4*B11*B8+C5*B11*(1-B8)</f>
        <v>2977.2972972972975</v>
      </c>
      <c r="D12" s="8">
        <f>D4*B11*B8+D5*B11*(1-B8)</f>
        <v>3523.135135135135</v>
      </c>
      <c r="E12" s="8">
        <f>E4*B11*B8+E5*B11*(1-B8)</f>
        <v>3672</v>
      </c>
      <c r="F12" s="8">
        <f>C4*B11*B8/C12</f>
        <v>1</v>
      </c>
    </row>
    <row r="13" spans="1:10" ht="39.950000000000003" customHeight="1" x14ac:dyDescent="0.2">
      <c r="A13" s="10" t="s">
        <v>14</v>
      </c>
      <c r="B13" s="18"/>
      <c r="C13" s="11">
        <f>C5*B11*B8+C5*B11*(1-B8)</f>
        <v>2352.0648648648653</v>
      </c>
      <c r="D13" s="8">
        <f>D5*B11*B8+D5*B11*(1-B8)</f>
        <v>2783.2767567567566</v>
      </c>
      <c r="E13" s="8">
        <f>E5*B11*B8+E5*B11*(1-B8)</f>
        <v>2900.88</v>
      </c>
      <c r="F13" s="8">
        <f>C5*B11*B8/C13</f>
        <v>1</v>
      </c>
    </row>
  </sheetData>
  <mergeCells count="3">
    <mergeCell ref="H7:I7"/>
    <mergeCell ref="B8:B10"/>
    <mergeCell ref="B11:B13"/>
  </mergeCells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lastModifiedBy>Un1corn Prog</cp:lastModifiedBy>
  <cp:revision>2</cp:revision>
  <dcterms:created xsi:type="dcterms:W3CDTF">2025-09-27T13:05:59Z</dcterms:created>
  <dcterms:modified xsi:type="dcterms:W3CDTF">2026-09-08T15:13:52Z</dcterms:modified>
</cp:coreProperties>
</file>