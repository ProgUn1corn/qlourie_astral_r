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mods\unpacked\un1corn_qlourie_astral_r\docs\"/>
    </mc:Choice>
  </mc:AlternateContent>
  <xr:revisionPtr revIDLastSave="0" documentId="13_ncr:1_{3F6E8107-D6B2-4C7B-9BF0-A47AAF8A3AB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alance Map" sheetId="1" r:id="rId1"/>
    <sheet name="Parameters" sheetId="2" r:id="rId2"/>
    <sheet name="Calcula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E6" i="1"/>
  <c r="F6" i="1"/>
  <c r="C7" i="1"/>
  <c r="C8" i="1"/>
  <c r="C9" i="1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D7" i="3"/>
  <c r="C7" i="3"/>
  <c r="D6" i="3"/>
  <c r="C6" i="3"/>
  <c r="D8" i="3" l="1"/>
  <c r="C8" i="3"/>
  <c r="G13" i="3" l="1"/>
  <c r="G14" i="3"/>
  <c r="G15" i="3"/>
  <c r="G16" i="3"/>
  <c r="G17" i="3"/>
  <c r="G18" i="3"/>
  <c r="G19" i="3"/>
  <c r="G20" i="3"/>
  <c r="G21" i="3"/>
  <c r="F13" i="3"/>
  <c r="F15" i="3"/>
  <c r="F16" i="3"/>
  <c r="F18" i="3"/>
  <c r="F19" i="3"/>
  <c r="F21" i="3"/>
  <c r="F14" i="3"/>
  <c r="F17" i="3"/>
  <c r="F20" i="3"/>
  <c r="H15" i="3" l="1"/>
  <c r="F7" i="1" s="1"/>
  <c r="H16" i="3"/>
  <c r="D8" i="1" s="1"/>
  <c r="H18" i="3"/>
  <c r="F8" i="1" s="1"/>
  <c r="H21" i="3"/>
  <c r="F9" i="1" s="1"/>
  <c r="H17" i="3"/>
  <c r="E8" i="1" s="1"/>
  <c r="H20" i="3"/>
  <c r="E9" i="1" s="1"/>
  <c r="H13" i="3"/>
  <c r="D7" i="1" s="1"/>
  <c r="H19" i="3"/>
  <c r="D9" i="1" s="1"/>
  <c r="H14" i="3"/>
  <c r="E7" i="1" s="1"/>
</calcChain>
</file>

<file path=xl/sharedStrings.xml><?xml version="1.0" encoding="utf-8"?>
<sst xmlns="http://schemas.openxmlformats.org/spreadsheetml/2006/main" count="46" uniqueCount="42">
  <si>
    <t>Astral · Brake balance</t>
  </si>
  <si>
    <t>Setup</t>
  </si>
  <si>
    <t>Rear MC</t>
  </si>
  <si>
    <t>Balance bar</t>
  </si>
  <si>
    <t>Front MC</t>
  </si>
  <si>
    <t>Front disc</t>
  </si>
  <si>
    <t>Rear disc</t>
  </si>
  <si>
    <t>Front pad</t>
  </si>
  <si>
    <t>Type-C</t>
  </si>
  <si>
    <t>Rear pad</t>
  </si>
  <si>
    <t>固定色阶</t>
  </si>
  <si>
    <t>偏后</t>
  </si>
  <si>
    <t>前后相等</t>
  </si>
  <si>
    <t>偏前</t>
  </si>
  <si>
    <t>Astral · Brake parameters</t>
  </si>
  <si>
    <t>Brake disc constants</t>
  </si>
  <si>
    <t>Brake pad multipliers</t>
  </si>
  <si>
    <t>Disc (mm)</t>
  </si>
  <si>
    <t>Front K (N·m)</t>
  </si>
  <si>
    <t>Rear K (N·m)</t>
  </si>
  <si>
    <t>Pad</t>
  </si>
  <si>
    <t>Front ×</t>
  </si>
  <si>
    <t>Rear ×</t>
  </si>
  <si>
    <t>Type-A</t>
  </si>
  <si>
    <t>Type-B</t>
  </si>
  <si>
    <t>Master cylinder multipliers</t>
  </si>
  <si>
    <t>MC (mm)</t>
  </si>
  <si>
    <t>Astral · Brake calculations</t>
  </si>
  <si>
    <t>Selected setup</t>
  </si>
  <si>
    <t>Front</t>
  </si>
  <si>
    <t>Rear</t>
  </si>
  <si>
    <t>Disc K (N·m)</t>
  </si>
  <si>
    <t>Pad multiplier</t>
  </si>
  <si>
    <t>Weight before MC</t>
  </si>
  <si>
    <t>Master cylinder combinations</t>
  </si>
  <si>
    <t>Front MC (mm)</t>
  </si>
  <si>
    <t>Rear MC (mm)</t>
  </si>
  <si>
    <t>Front MC ×</t>
  </si>
  <si>
    <t>Rear MC ×</t>
  </si>
  <si>
    <t>Front weight</t>
  </si>
  <si>
    <t>Rear weight</t>
  </si>
  <si>
    <t>Front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</si>
</sst>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&quot; mm&quot;"/>
    <numFmt numFmtId="177" formatCode="0.0%"/>
    <numFmt numFmtId="178" formatCode="0&quot; mm&quot;"/>
    <numFmt numFmtId="179" formatCode="0.000"/>
  </numFmts>
  <fonts count="29" x14ac:knownFonts="1">
    <font>
      <sz val="11"/>
      <color theme="1"/>
      <name val="Arial"/>
    </font>
    <font>
      <sz val="11"/>
      <color rgb="FF283C50"/>
      <name val="Arial"/>
    </font>
    <font>
      <sz val="11"/>
      <color theme="1"/>
      <name val="Arial"/>
    </font>
    <font>
      <sz val="9"/>
      <name val="宋体"/>
      <family val="3"/>
      <charset val="134"/>
    </font>
    <font>
      <b/>
      <sz val="20"/>
      <color rgb="FF283C50"/>
      <name val="Arial"/>
    </font>
    <font>
      <b/>
      <sz val="12"/>
      <color rgb="FFFFFFFF"/>
      <name val="Arial"/>
    </font>
    <font>
      <sz val="11"/>
      <color rgb="FF667B91"/>
      <name val="Arial"/>
    </font>
    <font>
      <sz val="11"/>
      <color rgb="FF195DB1"/>
      <name val="Arial"/>
    </font>
    <font>
      <b/>
      <sz val="12"/>
      <color rgb="FFFFFFFF"/>
      <name val="Arial"/>
    </font>
    <font>
      <sz val="11"/>
      <color rgb="FF667B91"/>
      <name val="Arial"/>
    </font>
    <font>
      <sz val="11"/>
      <color rgb="FF195DB1"/>
      <name val="Arial"/>
    </font>
    <font>
      <sz val="11"/>
      <color rgb="FF283C50"/>
      <name val="Arial"/>
    </font>
    <font>
      <b/>
      <sz val="22"/>
      <color rgb="FF283C50"/>
      <name val="Arial"/>
    </font>
    <font>
      <sz val="11"/>
      <color rgb="FF283C50"/>
      <name val="Arial"/>
    </font>
    <font>
      <sz val="11"/>
      <color rgb="FF195DB1"/>
      <name val="Arial"/>
    </font>
    <font>
      <sz val="11"/>
      <color rgb="FF283C50"/>
      <name val="微软雅黑"/>
      <family val="2"/>
      <charset val="134"/>
    </font>
    <font>
      <sz val="11"/>
      <color rgb="FF283C50"/>
      <name val="Arial"/>
    </font>
    <font>
      <sz val="10"/>
      <color rgb="FF667B91"/>
      <name val="微软雅黑"/>
      <family val="2"/>
      <charset val="134"/>
    </font>
    <font>
      <b/>
      <sz val="11"/>
      <color rgb="FF283C50"/>
      <name val="Arial"/>
    </font>
    <font>
      <sz val="11"/>
      <color rgb="FF283C50"/>
      <name val="Arial"/>
    </font>
    <font>
      <sz val="11"/>
      <color rgb="FF195DB1"/>
      <name val="Arial"/>
    </font>
    <font>
      <sz val="11"/>
      <color rgb="FF195DB1"/>
      <name val="Arial"/>
    </font>
    <font>
      <sz val="11"/>
      <color rgb="FF283C50"/>
      <name val="Arial"/>
    </font>
    <font>
      <sz val="11"/>
      <color rgb="FF283C50"/>
      <name val="Arial"/>
    </font>
    <font>
      <sz val="11"/>
      <color rgb="FF283C50"/>
      <name val="Arial"/>
    </font>
    <font>
      <sz val="11"/>
      <color rgb="FF283C50"/>
      <name val="Arial"/>
    </font>
    <font>
      <sz val="11"/>
      <color rgb="FF283C50"/>
      <name val="Arial"/>
    </font>
    <font>
      <sz val="11"/>
      <color rgb="FF283C50"/>
      <name val="Arial"/>
    </font>
    <font>
      <sz val="11"/>
      <color rgb="FF283C50"/>
      <name val="Arial"/>
    </font>
  </fonts>
  <fills count="2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31475E"/>
      </patternFill>
    </fill>
    <fill>
      <patternFill patternType="solid">
        <fgColor rgb="FFF5F7FA"/>
      </patternFill>
    </fill>
    <fill>
      <patternFill patternType="solid">
        <fgColor rgb="FFFFF2CC"/>
      </patternFill>
    </fill>
    <fill>
      <patternFill patternType="solid">
        <fgColor rgb="FF31475E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DF2F7"/>
      </patternFill>
    </fill>
    <fill>
      <patternFill patternType="solid">
        <fgColor rgb="FFF5F7FA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F5F7FA"/>
      </patternFill>
    </fill>
    <fill>
      <patternFill patternType="solid">
        <fgColor rgb="FFFFFFFF"/>
      </patternFill>
    </fill>
  </fills>
  <borders count="2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/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/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2">
    <xf numFmtId="0" fontId="0" fillId="0" borderId="0" xfId="0">
      <alignment vertical="center"/>
    </xf>
    <xf numFmtId="0" fontId="1" fillId="2" borderId="0" xfId="1" applyFont="1" applyFill="1">
      <alignment vertical="center"/>
    </xf>
    <xf numFmtId="0" fontId="4" fillId="3" borderId="0" xfId="1" applyFont="1" applyFill="1">
      <alignment vertical="center"/>
    </xf>
    <xf numFmtId="0" fontId="6" fillId="5" borderId="3" xfId="1" applyFont="1" applyFill="1" applyBorder="1">
      <alignment vertical="center"/>
    </xf>
    <xf numFmtId="9" fontId="7" fillId="6" borderId="4" xfId="1" applyNumberFormat="1" applyFont="1" applyFill="1" applyBorder="1" applyAlignment="1">
      <alignment horizontal="right" vertical="center"/>
    </xf>
    <xf numFmtId="0" fontId="8" fillId="7" borderId="5" xfId="1" applyFont="1" applyFill="1" applyBorder="1" applyAlignment="1">
      <alignment horizontal="center" vertical="center" wrapText="1"/>
    </xf>
    <xf numFmtId="0" fontId="9" fillId="8" borderId="6" xfId="1" applyFont="1" applyFill="1" applyBorder="1">
      <alignment vertical="center"/>
    </xf>
    <xf numFmtId="178" fontId="10" fillId="9" borderId="7" xfId="1" applyNumberFormat="1" applyFont="1" applyFill="1" applyBorder="1" applyAlignment="1">
      <alignment horizontal="right" vertical="center"/>
    </xf>
    <xf numFmtId="176" fontId="11" fillId="10" borderId="8" xfId="1" applyNumberFormat="1" applyFont="1" applyFill="1" applyBorder="1" applyAlignment="1">
      <alignment horizontal="center" vertical="center"/>
    </xf>
    <xf numFmtId="177" fontId="12" fillId="11" borderId="1" xfId="1" applyNumberFormat="1" applyFont="1" applyFill="1" applyBorder="1" applyAlignment="1">
      <alignment horizontal="center" vertical="center"/>
    </xf>
    <xf numFmtId="176" fontId="13" fillId="12" borderId="9" xfId="1" applyNumberFormat="1" applyFont="1" applyFill="1" applyBorder="1" applyAlignment="1">
      <alignment horizontal="center" vertical="center"/>
    </xf>
    <xf numFmtId="0" fontId="14" fillId="13" borderId="10" xfId="1" applyFont="1" applyFill="1" applyBorder="1" applyAlignment="1">
      <alignment horizontal="right" vertical="center"/>
    </xf>
    <xf numFmtId="0" fontId="15" fillId="14" borderId="0" xfId="1" applyFont="1" applyFill="1">
      <alignment vertical="center"/>
    </xf>
    <xf numFmtId="9" fontId="16" fillId="15" borderId="0" xfId="1" applyNumberFormat="1" applyFont="1" applyFill="1" applyAlignment="1">
      <alignment horizontal="center" vertical="center"/>
    </xf>
    <xf numFmtId="0" fontId="17" fillId="16" borderId="0" xfId="1" applyFont="1" applyFill="1" applyAlignment="1">
      <alignment horizontal="center" vertical="center"/>
    </xf>
    <xf numFmtId="0" fontId="18" fillId="17" borderId="11" xfId="1" applyFont="1" applyFill="1" applyBorder="1" applyAlignment="1">
      <alignment horizontal="center" vertical="center" wrapText="1"/>
    </xf>
    <xf numFmtId="1" fontId="19" fillId="18" borderId="12" xfId="1" applyNumberFormat="1" applyFont="1" applyFill="1" applyBorder="1">
      <alignment vertical="center"/>
    </xf>
    <xf numFmtId="1" fontId="20" fillId="19" borderId="13" xfId="1" applyNumberFormat="1" applyFont="1" applyFill="1" applyBorder="1" applyAlignment="1">
      <alignment horizontal="right" vertical="center"/>
    </xf>
    <xf numFmtId="179" fontId="21" fillId="20" borderId="14" xfId="1" applyNumberFormat="1" applyFont="1" applyFill="1" applyBorder="1" applyAlignment="1">
      <alignment horizontal="right" vertical="center"/>
    </xf>
    <xf numFmtId="1" fontId="22" fillId="21" borderId="15" xfId="1" applyNumberFormat="1" applyFont="1" applyFill="1" applyBorder="1">
      <alignment vertical="center"/>
    </xf>
    <xf numFmtId="2" fontId="23" fillId="22" borderId="16" xfId="1" applyNumberFormat="1" applyFont="1" applyFill="1" applyBorder="1">
      <alignment vertical="center"/>
    </xf>
    <xf numFmtId="2" fontId="24" fillId="23" borderId="17" xfId="1" applyNumberFormat="1" applyFont="1" applyFill="1" applyBorder="1">
      <alignment vertical="center"/>
    </xf>
    <xf numFmtId="179" fontId="25" fillId="24" borderId="18" xfId="1" applyNumberFormat="1" applyFont="1" applyFill="1" applyBorder="1">
      <alignment vertical="center"/>
    </xf>
    <xf numFmtId="179" fontId="26" fillId="25" borderId="19" xfId="1" applyNumberFormat="1" applyFont="1" applyFill="1" applyBorder="1">
      <alignment vertical="center"/>
    </xf>
    <xf numFmtId="10" fontId="27" fillId="26" borderId="20" xfId="1" applyNumberFormat="1" applyFont="1" applyFill="1" applyBorder="1">
      <alignment vertical="center"/>
    </xf>
    <xf numFmtId="10" fontId="28" fillId="27" borderId="21" xfId="1" applyNumberFormat="1" applyFont="1" applyFill="1" applyBorder="1">
      <alignment vertical="center"/>
    </xf>
    <xf numFmtId="0" fontId="8" fillId="7" borderId="11" xfId="1" applyFont="1" applyFill="1" applyBorder="1" applyAlignment="1">
      <alignment vertical="center" wrapText="1"/>
    </xf>
    <xf numFmtId="0" fontId="8" fillId="7" borderId="11" xfId="1" applyFont="1" applyFill="1" applyBorder="1" applyAlignment="1">
      <alignment horizontal="center" vertical="center" wrapText="1"/>
    </xf>
    <xf numFmtId="0" fontId="8" fillId="7" borderId="5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vertical="center" wrapText="1"/>
    </xf>
    <xf numFmtId="0" fontId="4" fillId="3" borderId="0" xfId="1" applyFont="1" applyFill="1">
      <alignment vertical="center"/>
    </xf>
    <xf numFmtId="0" fontId="1" fillId="2" borderId="0" xfId="1" applyFont="1" applyFill="1">
      <alignment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1475E"/>
  </sheetPr>
  <dimension ref="A1:J19"/>
  <sheetViews>
    <sheetView showGridLines="0" tabSelected="1" zoomScale="110" workbookViewId="0">
      <selection activeCell="I7" sqref="I7"/>
    </sheetView>
  </sheetViews>
  <sheetFormatPr defaultRowHeight="14" x14ac:dyDescent="0.3"/>
  <cols>
    <col min="1" max="1" width="3" customWidth="1"/>
    <col min="2" max="2" width="12.08203125" customWidth="1"/>
    <col min="3" max="6" width="17.58203125" customWidth="1"/>
    <col min="7" max="7" width="4" customWidth="1"/>
    <col min="8" max="8" width="22" customWidth="1"/>
    <col min="9" max="9" width="18" customWidth="1"/>
    <col min="10" max="10" width="3" customWidth="1"/>
    <col min="11" max="11" width="29.08203125" customWidth="1"/>
    <col min="12" max="12" width="30.5" customWidth="1"/>
  </cols>
  <sheetData>
    <row r="1" spans="1:10" ht="12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5" customHeight="1" x14ac:dyDescent="0.3">
      <c r="A2" s="1"/>
      <c r="B2" s="2" t="s">
        <v>0</v>
      </c>
      <c r="C2" s="1"/>
      <c r="D2" s="1"/>
      <c r="E2" s="1"/>
      <c r="F2" s="1"/>
      <c r="G2" s="1"/>
      <c r="H2" s="1"/>
      <c r="J2" s="1"/>
    </row>
    <row r="3" spans="1:10" ht="24" customHeight="1" x14ac:dyDescent="0.3">
      <c r="A3" s="1"/>
      <c r="B3" s="1"/>
      <c r="J3" s="1"/>
    </row>
    <row r="4" spans="1:10" ht="24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31" customHeight="1" x14ac:dyDescent="0.3">
      <c r="A5" s="1"/>
      <c r="B5" s="26"/>
      <c r="C5" s="27" t="s">
        <v>2</v>
      </c>
      <c r="D5" s="27"/>
      <c r="E5" s="27"/>
      <c r="F5" s="27"/>
      <c r="G5" s="1"/>
      <c r="H5" s="29" t="s">
        <v>1</v>
      </c>
      <c r="I5" s="29"/>
      <c r="J5" s="1"/>
    </row>
    <row r="6" spans="1:10" ht="32" customHeight="1" x14ac:dyDescent="0.3">
      <c r="A6" s="1"/>
      <c r="B6" s="28" t="s">
        <v>4</v>
      </c>
      <c r="D6" s="8">
        <f>Parameters!B15</f>
        <v>17.420000000000002</v>
      </c>
      <c r="E6" s="10">
        <f>Parameters!B16</f>
        <v>19</v>
      </c>
      <c r="F6" s="8">
        <f>Parameters!B17</f>
        <v>21.38</v>
      </c>
      <c r="G6" s="1"/>
      <c r="H6" s="3" t="s">
        <v>3</v>
      </c>
      <c r="I6" s="4">
        <v>0.54</v>
      </c>
      <c r="J6" s="1"/>
    </row>
    <row r="7" spans="1:10" ht="52" customHeight="1" x14ac:dyDescent="0.3">
      <c r="A7" s="1"/>
      <c r="B7" s="28"/>
      <c r="C7" s="8">
        <f>Parameters!B15</f>
        <v>17.420000000000002</v>
      </c>
      <c r="D7" s="9">
        <f>Calculations!H13</f>
        <v>0.54</v>
      </c>
      <c r="E7" s="9">
        <f>Calculations!H14</f>
        <v>0.582804280790858</v>
      </c>
      <c r="F7" s="9">
        <f>Calculations!H15</f>
        <v>0.63876739562624263</v>
      </c>
      <c r="G7" s="1"/>
      <c r="H7" s="6" t="s">
        <v>5</v>
      </c>
      <c r="I7" s="7">
        <v>355</v>
      </c>
      <c r="J7" s="1"/>
    </row>
    <row r="8" spans="1:10" ht="52" customHeight="1" x14ac:dyDescent="0.3">
      <c r="A8" s="1"/>
      <c r="B8" s="28"/>
      <c r="C8" s="10">
        <f>Parameters!B16</f>
        <v>19</v>
      </c>
      <c r="D8" s="9">
        <f>Calculations!H16</f>
        <v>0.49659738826558769</v>
      </c>
      <c r="E8" s="9">
        <f>Calculations!H17</f>
        <v>0.54</v>
      </c>
      <c r="F8" s="9">
        <f>Calculations!H18</f>
        <v>0.59774186406907248</v>
      </c>
      <c r="G8" s="1"/>
      <c r="H8" s="3" t="s">
        <v>6</v>
      </c>
      <c r="I8" s="7">
        <v>355</v>
      </c>
      <c r="J8" s="1"/>
    </row>
    <row r="9" spans="1:10" ht="52" customHeight="1" x14ac:dyDescent="0.3">
      <c r="A9" s="1"/>
      <c r="B9" s="28"/>
      <c r="C9" s="8">
        <f>Parameters!B17</f>
        <v>21.38</v>
      </c>
      <c r="D9" s="9">
        <f>Calculations!H19</f>
        <v>0.43798767967145796</v>
      </c>
      <c r="E9" s="9">
        <f>Calculations!H20</f>
        <v>0.48116399729302961</v>
      </c>
      <c r="F9" s="9">
        <f>Calculations!H21</f>
        <v>0.54000000000000015</v>
      </c>
      <c r="G9" s="1"/>
      <c r="H9" s="6" t="s">
        <v>7</v>
      </c>
      <c r="I9" s="11" t="s">
        <v>23</v>
      </c>
      <c r="J9" s="1"/>
    </row>
    <row r="10" spans="1:10" ht="24" customHeight="1" x14ac:dyDescent="0.3">
      <c r="A10" s="1"/>
      <c r="B10" s="1"/>
      <c r="C10" s="1"/>
      <c r="D10" s="1"/>
      <c r="E10" s="1"/>
      <c r="F10" s="1"/>
      <c r="G10" s="1"/>
      <c r="H10" s="3" t="s">
        <v>9</v>
      </c>
      <c r="I10" s="11" t="s">
        <v>23</v>
      </c>
      <c r="J10" s="1"/>
    </row>
    <row r="11" spans="1:10" ht="24" customHeight="1" x14ac:dyDescent="0.3">
      <c r="A11" s="1"/>
      <c r="B11" s="1"/>
      <c r="C11" s="1"/>
      <c r="D11" s="1"/>
      <c r="E11" s="1"/>
      <c r="F11" s="1"/>
      <c r="G11" s="1"/>
      <c r="J11" s="1"/>
    </row>
    <row r="12" spans="1:10" ht="24" customHeight="1" x14ac:dyDescent="0.3">
      <c r="A12" s="1"/>
      <c r="B12" s="1"/>
      <c r="C12" s="12" t="s">
        <v>10</v>
      </c>
      <c r="D12" s="13">
        <v>0.3</v>
      </c>
      <c r="E12" s="13">
        <v>0.5</v>
      </c>
      <c r="F12" s="13">
        <v>0.7</v>
      </c>
      <c r="G12" s="1"/>
      <c r="J12" s="1"/>
    </row>
    <row r="13" spans="1:10" ht="24" customHeight="1" x14ac:dyDescent="0.3">
      <c r="A13" s="1"/>
      <c r="B13" s="1"/>
      <c r="C13" s="1"/>
      <c r="D13" s="14" t="s">
        <v>11</v>
      </c>
      <c r="E13" s="14" t="s">
        <v>12</v>
      </c>
      <c r="F13" s="14" t="s">
        <v>13</v>
      </c>
      <c r="G13" s="1"/>
      <c r="J13" s="1"/>
    </row>
    <row r="14" spans="1:10" ht="24" customHeight="1" x14ac:dyDescent="0.3">
      <c r="A14" s="1"/>
      <c r="B14" s="1"/>
      <c r="C14" s="1"/>
      <c r="D14" s="1"/>
      <c r="E14" s="1"/>
      <c r="F14" s="1"/>
      <c r="G14" s="1"/>
      <c r="J14" s="1"/>
    </row>
    <row r="15" spans="1:10" ht="24" customHeight="1" x14ac:dyDescent="0.3">
      <c r="A15" s="1"/>
      <c r="B15" s="1"/>
      <c r="J15" s="1"/>
    </row>
    <row r="16" spans="1:10" ht="24" customHeight="1" x14ac:dyDescent="0.3">
      <c r="A16" s="1"/>
      <c r="B16" s="1"/>
      <c r="J16" s="1"/>
    </row>
    <row r="17" spans="1:10" ht="24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24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24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</row>
  </sheetData>
  <mergeCells count="3">
    <mergeCell ref="C5:F5"/>
    <mergeCell ref="B6:B9"/>
    <mergeCell ref="H5:I5"/>
  </mergeCells>
  <phoneticPr fontId="3" type="noConversion"/>
  <conditionalFormatting sqref="D7:F9">
    <cfRule type="colorScale" priority="1">
      <colorScale>
        <cfvo type="num" val="0.3"/>
        <cfvo type="num" val="0.5"/>
        <cfvo type="num" val="0.7"/>
        <color rgb="FF8AB5DA"/>
        <color rgb="FFFFFFFF"/>
        <color rgb="FFE87575"/>
      </colorScale>
    </cfRule>
  </conditionalFormatting>
  <conditionalFormatting sqref="D12:F12">
    <cfRule type="colorScale" priority="2">
      <colorScale>
        <cfvo type="num" val="0.3"/>
        <cfvo type="num" val="0.5"/>
        <cfvo type="num" val="0.7"/>
        <color rgb="FF8AB5DA"/>
        <color rgb="FFFFFFFF"/>
        <color rgb="FFE87575"/>
      </colorScale>
    </cfRule>
  </conditionalFormatting>
  <dataValidations count="1">
    <dataValidation type="decimal" sqref="I6" xr:uid="{00000000-0002-0000-0000-000000000000}">
      <formula1>0.4</formula1>
      <formula2>0.6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000-000001000000}">
          <x14:formula1>
            <xm:f>Parameters!$B$7:$B$10</xm:f>
          </x14:formula1>
          <xm:sqref>I7:I8</xm:sqref>
        </x14:dataValidation>
        <x14:dataValidation type="list" xr:uid="{00000000-0002-0000-0000-000003000000}">
          <x14:formula1>
            <xm:f>Parameters!$G$7:$G$9</xm:f>
          </x14:formula1>
          <xm:sqref>I9:I10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49A32"/>
  </sheetPr>
  <dimension ref="A1:K26"/>
  <sheetViews>
    <sheetView showGridLines="0" workbookViewId="0">
      <selection activeCell="I7" sqref="I7"/>
    </sheetView>
  </sheetViews>
  <sheetFormatPr defaultRowHeight="14" x14ac:dyDescent="0.3"/>
  <cols>
    <col min="1" max="1" width="3" customWidth="1"/>
    <col min="2" max="2" width="19" customWidth="1"/>
    <col min="3" max="4" width="17" customWidth="1"/>
    <col min="5" max="6" width="4" customWidth="1"/>
    <col min="7" max="7" width="20" customWidth="1"/>
    <col min="8" max="9" width="17" customWidth="1"/>
    <col min="10" max="11" width="4" customWidth="1"/>
  </cols>
  <sheetData>
    <row r="1" spans="1:11" ht="12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5" customHeight="1" x14ac:dyDescent="0.3">
      <c r="A2" s="1"/>
      <c r="B2" s="30" t="s">
        <v>14</v>
      </c>
      <c r="C2" s="31"/>
      <c r="D2" s="31"/>
      <c r="E2" s="31"/>
      <c r="F2" s="31"/>
      <c r="G2" s="31"/>
      <c r="H2" s="31"/>
      <c r="I2" s="31"/>
      <c r="J2" s="1"/>
      <c r="K2" s="1"/>
    </row>
    <row r="3" spans="1:11" ht="24" customHeight="1" x14ac:dyDescent="0.3">
      <c r="A3" s="1"/>
      <c r="J3" s="1"/>
      <c r="K3" s="1"/>
    </row>
    <row r="4" spans="1:11" ht="24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32" customHeight="1" x14ac:dyDescent="0.3">
      <c r="A5" s="1"/>
      <c r="B5" s="29" t="s">
        <v>15</v>
      </c>
      <c r="C5" s="29"/>
      <c r="D5" s="29"/>
      <c r="E5" s="1"/>
      <c r="F5" s="1"/>
      <c r="G5" s="29" t="s">
        <v>16</v>
      </c>
      <c r="H5" s="29"/>
      <c r="I5" s="29"/>
      <c r="J5" s="1"/>
      <c r="K5" s="1"/>
    </row>
    <row r="6" spans="1:11" ht="24" customHeight="1" x14ac:dyDescent="0.3">
      <c r="A6" s="1"/>
      <c r="B6" s="15" t="s">
        <v>17</v>
      </c>
      <c r="C6" s="15" t="s">
        <v>18</v>
      </c>
      <c r="D6" s="15" t="s">
        <v>19</v>
      </c>
      <c r="E6" s="1"/>
      <c r="F6" s="1"/>
      <c r="G6" s="15" t="s">
        <v>20</v>
      </c>
      <c r="H6" s="15" t="s">
        <v>21</v>
      </c>
      <c r="I6" s="15" t="s">
        <v>22</v>
      </c>
      <c r="J6" s="1"/>
      <c r="K6" s="1"/>
    </row>
    <row r="7" spans="1:11" ht="31" customHeight="1" x14ac:dyDescent="0.3">
      <c r="A7" s="1"/>
      <c r="B7" s="16">
        <v>300</v>
      </c>
      <c r="C7" s="17">
        <v>2918</v>
      </c>
      <c r="D7" s="17">
        <v>2918</v>
      </c>
      <c r="E7" s="1"/>
      <c r="F7" s="1"/>
      <c r="G7" s="3" t="s">
        <v>23</v>
      </c>
      <c r="H7" s="18">
        <v>1.02</v>
      </c>
      <c r="I7" s="18">
        <v>1.02</v>
      </c>
      <c r="J7" s="1"/>
      <c r="K7" s="1"/>
    </row>
    <row r="8" spans="1:11" ht="31" customHeight="1" x14ac:dyDescent="0.3">
      <c r="A8" s="1"/>
      <c r="B8" s="19">
        <v>320</v>
      </c>
      <c r="C8" s="17">
        <v>3113</v>
      </c>
      <c r="D8" s="17">
        <v>3113</v>
      </c>
      <c r="E8" s="1"/>
      <c r="F8" s="1"/>
      <c r="G8" s="6" t="s">
        <v>24</v>
      </c>
      <c r="H8" s="18">
        <v>0.96499999999999997</v>
      </c>
      <c r="I8" s="18">
        <v>0.96499999999999997</v>
      </c>
      <c r="J8" s="1"/>
      <c r="K8" s="1"/>
    </row>
    <row r="9" spans="1:11" ht="31" customHeight="1" x14ac:dyDescent="0.3">
      <c r="A9" s="1"/>
      <c r="B9" s="16">
        <v>355</v>
      </c>
      <c r="C9" s="17">
        <v>3454</v>
      </c>
      <c r="D9" s="17">
        <v>3454</v>
      </c>
      <c r="E9" s="1"/>
      <c r="F9" s="1"/>
      <c r="G9" s="3" t="s">
        <v>8</v>
      </c>
      <c r="H9" s="18">
        <v>0.875</v>
      </c>
      <c r="I9" s="18">
        <v>0.875</v>
      </c>
      <c r="J9" s="1"/>
      <c r="K9" s="1"/>
    </row>
    <row r="10" spans="1:11" ht="31" customHeight="1" x14ac:dyDescent="0.3">
      <c r="A10" s="1"/>
      <c r="B10" s="19">
        <v>370</v>
      </c>
      <c r="C10" s="17">
        <v>3600</v>
      </c>
      <c r="D10" s="17">
        <v>3600</v>
      </c>
      <c r="E10" s="1"/>
      <c r="F10" s="1"/>
      <c r="G10" s="1"/>
      <c r="H10" s="1"/>
      <c r="I10" s="1"/>
      <c r="J10" s="1"/>
      <c r="K10" s="1"/>
    </row>
    <row r="11" spans="1:11" ht="24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24" customHeight="1" x14ac:dyDescent="0.3">
      <c r="A12" s="1"/>
      <c r="B12" s="1"/>
      <c r="C12" s="1"/>
      <c r="D12" s="1"/>
      <c r="E12" s="1"/>
      <c r="F12" s="1"/>
      <c r="J12" s="1"/>
      <c r="K12" s="1"/>
    </row>
    <row r="13" spans="1:11" ht="32" customHeight="1" x14ac:dyDescent="0.3">
      <c r="A13" s="1"/>
      <c r="B13" s="29" t="s">
        <v>25</v>
      </c>
      <c r="C13" s="29"/>
      <c r="D13" s="29"/>
      <c r="E13" s="1"/>
      <c r="F13" s="1"/>
      <c r="J13" s="1"/>
      <c r="K13" s="1"/>
    </row>
    <row r="14" spans="1:11" ht="24" customHeight="1" x14ac:dyDescent="0.3">
      <c r="A14" s="1"/>
      <c r="B14" s="15" t="s">
        <v>26</v>
      </c>
      <c r="C14" s="15" t="s">
        <v>21</v>
      </c>
      <c r="D14" s="15" t="s">
        <v>22</v>
      </c>
      <c r="E14" s="1"/>
      <c r="F14" s="1"/>
      <c r="J14" s="1"/>
      <c r="K14" s="1"/>
    </row>
    <row r="15" spans="1:11" ht="31" customHeight="1" x14ac:dyDescent="0.3">
      <c r="A15" s="1"/>
      <c r="B15" s="20">
        <v>17.420000000000002</v>
      </c>
      <c r="C15" s="18">
        <v>1.19</v>
      </c>
      <c r="D15" s="18">
        <v>1.19</v>
      </c>
      <c r="E15" s="1"/>
      <c r="F15" s="1"/>
      <c r="J15" s="1"/>
      <c r="K15" s="1"/>
    </row>
    <row r="16" spans="1:11" ht="31" customHeight="1" x14ac:dyDescent="0.3">
      <c r="A16" s="1"/>
      <c r="B16" s="21">
        <v>19</v>
      </c>
      <c r="C16" s="18">
        <v>1</v>
      </c>
      <c r="D16" s="18">
        <v>1</v>
      </c>
      <c r="E16" s="1"/>
      <c r="F16" s="1"/>
      <c r="G16" s="1"/>
      <c r="H16" s="1"/>
      <c r="I16" s="1"/>
      <c r="J16" s="1"/>
      <c r="K16" s="1"/>
    </row>
    <row r="17" spans="1:11" ht="31" customHeight="1" x14ac:dyDescent="0.3">
      <c r="A17" s="1"/>
      <c r="B17" s="20">
        <v>21.38</v>
      </c>
      <c r="C17" s="18">
        <v>0.79</v>
      </c>
      <c r="D17" s="18">
        <v>0.79</v>
      </c>
      <c r="E17" s="1"/>
      <c r="F17" s="1"/>
      <c r="G17" s="1"/>
      <c r="H17" s="1"/>
      <c r="I17" s="1"/>
      <c r="J17" s="1"/>
      <c r="K17" s="1"/>
    </row>
    <row r="18" spans="1:11" ht="24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32" customHeight="1" x14ac:dyDescent="0.3">
      <c r="A19" s="1"/>
      <c r="J19" s="1"/>
      <c r="K19" s="1"/>
    </row>
    <row r="20" spans="1:11" ht="24" customHeight="1" x14ac:dyDescent="0.3">
      <c r="A20" s="1"/>
      <c r="J20" s="1"/>
      <c r="K20" s="1"/>
    </row>
    <row r="21" spans="1:11" ht="24" customHeight="1" x14ac:dyDescent="0.3">
      <c r="A21" s="1"/>
      <c r="J21" s="1"/>
      <c r="K21" s="1"/>
    </row>
    <row r="22" spans="1:11" ht="24" customHeight="1" x14ac:dyDescent="0.3">
      <c r="A22" s="1"/>
      <c r="J22" s="1"/>
      <c r="K22" s="1"/>
    </row>
    <row r="23" spans="1:11" ht="24" customHeight="1" x14ac:dyDescent="0.3">
      <c r="A23" s="1"/>
      <c r="J23" s="1"/>
      <c r="K23" s="1"/>
    </row>
    <row r="24" spans="1:11" ht="24" customHeight="1" x14ac:dyDescent="0.3">
      <c r="A24" s="1"/>
      <c r="J24" s="1"/>
      <c r="K24" s="1"/>
    </row>
    <row r="25" spans="1:11" ht="24" customHeight="1" x14ac:dyDescent="0.3">
      <c r="A25" s="1"/>
      <c r="J25" s="1"/>
      <c r="K25" s="1"/>
    </row>
    <row r="26" spans="1:11" ht="24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</sheetData>
  <mergeCells count="4">
    <mergeCell ref="B2:I2"/>
    <mergeCell ref="B5:D5"/>
    <mergeCell ref="B13:D13"/>
    <mergeCell ref="G5:I5"/>
  </mergeCells>
  <phoneticPr fontId="3" type="noConversion"/>
  <dataValidations count="1">
    <dataValidation type="decimal" operator="greaterThan" sqref="C7:D10 H7:I9 C15:D17" xr:uid="{00000000-0002-0000-0100-000000000000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3A0AC"/>
  </sheetPr>
  <dimension ref="A1:J25"/>
  <sheetViews>
    <sheetView showGridLines="0" workbookViewId="0">
      <pane ySplit="12" topLeftCell="A13" activePane="bottomLeft" state="frozen"/>
      <selection pane="bottomLeft"/>
    </sheetView>
  </sheetViews>
  <sheetFormatPr defaultRowHeight="14" x14ac:dyDescent="0.3"/>
  <cols>
    <col min="1" max="1" width="3" customWidth="1"/>
    <col min="2" max="2" width="25" customWidth="1"/>
    <col min="3" max="5" width="15" customWidth="1"/>
    <col min="6" max="8" width="20" customWidth="1"/>
    <col min="9" max="10" width="3" customWidth="1"/>
  </cols>
  <sheetData>
    <row r="1" spans="1:10" ht="12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5" customHeight="1" x14ac:dyDescent="0.3">
      <c r="A2" s="1"/>
      <c r="B2" s="30" t="s">
        <v>27</v>
      </c>
      <c r="C2" s="31"/>
      <c r="D2" s="31"/>
      <c r="E2" s="31"/>
      <c r="F2" s="31"/>
      <c r="G2" s="31"/>
      <c r="H2" s="31"/>
      <c r="I2" s="1"/>
      <c r="J2" s="1"/>
    </row>
    <row r="3" spans="1:10" ht="24" customHeight="1" x14ac:dyDescent="0.3">
      <c r="A3" s="1"/>
      <c r="I3" s="1"/>
      <c r="J3" s="1"/>
    </row>
    <row r="4" spans="1:10" ht="24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32" customHeight="1" x14ac:dyDescent="0.3">
      <c r="A5" s="1"/>
      <c r="B5" s="5" t="s">
        <v>28</v>
      </c>
      <c r="C5" s="5" t="s">
        <v>29</v>
      </c>
      <c r="D5" s="5" t="s">
        <v>30</v>
      </c>
      <c r="E5" s="1"/>
      <c r="F5" s="1"/>
      <c r="G5" s="1"/>
      <c r="H5" s="1"/>
      <c r="I5" s="1"/>
      <c r="J5" s="1"/>
    </row>
    <row r="6" spans="1:10" ht="31" customHeight="1" x14ac:dyDescent="0.3">
      <c r="A6" s="1"/>
      <c r="B6" s="3" t="s">
        <v>31</v>
      </c>
      <c r="C6" s="22">
        <f>INDEX(Parameters!$C$7:$C$10,MATCH('Balance Map'!$I$7,Parameters!$B$7:$B$10,0))</f>
        <v>3454</v>
      </c>
      <c r="D6" s="22">
        <f>INDEX(Parameters!$D$7:$D$10,MATCH('Balance Map'!$I$8,Parameters!$B$7:$B$10,0))</f>
        <v>3454</v>
      </c>
      <c r="E6" s="1"/>
      <c r="F6" s="1"/>
      <c r="G6" s="1"/>
      <c r="H6" s="1"/>
      <c r="I6" s="1"/>
      <c r="J6" s="1"/>
    </row>
    <row r="7" spans="1:10" ht="31" customHeight="1" x14ac:dyDescent="0.3">
      <c r="A7" s="1"/>
      <c r="B7" s="6" t="s">
        <v>32</v>
      </c>
      <c r="C7" s="23">
        <f>INDEX(Parameters!$H$7:$H$9,MATCH('Balance Map'!$I$9,Parameters!$G$7:$G$9,0))</f>
        <v>1.02</v>
      </c>
      <c r="D7" s="23">
        <f>INDEX(Parameters!$I$7:$I$9,MATCH('Balance Map'!$I$10,Parameters!$G$7:$G$9,0))</f>
        <v>1.02</v>
      </c>
      <c r="E7" s="1"/>
      <c r="F7" s="1"/>
      <c r="G7" s="1"/>
      <c r="H7" s="1"/>
      <c r="I7" s="1"/>
      <c r="J7" s="1"/>
    </row>
    <row r="8" spans="1:10" ht="31" customHeight="1" x14ac:dyDescent="0.3">
      <c r="A8" s="1"/>
      <c r="B8" s="3" t="s">
        <v>33</v>
      </c>
      <c r="C8" s="22">
        <f>C6*C7*'Balance Map'!$I$6</f>
        <v>1902.4632000000001</v>
      </c>
      <c r="D8" s="22">
        <f>D6*D7*(1-'Balance Map'!$I$6)</f>
        <v>1620.6167999999998</v>
      </c>
      <c r="E8" s="1"/>
      <c r="F8" s="1"/>
      <c r="G8" s="1"/>
      <c r="H8" s="1"/>
      <c r="I8" s="1"/>
      <c r="J8" s="1"/>
    </row>
    <row r="9" spans="1:10" ht="24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24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32" customHeight="1" x14ac:dyDescent="0.3">
      <c r="A11" s="1"/>
      <c r="B11" s="29" t="s">
        <v>34</v>
      </c>
      <c r="C11" s="29"/>
      <c r="D11" s="29"/>
      <c r="E11" s="29"/>
      <c r="F11" s="29"/>
      <c r="G11" s="29"/>
      <c r="H11" s="29"/>
      <c r="I11" s="1"/>
      <c r="J11" s="1"/>
    </row>
    <row r="12" spans="1:10" ht="24" customHeight="1" x14ac:dyDescent="0.3">
      <c r="A12" s="1"/>
      <c r="B12" s="15" t="s">
        <v>35</v>
      </c>
      <c r="C12" s="15" t="s">
        <v>36</v>
      </c>
      <c r="D12" s="15" t="s">
        <v>37</v>
      </c>
      <c r="E12" s="15" t="s">
        <v>38</v>
      </c>
      <c r="F12" s="15" t="s">
        <v>39</v>
      </c>
      <c r="G12" s="15" t="s">
        <v>40</v>
      </c>
      <c r="H12" s="15" t="s">
        <v>41</v>
      </c>
      <c r="I12" s="1"/>
      <c r="J12" s="1"/>
    </row>
    <row r="13" spans="1:10" ht="31" customHeight="1" x14ac:dyDescent="0.3">
      <c r="A13" s="1"/>
      <c r="B13" s="20">
        <f>Parameters!B15</f>
        <v>17.420000000000002</v>
      </c>
      <c r="C13" s="20">
        <f>Parameters!B15</f>
        <v>17.420000000000002</v>
      </c>
      <c r="D13" s="22">
        <f>Parameters!C15</f>
        <v>1.19</v>
      </c>
      <c r="E13" s="22">
        <f>Parameters!D15</f>
        <v>1.19</v>
      </c>
      <c r="F13" s="22">
        <f t="shared" ref="F13:F21" si="0">$C$8*D13</f>
        <v>2263.931208</v>
      </c>
      <c r="G13" s="22">
        <f t="shared" ref="G13:G21" si="1">$D$8*E13</f>
        <v>1928.5339919999997</v>
      </c>
      <c r="H13" s="24">
        <f t="shared" ref="H13:H21" si="2">F13/(F13+G13)</f>
        <v>0.54</v>
      </c>
      <c r="I13" s="1"/>
      <c r="J13" s="1"/>
    </row>
    <row r="14" spans="1:10" ht="31" customHeight="1" x14ac:dyDescent="0.3">
      <c r="A14" s="1"/>
      <c r="B14" s="21">
        <f>Parameters!B15</f>
        <v>17.420000000000002</v>
      </c>
      <c r="C14" s="21">
        <f>Parameters!B16</f>
        <v>19</v>
      </c>
      <c r="D14" s="23">
        <f>Parameters!C15</f>
        <v>1.19</v>
      </c>
      <c r="E14" s="23">
        <f>Parameters!D16</f>
        <v>1</v>
      </c>
      <c r="F14" s="23">
        <f t="shared" si="0"/>
        <v>2263.931208</v>
      </c>
      <c r="G14" s="23">
        <f t="shared" si="1"/>
        <v>1620.6167999999998</v>
      </c>
      <c r="H14" s="25">
        <f t="shared" si="2"/>
        <v>0.582804280790858</v>
      </c>
      <c r="I14" s="1"/>
      <c r="J14" s="1"/>
    </row>
    <row r="15" spans="1:10" ht="31" customHeight="1" x14ac:dyDescent="0.3">
      <c r="A15" s="1"/>
      <c r="B15" s="20">
        <f>Parameters!B15</f>
        <v>17.420000000000002</v>
      </c>
      <c r="C15" s="20">
        <f>Parameters!B17</f>
        <v>21.38</v>
      </c>
      <c r="D15" s="22">
        <f>Parameters!C15</f>
        <v>1.19</v>
      </c>
      <c r="E15" s="22">
        <f>Parameters!D17</f>
        <v>0.79</v>
      </c>
      <c r="F15" s="22">
        <f t="shared" si="0"/>
        <v>2263.931208</v>
      </c>
      <c r="G15" s="22">
        <f t="shared" si="1"/>
        <v>1280.2872719999998</v>
      </c>
      <c r="H15" s="24">
        <f t="shared" si="2"/>
        <v>0.63876739562624263</v>
      </c>
      <c r="I15" s="1"/>
      <c r="J15" s="1"/>
    </row>
    <row r="16" spans="1:10" ht="31" customHeight="1" x14ac:dyDescent="0.3">
      <c r="A16" s="1"/>
      <c r="B16" s="21">
        <f>Parameters!B16</f>
        <v>19</v>
      </c>
      <c r="C16" s="21">
        <f>Parameters!B15</f>
        <v>17.420000000000002</v>
      </c>
      <c r="D16" s="23">
        <f>Parameters!C16</f>
        <v>1</v>
      </c>
      <c r="E16" s="23">
        <f>Parameters!D15</f>
        <v>1.19</v>
      </c>
      <c r="F16" s="23">
        <f t="shared" si="0"/>
        <v>1902.4632000000001</v>
      </c>
      <c r="G16" s="23">
        <f t="shared" si="1"/>
        <v>1928.5339919999997</v>
      </c>
      <c r="H16" s="25">
        <f t="shared" si="2"/>
        <v>0.49659738826558769</v>
      </c>
      <c r="I16" s="1"/>
      <c r="J16" s="1"/>
    </row>
    <row r="17" spans="1:10" ht="31" customHeight="1" x14ac:dyDescent="0.3">
      <c r="A17" s="1"/>
      <c r="B17" s="20">
        <f>Parameters!B16</f>
        <v>19</v>
      </c>
      <c r="C17" s="20">
        <f>Parameters!B16</f>
        <v>19</v>
      </c>
      <c r="D17" s="22">
        <f>Parameters!C16</f>
        <v>1</v>
      </c>
      <c r="E17" s="22">
        <f>Parameters!D16</f>
        <v>1</v>
      </c>
      <c r="F17" s="22">
        <f t="shared" si="0"/>
        <v>1902.4632000000001</v>
      </c>
      <c r="G17" s="22">
        <f t="shared" si="1"/>
        <v>1620.6167999999998</v>
      </c>
      <c r="H17" s="24">
        <f t="shared" si="2"/>
        <v>0.54</v>
      </c>
      <c r="I17" s="1"/>
      <c r="J17" s="1"/>
    </row>
    <row r="18" spans="1:10" ht="31" customHeight="1" x14ac:dyDescent="0.3">
      <c r="A18" s="1"/>
      <c r="B18" s="21">
        <f>Parameters!B16</f>
        <v>19</v>
      </c>
      <c r="C18" s="21">
        <f>Parameters!B17</f>
        <v>21.38</v>
      </c>
      <c r="D18" s="23">
        <f>Parameters!C16</f>
        <v>1</v>
      </c>
      <c r="E18" s="23">
        <f>Parameters!D17</f>
        <v>0.79</v>
      </c>
      <c r="F18" s="23">
        <f t="shared" si="0"/>
        <v>1902.4632000000001</v>
      </c>
      <c r="G18" s="23">
        <f t="shared" si="1"/>
        <v>1280.2872719999998</v>
      </c>
      <c r="H18" s="25">
        <f t="shared" si="2"/>
        <v>0.59774186406907248</v>
      </c>
      <c r="I18" s="1"/>
      <c r="J18" s="1"/>
    </row>
    <row r="19" spans="1:10" ht="31" customHeight="1" x14ac:dyDescent="0.3">
      <c r="A19" s="1"/>
      <c r="B19" s="20">
        <f>Parameters!B17</f>
        <v>21.38</v>
      </c>
      <c r="C19" s="20">
        <f>Parameters!B15</f>
        <v>17.420000000000002</v>
      </c>
      <c r="D19" s="22">
        <f>Parameters!C17</f>
        <v>0.79</v>
      </c>
      <c r="E19" s="22">
        <f>Parameters!D15</f>
        <v>1.19</v>
      </c>
      <c r="F19" s="22">
        <f t="shared" si="0"/>
        <v>1502.9459280000001</v>
      </c>
      <c r="G19" s="22">
        <f t="shared" si="1"/>
        <v>1928.5339919999997</v>
      </c>
      <c r="H19" s="24">
        <f t="shared" si="2"/>
        <v>0.43798767967145796</v>
      </c>
      <c r="I19" s="1"/>
      <c r="J19" s="1"/>
    </row>
    <row r="20" spans="1:10" ht="31" customHeight="1" x14ac:dyDescent="0.3">
      <c r="A20" s="1"/>
      <c r="B20" s="21">
        <f>Parameters!B17</f>
        <v>21.38</v>
      </c>
      <c r="C20" s="21">
        <f>Parameters!B16</f>
        <v>19</v>
      </c>
      <c r="D20" s="23">
        <f>Parameters!C17</f>
        <v>0.79</v>
      </c>
      <c r="E20" s="23">
        <f>Parameters!D16</f>
        <v>1</v>
      </c>
      <c r="F20" s="23">
        <f t="shared" si="0"/>
        <v>1502.9459280000001</v>
      </c>
      <c r="G20" s="23">
        <f t="shared" si="1"/>
        <v>1620.6167999999998</v>
      </c>
      <c r="H20" s="25">
        <f t="shared" si="2"/>
        <v>0.48116399729302961</v>
      </c>
      <c r="I20" s="1"/>
      <c r="J20" s="1"/>
    </row>
    <row r="21" spans="1:10" ht="31" customHeight="1" x14ac:dyDescent="0.3">
      <c r="A21" s="1"/>
      <c r="B21" s="20">
        <f>Parameters!B17</f>
        <v>21.38</v>
      </c>
      <c r="C21" s="20">
        <f>Parameters!B17</f>
        <v>21.38</v>
      </c>
      <c r="D21" s="22">
        <f>Parameters!C17</f>
        <v>0.79</v>
      </c>
      <c r="E21" s="22">
        <f>Parameters!D17</f>
        <v>0.79</v>
      </c>
      <c r="F21" s="22">
        <f t="shared" si="0"/>
        <v>1502.9459280000001</v>
      </c>
      <c r="G21" s="22">
        <f t="shared" si="1"/>
        <v>1280.2872719999998</v>
      </c>
      <c r="H21" s="24">
        <f t="shared" si="2"/>
        <v>0.54000000000000015</v>
      </c>
      <c r="I21" s="1"/>
      <c r="J21" s="1"/>
    </row>
    <row r="22" spans="1:10" ht="24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24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24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24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</row>
  </sheetData>
  <mergeCells count="2">
    <mergeCell ref="B2:H2"/>
    <mergeCell ref="B11:H1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Balance Map</vt:lpstr>
      <vt:lpstr>Parameters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Un1corn Prog</cp:lastModifiedBy>
  <dcterms:modified xsi:type="dcterms:W3CDTF">2026-10-25T14:20:38Z</dcterms:modified>
</cp:coreProperties>
</file>