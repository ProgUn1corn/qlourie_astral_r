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un1corn\.codex\visualizations\2026\09\05\01a07025-ed7a-7f60-89f7-3275b6531400\xlsx-locale-20261027\output\"/>
    </mc:Choice>
  </mc:AlternateContent>
  <xr:revisionPtr revIDLastSave="0" documentId="13_ncr:1_{89A374FC-2A3B-41BF-AEDB-8BAC5E48DF3A}" xr6:coauthVersionLast="47" xr6:coauthVersionMax="47" xr10:uidLastSave="{00000000-0000-0000-0000-000000000000}"/>
  <bookViews>
    <workbookView xWindow="-110" yWindow="-110" windowWidth="25820" windowHeight="15500" activeTab="7" xr2:uid="{00000000-000D-0000-FFFF-FFFF00000000}"/>
  </bookViews>
  <sheets>
    <sheet name="Rally2" sheetId="1" r:id="rId1"/>
    <sheet name="WRC16" sheetId="2" r:id="rId2"/>
    <sheet name="WRC17" sheetId="3" r:id="rId3"/>
    <sheet name="Rally1" sheetId="4" r:id="rId4"/>
    <sheet name="RX1" sheetId="5" r:id="rId5"/>
    <sheet name="RX3" sheetId="6" r:id="rId6"/>
    <sheet name="Locale" sheetId="8" state="hidden" r:id="rId7"/>
    <sheet name="Samples" sheetId="7" r:id="rId8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03" i="7" l="1"/>
  <c r="I403" i="7"/>
  <c r="G403" i="7"/>
  <c r="E403" i="7"/>
  <c r="C403" i="7"/>
  <c r="F396" i="7"/>
  <c r="C396" i="7"/>
  <c r="D395" i="7"/>
  <c r="I408" i="7" s="1"/>
  <c r="C395" i="7"/>
  <c r="D394" i="7"/>
  <c r="G408" i="7" s="1"/>
  <c r="C394" i="7"/>
  <c r="D393" i="7"/>
  <c r="E408" i="7" s="1"/>
  <c r="C393" i="7"/>
  <c r="D392" i="7"/>
  <c r="C408" i="7" s="1"/>
  <c r="C392" i="7"/>
  <c r="M365" i="7"/>
  <c r="K365" i="7"/>
  <c r="I365" i="7"/>
  <c r="G365" i="7"/>
  <c r="E365" i="7"/>
  <c r="C365" i="7"/>
  <c r="F359" i="7"/>
  <c r="C359" i="7"/>
  <c r="D358" i="7"/>
  <c r="K370" i="7" s="1"/>
  <c r="C358" i="7"/>
  <c r="D357" i="7"/>
  <c r="I370" i="7" s="1"/>
  <c r="C357" i="7"/>
  <c r="D356" i="7"/>
  <c r="G370" i="7" s="1"/>
  <c r="C356" i="7"/>
  <c r="D355" i="7"/>
  <c r="E370" i="7" s="1"/>
  <c r="C355" i="7"/>
  <c r="D354" i="7"/>
  <c r="C370" i="7" s="1"/>
  <c r="C354" i="7"/>
  <c r="K327" i="7"/>
  <c r="I327" i="7"/>
  <c r="G327" i="7"/>
  <c r="E327" i="7"/>
  <c r="C327" i="7"/>
  <c r="F320" i="7"/>
  <c r="C320" i="7"/>
  <c r="D319" i="7"/>
  <c r="I332" i="7" s="1"/>
  <c r="C319" i="7"/>
  <c r="D318" i="7"/>
  <c r="G332" i="7" s="1"/>
  <c r="C318" i="7"/>
  <c r="D317" i="7"/>
  <c r="E332" i="7" s="1"/>
  <c r="C317" i="7"/>
  <c r="D316" i="7"/>
  <c r="C332" i="7" s="1"/>
  <c r="C316" i="7"/>
  <c r="M289" i="7"/>
  <c r="K289" i="7"/>
  <c r="I289" i="7"/>
  <c r="G289" i="7"/>
  <c r="E289" i="7"/>
  <c r="C289" i="7"/>
  <c r="F283" i="7"/>
  <c r="C283" i="7"/>
  <c r="D282" i="7"/>
  <c r="K294" i="7" s="1"/>
  <c r="C282" i="7"/>
  <c r="D281" i="7"/>
  <c r="I294" i="7" s="1"/>
  <c r="C281" i="7"/>
  <c r="D280" i="7"/>
  <c r="G294" i="7" s="1"/>
  <c r="C280" i="7"/>
  <c r="D279" i="7"/>
  <c r="E294" i="7" s="1"/>
  <c r="C279" i="7"/>
  <c r="D278" i="7"/>
  <c r="C294" i="7" s="1"/>
  <c r="C278" i="7"/>
  <c r="M251" i="7"/>
  <c r="K251" i="7"/>
  <c r="I251" i="7"/>
  <c r="G251" i="7"/>
  <c r="E251" i="7"/>
  <c r="C251" i="7"/>
  <c r="F245" i="7"/>
  <c r="C245" i="7"/>
  <c r="D244" i="7"/>
  <c r="K256" i="7" s="1"/>
  <c r="C244" i="7"/>
  <c r="D243" i="7"/>
  <c r="I256" i="7" s="1"/>
  <c r="C243" i="7"/>
  <c r="D242" i="7"/>
  <c r="G256" i="7" s="1"/>
  <c r="C242" i="7"/>
  <c r="D241" i="7"/>
  <c r="E256" i="7" s="1"/>
  <c r="C241" i="7"/>
  <c r="D240" i="7"/>
  <c r="C256" i="7" s="1"/>
  <c r="C240" i="7"/>
  <c r="K213" i="7"/>
  <c r="I213" i="7"/>
  <c r="G213" i="7"/>
  <c r="E213" i="7"/>
  <c r="C213" i="7"/>
  <c r="F206" i="7"/>
  <c r="C206" i="7"/>
  <c r="D205" i="7"/>
  <c r="I218" i="7" s="1"/>
  <c r="C205" i="7"/>
  <c r="D204" i="7"/>
  <c r="G218" i="7" s="1"/>
  <c r="C204" i="7"/>
  <c r="D203" i="7"/>
  <c r="E218" i="7" s="1"/>
  <c r="C203" i="7"/>
  <c r="D202" i="7"/>
  <c r="C218" i="7" s="1"/>
  <c r="C202" i="7"/>
  <c r="D176" i="7"/>
  <c r="D175" i="7"/>
  <c r="D174" i="7"/>
  <c r="D173" i="7"/>
  <c r="D172" i="7"/>
  <c r="D171" i="7"/>
  <c r="D170" i="7"/>
  <c r="D169" i="7"/>
  <c r="D168" i="7"/>
  <c r="D167" i="7"/>
  <c r="D166" i="7"/>
  <c r="D165" i="7"/>
  <c r="D164" i="7"/>
  <c r="D163" i="7"/>
  <c r="D162" i="7"/>
  <c r="D161" i="7"/>
  <c r="D160" i="7"/>
  <c r="D159" i="7"/>
  <c r="D158" i="7"/>
  <c r="D157" i="7"/>
  <c r="D146" i="7"/>
  <c r="D145" i="7"/>
  <c r="D144" i="7"/>
  <c r="D143" i="7"/>
  <c r="D142" i="7"/>
  <c r="D141" i="7"/>
  <c r="D140" i="7"/>
  <c r="D139" i="7"/>
  <c r="D138" i="7"/>
  <c r="D137" i="7"/>
  <c r="D136" i="7"/>
  <c r="D135" i="7"/>
  <c r="D134" i="7"/>
  <c r="D133" i="7"/>
  <c r="D132" i="7"/>
  <c r="D131" i="7"/>
  <c r="D130" i="7"/>
  <c r="D129" i="7"/>
  <c r="D128" i="7"/>
  <c r="D12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73" i="8"/>
  <c r="D72" i="8"/>
  <c r="D71" i="8"/>
  <c r="D70" i="8"/>
  <c r="B2" i="5" s="1"/>
  <c r="D69" i="8"/>
  <c r="D68" i="8"/>
  <c r="D67" i="8"/>
  <c r="D66" i="8"/>
  <c r="B155" i="7" s="1"/>
  <c r="D65" i="8"/>
  <c r="D64" i="8"/>
  <c r="B2" i="7" s="1"/>
  <c r="D63" i="8"/>
  <c r="D62" i="8"/>
  <c r="D61" i="8"/>
  <c r="B22" i="6" s="1"/>
  <c r="D60" i="8"/>
  <c r="D59" i="8"/>
  <c r="D58" i="8"/>
  <c r="C96" i="7" s="1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H19" i="6" s="1"/>
  <c r="D38" i="8"/>
  <c r="D37" i="8"/>
  <c r="D36" i="8"/>
  <c r="D35" i="8"/>
  <c r="D34" i="8"/>
  <c r="E53" i="6" s="1"/>
  <c r="D33" i="8"/>
  <c r="D32" i="8"/>
  <c r="D31" i="8"/>
  <c r="B23" i="6" s="1"/>
  <c r="D30" i="8"/>
  <c r="F23" i="6" s="1"/>
  <c r="D29" i="8"/>
  <c r="D28" i="8"/>
  <c r="D27" i="8"/>
  <c r="D26" i="8"/>
  <c r="D25" i="8"/>
  <c r="D24" i="8"/>
  <c r="B53" i="6" s="1"/>
  <c r="D23" i="8"/>
  <c r="D22" i="8"/>
  <c r="D21" i="8"/>
  <c r="D20" i="8"/>
  <c r="D19" i="8"/>
  <c r="D18" i="8"/>
  <c r="D17" i="8"/>
  <c r="D16" i="8"/>
  <c r="D15" i="8"/>
  <c r="D14" i="8"/>
  <c r="B1" i="7" s="1"/>
  <c r="D13" i="8"/>
  <c r="D12" i="8"/>
  <c r="D11" i="8"/>
  <c r="D10" i="8"/>
  <c r="B276" i="7" s="1"/>
  <c r="D9" i="8"/>
  <c r="B238" i="7" s="1"/>
  <c r="D8" i="8"/>
  <c r="D7" i="8"/>
  <c r="B390" i="7" s="1"/>
  <c r="D6" i="8"/>
  <c r="B352" i="7" s="1"/>
  <c r="D5" i="8"/>
  <c r="B200" i="7" s="1"/>
  <c r="D4" i="8"/>
  <c r="B314" i="7" s="1"/>
  <c r="D3" i="8"/>
  <c r="D2" i="8"/>
  <c r="D19" i="6"/>
  <c r="G18" i="6"/>
  <c r="F18" i="6"/>
  <c r="E395" i="7" s="1"/>
  <c r="E18" i="6"/>
  <c r="F395" i="7" s="1"/>
  <c r="I409" i="7" s="1"/>
  <c r="G17" i="6"/>
  <c r="F17" i="6"/>
  <c r="E394" i="7" s="1"/>
  <c r="E17" i="6"/>
  <c r="F394" i="7" s="1"/>
  <c r="G409" i="7" s="1"/>
  <c r="G16" i="6"/>
  <c r="F16" i="6"/>
  <c r="E393" i="7" s="1"/>
  <c r="E16" i="6"/>
  <c r="F393" i="7" s="1"/>
  <c r="E409" i="7" s="1"/>
  <c r="G15" i="6"/>
  <c r="F15" i="6"/>
  <c r="E392" i="7" s="1"/>
  <c r="E15" i="6"/>
  <c r="F392" i="7" s="1"/>
  <c r="C409" i="7" s="1"/>
  <c r="H14" i="6"/>
  <c r="G14" i="6"/>
  <c r="F14" i="6"/>
  <c r="D14" i="6"/>
  <c r="C14" i="6"/>
  <c r="B14" i="6"/>
  <c r="B13" i="6"/>
  <c r="B11" i="6"/>
  <c r="K9" i="6"/>
  <c r="F9" i="6"/>
  <c r="B9" i="6"/>
  <c r="K8" i="6"/>
  <c r="F8" i="6"/>
  <c r="D8" i="6"/>
  <c r="D9" i="6" s="1"/>
  <c r="B8" i="6"/>
  <c r="K7" i="6"/>
  <c r="F7" i="6"/>
  <c r="B7" i="6"/>
  <c r="K6" i="6"/>
  <c r="F6" i="6"/>
  <c r="D6" i="6"/>
  <c r="D7" i="6" s="1"/>
  <c r="B6" i="6"/>
  <c r="K5" i="6"/>
  <c r="F5" i="6"/>
  <c r="B3" i="6"/>
  <c r="B2" i="6"/>
  <c r="E53" i="5"/>
  <c r="B53" i="5"/>
  <c r="F23" i="5"/>
  <c r="B23" i="5"/>
  <c r="B22" i="5"/>
  <c r="H20" i="5"/>
  <c r="D20" i="5"/>
  <c r="H19" i="5"/>
  <c r="G19" i="5"/>
  <c r="F19" i="5"/>
  <c r="E358" i="7" s="1"/>
  <c r="E19" i="5"/>
  <c r="F358" i="7" s="1"/>
  <c r="K371" i="7" s="1"/>
  <c r="H18" i="5"/>
  <c r="G18" i="5"/>
  <c r="F18" i="5"/>
  <c r="E357" i="7" s="1"/>
  <c r="E18" i="5"/>
  <c r="F357" i="7" s="1"/>
  <c r="I371" i="7" s="1"/>
  <c r="H17" i="5"/>
  <c r="G17" i="5"/>
  <c r="F17" i="5"/>
  <c r="E356" i="7" s="1"/>
  <c r="E17" i="5"/>
  <c r="F356" i="7" s="1"/>
  <c r="G371" i="7" s="1"/>
  <c r="H16" i="5"/>
  <c r="G16" i="5"/>
  <c r="F16" i="5"/>
  <c r="E355" i="7" s="1"/>
  <c r="E16" i="5"/>
  <c r="F355" i="7" s="1"/>
  <c r="E371" i="7" s="1"/>
  <c r="H15" i="5"/>
  <c r="G15" i="5"/>
  <c r="F15" i="5"/>
  <c r="E354" i="7" s="1"/>
  <c r="E15" i="5"/>
  <c r="F354" i="7" s="1"/>
  <c r="C371" i="7" s="1"/>
  <c r="H14" i="5"/>
  <c r="G14" i="5"/>
  <c r="F14" i="5"/>
  <c r="D14" i="5"/>
  <c r="C14" i="5"/>
  <c r="B14" i="5"/>
  <c r="B13" i="5"/>
  <c r="B11" i="5"/>
  <c r="K9" i="5"/>
  <c r="F9" i="5"/>
  <c r="B9" i="5"/>
  <c r="K8" i="5"/>
  <c r="F8" i="5"/>
  <c r="D8" i="5"/>
  <c r="D9" i="5" s="1"/>
  <c r="B8" i="5"/>
  <c r="K7" i="5"/>
  <c r="F7" i="5"/>
  <c r="B7" i="5"/>
  <c r="K6" i="5"/>
  <c r="F6" i="5"/>
  <c r="D6" i="5"/>
  <c r="D7" i="5" s="1"/>
  <c r="B6" i="5"/>
  <c r="K5" i="5"/>
  <c r="F5" i="5"/>
  <c r="E53" i="4"/>
  <c r="B53" i="4"/>
  <c r="P23" i="4"/>
  <c r="N23" i="4"/>
  <c r="L23" i="4"/>
  <c r="J23" i="4"/>
  <c r="F23" i="4"/>
  <c r="B23" i="4"/>
  <c r="J22" i="4"/>
  <c r="B22" i="4"/>
  <c r="P19" i="4"/>
  <c r="L19" i="4"/>
  <c r="H19" i="4"/>
  <c r="D19" i="4"/>
  <c r="P18" i="4"/>
  <c r="O18" i="4"/>
  <c r="N18" i="4"/>
  <c r="M18" i="4"/>
  <c r="H18" i="4"/>
  <c r="G18" i="4"/>
  <c r="F18" i="4"/>
  <c r="E319" i="7" s="1"/>
  <c r="E18" i="4"/>
  <c r="F319" i="7" s="1"/>
  <c r="I333" i="7" s="1"/>
  <c r="P17" i="4"/>
  <c r="O17" i="4"/>
  <c r="N17" i="4"/>
  <c r="M17" i="4"/>
  <c r="H17" i="4"/>
  <c r="G17" i="4"/>
  <c r="F17" i="4"/>
  <c r="E318" i="7" s="1"/>
  <c r="E17" i="4"/>
  <c r="F318" i="7" s="1"/>
  <c r="G333" i="7" s="1"/>
  <c r="P16" i="4"/>
  <c r="O16" i="4"/>
  <c r="N16" i="4"/>
  <c r="M16" i="4"/>
  <c r="H16" i="4"/>
  <c r="G16" i="4"/>
  <c r="F16" i="4"/>
  <c r="E317" i="7" s="1"/>
  <c r="E16" i="4"/>
  <c r="F317" i="7" s="1"/>
  <c r="E333" i="7" s="1"/>
  <c r="P15" i="4"/>
  <c r="O15" i="4"/>
  <c r="N15" i="4"/>
  <c r="M15" i="4"/>
  <c r="H15" i="4"/>
  <c r="G15" i="4"/>
  <c r="F15" i="4"/>
  <c r="E316" i="7" s="1"/>
  <c r="E15" i="4"/>
  <c r="F316" i="7" s="1"/>
  <c r="C333" i="7" s="1"/>
  <c r="P14" i="4"/>
  <c r="O14" i="4"/>
  <c r="N14" i="4"/>
  <c r="L14" i="4"/>
  <c r="K14" i="4"/>
  <c r="J14" i="4"/>
  <c r="H14" i="4"/>
  <c r="G14" i="4"/>
  <c r="F14" i="4"/>
  <c r="D14" i="4"/>
  <c r="C14" i="4"/>
  <c r="B14" i="4"/>
  <c r="J13" i="4"/>
  <c r="B13" i="4"/>
  <c r="B11" i="4"/>
  <c r="K9" i="4"/>
  <c r="F9" i="4"/>
  <c r="B9" i="4"/>
  <c r="K8" i="4"/>
  <c r="F8" i="4"/>
  <c r="D8" i="4"/>
  <c r="D9" i="4" s="1"/>
  <c r="B8" i="4"/>
  <c r="K7" i="4"/>
  <c r="F7" i="4"/>
  <c r="B7" i="4"/>
  <c r="K6" i="4"/>
  <c r="F6" i="4"/>
  <c r="B6" i="4"/>
  <c r="K5" i="4"/>
  <c r="F5" i="4"/>
  <c r="B3" i="4"/>
  <c r="B2" i="4"/>
  <c r="E53" i="3"/>
  <c r="B53" i="3"/>
  <c r="P23" i="3"/>
  <c r="N23" i="3"/>
  <c r="L23" i="3"/>
  <c r="J23" i="3"/>
  <c r="F23" i="3"/>
  <c r="B23" i="3"/>
  <c r="J22" i="3"/>
  <c r="B22" i="3"/>
  <c r="P20" i="3"/>
  <c r="L20" i="3"/>
  <c r="H20" i="3"/>
  <c r="D20" i="3"/>
  <c r="P19" i="3"/>
  <c r="O19" i="3"/>
  <c r="N19" i="3"/>
  <c r="M19" i="3"/>
  <c r="H19" i="3"/>
  <c r="G19" i="3"/>
  <c r="F19" i="3"/>
  <c r="E282" i="7" s="1"/>
  <c r="E19" i="3"/>
  <c r="F282" i="7" s="1"/>
  <c r="K295" i="7" s="1"/>
  <c r="P18" i="3"/>
  <c r="O18" i="3"/>
  <c r="N18" i="3"/>
  <c r="M18" i="3"/>
  <c r="H18" i="3"/>
  <c r="G18" i="3"/>
  <c r="F18" i="3"/>
  <c r="E281" i="7" s="1"/>
  <c r="E18" i="3"/>
  <c r="F281" i="7" s="1"/>
  <c r="I295" i="7" s="1"/>
  <c r="P17" i="3"/>
  <c r="O17" i="3"/>
  <c r="N17" i="3"/>
  <c r="M17" i="3"/>
  <c r="H17" i="3"/>
  <c r="G17" i="3"/>
  <c r="F17" i="3"/>
  <c r="E280" i="7" s="1"/>
  <c r="E17" i="3"/>
  <c r="F280" i="7" s="1"/>
  <c r="G295" i="7" s="1"/>
  <c r="P16" i="3"/>
  <c r="O16" i="3"/>
  <c r="N16" i="3"/>
  <c r="M16" i="3"/>
  <c r="H16" i="3"/>
  <c r="G16" i="3"/>
  <c r="F16" i="3"/>
  <c r="E279" i="7" s="1"/>
  <c r="E16" i="3"/>
  <c r="F279" i="7" s="1"/>
  <c r="E295" i="7" s="1"/>
  <c r="P15" i="3"/>
  <c r="O15" i="3"/>
  <c r="N15" i="3"/>
  <c r="M15" i="3"/>
  <c r="H15" i="3"/>
  <c r="G15" i="3"/>
  <c r="F15" i="3"/>
  <c r="E278" i="7" s="1"/>
  <c r="E15" i="3"/>
  <c r="F278" i="7" s="1"/>
  <c r="C295" i="7" s="1"/>
  <c r="P14" i="3"/>
  <c r="O14" i="3"/>
  <c r="N14" i="3"/>
  <c r="L14" i="3"/>
  <c r="K14" i="3"/>
  <c r="J14" i="3"/>
  <c r="H14" i="3"/>
  <c r="G14" i="3"/>
  <c r="F14" i="3"/>
  <c r="D14" i="3"/>
  <c r="C14" i="3"/>
  <c r="B14" i="3"/>
  <c r="J13" i="3"/>
  <c r="B13" i="3"/>
  <c r="B11" i="3"/>
  <c r="K9" i="3"/>
  <c r="F9" i="3"/>
  <c r="B9" i="3"/>
  <c r="K8" i="3"/>
  <c r="F8" i="3"/>
  <c r="D8" i="3"/>
  <c r="D9" i="3" s="1"/>
  <c r="B8" i="3"/>
  <c r="K7" i="3"/>
  <c r="F7" i="3"/>
  <c r="B7" i="3"/>
  <c r="K6" i="3"/>
  <c r="F6" i="3"/>
  <c r="B6" i="3"/>
  <c r="K5" i="3"/>
  <c r="F5" i="3"/>
  <c r="B2" i="3"/>
  <c r="E53" i="2"/>
  <c r="B53" i="2"/>
  <c r="P23" i="2"/>
  <c r="N23" i="2"/>
  <c r="L23" i="2"/>
  <c r="J23" i="2"/>
  <c r="F23" i="2"/>
  <c r="B23" i="2"/>
  <c r="J22" i="2"/>
  <c r="B22" i="2"/>
  <c r="P20" i="2"/>
  <c r="L20" i="2"/>
  <c r="H20" i="2"/>
  <c r="D20" i="2"/>
  <c r="F20" i="2" s="1"/>
  <c r="E245" i="7" s="1"/>
  <c r="P19" i="2"/>
  <c r="O19" i="2"/>
  <c r="N19" i="2"/>
  <c r="M19" i="2"/>
  <c r="H19" i="2"/>
  <c r="G19" i="2"/>
  <c r="F19" i="2"/>
  <c r="E244" i="7" s="1"/>
  <c r="E19" i="2"/>
  <c r="F244" i="7" s="1"/>
  <c r="K257" i="7" s="1"/>
  <c r="P18" i="2"/>
  <c r="O18" i="2"/>
  <c r="N18" i="2"/>
  <c r="M18" i="2"/>
  <c r="H18" i="2"/>
  <c r="G18" i="2"/>
  <c r="F18" i="2"/>
  <c r="E243" i="7" s="1"/>
  <c r="E18" i="2"/>
  <c r="F243" i="7" s="1"/>
  <c r="I257" i="7" s="1"/>
  <c r="P17" i="2"/>
  <c r="O17" i="2"/>
  <c r="N17" i="2"/>
  <c r="M17" i="2"/>
  <c r="H17" i="2"/>
  <c r="G17" i="2"/>
  <c r="F17" i="2"/>
  <c r="E242" i="7" s="1"/>
  <c r="E17" i="2"/>
  <c r="F242" i="7" s="1"/>
  <c r="G257" i="7" s="1"/>
  <c r="P16" i="2"/>
  <c r="O16" i="2"/>
  <c r="N16" i="2"/>
  <c r="M16" i="2"/>
  <c r="H16" i="2"/>
  <c r="G16" i="2"/>
  <c r="F16" i="2"/>
  <c r="E241" i="7" s="1"/>
  <c r="E16" i="2"/>
  <c r="F241" i="7" s="1"/>
  <c r="E257" i="7" s="1"/>
  <c r="P15" i="2"/>
  <c r="O15" i="2"/>
  <c r="N15" i="2"/>
  <c r="M15" i="2"/>
  <c r="H15" i="2"/>
  <c r="G15" i="2"/>
  <c r="F15" i="2"/>
  <c r="E240" i="7" s="1"/>
  <c r="E15" i="2"/>
  <c r="F240" i="7" s="1"/>
  <c r="C257" i="7" s="1"/>
  <c r="P14" i="2"/>
  <c r="O14" i="2"/>
  <c r="N14" i="2"/>
  <c r="L14" i="2"/>
  <c r="K14" i="2"/>
  <c r="J14" i="2"/>
  <c r="H14" i="2"/>
  <c r="G14" i="2"/>
  <c r="F14" i="2"/>
  <c r="D14" i="2"/>
  <c r="C14" i="2"/>
  <c r="B14" i="2"/>
  <c r="J13" i="2"/>
  <c r="B13" i="2"/>
  <c r="B11" i="2"/>
  <c r="K9" i="2"/>
  <c r="F9" i="2"/>
  <c r="B9" i="2"/>
  <c r="K8" i="2"/>
  <c r="F8" i="2"/>
  <c r="D8" i="2"/>
  <c r="D9" i="2" s="1"/>
  <c r="B8" i="2"/>
  <c r="K7" i="2"/>
  <c r="F7" i="2"/>
  <c r="B7" i="2"/>
  <c r="K6" i="2"/>
  <c r="F6" i="2"/>
  <c r="B6" i="2"/>
  <c r="K5" i="2"/>
  <c r="F5" i="2"/>
  <c r="B2" i="2"/>
  <c r="E53" i="1"/>
  <c r="B53" i="1"/>
  <c r="P23" i="1"/>
  <c r="N23" i="1"/>
  <c r="L23" i="1"/>
  <c r="J23" i="1"/>
  <c r="F23" i="1"/>
  <c r="B23" i="1"/>
  <c r="J22" i="1"/>
  <c r="B22" i="1"/>
  <c r="P19" i="1"/>
  <c r="L19" i="1"/>
  <c r="H19" i="1"/>
  <c r="D19" i="1"/>
  <c r="P18" i="1"/>
  <c r="O18" i="1"/>
  <c r="N18" i="1"/>
  <c r="M18" i="1"/>
  <c r="H18" i="1"/>
  <c r="G18" i="1"/>
  <c r="F18" i="1"/>
  <c r="E205" i="7" s="1"/>
  <c r="E18" i="1"/>
  <c r="F205" i="7" s="1"/>
  <c r="I219" i="7" s="1"/>
  <c r="P17" i="1"/>
  <c r="O17" i="1"/>
  <c r="N17" i="1"/>
  <c r="M17" i="1"/>
  <c r="H17" i="1"/>
  <c r="G17" i="1"/>
  <c r="F17" i="1"/>
  <c r="E204" i="7" s="1"/>
  <c r="E17" i="1"/>
  <c r="F204" i="7" s="1"/>
  <c r="G219" i="7" s="1"/>
  <c r="P16" i="1"/>
  <c r="O16" i="1"/>
  <c r="N16" i="1"/>
  <c r="M16" i="1"/>
  <c r="H16" i="1"/>
  <c r="G16" i="1"/>
  <c r="F16" i="1"/>
  <c r="E203" i="7" s="1"/>
  <c r="E16" i="1"/>
  <c r="F203" i="7" s="1"/>
  <c r="E219" i="7" s="1"/>
  <c r="P15" i="1"/>
  <c r="O15" i="1"/>
  <c r="N15" i="1"/>
  <c r="M15" i="1"/>
  <c r="H15" i="1"/>
  <c r="G15" i="1"/>
  <c r="F15" i="1"/>
  <c r="E202" i="7" s="1"/>
  <c r="E15" i="1"/>
  <c r="F202" i="7" s="1"/>
  <c r="C219" i="7" s="1"/>
  <c r="P14" i="1"/>
  <c r="O14" i="1"/>
  <c r="N14" i="1"/>
  <c r="L14" i="1"/>
  <c r="K14" i="1"/>
  <c r="J14" i="1"/>
  <c r="H14" i="1"/>
  <c r="G14" i="1"/>
  <c r="F14" i="1"/>
  <c r="D14" i="1"/>
  <c r="C14" i="1"/>
  <c r="B14" i="1"/>
  <c r="J13" i="1"/>
  <c r="B13" i="1"/>
  <c r="B11" i="1"/>
  <c r="K9" i="1"/>
  <c r="F9" i="1"/>
  <c r="B9" i="1"/>
  <c r="K8" i="1"/>
  <c r="F8" i="1"/>
  <c r="D8" i="1"/>
  <c r="D9" i="1" s="1"/>
  <c r="B8" i="1"/>
  <c r="K7" i="1"/>
  <c r="F7" i="1"/>
  <c r="B7" i="1"/>
  <c r="K6" i="1"/>
  <c r="F6" i="1"/>
  <c r="D6" i="1"/>
  <c r="D7" i="1" s="1"/>
  <c r="B6" i="1"/>
  <c r="K5" i="1"/>
  <c r="F5" i="1"/>
  <c r="B2" i="1"/>
  <c r="F22" i="6" l="1"/>
  <c r="N22" i="3"/>
  <c r="N22" i="2"/>
  <c r="F22" i="3"/>
  <c r="F22" i="1"/>
  <c r="F22" i="5"/>
  <c r="F22" i="2"/>
  <c r="N22" i="1"/>
  <c r="N22" i="4"/>
  <c r="F22" i="4"/>
  <c r="B5" i="3"/>
  <c r="B5" i="1"/>
  <c r="B5" i="4"/>
  <c r="B5" i="6"/>
  <c r="B5" i="5"/>
  <c r="B5" i="2"/>
  <c r="E14" i="6"/>
  <c r="E14" i="5"/>
  <c r="M14" i="1"/>
  <c r="E14" i="1"/>
  <c r="M14" i="3"/>
  <c r="E14" i="3"/>
  <c r="M14" i="4"/>
  <c r="E14" i="4"/>
  <c r="M14" i="2"/>
  <c r="E14" i="2"/>
  <c r="D6" i="4"/>
  <c r="D7" i="4" s="1"/>
  <c r="D6" i="2"/>
  <c r="D7" i="2" s="1"/>
  <c r="D6" i="3"/>
  <c r="D7" i="3" s="1"/>
  <c r="H18" i="6"/>
  <c r="H17" i="6"/>
  <c r="H16" i="6"/>
  <c r="H15" i="6"/>
  <c r="N20" i="3"/>
  <c r="O20" i="3"/>
  <c r="C156" i="7"/>
  <c r="C66" i="7"/>
  <c r="C126" i="7"/>
  <c r="C6" i="7"/>
  <c r="C36" i="7"/>
  <c r="E315" i="7"/>
  <c r="E239" i="7"/>
  <c r="E201" i="7"/>
  <c r="E391" i="7"/>
  <c r="E277" i="7"/>
  <c r="E353" i="7"/>
  <c r="D6" i="7"/>
  <c r="D126" i="7"/>
  <c r="D36" i="7"/>
  <c r="D156" i="7"/>
  <c r="D66" i="7"/>
  <c r="D96" i="7"/>
  <c r="G391" i="7"/>
  <c r="G201" i="7"/>
  <c r="G239" i="7"/>
  <c r="G277" i="7"/>
  <c r="G315" i="7"/>
  <c r="G353" i="7"/>
  <c r="E249" i="7"/>
  <c r="E211" i="7"/>
  <c r="E287" i="7"/>
  <c r="E363" i="7"/>
  <c r="E401" i="7"/>
  <c r="E325" i="7"/>
  <c r="G249" i="7"/>
  <c r="G287" i="7"/>
  <c r="G401" i="7"/>
  <c r="G325" i="7"/>
  <c r="G211" i="7"/>
  <c r="G363" i="7"/>
  <c r="M363" i="7"/>
  <c r="M287" i="7"/>
  <c r="M249" i="7"/>
  <c r="C315" i="7"/>
  <c r="C353" i="7"/>
  <c r="C391" i="7"/>
  <c r="C277" i="7"/>
  <c r="C201" i="7"/>
  <c r="C239" i="7"/>
  <c r="C211" i="7"/>
  <c r="C325" i="7"/>
  <c r="C401" i="7"/>
  <c r="C249" i="7"/>
  <c r="C287" i="7"/>
  <c r="C363" i="7"/>
  <c r="I249" i="7"/>
  <c r="I325" i="7"/>
  <c r="I401" i="7"/>
  <c r="I211" i="7"/>
  <c r="I287" i="7"/>
  <c r="I363" i="7"/>
  <c r="K249" i="7"/>
  <c r="K325" i="7"/>
  <c r="K287" i="7"/>
  <c r="K401" i="7"/>
  <c r="K211" i="7"/>
  <c r="K363" i="7"/>
  <c r="B239" i="7"/>
  <c r="B201" i="7"/>
  <c r="B315" i="7"/>
  <c r="B353" i="7"/>
  <c r="B391" i="7"/>
  <c r="B277" i="7"/>
  <c r="D277" i="7"/>
  <c r="D353" i="7"/>
  <c r="D315" i="7"/>
  <c r="D239" i="7"/>
  <c r="D201" i="7"/>
  <c r="D391" i="7"/>
  <c r="F353" i="7"/>
  <c r="F277" i="7"/>
  <c r="F201" i="7"/>
  <c r="F315" i="7"/>
  <c r="F391" i="7"/>
  <c r="F239" i="7"/>
  <c r="D396" i="7"/>
  <c r="F19" i="6"/>
  <c r="E396" i="7" s="1"/>
  <c r="G19" i="6"/>
  <c r="G395" i="7"/>
  <c r="H403" i="7" s="1"/>
  <c r="H408" i="7"/>
  <c r="H409" i="7"/>
  <c r="G394" i="7"/>
  <c r="F403" i="7" s="1"/>
  <c r="F408" i="7"/>
  <c r="F409" i="7"/>
  <c r="G393" i="7"/>
  <c r="D403" i="7" s="1"/>
  <c r="D408" i="7"/>
  <c r="D409" i="7"/>
  <c r="G392" i="7"/>
  <c r="B403" i="7" s="1"/>
  <c r="B408" i="7"/>
  <c r="B409" i="7"/>
  <c r="D359" i="7"/>
  <c r="F20" i="5"/>
  <c r="E359" i="7" s="1"/>
  <c r="G20" i="5"/>
  <c r="G358" i="7"/>
  <c r="J365" i="7" s="1"/>
  <c r="J370" i="7"/>
  <c r="J371" i="7"/>
  <c r="G357" i="7"/>
  <c r="H365" i="7" s="1"/>
  <c r="H370" i="7"/>
  <c r="H371" i="7"/>
  <c r="G356" i="7"/>
  <c r="F365" i="7" s="1"/>
  <c r="F370" i="7"/>
  <c r="F371" i="7"/>
  <c r="G355" i="7"/>
  <c r="D365" i="7" s="1"/>
  <c r="D370" i="7"/>
  <c r="D371" i="7"/>
  <c r="G354" i="7"/>
  <c r="B365" i="7" s="1"/>
  <c r="B370" i="7"/>
  <c r="B371" i="7"/>
  <c r="N19" i="4"/>
  <c r="O19" i="4"/>
  <c r="D320" i="7"/>
  <c r="G19" i="4"/>
  <c r="F19" i="4"/>
  <c r="E320" i="7" s="1"/>
  <c r="G319" i="7"/>
  <c r="H327" i="7" s="1"/>
  <c r="H332" i="7"/>
  <c r="H333" i="7"/>
  <c r="G318" i="7"/>
  <c r="F327" i="7" s="1"/>
  <c r="F332" i="7"/>
  <c r="F333" i="7"/>
  <c r="G317" i="7"/>
  <c r="D327" i="7" s="1"/>
  <c r="D332" i="7"/>
  <c r="D333" i="7"/>
  <c r="G316" i="7"/>
  <c r="B327" i="7" s="1"/>
  <c r="B332" i="7"/>
  <c r="B333" i="7"/>
  <c r="F20" i="3"/>
  <c r="E283" i="7" s="1"/>
  <c r="G20" i="3"/>
  <c r="D283" i="7"/>
  <c r="G282" i="7"/>
  <c r="J289" i="7" s="1"/>
  <c r="J294" i="7"/>
  <c r="J295" i="7"/>
  <c r="H294" i="7"/>
  <c r="G281" i="7"/>
  <c r="H289" i="7" s="1"/>
  <c r="H295" i="7"/>
  <c r="F295" i="7"/>
  <c r="F294" i="7"/>
  <c r="G280" i="7"/>
  <c r="F289" i="7" s="1"/>
  <c r="G279" i="7"/>
  <c r="D289" i="7" s="1"/>
  <c r="D295" i="7"/>
  <c r="D294" i="7"/>
  <c r="G278" i="7"/>
  <c r="B289" i="7" s="1"/>
  <c r="B295" i="7"/>
  <c r="B294" i="7"/>
  <c r="N20" i="2"/>
  <c r="O20" i="2"/>
  <c r="G20" i="2"/>
  <c r="D245" i="7"/>
  <c r="G245" i="7" s="1"/>
  <c r="L251" i="7" s="1"/>
  <c r="J256" i="7"/>
  <c r="J257" i="7"/>
  <c r="G244" i="7"/>
  <c r="J251" i="7" s="1"/>
  <c r="H257" i="7"/>
  <c r="G243" i="7"/>
  <c r="H251" i="7" s="1"/>
  <c r="H256" i="7"/>
  <c r="F256" i="7"/>
  <c r="G242" i="7"/>
  <c r="F251" i="7" s="1"/>
  <c r="F257" i="7"/>
  <c r="G241" i="7"/>
  <c r="D251" i="7" s="1"/>
  <c r="D256" i="7"/>
  <c r="D257" i="7"/>
  <c r="B256" i="7"/>
  <c r="B257" i="7"/>
  <c r="G240" i="7"/>
  <c r="B251" i="7" s="1"/>
  <c r="N19" i="1"/>
  <c r="O19" i="1"/>
  <c r="F19" i="1"/>
  <c r="E206" i="7" s="1"/>
  <c r="G19" i="1"/>
  <c r="D206" i="7"/>
  <c r="G205" i="7"/>
  <c r="H213" i="7" s="1"/>
  <c r="H218" i="7"/>
  <c r="H219" i="7"/>
  <c r="G204" i="7"/>
  <c r="F213" i="7" s="1"/>
  <c r="F218" i="7"/>
  <c r="F219" i="7"/>
  <c r="G203" i="7"/>
  <c r="D213" i="7" s="1"/>
  <c r="D218" i="7"/>
  <c r="D219" i="7"/>
  <c r="G202" i="7"/>
  <c r="B213" i="7" s="1"/>
  <c r="B218" i="7"/>
  <c r="B219" i="7"/>
  <c r="G396" i="7" l="1"/>
  <c r="J403" i="7" s="1"/>
  <c r="G359" i="7"/>
  <c r="L365" i="7" s="1"/>
  <c r="G320" i="7"/>
  <c r="J327" i="7" s="1"/>
  <c r="G283" i="7"/>
  <c r="L289" i="7" s="1"/>
  <c r="G206" i="7"/>
  <c r="J213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tc={61577C78-3AE9-40FE-BEAD-1A1561E5C31C}</author>
  </authors>
  <commentList>
    <comment ref="B2" authorId="0" shapeId="0" xr:uid="{00000000-0006-0000-0600-000001000000}">
      <text>
        <t>[线程批注]
你的Excel版本可读取此线程批注; 但如果在更新版本的Excel中打开文件，则对批注所作的任何改动都将被删除。了解详细信息: https://go.microsoft.com/fwlink/?linkid=870924
注释:
    Source: Astral JBeam at c209001. Net torque samples are for the normal full-boost curve. Power is mechanical hp: Nm × rpm × 2π / (60 × 745.69987158227). Flash thresholds are recorded calibration inputs, previously calculated with rotational inertia and the separate first-gear boost cap; this workbook does not rerun that solver. RX3 is an RX1 placeholder.</t>
      </text>
    </comment>
  </commentList>
</comments>
</file>

<file path=xl/sharedStrings.xml><?xml version="1.0" encoding="utf-8"?>
<sst xmlns="http://schemas.openxmlformats.org/spreadsheetml/2006/main" count="334" uniqueCount="236">
  <si>
    <t>Rally2 · Gearing &amp; shift lights</t>
  </si>
  <si>
    <t>Engine curve</t>
  </si>
  <si>
    <t>Calibration basis</t>
  </si>
  <si>
    <t>Shift lights</t>
  </si>
  <si>
    <t>Peak power (hp)</t>
  </si>
  <si>
    <t>Running mass (kg)</t>
  </si>
  <si>
    <t>Neutral flash (rpm)</t>
  </si>
  <si>
    <t>Power peak (rpm)</t>
  </si>
  <si>
    <t>Engine + flywheel I (kg m²)</t>
  </si>
  <si>
    <t>Top gear / limiter (rpm)</t>
  </si>
  <si>
    <t>Peak torque (Nm)</t>
  </si>
  <si>
    <t>Final drive</t>
  </si>
  <si>
    <t>Light range (rpm)</t>
  </si>
  <si>
    <t>Torque peak (rpm)</t>
  </si>
  <si>
    <t>Gearbox torque loss</t>
  </si>
  <si>
    <t>Rounding (rpm)</t>
  </si>
  <si>
    <t>黄色单元格为手动输入。</t>
  </si>
  <si>
    <t>Group 1 · Type-A / Tarmac</t>
  </si>
  <si>
    <t>Group 2 · Type-B / Gravel</t>
  </si>
  <si>
    <t>Gear</t>
  </si>
  <si>
    <t>Ratio</t>
  </si>
  <si>
    <t>Flash
(rpm)</t>
  </si>
  <si>
    <t>After shift
(rpm)</t>
  </si>
  <si>
    <t>Speed
(km/h)</t>
  </si>
  <si>
    <t>First light
(rpm)</t>
  </si>
  <si>
    <t>Trigger</t>
  </si>
  <si>
    <t>Shift</t>
  </si>
  <si>
    <t>—</t>
  </si>
  <si>
    <t>Limiter</t>
  </si>
  <si>
    <t>Tyre radius (m)</t>
  </si>
  <si>
    <t>Wheel I (kg m²)</t>
  </si>
  <si>
    <t>GB friction (Nm)</t>
  </si>
  <si>
    <t>GB dyn. (Nm s)</t>
  </si>
  <si>
    <t>Gear group</t>
  </si>
  <si>
    <t>WRC16 · Gearing &amp; shift lights</t>
  </si>
  <si>
    <t>WRC17 · Gearing &amp; shift lights</t>
  </si>
  <si>
    <t>Rally1 · Gearing &amp; shift lights</t>
  </si>
  <si>
    <t>2025 calibration · shared with 2022</t>
  </si>
  <si>
    <t>RX1 · Gearing &amp; shift lights</t>
  </si>
  <si>
    <t>Group 1 · RX1</t>
  </si>
  <si>
    <t>RX3 · Gearing &amp; shift lights</t>
  </si>
  <si>
    <t>RX1 placeholder · five-speed</t>
  </si>
  <si>
    <t>Engine curve samples</t>
  </si>
  <si>
    <t>500 rpm spacing · peak points retained</t>
  </si>
  <si>
    <t>Rally2</t>
  </si>
  <si>
    <t>RPM</t>
  </si>
  <si>
    <t>Torque (Nm)</t>
  </si>
  <si>
    <t>Power (hp)</t>
  </si>
  <si>
    <t>WRC16</t>
  </si>
  <si>
    <t>WRC17</t>
  </si>
  <si>
    <t>Rally1</t>
  </si>
  <si>
    <t>RX1</t>
  </si>
  <si>
    <t>RX3 · RX1 placeholder</t>
  </si>
  <si>
    <t>Rally2 · gear position chart</t>
  </si>
  <si>
    <t>Flash (rpm)</t>
  </si>
  <si>
    <t>Shift (km/h)</t>
  </si>
  <si>
    <t>After (rpm)</t>
  </si>
  <si>
    <t>Limit (km/h)</t>
  </si>
  <si>
    <t>km/h</t>
  </si>
  <si>
    <t>Gear 1</t>
  </si>
  <si>
    <t>Gear 2</t>
  </si>
  <si>
    <t>Gear 3</t>
  </si>
  <si>
    <t>Gear 4</t>
  </si>
  <si>
    <t>Gear 5</t>
  </si>
  <si>
    <t>1 → 2</t>
  </si>
  <si>
    <t>2 → 3</t>
  </si>
  <si>
    <t>3 → 4</t>
  </si>
  <si>
    <t>4 → 5</t>
  </si>
  <si>
    <t>WRC16 · gear position chart</t>
  </si>
  <si>
    <t>Gear 6</t>
  </si>
  <si>
    <t>5 → 6</t>
  </si>
  <si>
    <t>WRC17 · gear position chart</t>
  </si>
  <si>
    <t>Rally1 · gear position chart</t>
  </si>
  <si>
    <t>RX1 · gear position chart</t>
  </si>
  <si>
    <t>RX3 · gear position chart</t>
  </si>
  <si>
    <t>Language / 语言</t>
  </si>
  <si>
    <t>简体中文</t>
  </si>
  <si>
    <t>key</t>
  </si>
  <si>
    <t>en-US</t>
  </si>
  <si>
    <t>zh-CN</t>
  </si>
  <si>
    <t>Active</t>
  </si>
  <si>
    <t>chart.engineCurve</t>
  </si>
  <si>
    <t>发动机曲线</t>
  </si>
  <si>
    <t>chart.gearPositions</t>
  </si>
  <si>
    <t>Gear positions</t>
  </si>
  <si>
    <t>挡位分布</t>
  </si>
  <si>
    <t>chart.rally1GearPositions</t>
  </si>
  <si>
    <t>Rally1 · 挡位图</t>
  </si>
  <si>
    <t>chart.rally2GearPositions</t>
  </si>
  <si>
    <t>Rally2 · 挡位图</t>
  </si>
  <si>
    <t>chart.rx1GearPositions</t>
  </si>
  <si>
    <t>RX1 · 挡位图</t>
  </si>
  <si>
    <t>chart.rx3GearPositions</t>
  </si>
  <si>
    <t>RX3 · 挡位图</t>
  </si>
  <si>
    <t>chart.torqueAndPower</t>
  </si>
  <si>
    <t>Torque and power</t>
  </si>
  <si>
    <t>扭矩与功率</t>
  </si>
  <si>
    <t>chart.wrc16GearPositions</t>
  </si>
  <si>
    <t>WRC16 · 挡位图</t>
  </si>
  <si>
    <t>chart.wrc17GearPositions</t>
  </si>
  <si>
    <t>WRC17 · 挡位图</t>
  </si>
  <si>
    <t>label.afterShiftRpm</t>
  </si>
  <si>
    <t>换挡后 (rpm)</t>
  </si>
  <si>
    <t>label.afterShiftRpmWrap</t>
  </si>
  <si>
    <t>换挡后
(rpm)</t>
  </si>
  <si>
    <t>label.calibrationBasis</t>
  </si>
  <si>
    <t>标定依据</t>
  </si>
  <si>
    <t>label.engineCurveSamples</t>
  </si>
  <si>
    <t>发动机曲线采样</t>
  </si>
  <si>
    <t>label.engineFlywheelInertia</t>
  </si>
  <si>
    <t>发动机 + 飞轮转动惯量 (kg m²)</t>
  </si>
  <si>
    <t>label.engineSpeedRpm</t>
  </si>
  <si>
    <t>Engine speed (rpm)</t>
  </si>
  <si>
    <t>发动机转速 (rpm)</t>
  </si>
  <si>
    <t>label.finalDrive</t>
  </si>
  <si>
    <t>主减速比</t>
  </si>
  <si>
    <t>label.firstLightRpm</t>
  </si>
  <si>
    <t>首灯亮起
(rpm)</t>
  </si>
  <si>
    <t>label.flashRpm</t>
  </si>
  <si>
    <t>闪烁 (rpm)</t>
  </si>
  <si>
    <t>label.flashRpmWrap</t>
  </si>
  <si>
    <t>闪烁
(rpm)</t>
  </si>
  <si>
    <t>label.gear</t>
  </si>
  <si>
    <t>挡位</t>
  </si>
  <si>
    <t>label.gearFive</t>
  </si>
  <si>
    <t>5 挡</t>
  </si>
  <si>
    <t>label.gearFour</t>
  </si>
  <si>
    <t>4 挡</t>
  </si>
  <si>
    <t>label.gearGroup</t>
  </si>
  <si>
    <t>齿轮组</t>
  </si>
  <si>
    <t>label.gearOne</t>
  </si>
  <si>
    <t>1 挡</t>
  </si>
  <si>
    <t>label.gearRatio</t>
  </si>
  <si>
    <t>齿比</t>
  </si>
  <si>
    <t>label.gearSix</t>
  </si>
  <si>
    <t>6 挡</t>
  </si>
  <si>
    <t>label.gearThree</t>
  </si>
  <si>
    <t>3 挡</t>
  </si>
  <si>
    <t>label.gearTwo</t>
  </si>
  <si>
    <t>2 挡</t>
  </si>
  <si>
    <t>label.gearboxDynamicLoss</t>
  </si>
  <si>
    <t>变速箱动态阻力 (Nm s)</t>
  </si>
  <si>
    <t>label.gearboxFriction</t>
  </si>
  <si>
    <t>变速箱摩擦阻力 (Nm)</t>
  </si>
  <si>
    <t>label.gearboxTorqueLoss</t>
  </si>
  <si>
    <t>变速箱扭矩损失</t>
  </si>
  <si>
    <t>label.groupOneRx1</t>
  </si>
  <si>
    <t>第 1 组 · RX1</t>
  </si>
  <si>
    <t>label.groupOneRx1Placeholder</t>
  </si>
  <si>
    <t>Group 1 · RX1 placeholder</t>
  </si>
  <si>
    <t>第 1 组 · RX1 占位</t>
  </si>
  <si>
    <t>label.groupOneTypeATarmac</t>
  </si>
  <si>
    <t>第 1 组 · Type-A / 柏油</t>
  </si>
  <si>
    <t>label.groupTwoTypeBGravel</t>
  </si>
  <si>
    <t>第 2 组 · Type-B / 砂石</t>
  </si>
  <si>
    <t>label.lightRangeRpm</t>
  </si>
  <si>
    <t>亮灯范围 (rpm)</t>
  </si>
  <si>
    <t>label.limitSpeedKmh</t>
  </si>
  <si>
    <t>限转车速 (km/h)</t>
  </si>
  <si>
    <t>label.limiter</t>
  </si>
  <si>
    <t>限转</t>
  </si>
  <si>
    <t>label.neutralFlashRpm</t>
  </si>
  <si>
    <t>空挡闪烁 (rpm)</t>
  </si>
  <si>
    <t>label.peakPowerHp</t>
  </si>
  <si>
    <t>峰值功率 (hp)</t>
  </si>
  <si>
    <t>label.peakTorqueNm</t>
  </si>
  <si>
    <t>峰值扭矩 (Nm)</t>
  </si>
  <si>
    <t>label.powerHp</t>
  </si>
  <si>
    <t>功率 (hp)</t>
  </si>
  <si>
    <t>label.powerPeakRpm</t>
  </si>
  <si>
    <t>功率峰值转速 (rpm)</t>
  </si>
  <si>
    <t>label.roadSpeedKmh</t>
  </si>
  <si>
    <t>Road speed (km/h)</t>
  </si>
  <si>
    <t>车速 (km/h)</t>
  </si>
  <si>
    <t>label.roundingRpm</t>
  </si>
  <si>
    <t>取整步长 (rpm)</t>
  </si>
  <si>
    <t>label.runningMassKg</t>
  </si>
  <si>
    <t>运行质量 (kg)</t>
  </si>
  <si>
    <t>label.shift</t>
  </si>
  <si>
    <t>换挡</t>
  </si>
  <si>
    <t>label.shiftFiveSix</t>
  </si>
  <si>
    <t>5 to 6</t>
  </si>
  <si>
    <t>5 升 6 挡</t>
  </si>
  <si>
    <t>label.shiftFourFive</t>
  </si>
  <si>
    <t>4 to 5</t>
  </si>
  <si>
    <t>4 升 5 挡</t>
  </si>
  <si>
    <t>label.shiftKmh</t>
  </si>
  <si>
    <t>换挡车速 (km/h)</t>
  </si>
  <si>
    <t>label.shiftLights</t>
  </si>
  <si>
    <t>换挡灯</t>
  </si>
  <si>
    <t>label.shiftOneTwo</t>
  </si>
  <si>
    <t>1 to 2</t>
  </si>
  <si>
    <t>1 升 2 挡</t>
  </si>
  <si>
    <t>label.shiftThreeFour</t>
  </si>
  <si>
    <t>3 to 4</t>
  </si>
  <si>
    <t>3 升 4 挡</t>
  </si>
  <si>
    <t>label.shiftTwoThree</t>
  </si>
  <si>
    <t>2 to 3</t>
  </si>
  <si>
    <t>2 升 3 挡</t>
  </si>
  <si>
    <t>label.speedKmhMultiline</t>
  </si>
  <si>
    <t>车速
(km/h)</t>
  </si>
  <si>
    <t>label.topGearLimiterRpm</t>
  </si>
  <si>
    <t>最高挡 / 限转 (rpm)</t>
  </si>
  <si>
    <t>label.torqueNm</t>
  </si>
  <si>
    <t>扭矩 (Nm)</t>
  </si>
  <si>
    <t>label.torquePeakRpm</t>
  </si>
  <si>
    <t>峰值扭矩转速 (rpm)</t>
  </si>
  <si>
    <t>label.trigger</t>
  </si>
  <si>
    <t>触发条件</t>
  </si>
  <si>
    <t>label.tyreRadiusM</t>
  </si>
  <si>
    <t>轮胎半径 (m)</t>
  </si>
  <si>
    <t>label.wheelInertia</t>
  </si>
  <si>
    <t>车轮转动惯量 I (kg m²)</t>
  </si>
  <si>
    <t>note.rally1Calibration</t>
  </si>
  <si>
    <t>2025 标定 · 与 2022 共用</t>
  </si>
  <si>
    <t>note.rpmSampleSpacing</t>
  </si>
  <si>
    <t>500 rpm 间隔 · 保留峰值点</t>
  </si>
  <si>
    <t>note.rx1FiveSpeedPlaceholder</t>
  </si>
  <si>
    <t>RX1 占位 · 五挡</t>
  </si>
  <si>
    <t>note.rx3Rx1Placeholder</t>
  </si>
  <si>
    <t>RX3 · RX1 占位</t>
  </si>
  <si>
    <t>note.yellowInputs</t>
  </si>
  <si>
    <t>Yellow cells are manual inputs.</t>
  </si>
  <si>
    <t>title.rally1GearingShiftLights</t>
  </si>
  <si>
    <t>Rally1 · 齿比与换挡灯</t>
  </si>
  <si>
    <t>title.rally2GearingShiftLights</t>
  </si>
  <si>
    <t>Rally2 · 齿比与换挡灯</t>
  </si>
  <si>
    <t>title.rx1GearingShiftLights</t>
  </si>
  <si>
    <t>RX1 · 齿比与换挡灯</t>
  </si>
  <si>
    <t>title.rx3GearingShiftLights</t>
  </si>
  <si>
    <t>RX3 · 齿比与换挡灯</t>
  </si>
  <si>
    <t>title.wrc16GearingShiftLights</t>
  </si>
  <si>
    <t>WRC16 · 齿比与换挡灯</t>
  </si>
  <si>
    <t>title.wrc17GearingShiftLights</t>
  </si>
  <si>
    <t>WRC17 · 齿比与换挡灯</t>
  </si>
  <si>
    <t>简体中文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</si>
</sst>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"/>
    <numFmt numFmtId="177" formatCode="0.000000"/>
    <numFmt numFmtId="178" formatCode="0.0000"/>
    <numFmt numFmtId="179" formatCode="0.0%"/>
    <numFmt numFmtId="180" formatCode="0.000"/>
    <numFmt numFmtId="181" formatCode="0.00000"/>
  </numFmts>
  <fonts count="12">
    <font>
      <sz val="11"/>
      <name val="Carlito"/>
    </font>
    <font>
      <sz val="11"/>
      <color rgb="FF283C50"/>
      <name val="Arial"/>
      <family val="2"/>
    </font>
    <font>
      <b/>
      <sz val="16"/>
      <color rgb="FF283C50"/>
      <name val="Arial"/>
      <family val="2"/>
    </font>
    <font>
      <sz val="11"/>
      <color rgb="FF667B91"/>
      <name val="Arial"/>
      <family val="2"/>
    </font>
    <font>
      <b/>
      <sz val="12"/>
      <color rgb="FFFFFFFF"/>
      <name val="Arial"/>
      <family val="2"/>
    </font>
    <font>
      <sz val="11"/>
      <color rgb="FF195DB1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Microsoft YaHei"/>
      <family val="2"/>
      <charset val="134"/>
    </font>
    <font>
      <sz val="11"/>
      <name val="Carlito"/>
    </font>
    <font>
      <sz val="9"/>
      <name val="宋体"/>
      <family val="3"/>
      <charset val="134"/>
    </font>
    <font>
      <sz val="11"/>
      <color rgb="FF222222"/>
      <name val="Arial"/>
      <family val="2"/>
    </font>
    <font>
      <b/>
      <sz val="11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31475E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none"/>
    </fill>
    <fill>
      <patternFill patternType="solid">
        <fgColor rgb="FFFFF2CC"/>
      </patternFill>
    </fill>
    <fill>
      <patternFill patternType="solid">
        <fgColor rgb="FF17365D"/>
      </patternFill>
    </fill>
  </fills>
  <borders count="3"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38">
    <xf numFmtId="0" fontId="0" fillId="0" borderId="0" xfId="0"/>
    <xf numFmtId="0" fontId="1" fillId="0" borderId="0" xfId="1" applyFont="1" applyAlignment="1">
      <alignment vertical="center"/>
    </xf>
    <xf numFmtId="0" fontId="4" fillId="2" borderId="0" xfId="1" applyFont="1" applyFill="1" applyAlignment="1">
      <alignment horizontal="center" vertical="center" wrapText="1"/>
    </xf>
    <xf numFmtId="2" fontId="5" fillId="3" borderId="0" xfId="1" applyNumberFormat="1" applyFont="1" applyFill="1" applyAlignment="1">
      <alignment vertical="center"/>
    </xf>
    <xf numFmtId="176" fontId="1" fillId="0" borderId="0" xfId="1" applyNumberFormat="1" applyFont="1" applyAlignment="1">
      <alignment vertical="center"/>
    </xf>
    <xf numFmtId="0" fontId="1" fillId="0" borderId="1" xfId="1" applyFont="1" applyBorder="1" applyAlignment="1">
      <alignment vertical="center"/>
    </xf>
    <xf numFmtId="176" fontId="1" fillId="4" borderId="1" xfId="1" applyNumberFormat="1" applyFont="1" applyFill="1" applyBorder="1" applyAlignment="1">
      <alignment vertical="center"/>
    </xf>
    <xf numFmtId="2" fontId="1" fillId="4" borderId="1" xfId="1" applyNumberFormat="1" applyFont="1" applyFill="1" applyBorder="1" applyAlignment="1">
      <alignment vertical="center"/>
    </xf>
    <xf numFmtId="177" fontId="1" fillId="0" borderId="1" xfId="1" applyNumberFormat="1" applyFont="1" applyBorder="1" applyAlignment="1">
      <alignment vertical="center"/>
    </xf>
    <xf numFmtId="178" fontId="5" fillId="3" borderId="1" xfId="1" applyNumberFormat="1" applyFont="1" applyFill="1" applyBorder="1" applyAlignment="1">
      <alignment vertical="center"/>
    </xf>
    <xf numFmtId="179" fontId="1" fillId="0" borderId="1" xfId="1" applyNumberFormat="1" applyFont="1" applyBorder="1" applyAlignment="1">
      <alignment vertical="center"/>
    </xf>
    <xf numFmtId="0" fontId="1" fillId="4" borderId="1" xfId="1" applyFont="1" applyFill="1" applyBorder="1" applyAlignment="1">
      <alignment horizontal="center" vertical="center"/>
    </xf>
    <xf numFmtId="180" fontId="5" fillId="3" borderId="1" xfId="1" applyNumberFormat="1" applyFont="1" applyFill="1" applyBorder="1" applyAlignment="1">
      <alignment horizontal="center" vertical="center"/>
    </xf>
    <xf numFmtId="1" fontId="1" fillId="4" borderId="1" xfId="1" applyNumberFormat="1" applyFont="1" applyFill="1" applyBorder="1" applyAlignment="1">
      <alignment horizontal="center" vertical="center"/>
    </xf>
    <xf numFmtId="176" fontId="1" fillId="4" borderId="1" xfId="1" applyNumberFormat="1" applyFont="1" applyFill="1" applyBorder="1" applyAlignment="1">
      <alignment horizontal="center" vertical="center"/>
    </xf>
    <xf numFmtId="0" fontId="1" fillId="5" borderId="1" xfId="1" applyFont="1" applyFill="1" applyBorder="1" applyAlignment="1">
      <alignment horizontal="center" vertical="center"/>
    </xf>
    <xf numFmtId="1" fontId="1" fillId="5" borderId="1" xfId="1" applyNumberFormat="1" applyFont="1" applyFill="1" applyBorder="1" applyAlignment="1">
      <alignment horizontal="center" vertical="center"/>
    </xf>
    <xf numFmtId="176" fontId="1" fillId="5" borderId="1" xfId="1" applyNumberFormat="1" applyFont="1" applyFill="1" applyBorder="1" applyAlignment="1">
      <alignment horizontal="center" vertical="center"/>
    </xf>
    <xf numFmtId="180" fontId="5" fillId="3" borderId="0" xfId="1" applyNumberFormat="1" applyFont="1" applyFill="1" applyAlignment="1">
      <alignment vertical="center"/>
    </xf>
    <xf numFmtId="177" fontId="1" fillId="0" borderId="0" xfId="1" applyNumberFormat="1" applyFont="1" applyAlignment="1">
      <alignment vertical="center"/>
    </xf>
    <xf numFmtId="2" fontId="1" fillId="0" borderId="0" xfId="1" applyNumberFormat="1" applyFont="1" applyAlignment="1">
      <alignment vertical="center"/>
    </xf>
    <xf numFmtId="181" fontId="1" fillId="0" borderId="0" xfId="1" applyNumberFormat="1" applyFont="1" applyAlignment="1">
      <alignment vertical="center"/>
    </xf>
    <xf numFmtId="1" fontId="5" fillId="3" borderId="1" xfId="1" applyNumberFormat="1" applyFont="1" applyFill="1" applyBorder="1" applyAlignment="1">
      <alignment horizontal="center" vertical="center"/>
    </xf>
    <xf numFmtId="1" fontId="5" fillId="3" borderId="0" xfId="1" applyNumberFormat="1" applyFont="1" applyFill="1" applyAlignment="1">
      <alignment vertical="center"/>
    </xf>
    <xf numFmtId="0" fontId="10" fillId="6" borderId="2" xfId="0" applyFont="1" applyFill="1" applyBorder="1"/>
    <xf numFmtId="0" fontId="11" fillId="8" borderId="2" xfId="0" applyFont="1" applyFill="1" applyBorder="1"/>
    <xf numFmtId="0" fontId="1" fillId="0" borderId="0" xfId="1" applyFont="1" applyAlignment="1">
      <alignment vertical="center"/>
    </xf>
    <xf numFmtId="0" fontId="4" fillId="2" borderId="0" xfId="1" applyFont="1" applyFill="1" applyAlignment="1">
      <alignment horizontal="center" vertical="center" wrapText="1"/>
    </xf>
    <xf numFmtId="0" fontId="1" fillId="0" borderId="1" xfId="1" applyFont="1" applyBorder="1" applyAlignment="1">
      <alignment vertical="center"/>
    </xf>
    <xf numFmtId="0" fontId="7" fillId="0" borderId="0" xfId="1" applyFont="1" applyAlignment="1">
      <alignment vertical="center"/>
    </xf>
    <xf numFmtId="0" fontId="1" fillId="4" borderId="1" xfId="1" applyFont="1" applyFill="1" applyBorder="1" applyAlignment="1">
      <alignment vertical="center"/>
    </xf>
    <xf numFmtId="1" fontId="5" fillId="3" borderId="1" xfId="1" applyNumberFormat="1" applyFont="1" applyFill="1" applyBorder="1" applyAlignment="1">
      <alignment vertical="center"/>
    </xf>
    <xf numFmtId="0" fontId="6" fillId="0" borderId="0" xfId="1" applyFont="1" applyAlignment="1">
      <alignment vertical="center"/>
    </xf>
    <xf numFmtId="0" fontId="10" fillId="6" borderId="2" xfId="0" applyFont="1" applyFill="1" applyBorder="1" applyAlignment="1">
      <alignment vertical="center"/>
    </xf>
    <xf numFmtId="0" fontId="10" fillId="7" borderId="2" xfId="0" applyFont="1" applyFill="1" applyBorder="1" applyAlignment="1">
      <alignment vertical="center"/>
    </xf>
    <xf numFmtId="0" fontId="3" fillId="0" borderId="1" xfId="1" applyFont="1" applyBorder="1" applyAlignment="1">
      <alignment vertical="center"/>
    </xf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strRef>
          <c:f>Locale!$D$8</c:f>
          <c:strCache>
            <c:ptCount val="1"/>
            <c:pt idx="0">
              <c:v>扭矩与功率</c:v>
            </c:pt>
          </c:strCache>
        </c:strRef>
      </c:tx>
      <c:overlay val="0"/>
      <c:txPr>
        <a:bodyPr/>
        <a:lstStyle/>
        <a:p>
          <a:pPr>
            <a:defRPr lang="en-US" sz="1350">
              <a:latin typeface="Arial"/>
              <a:ea typeface="Microsoft YaHei"/>
              <a:cs typeface="Arial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Locale!$D$58</c:f>
              <c:strCache>
                <c:ptCount val="1"/>
                <c:pt idx="0">
                  <c:v>扭矩 (Nm)</c:v>
                </c:pt>
              </c:strCache>
            </c:strRef>
          </c:tx>
          <c:spPr>
            <a:ln w="19050">
              <a:solidFill>
                <a:srgbClr val="426F9B"/>
              </a:solidFill>
              <a:prstDash val="solid"/>
            </a:ln>
          </c:spPr>
          <c:marker>
            <c:symbol val="none"/>
          </c:marker>
          <c:xVal>
            <c:numRef>
              <c:f>Samples!$B$7:$B$24</c:f>
              <c:numCache>
                <c:formatCode>General</c:formatCode>
                <c:ptCount val="18"/>
                <c:pt idx="0">
                  <c:v>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3740</c:v>
                </c:pt>
                <c:pt idx="9">
                  <c:v>4000</c:v>
                </c:pt>
                <c:pt idx="10">
                  <c:v>4500</c:v>
                </c:pt>
                <c:pt idx="11">
                  <c:v>5000</c:v>
                </c:pt>
                <c:pt idx="12">
                  <c:v>5500</c:v>
                </c:pt>
                <c:pt idx="13">
                  <c:v>5610</c:v>
                </c:pt>
                <c:pt idx="14">
                  <c:v>6000</c:v>
                </c:pt>
                <c:pt idx="15">
                  <c:v>6500</c:v>
                </c:pt>
                <c:pt idx="16">
                  <c:v>7000</c:v>
                </c:pt>
                <c:pt idx="17">
                  <c:v>7499</c:v>
                </c:pt>
              </c:numCache>
            </c:numRef>
          </c:xVal>
          <c:yVal>
            <c:numRef>
              <c:f>Samples!$C$7:$C$24</c:f>
              <c:numCache>
                <c:formatCode>0.00</c:formatCode>
                <c:ptCount val="18"/>
                <c:pt idx="0">
                  <c:v>-11.700000000000001</c:v>
                </c:pt>
                <c:pt idx="1">
                  <c:v>38.005559657208096</c:v>
                </c:pt>
                <c:pt idx="2">
                  <c:v>144.68644472051628</c:v>
                </c:pt>
                <c:pt idx="3">
                  <c:v>295.31452770142562</c:v>
                </c:pt>
                <c:pt idx="4">
                  <c:v>372.0321421528443</c:v>
                </c:pt>
                <c:pt idx="5">
                  <c:v>390.99388862528957</c:v>
                </c:pt>
                <c:pt idx="6">
                  <c:v>411.25036500210729</c:v>
                </c:pt>
                <c:pt idx="7">
                  <c:v>423.80703475739853</c:v>
                </c:pt>
                <c:pt idx="8">
                  <c:v>425.214197164935</c:v>
                </c:pt>
                <c:pt idx="9">
                  <c:v>424.44212471320429</c:v>
                </c:pt>
                <c:pt idx="10">
                  <c:v>419.64479082879961</c:v>
                </c:pt>
                <c:pt idx="11">
                  <c:v>409.78589785572836</c:v>
                </c:pt>
                <c:pt idx="12">
                  <c:v>379.00168763410392</c:v>
                </c:pt>
                <c:pt idx="13">
                  <c:v>371.80174077831521</c:v>
                </c:pt>
                <c:pt idx="14">
                  <c:v>345.49564491030742</c:v>
                </c:pt>
                <c:pt idx="15">
                  <c:v>311.30536651597919</c:v>
                </c:pt>
                <c:pt idx="16">
                  <c:v>277.93279486233178</c:v>
                </c:pt>
                <c:pt idx="17">
                  <c:v>238.59697013590574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9C6-4845-AE8D-DA4F1CBE8A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scatterChart>
        <c:scatterStyle val="smoothMarker"/>
        <c:varyColors val="0"/>
        <c:ser>
          <c:idx val="1"/>
          <c:order val="1"/>
          <c:tx>
            <c:strRef>
              <c:f>Locale!$D$43</c:f>
              <c:strCache>
                <c:ptCount val="1"/>
                <c:pt idx="0">
                  <c:v>功率 (hp)</c:v>
                </c:pt>
              </c:strCache>
            </c:strRef>
          </c:tx>
          <c:spPr>
            <a:ln w="19050">
              <a:solidFill>
                <a:srgbClr val="C95745"/>
              </a:solidFill>
              <a:prstDash val="solid"/>
            </a:ln>
          </c:spPr>
          <c:marker>
            <c:symbol val="none"/>
          </c:marker>
          <c:xVal>
            <c:numRef>
              <c:f>Samples!$B$7:$B$24</c:f>
              <c:numCache>
                <c:formatCode>General</c:formatCode>
                <c:ptCount val="18"/>
                <c:pt idx="0">
                  <c:v>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3740</c:v>
                </c:pt>
                <c:pt idx="9">
                  <c:v>4000</c:v>
                </c:pt>
                <c:pt idx="10">
                  <c:v>4500</c:v>
                </c:pt>
                <c:pt idx="11">
                  <c:v>5000</c:v>
                </c:pt>
                <c:pt idx="12">
                  <c:v>5500</c:v>
                </c:pt>
                <c:pt idx="13">
                  <c:v>5610</c:v>
                </c:pt>
                <c:pt idx="14">
                  <c:v>6000</c:v>
                </c:pt>
                <c:pt idx="15">
                  <c:v>6500</c:v>
                </c:pt>
                <c:pt idx="16">
                  <c:v>7000</c:v>
                </c:pt>
                <c:pt idx="17">
                  <c:v>7499</c:v>
                </c:pt>
              </c:numCache>
            </c:numRef>
          </c:xVal>
          <c:yVal>
            <c:numRef>
              <c:f>Samples!$D$7:$D$24</c:f>
              <c:numCache>
                <c:formatCode>0.0</c:formatCode>
                <c:ptCount val="18"/>
                <c:pt idx="0">
                  <c:v>0</c:v>
                </c:pt>
                <c:pt idx="1">
                  <c:v>2.6685889673305132</c:v>
                </c:pt>
                <c:pt idx="2">
                  <c:v>20.318535160958582</c:v>
                </c:pt>
                <c:pt idx="3">
                  <c:v>62.207195285991304</c:v>
                </c:pt>
                <c:pt idx="4">
                  <c:v>104.49006713712463</c:v>
                </c:pt>
                <c:pt idx="5">
                  <c:v>137.26965039984785</c:v>
                </c:pt>
                <c:pt idx="6">
                  <c:v>173.25752286041558</c:v>
                </c:pt>
                <c:pt idx="7">
                  <c:v>208.30550877345351</c:v>
                </c:pt>
                <c:pt idx="8">
                  <c:v>223.32837624413057</c:v>
                </c:pt>
                <c:pt idx="9">
                  <c:v>238.42018515102365</c:v>
                </c:pt>
                <c:pt idx="10">
                  <c:v>265.19107262033378</c:v>
                </c:pt>
                <c:pt idx="11">
                  <c:v>287.73425147497431</c:v>
                </c:pt>
                <c:pt idx="12">
                  <c:v>292.73077530671583</c:v>
                </c:pt>
                <c:pt idx="13">
                  <c:v>292.91312333776995</c:v>
                </c:pt>
                <c:pt idx="14">
                  <c:v>291.11083996686489</c:v>
                </c:pt>
                <c:pt idx="15">
                  <c:v>284.16102703465776</c:v>
                </c:pt>
                <c:pt idx="16">
                  <c:v>273.21364437363303</c:v>
                </c:pt>
                <c:pt idx="17">
                  <c:v>251.26548020329068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9C6-4845-AE8D-DA4F1CBE8A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9429967"/>
        <c:axId val="1509420847"/>
      </c:scatterChart>
      <c:valAx>
        <c:axId val="48672768"/>
        <c:scaling>
          <c:orientation val="minMax"/>
          <c:max val="500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strRef>
              <c:f>Locale!$D$58</c:f>
              <c:strCache>
                <c:ptCount val="1"/>
                <c:pt idx="0">
                  <c:v>扭矩 (Nm)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/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"/>
      </c:valAx>
      <c:valAx>
        <c:axId val="48650112"/>
        <c:scaling>
          <c:orientation val="minMax"/>
          <c:max val="8000"/>
          <c:min val="2500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strRef>
              <c:f>Locale!$D$16</c:f>
              <c:strCache>
                <c:ptCount val="1"/>
                <c:pt idx="0">
                  <c:v>发动机转速 (rpm)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/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500"/>
      </c:valAx>
      <c:valAx>
        <c:axId val="1509420847"/>
        <c:scaling>
          <c:orientation val="minMax"/>
          <c:max val="500"/>
          <c:min val="0"/>
        </c:scaling>
        <c:delete val="0"/>
        <c:axPos val="r"/>
        <c:title>
          <c:tx>
            <c:strRef>
              <c:f>Locale!$D$43</c:f>
              <c:strCache>
                <c:ptCount val="1"/>
                <c:pt idx="0">
                  <c:v>功率 (hp)</c:v>
                </c:pt>
              </c:strCache>
            </c:strRef>
          </c:tx>
          <c:overlay val="0"/>
          <c:txPr>
            <a:bodyPr/>
            <a:lstStyle/>
            <a:p>
              <a:pPr>
                <a:defRPr altLang="zh-CN" sz="1100">
                  <a:latin typeface="Arial"/>
                  <a:ea typeface="Microsoft YaHei"/>
                  <a:cs typeface="Arial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1509429967"/>
        <c:crosses val="max"/>
        <c:crossBetween val="midCat"/>
        <c:majorUnit val="100"/>
      </c:valAx>
      <c:valAx>
        <c:axId val="1509429967"/>
        <c:scaling>
          <c:orientation val="minMax"/>
          <c:max val="8000"/>
          <c:min val="2500"/>
        </c:scaling>
        <c:delete val="1"/>
        <c:axPos val="b"/>
        <c:numFmt formatCode="General" sourceLinked="1"/>
        <c:majorTickMark val="out"/>
        <c:minorTickMark val="none"/>
        <c:tickLblPos val="nextTo"/>
        <c:crossAx val="1509420847"/>
        <c:crosses val="autoZero"/>
        <c:crossBetween val="midCat"/>
        <c:majorUnit val="500"/>
      </c:valAx>
    </c:plotArea>
    <c:legend>
      <c:legendPos val="t"/>
      <c:overlay val="0"/>
      <c:txPr>
        <a:bodyPr anchorCtr="1"/>
        <a:lstStyle/>
        <a:p>
          <a:pPr>
            <a:defRPr sz="1100">
              <a:latin typeface="Arial"/>
              <a:ea typeface="Microsoft YaHei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strRef>
          <c:f>Locale!$D$3</c:f>
          <c:strCache>
            <c:ptCount val="1"/>
            <c:pt idx="0">
              <c:v>挡位分布</c:v>
            </c:pt>
          </c:strCache>
        </c:strRef>
      </c:tx>
      <c:layout>
        <c:manualLayout>
          <c:xMode val="edge"/>
          <c:yMode val="edge"/>
          <c:x val="0.45346296296296296"/>
          <c:y val="1.4814814814814815E-2"/>
        </c:manualLayout>
      </c:layout>
      <c:overlay val="1"/>
      <c:txPr>
        <a:bodyPr anchorCtr="1"/>
        <a:lstStyle/>
        <a:p>
          <a:pPr>
            <a:defRPr altLang="zh-CN" sz="1350">
              <a:latin typeface="Arial"/>
              <a:ea typeface="Microsoft YaHei"/>
              <a:cs typeface="Arial"/>
            </a:defRPr>
          </a:pPr>
          <a:endParaRPr lang="en-US"/>
        </a:p>
      </c:txPr>
    </c:title>
    <c:autoTitleDeleted val="0"/>
    <c:plotArea>
      <c:layout>
        <c:manualLayout>
          <c:xMode val="edge"/>
          <c:yMode val="edge"/>
          <c:x val="3.2129629629629633E-2"/>
          <c:y val="0.11481481481481481"/>
          <c:w val="0.95768518518518519"/>
          <c:h val="0.80555555555555558"/>
        </c:manualLayout>
      </c:layout>
      <c:scatterChart>
        <c:scatterStyle val="lineMarker"/>
        <c:varyColors val="0"/>
        <c:ser>
          <c:idx val="0"/>
          <c:order val="0"/>
          <c:tx>
            <c:strRef>
              <c:f>Locale!$D$25</c:f>
              <c:strCache>
                <c:ptCount val="1"/>
                <c:pt idx="0">
                  <c:v>1 挡</c:v>
                </c:pt>
              </c:strCache>
            </c:strRef>
          </c:tx>
          <c:spPr>
            <a:ln w="19050">
              <a:solidFill>
                <a:srgbClr val="D73027"/>
              </a:solidFill>
              <a:prstDash val="solid"/>
            </a:ln>
          </c:spPr>
          <c:marker>
            <c:symbol val="none"/>
          </c:marker>
          <c:xVal>
            <c:numRef>
              <c:f>Samples!$B$212:$B$213</c:f>
              <c:numCache>
                <c:formatCode>General</c:formatCode>
                <c:ptCount val="2"/>
                <c:pt idx="0">
                  <c:v>0</c:v>
                </c:pt>
                <c:pt idx="1">
                  <c:v>59.095787105457021</c:v>
                </c:pt>
              </c:numCache>
            </c:numRef>
          </c:xVal>
          <c:yVal>
            <c:numRef>
              <c:f>Samples!$C$212:$C$213</c:f>
              <c:numCache>
                <c:formatCode>General</c:formatCode>
                <c:ptCount val="2"/>
                <c:pt idx="0">
                  <c:v>0</c:v>
                </c:pt>
                <c:pt idx="1">
                  <c:v>7500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20-4D6F-A6A2-2D6F1E78B762}"/>
            </c:ext>
          </c:extLst>
        </c:ser>
        <c:ser>
          <c:idx val="1"/>
          <c:order val="1"/>
          <c:tx>
            <c:strRef>
              <c:f>Locale!$D$29</c:f>
              <c:strCache>
                <c:ptCount val="1"/>
                <c:pt idx="0">
                  <c:v>2 挡</c:v>
                </c:pt>
              </c:strCache>
            </c:strRef>
          </c:tx>
          <c:spPr>
            <a:ln w="19050">
              <a:solidFill>
                <a:srgbClr val="F46D43"/>
              </a:solidFill>
              <a:prstDash val="solid"/>
            </a:ln>
          </c:spPr>
          <c:marker>
            <c:symbol val="none"/>
          </c:marker>
          <c:xVal>
            <c:numRef>
              <c:f>Samples!$D$212:$D$213</c:f>
              <c:numCache>
                <c:formatCode>General</c:formatCode>
                <c:ptCount val="2"/>
                <c:pt idx="0">
                  <c:v>0</c:v>
                </c:pt>
                <c:pt idx="1">
                  <c:v>82.646227171274816</c:v>
                </c:pt>
              </c:numCache>
            </c:numRef>
          </c:xVal>
          <c:yVal>
            <c:numRef>
              <c:f>Samples!$E$212:$E$213</c:f>
              <c:numCache>
                <c:formatCode>General</c:formatCode>
                <c:ptCount val="2"/>
                <c:pt idx="0">
                  <c:v>0</c:v>
                </c:pt>
                <c:pt idx="1">
                  <c:v>7500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120-4D6F-A6A2-2D6F1E78B762}"/>
            </c:ext>
          </c:extLst>
        </c:ser>
        <c:ser>
          <c:idx val="2"/>
          <c:order val="2"/>
          <c:tx>
            <c:strRef>
              <c:f>Locale!$D$28</c:f>
              <c:strCache>
                <c:ptCount val="1"/>
                <c:pt idx="0">
                  <c:v>3 挡</c:v>
                </c:pt>
              </c:strCache>
            </c:strRef>
          </c:tx>
          <c:spPr>
            <a:ln w="19050">
              <a:solidFill>
                <a:srgbClr val="DBAA15"/>
              </a:solidFill>
              <a:prstDash val="solid"/>
            </a:ln>
          </c:spPr>
          <c:marker>
            <c:symbol val="none"/>
          </c:marker>
          <c:xVal>
            <c:numRef>
              <c:f>Samples!$F$212:$F$213</c:f>
              <c:numCache>
                <c:formatCode>General</c:formatCode>
                <c:ptCount val="2"/>
                <c:pt idx="0">
                  <c:v>0</c:v>
                </c:pt>
                <c:pt idx="1">
                  <c:v>113.3698883685514</c:v>
                </c:pt>
              </c:numCache>
            </c:numRef>
          </c:xVal>
          <c:yVal>
            <c:numRef>
              <c:f>Samples!$G$212:$G$213</c:f>
              <c:numCache>
                <c:formatCode>General</c:formatCode>
                <c:ptCount val="2"/>
                <c:pt idx="0">
                  <c:v>0</c:v>
                </c:pt>
                <c:pt idx="1">
                  <c:v>7500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120-4D6F-A6A2-2D6F1E78B762}"/>
            </c:ext>
          </c:extLst>
        </c:ser>
        <c:ser>
          <c:idx val="3"/>
          <c:order val="3"/>
          <c:tx>
            <c:strRef>
              <c:f>Locale!$D$23</c:f>
              <c:strCache>
                <c:ptCount val="1"/>
                <c:pt idx="0">
                  <c:v>4 挡</c:v>
                </c:pt>
              </c:strCache>
            </c:strRef>
          </c:tx>
          <c:spPr>
            <a:ln w="19050">
              <a:solidFill>
                <a:srgbClr val="C47C18"/>
              </a:solidFill>
              <a:prstDash val="solid"/>
            </a:ln>
          </c:spPr>
          <c:marker>
            <c:symbol val="none"/>
          </c:marker>
          <c:xVal>
            <c:numRef>
              <c:f>Samples!$H$212:$H$213</c:f>
              <c:numCache>
                <c:formatCode>General</c:formatCode>
                <c:ptCount val="2"/>
                <c:pt idx="0">
                  <c:v>0</c:v>
                </c:pt>
                <c:pt idx="1">
                  <c:v>149.20694704075794</c:v>
                </c:pt>
              </c:numCache>
            </c:numRef>
          </c:xVal>
          <c:yVal>
            <c:numRef>
              <c:f>Samples!$I$212:$I$213</c:f>
              <c:numCache>
                <c:formatCode>General</c:formatCode>
                <c:ptCount val="2"/>
                <c:pt idx="0">
                  <c:v>0</c:v>
                </c:pt>
                <c:pt idx="1">
                  <c:v>7500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120-4D6F-A6A2-2D6F1E78B762}"/>
            </c:ext>
          </c:extLst>
        </c:ser>
        <c:ser>
          <c:idx val="4"/>
          <c:order val="4"/>
          <c:tx>
            <c:strRef>
              <c:f>Locale!$D$22</c:f>
              <c:strCache>
                <c:ptCount val="1"/>
                <c:pt idx="0">
                  <c:v>5 挡</c:v>
                </c:pt>
              </c:strCache>
            </c:strRef>
          </c:tx>
          <c:spPr>
            <a:ln w="19050">
              <a:solidFill>
                <a:srgbClr val="505050"/>
              </a:solidFill>
              <a:prstDash val="solid"/>
            </a:ln>
          </c:spPr>
          <c:marker>
            <c:symbol val="none"/>
          </c:marker>
          <c:xVal>
            <c:numRef>
              <c:f>Samples!$J$212:$J$213</c:f>
              <c:numCache>
                <c:formatCode>General</c:formatCode>
                <c:ptCount val="2"/>
                <c:pt idx="0">
                  <c:v>0</c:v>
                </c:pt>
                <c:pt idx="1">
                  <c:v>186.97926921003307</c:v>
                </c:pt>
              </c:numCache>
            </c:numRef>
          </c:xVal>
          <c:yVal>
            <c:numRef>
              <c:f>Samples!$K$212:$K$213</c:f>
              <c:numCache>
                <c:formatCode>General</c:formatCode>
                <c:ptCount val="2"/>
                <c:pt idx="0">
                  <c:v>0</c:v>
                </c:pt>
                <c:pt idx="1">
                  <c:v>7500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120-4D6F-A6A2-2D6F1E78B762}"/>
            </c:ext>
          </c:extLst>
        </c:ser>
        <c:ser>
          <c:idx val="5"/>
          <c:order val="5"/>
          <c:tx>
            <c:strRef>
              <c:f>Locale!$D$53</c:f>
              <c:strCache>
                <c:ptCount val="1"/>
                <c:pt idx="0">
                  <c:v>1 升 2 挡</c:v>
                </c:pt>
              </c:strCache>
            </c:strRef>
          </c:tx>
          <c:spPr>
            <a:ln w="12383">
              <a:solidFill>
                <a:srgbClr val="D73027"/>
              </a:solidFill>
              <a:prstDash val="solid"/>
            </a:ln>
          </c:spPr>
          <c:marker>
            <c:symbol val="none"/>
          </c:marker>
          <c:xVal>
            <c:numRef>
              <c:f>Samples!$B$218:$B$219</c:f>
              <c:numCache>
                <c:formatCode>General</c:formatCode>
                <c:ptCount val="2"/>
                <c:pt idx="0">
                  <c:v>49.246489254547519</c:v>
                </c:pt>
                <c:pt idx="1">
                  <c:v>49.246489254547519</c:v>
                </c:pt>
              </c:numCache>
            </c:numRef>
          </c:xVal>
          <c:yVal>
            <c:numRef>
              <c:f>Samples!$C$218:$C$219</c:f>
              <c:numCache>
                <c:formatCode>General</c:formatCode>
                <c:ptCount val="2"/>
                <c:pt idx="0">
                  <c:v>6250</c:v>
                </c:pt>
                <c:pt idx="1">
                  <c:v>4469.0324295587452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120-4D6F-A6A2-2D6F1E78B762}"/>
            </c:ext>
          </c:extLst>
        </c:ser>
        <c:ser>
          <c:idx val="6"/>
          <c:order val="6"/>
          <c:tx>
            <c:strRef>
              <c:f>Locale!$D$55</c:f>
              <c:strCache>
                <c:ptCount val="1"/>
                <c:pt idx="0">
                  <c:v>2 升 3 挡</c:v>
                </c:pt>
              </c:strCache>
            </c:strRef>
          </c:tx>
          <c:spPr>
            <a:ln w="12383">
              <a:solidFill>
                <a:srgbClr val="F46D43"/>
              </a:solidFill>
              <a:prstDash val="solid"/>
            </a:ln>
          </c:spPr>
          <c:marker>
            <c:symbol val="none"/>
          </c:marker>
          <c:xVal>
            <c:numRef>
              <c:f>Samples!$D$218:$D$219</c:f>
              <c:numCache>
                <c:formatCode>General</c:formatCode>
                <c:ptCount val="2"/>
                <c:pt idx="0">
                  <c:v>70.524780519487848</c:v>
                </c:pt>
                <c:pt idx="1">
                  <c:v>70.524780519487848</c:v>
                </c:pt>
              </c:numCache>
            </c:numRef>
          </c:xVal>
          <c:yVal>
            <c:numRef>
              <c:f>Samples!$E$218:$E$219</c:f>
              <c:numCache>
                <c:formatCode>General</c:formatCode>
                <c:ptCount val="2"/>
                <c:pt idx="0">
                  <c:v>6400</c:v>
                </c:pt>
                <c:pt idx="1">
                  <c:v>4665.5762081784387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120-4D6F-A6A2-2D6F1E78B762}"/>
            </c:ext>
          </c:extLst>
        </c:ser>
        <c:ser>
          <c:idx val="7"/>
          <c:order val="7"/>
          <c:tx>
            <c:strRef>
              <c:f>Locale!$D$54</c:f>
              <c:strCache>
                <c:ptCount val="1"/>
                <c:pt idx="0">
                  <c:v>3 升 4 挡</c:v>
                </c:pt>
              </c:strCache>
            </c:strRef>
          </c:tx>
          <c:spPr>
            <a:ln w="12383">
              <a:solidFill>
                <a:srgbClr val="DBAA15"/>
              </a:solidFill>
              <a:prstDash val="solid"/>
            </a:ln>
          </c:spPr>
          <c:marker>
            <c:symbol val="none"/>
          </c:marker>
          <c:xVal>
            <c:numRef>
              <c:f>Samples!$F$218:$F$219</c:f>
              <c:numCache>
                <c:formatCode>General</c:formatCode>
                <c:ptCount val="2"/>
                <c:pt idx="0">
                  <c:v>95.684185783057387</c:v>
                </c:pt>
                <c:pt idx="1">
                  <c:v>95.684185783057387</c:v>
                </c:pt>
              </c:numCache>
            </c:numRef>
          </c:xVal>
          <c:yVal>
            <c:numRef>
              <c:f>Samples!$G$218:$G$219</c:f>
              <c:numCache>
                <c:formatCode>General</c:formatCode>
                <c:ptCount val="2"/>
                <c:pt idx="0">
                  <c:v>6330</c:v>
                </c:pt>
                <c:pt idx="1">
                  <c:v>4809.637939826619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120-4D6F-A6A2-2D6F1E78B762}"/>
            </c:ext>
          </c:extLst>
        </c:ser>
        <c:ser>
          <c:idx val="8"/>
          <c:order val="8"/>
          <c:tx>
            <c:strRef>
              <c:f>Locale!$D$50</c:f>
              <c:strCache>
                <c:ptCount val="1"/>
                <c:pt idx="0">
                  <c:v>4 升 5 挡</c:v>
                </c:pt>
              </c:strCache>
            </c:strRef>
          </c:tx>
          <c:spPr>
            <a:ln w="12383">
              <a:solidFill>
                <a:srgbClr val="C47C18"/>
              </a:solidFill>
              <a:prstDash val="solid"/>
            </a:ln>
          </c:spPr>
          <c:marker>
            <c:symbol val="none"/>
          </c:marker>
          <c:xVal>
            <c:numRef>
              <c:f>Samples!$H$218:$H$219</c:f>
              <c:numCache>
                <c:formatCode>General</c:formatCode>
                <c:ptCount val="2"/>
                <c:pt idx="0">
                  <c:v>123.14546695763887</c:v>
                </c:pt>
                <c:pt idx="1">
                  <c:v>123.14546695763887</c:v>
                </c:pt>
              </c:numCache>
            </c:numRef>
          </c:xVal>
          <c:yVal>
            <c:numRef>
              <c:f>Samples!$I$218:$I$219</c:f>
              <c:numCache>
                <c:formatCode>General</c:formatCode>
                <c:ptCount val="2"/>
                <c:pt idx="0">
                  <c:v>6190</c:v>
                </c:pt>
                <c:pt idx="1">
                  <c:v>4939.5369127516788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120-4D6F-A6A2-2D6F1E78B7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ax val="8000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strRef>
              <c:f>Locale!$D$16</c:f>
              <c:strCache>
                <c:ptCount val="1"/>
                <c:pt idx="0">
                  <c:v>发动机转速 (rpm)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/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in val="0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strRef>
              <c:f>Locale!$D$45</c:f>
              <c:strCache>
                <c:ptCount val="1"/>
                <c:pt idx="0">
                  <c:v>车速 (km/h)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/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25"/>
      </c:valAx>
    </c:plotArea>
    <c:legend>
      <c:legendPos val="t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ayout>
        <c:manualLayout>
          <c:xMode val="edge"/>
          <c:yMode val="edge"/>
          <c:x val="0.3399024496937883"/>
          <c:y val="5.9259259259259262E-2"/>
          <c:w val="0.32019510061242346"/>
          <c:h val="3.364260717410323E-2"/>
        </c:manualLayout>
      </c:layout>
      <c:overlay val="0"/>
      <c:txPr>
        <a:bodyPr/>
        <a:lstStyle/>
        <a:p>
          <a:pPr>
            <a:defRPr sz="1100">
              <a:latin typeface="Arial"/>
              <a:ea typeface="Microsoft YaHei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strRef>
          <c:f>Locale!$D$8</c:f>
          <c:strCache>
            <c:ptCount val="1"/>
            <c:pt idx="0">
              <c:v>扭矩与功率</c:v>
            </c:pt>
          </c:strCache>
        </c:strRef>
      </c:tx>
      <c:overlay val="0"/>
      <c:txPr>
        <a:bodyPr/>
        <a:lstStyle/>
        <a:p>
          <a:pPr>
            <a:defRPr lang="en-US" sz="1350">
              <a:latin typeface="Arial"/>
              <a:ea typeface="Microsoft YaHei"/>
              <a:cs typeface="Arial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Locale!$D$58</c:f>
              <c:strCache>
                <c:ptCount val="1"/>
                <c:pt idx="0">
                  <c:v>扭矩 (Nm)</c:v>
                </c:pt>
              </c:strCache>
            </c:strRef>
          </c:tx>
          <c:spPr>
            <a:ln w="19050">
              <a:solidFill>
                <a:srgbClr val="426F9B"/>
              </a:solidFill>
              <a:prstDash val="solid"/>
            </a:ln>
          </c:spPr>
          <c:marker>
            <c:symbol val="none"/>
          </c:marker>
          <c:xVal>
            <c:numRef>
              <c:f>Samples!$B$37:$B$55</c:f>
              <c:numCache>
                <c:formatCode>General</c:formatCode>
                <c:ptCount val="19"/>
                <c:pt idx="0">
                  <c:v>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4000</c:v>
                </c:pt>
                <c:pt idx="9">
                  <c:v>4170</c:v>
                </c:pt>
                <c:pt idx="10">
                  <c:v>4500</c:v>
                </c:pt>
                <c:pt idx="11">
                  <c:v>5000</c:v>
                </c:pt>
                <c:pt idx="12">
                  <c:v>5500</c:v>
                </c:pt>
                <c:pt idx="13">
                  <c:v>5960</c:v>
                </c:pt>
                <c:pt idx="14">
                  <c:v>6000</c:v>
                </c:pt>
                <c:pt idx="15">
                  <c:v>6500</c:v>
                </c:pt>
                <c:pt idx="16">
                  <c:v>7000</c:v>
                </c:pt>
                <c:pt idx="17">
                  <c:v>7500</c:v>
                </c:pt>
                <c:pt idx="18">
                  <c:v>7649</c:v>
                </c:pt>
              </c:numCache>
            </c:numRef>
          </c:xVal>
          <c:yVal>
            <c:numRef>
              <c:f>Samples!$C$37:$C$55</c:f>
              <c:numCache>
                <c:formatCode>0.00</c:formatCode>
                <c:ptCount val="19"/>
                <c:pt idx="0">
                  <c:v>-12.15</c:v>
                </c:pt>
                <c:pt idx="1">
                  <c:v>37.607653353450431</c:v>
                </c:pt>
                <c:pt idx="2">
                  <c:v>141.5610188906123</c:v>
                </c:pt>
                <c:pt idx="3">
                  <c:v>283.07918475481819</c:v>
                </c:pt>
                <c:pt idx="4">
                  <c:v>357.87665214001487</c:v>
                </c:pt>
                <c:pt idx="5">
                  <c:v>375.53879897634943</c:v>
                </c:pt>
                <c:pt idx="6">
                  <c:v>393.47429935069022</c:v>
                </c:pt>
                <c:pt idx="7">
                  <c:v>403.52794743805384</c:v>
                </c:pt>
                <c:pt idx="8">
                  <c:v>409.35787494570224</c:v>
                </c:pt>
                <c:pt idx="9">
                  <c:v>409.78852677824824</c:v>
                </c:pt>
                <c:pt idx="10">
                  <c:v>409.12826663235899</c:v>
                </c:pt>
                <c:pt idx="11">
                  <c:v>407.45143756593717</c:v>
                </c:pt>
                <c:pt idx="12">
                  <c:v>392.988467409279</c:v>
                </c:pt>
                <c:pt idx="13">
                  <c:v>368.1507684624786</c:v>
                </c:pt>
                <c:pt idx="14">
                  <c:v>365.66509947073672</c:v>
                </c:pt>
                <c:pt idx="15">
                  <c:v>330.89179093017987</c:v>
                </c:pt>
                <c:pt idx="16">
                  <c:v>293.07421988662304</c:v>
                </c:pt>
                <c:pt idx="17">
                  <c:v>251.2516279317727</c:v>
                </c:pt>
                <c:pt idx="18">
                  <c:v>238.07887199367764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A1-48B0-ADA4-0C82CA6950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scatterChart>
        <c:scatterStyle val="smoothMarker"/>
        <c:varyColors val="0"/>
        <c:ser>
          <c:idx val="1"/>
          <c:order val="1"/>
          <c:tx>
            <c:strRef>
              <c:f>Locale!$D$43</c:f>
              <c:strCache>
                <c:ptCount val="1"/>
                <c:pt idx="0">
                  <c:v>功率 (hp)</c:v>
                </c:pt>
              </c:strCache>
            </c:strRef>
          </c:tx>
          <c:spPr>
            <a:ln w="19050">
              <a:solidFill>
                <a:srgbClr val="C95745"/>
              </a:solidFill>
              <a:prstDash val="solid"/>
            </a:ln>
          </c:spPr>
          <c:marker>
            <c:symbol val="none"/>
          </c:marker>
          <c:xVal>
            <c:numRef>
              <c:f>Samples!$B$37:$B$55</c:f>
              <c:numCache>
                <c:formatCode>General</c:formatCode>
                <c:ptCount val="19"/>
                <c:pt idx="0">
                  <c:v>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4000</c:v>
                </c:pt>
                <c:pt idx="9">
                  <c:v>4170</c:v>
                </c:pt>
                <c:pt idx="10">
                  <c:v>4500</c:v>
                </c:pt>
                <c:pt idx="11">
                  <c:v>5000</c:v>
                </c:pt>
                <c:pt idx="12">
                  <c:v>5500</c:v>
                </c:pt>
                <c:pt idx="13">
                  <c:v>5960</c:v>
                </c:pt>
                <c:pt idx="14">
                  <c:v>6000</c:v>
                </c:pt>
                <c:pt idx="15">
                  <c:v>6500</c:v>
                </c:pt>
                <c:pt idx="16">
                  <c:v>7000</c:v>
                </c:pt>
                <c:pt idx="17">
                  <c:v>7500</c:v>
                </c:pt>
                <c:pt idx="18">
                  <c:v>7649</c:v>
                </c:pt>
              </c:numCache>
            </c:numRef>
          </c:xVal>
          <c:yVal>
            <c:numRef>
              <c:f>Samples!$D$37:$D$55</c:f>
              <c:numCache>
                <c:formatCode>0.0</c:formatCode>
                <c:ptCount val="19"/>
                <c:pt idx="0">
                  <c:v>0</c:v>
                </c:pt>
                <c:pt idx="1">
                  <c:v>2.6406496768210106</c:v>
                </c:pt>
                <c:pt idx="2">
                  <c:v>19.879626908422974</c:v>
                </c:pt>
                <c:pt idx="3">
                  <c:v>59.629853852791598</c:v>
                </c:pt>
                <c:pt idx="4">
                  <c:v>100.51431360884006</c:v>
                </c:pt>
                <c:pt idx="5">
                  <c:v>131.84369665804527</c:v>
                </c:pt>
                <c:pt idx="6">
                  <c:v>165.76856391212905</c:v>
                </c:pt>
                <c:pt idx="7">
                  <c:v>198.33812915235899</c:v>
                </c:pt>
                <c:pt idx="8">
                  <c:v>229.94696957454855</c:v>
                </c:pt>
                <c:pt idx="9">
                  <c:v>239.97190522551352</c:v>
                </c:pt>
                <c:pt idx="10">
                  <c:v>258.54524168702534</c:v>
                </c:pt>
                <c:pt idx="11">
                  <c:v>286.09509261763952</c:v>
                </c:pt>
                <c:pt idx="12">
                  <c:v>303.53379023044903</c:v>
                </c:pt>
                <c:pt idx="13">
                  <c:v>308.13179986562693</c:v>
                </c:pt>
                <c:pt idx="14">
                  <c:v>308.10540110028921</c:v>
                </c:pt>
                <c:pt idx="15">
                  <c:v>302.03960889068333</c:v>
                </c:pt>
                <c:pt idx="16">
                  <c:v>288.09797608391517</c:v>
                </c:pt>
                <c:pt idx="17">
                  <c:v>264.62733151545461</c:v>
                </c:pt>
                <c:pt idx="18">
                  <c:v>255.73493933679504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A1-48B0-ADA4-0C82CA6950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9359887"/>
        <c:axId val="1509345967"/>
      </c:scatterChart>
      <c:valAx>
        <c:axId val="48672768"/>
        <c:scaling>
          <c:orientation val="minMax"/>
          <c:max val="500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strRef>
              <c:f>Locale!$D$58</c:f>
              <c:strCache>
                <c:ptCount val="1"/>
                <c:pt idx="0">
                  <c:v>扭矩 (Nm)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/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"/>
      </c:valAx>
      <c:valAx>
        <c:axId val="48650112"/>
        <c:scaling>
          <c:orientation val="minMax"/>
          <c:max val="8000"/>
          <c:min val="2500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strRef>
              <c:f>Locale!$D$16</c:f>
              <c:strCache>
                <c:ptCount val="1"/>
                <c:pt idx="0">
                  <c:v>发动机转速 (rpm)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/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500"/>
      </c:valAx>
      <c:valAx>
        <c:axId val="1509345967"/>
        <c:scaling>
          <c:orientation val="minMax"/>
          <c:max val="500"/>
          <c:min val="0"/>
        </c:scaling>
        <c:delete val="0"/>
        <c:axPos val="r"/>
        <c:title>
          <c:tx>
            <c:strRef>
              <c:f>Locale!$D$43</c:f>
              <c:strCache>
                <c:ptCount val="1"/>
                <c:pt idx="0">
                  <c:v>功率 (hp)</c:v>
                </c:pt>
              </c:strCache>
            </c:strRef>
          </c:tx>
          <c:overlay val="0"/>
          <c:txPr>
            <a:bodyPr/>
            <a:lstStyle/>
            <a:p>
              <a:pPr>
                <a:defRPr altLang="zh-CN" sz="1100">
                  <a:latin typeface="Arial"/>
                  <a:ea typeface="Microsoft YaHei"/>
                  <a:cs typeface="Arial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1509359887"/>
        <c:crosses val="max"/>
        <c:crossBetween val="midCat"/>
        <c:majorUnit val="100"/>
      </c:valAx>
      <c:valAx>
        <c:axId val="1509359887"/>
        <c:scaling>
          <c:orientation val="minMax"/>
          <c:max val="8000"/>
          <c:min val="2500"/>
        </c:scaling>
        <c:delete val="1"/>
        <c:axPos val="b"/>
        <c:numFmt formatCode="General" sourceLinked="1"/>
        <c:majorTickMark val="out"/>
        <c:minorTickMark val="none"/>
        <c:tickLblPos val="nextTo"/>
        <c:crossAx val="1509345967"/>
        <c:crosses val="autoZero"/>
        <c:crossBetween val="midCat"/>
        <c:majorUnit val="500"/>
      </c:valAx>
    </c:plotArea>
    <c:legend>
      <c:legendPos val="t"/>
      <c:overlay val="0"/>
      <c:txPr>
        <a:bodyPr anchorCtr="1"/>
        <a:lstStyle/>
        <a:p>
          <a:pPr>
            <a:defRPr sz="1100">
              <a:latin typeface="Arial"/>
              <a:ea typeface="Microsoft YaHei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strRef>
          <c:f>Locale!$D$3</c:f>
          <c:strCache>
            <c:ptCount val="1"/>
            <c:pt idx="0">
              <c:v>挡位分布</c:v>
            </c:pt>
          </c:strCache>
        </c:strRef>
      </c:tx>
      <c:layout>
        <c:manualLayout>
          <c:xMode val="edge"/>
          <c:yMode val="edge"/>
          <c:x val="0.45346296296296296"/>
          <c:y val="1.4814814814814815E-2"/>
        </c:manualLayout>
      </c:layout>
      <c:overlay val="1"/>
      <c:txPr>
        <a:bodyPr anchorCtr="1"/>
        <a:lstStyle/>
        <a:p>
          <a:pPr>
            <a:defRPr altLang="zh-CN" sz="1350">
              <a:latin typeface="Arial"/>
              <a:ea typeface="Microsoft YaHei"/>
              <a:cs typeface="Arial"/>
            </a:defRPr>
          </a:pPr>
          <a:endParaRPr lang="en-US"/>
        </a:p>
      </c:txPr>
    </c:title>
    <c:autoTitleDeleted val="0"/>
    <c:plotArea>
      <c:layout>
        <c:manualLayout>
          <c:xMode val="edge"/>
          <c:yMode val="edge"/>
          <c:x val="3.2129629629629633E-2"/>
          <c:y val="0.11481481481481481"/>
          <c:w val="0.95768518518518519"/>
          <c:h val="0.80555555555555558"/>
        </c:manualLayout>
      </c:layout>
      <c:scatterChart>
        <c:scatterStyle val="lineMarker"/>
        <c:varyColors val="0"/>
        <c:ser>
          <c:idx val="0"/>
          <c:order val="0"/>
          <c:tx>
            <c:strRef>
              <c:f>Locale!$D$25</c:f>
              <c:strCache>
                <c:ptCount val="1"/>
                <c:pt idx="0">
                  <c:v>1 挡</c:v>
                </c:pt>
              </c:strCache>
            </c:strRef>
          </c:tx>
          <c:spPr>
            <a:ln w="19050">
              <a:solidFill>
                <a:srgbClr val="D73027"/>
              </a:solidFill>
              <a:prstDash val="solid"/>
            </a:ln>
          </c:spPr>
          <c:marker>
            <c:symbol val="none"/>
          </c:marker>
          <c:xVal>
            <c:numRef>
              <c:f>Samples!$B$250:$B$251</c:f>
              <c:numCache>
                <c:formatCode>General</c:formatCode>
                <c:ptCount val="2"/>
                <c:pt idx="0">
                  <c:v>0</c:v>
                </c:pt>
                <c:pt idx="1">
                  <c:v>59.722074825531706</c:v>
                </c:pt>
              </c:numCache>
            </c:numRef>
          </c:xVal>
          <c:yVal>
            <c:numRef>
              <c:f>Samples!$C$250:$C$251</c:f>
              <c:numCache>
                <c:formatCode>General</c:formatCode>
                <c:ptCount val="2"/>
                <c:pt idx="0">
                  <c:v>0</c:v>
                </c:pt>
                <c:pt idx="1">
                  <c:v>7650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94-431C-9351-72A97C76668E}"/>
            </c:ext>
          </c:extLst>
        </c:ser>
        <c:ser>
          <c:idx val="1"/>
          <c:order val="1"/>
          <c:tx>
            <c:strRef>
              <c:f>Locale!$D$29</c:f>
              <c:strCache>
                <c:ptCount val="1"/>
                <c:pt idx="0">
                  <c:v>2 挡</c:v>
                </c:pt>
              </c:strCache>
            </c:strRef>
          </c:tx>
          <c:spPr>
            <a:ln w="19050">
              <a:solidFill>
                <a:srgbClr val="F46D43"/>
              </a:solidFill>
              <a:prstDash val="solid"/>
            </a:ln>
          </c:spPr>
          <c:marker>
            <c:symbol val="none"/>
          </c:marker>
          <c:xVal>
            <c:numRef>
              <c:f>Samples!$D$250:$D$251</c:f>
              <c:numCache>
                <c:formatCode>General</c:formatCode>
                <c:ptCount val="2"/>
                <c:pt idx="0">
                  <c:v>0</c:v>
                </c:pt>
                <c:pt idx="1">
                  <c:v>73.386640165871825</c:v>
                </c:pt>
              </c:numCache>
            </c:numRef>
          </c:xVal>
          <c:yVal>
            <c:numRef>
              <c:f>Samples!$E$250:$E$251</c:f>
              <c:numCache>
                <c:formatCode>General</c:formatCode>
                <c:ptCount val="2"/>
                <c:pt idx="0">
                  <c:v>0</c:v>
                </c:pt>
                <c:pt idx="1">
                  <c:v>7650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D94-431C-9351-72A97C76668E}"/>
            </c:ext>
          </c:extLst>
        </c:ser>
        <c:ser>
          <c:idx val="2"/>
          <c:order val="2"/>
          <c:tx>
            <c:strRef>
              <c:f>Locale!$D$28</c:f>
              <c:strCache>
                <c:ptCount val="1"/>
                <c:pt idx="0">
                  <c:v>3 挡</c:v>
                </c:pt>
              </c:strCache>
            </c:strRef>
          </c:tx>
          <c:spPr>
            <a:ln w="19050">
              <a:solidFill>
                <a:srgbClr val="DBAA15"/>
              </a:solidFill>
              <a:prstDash val="solid"/>
            </a:ln>
          </c:spPr>
          <c:marker>
            <c:symbol val="none"/>
          </c:marker>
          <c:xVal>
            <c:numRef>
              <c:f>Samples!$F$250:$F$251</c:f>
              <c:numCache>
                <c:formatCode>General</c:formatCode>
                <c:ptCount val="2"/>
                <c:pt idx="0">
                  <c:v>0</c:v>
                </c:pt>
                <c:pt idx="1">
                  <c:v>91.474271122446112</c:v>
                </c:pt>
              </c:numCache>
            </c:numRef>
          </c:xVal>
          <c:yVal>
            <c:numRef>
              <c:f>Samples!$G$250:$G$251</c:f>
              <c:numCache>
                <c:formatCode>General</c:formatCode>
                <c:ptCount val="2"/>
                <c:pt idx="0">
                  <c:v>0</c:v>
                </c:pt>
                <c:pt idx="1">
                  <c:v>7650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D94-431C-9351-72A97C76668E}"/>
            </c:ext>
          </c:extLst>
        </c:ser>
        <c:ser>
          <c:idx val="3"/>
          <c:order val="3"/>
          <c:tx>
            <c:strRef>
              <c:f>Locale!$D$23</c:f>
              <c:strCache>
                <c:ptCount val="1"/>
                <c:pt idx="0">
                  <c:v>4 挡</c:v>
                </c:pt>
              </c:strCache>
            </c:strRef>
          </c:tx>
          <c:spPr>
            <a:ln w="19050">
              <a:solidFill>
                <a:srgbClr val="C47C18"/>
              </a:solidFill>
              <a:prstDash val="solid"/>
            </a:ln>
          </c:spPr>
          <c:marker>
            <c:symbol val="none"/>
          </c:marker>
          <c:xVal>
            <c:numRef>
              <c:f>Samples!$H$250:$H$251</c:f>
              <c:numCache>
                <c:formatCode>General</c:formatCode>
                <c:ptCount val="2"/>
                <c:pt idx="0">
                  <c:v>0</c:v>
                </c:pt>
                <c:pt idx="1">
                  <c:v>113.55268808840455</c:v>
                </c:pt>
              </c:numCache>
            </c:numRef>
          </c:xVal>
          <c:yVal>
            <c:numRef>
              <c:f>Samples!$I$250:$I$251</c:f>
              <c:numCache>
                <c:formatCode>General</c:formatCode>
                <c:ptCount val="2"/>
                <c:pt idx="0">
                  <c:v>0</c:v>
                </c:pt>
                <c:pt idx="1">
                  <c:v>7650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D94-431C-9351-72A97C76668E}"/>
            </c:ext>
          </c:extLst>
        </c:ser>
        <c:ser>
          <c:idx val="4"/>
          <c:order val="4"/>
          <c:tx>
            <c:strRef>
              <c:f>Locale!$D$22</c:f>
              <c:strCache>
                <c:ptCount val="1"/>
                <c:pt idx="0">
                  <c:v>5 挡</c:v>
                </c:pt>
              </c:strCache>
            </c:strRef>
          </c:tx>
          <c:spPr>
            <a:ln w="19050">
              <a:solidFill>
                <a:srgbClr val="505050"/>
              </a:solidFill>
              <a:prstDash val="solid"/>
            </a:ln>
          </c:spPr>
          <c:marker>
            <c:symbol val="none"/>
          </c:marker>
          <c:xVal>
            <c:numRef>
              <c:f>Samples!$J$250:$J$251</c:f>
              <c:numCache>
                <c:formatCode>General</c:formatCode>
                <c:ptCount val="2"/>
                <c:pt idx="0">
                  <c:v>0</c:v>
                </c:pt>
                <c:pt idx="1">
                  <c:v>140.76022229208189</c:v>
                </c:pt>
              </c:numCache>
            </c:numRef>
          </c:xVal>
          <c:yVal>
            <c:numRef>
              <c:f>Samples!$K$250:$K$251</c:f>
              <c:numCache>
                <c:formatCode>General</c:formatCode>
                <c:ptCount val="2"/>
                <c:pt idx="0">
                  <c:v>0</c:v>
                </c:pt>
                <c:pt idx="1">
                  <c:v>7650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D94-431C-9351-72A97C76668E}"/>
            </c:ext>
          </c:extLst>
        </c:ser>
        <c:ser>
          <c:idx val="5"/>
          <c:order val="5"/>
          <c:tx>
            <c:strRef>
              <c:f>Locale!$D$27</c:f>
              <c:strCache>
                <c:ptCount val="1"/>
                <c:pt idx="0">
                  <c:v>6 挡</c:v>
                </c:pt>
              </c:strCache>
            </c:strRef>
          </c:tx>
          <c:spPr>
            <a:ln w="19050">
              <a:solidFill>
                <a:srgbClr val="2C7C50"/>
              </a:solidFill>
              <a:prstDash val="solid"/>
            </a:ln>
          </c:spPr>
          <c:marker>
            <c:symbol val="none"/>
          </c:marker>
          <c:xVal>
            <c:numRef>
              <c:f>Samples!$L$250:$L$251</c:f>
              <c:numCache>
                <c:formatCode>General</c:formatCode>
                <c:ptCount val="2"/>
                <c:pt idx="0">
                  <c:v>0</c:v>
                </c:pt>
                <c:pt idx="1">
                  <c:v>172.31361558703946</c:v>
                </c:pt>
              </c:numCache>
            </c:numRef>
          </c:xVal>
          <c:yVal>
            <c:numRef>
              <c:f>Samples!$M$250:$M$251</c:f>
              <c:numCache>
                <c:formatCode>General</c:formatCode>
                <c:ptCount val="2"/>
                <c:pt idx="0">
                  <c:v>0</c:v>
                </c:pt>
                <c:pt idx="1">
                  <c:v>7650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D94-431C-9351-72A97C76668E}"/>
            </c:ext>
          </c:extLst>
        </c:ser>
        <c:ser>
          <c:idx val="6"/>
          <c:order val="6"/>
          <c:tx>
            <c:strRef>
              <c:f>Locale!$D$53</c:f>
              <c:strCache>
                <c:ptCount val="1"/>
                <c:pt idx="0">
                  <c:v>1 升 2 挡</c:v>
                </c:pt>
              </c:strCache>
            </c:strRef>
          </c:tx>
          <c:spPr>
            <a:ln w="12383">
              <a:solidFill>
                <a:srgbClr val="D73027"/>
              </a:solidFill>
              <a:prstDash val="solid"/>
            </a:ln>
          </c:spPr>
          <c:marker>
            <c:symbol val="none"/>
          </c:marker>
          <c:xVal>
            <c:numRef>
              <c:f>Samples!$B$256:$B$257</c:f>
              <c:numCache>
                <c:formatCode>General</c:formatCode>
                <c:ptCount val="2"/>
                <c:pt idx="0">
                  <c:v>48.324136362096894</c:v>
                </c:pt>
                <c:pt idx="1">
                  <c:v>48.324136362096894</c:v>
                </c:pt>
              </c:numCache>
            </c:numRef>
          </c:xVal>
          <c:yVal>
            <c:numRef>
              <c:f>Samples!$C$256:$C$257</c:f>
              <c:numCache>
                <c:formatCode>General</c:formatCode>
                <c:ptCount val="2"/>
                <c:pt idx="0">
                  <c:v>6190</c:v>
                </c:pt>
                <c:pt idx="1">
                  <c:v>5037.4242823281529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D94-431C-9351-72A97C76668E}"/>
            </c:ext>
          </c:extLst>
        </c:ser>
        <c:ser>
          <c:idx val="7"/>
          <c:order val="7"/>
          <c:tx>
            <c:strRef>
              <c:f>Locale!$D$55</c:f>
              <c:strCache>
                <c:ptCount val="1"/>
                <c:pt idx="0">
                  <c:v>2 升 3 挡</c:v>
                </c:pt>
              </c:strCache>
            </c:strRef>
          </c:tx>
          <c:spPr>
            <a:ln w="12383">
              <a:solidFill>
                <a:srgbClr val="F46D43"/>
              </a:solidFill>
              <a:prstDash val="solid"/>
            </a:ln>
          </c:spPr>
          <c:marker>
            <c:symbol val="none"/>
          </c:marker>
          <c:xVal>
            <c:numRef>
              <c:f>Samples!$D$256:$D$257</c:f>
              <c:numCache>
                <c:formatCode>General</c:formatCode>
                <c:ptCount val="2"/>
                <c:pt idx="0">
                  <c:v>61.203498595851272</c:v>
                </c:pt>
                <c:pt idx="1">
                  <c:v>61.203498595851272</c:v>
                </c:pt>
              </c:numCache>
            </c:numRef>
          </c:xVal>
          <c:yVal>
            <c:numRef>
              <c:f>Samples!$E$256:$E$257</c:f>
              <c:numCache>
                <c:formatCode>General</c:formatCode>
                <c:ptCount val="2"/>
                <c:pt idx="0">
                  <c:v>6380</c:v>
                </c:pt>
                <c:pt idx="1">
                  <c:v>5118.4530744336571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D94-431C-9351-72A97C76668E}"/>
            </c:ext>
          </c:extLst>
        </c:ser>
        <c:ser>
          <c:idx val="8"/>
          <c:order val="8"/>
          <c:tx>
            <c:strRef>
              <c:f>Locale!$D$54</c:f>
              <c:strCache>
                <c:ptCount val="1"/>
                <c:pt idx="0">
                  <c:v>3 升 4 挡</c:v>
                </c:pt>
              </c:strCache>
            </c:strRef>
          </c:tx>
          <c:spPr>
            <a:ln w="12383">
              <a:solidFill>
                <a:srgbClr val="DBAA15"/>
              </a:solidFill>
              <a:prstDash val="solid"/>
            </a:ln>
          </c:spPr>
          <c:marker>
            <c:symbol val="none"/>
          </c:marker>
          <c:xVal>
            <c:numRef>
              <c:f>Samples!$F$256:$F$257</c:f>
              <c:numCache>
                <c:formatCode>General</c:formatCode>
                <c:ptCount val="2"/>
                <c:pt idx="0">
                  <c:v>77.125365848336912</c:v>
                </c:pt>
                <c:pt idx="1">
                  <c:v>77.125365848336912</c:v>
                </c:pt>
              </c:numCache>
            </c:numRef>
          </c:xVal>
          <c:yVal>
            <c:numRef>
              <c:f>Samples!$G$256:$G$257</c:f>
              <c:numCache>
                <c:formatCode>General</c:formatCode>
                <c:ptCount val="2"/>
                <c:pt idx="0">
                  <c:v>6450</c:v>
                </c:pt>
                <c:pt idx="1">
                  <c:v>5195.9056070996376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BD94-431C-9351-72A97C76668E}"/>
            </c:ext>
          </c:extLst>
        </c:ser>
        <c:ser>
          <c:idx val="9"/>
          <c:order val="9"/>
          <c:tx>
            <c:strRef>
              <c:f>Locale!$D$50</c:f>
              <c:strCache>
                <c:ptCount val="1"/>
                <c:pt idx="0">
                  <c:v>4 升 5 挡</c:v>
                </c:pt>
              </c:strCache>
            </c:strRef>
          </c:tx>
          <c:spPr>
            <a:ln w="12383">
              <a:solidFill>
                <a:srgbClr val="C47C18"/>
              </a:solidFill>
              <a:prstDash val="solid"/>
            </a:ln>
          </c:spPr>
          <c:marker>
            <c:symbol val="none"/>
          </c:marker>
          <c:xVal>
            <c:numRef>
              <c:f>Samples!$H$256:$H$257</c:f>
              <c:numCache>
                <c:formatCode>General</c:formatCode>
                <c:ptCount val="2"/>
                <c:pt idx="0">
                  <c:v>96.48267615354635</c:v>
                </c:pt>
                <c:pt idx="1">
                  <c:v>96.48267615354635</c:v>
                </c:pt>
              </c:numCache>
            </c:numRef>
          </c:xVal>
          <c:yVal>
            <c:numRef>
              <c:f>Samples!$I$256:$I$257</c:f>
              <c:numCache>
                <c:formatCode>General</c:formatCode>
                <c:ptCount val="2"/>
                <c:pt idx="0">
                  <c:v>6500</c:v>
                </c:pt>
                <c:pt idx="1">
                  <c:v>5243.6154231347018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D94-431C-9351-72A97C76668E}"/>
            </c:ext>
          </c:extLst>
        </c:ser>
        <c:ser>
          <c:idx val="10"/>
          <c:order val="10"/>
          <c:tx>
            <c:strRef>
              <c:f>Locale!$D$49</c:f>
              <c:strCache>
                <c:ptCount val="1"/>
                <c:pt idx="0">
                  <c:v>5 升 6 挡</c:v>
                </c:pt>
              </c:strCache>
            </c:strRef>
          </c:tx>
          <c:spPr>
            <a:ln w="12383">
              <a:solidFill>
                <a:srgbClr val="505050"/>
              </a:solidFill>
              <a:prstDash val="solid"/>
            </a:ln>
          </c:spPr>
          <c:marker>
            <c:symbol val="none"/>
          </c:marker>
          <c:xVal>
            <c:numRef>
              <c:f>Samples!$J$256:$J$257</c:f>
              <c:numCache>
                <c:formatCode>General</c:formatCode>
                <c:ptCount val="2"/>
                <c:pt idx="0">
                  <c:v>119.60018887562514</c:v>
                </c:pt>
                <c:pt idx="1">
                  <c:v>119.60018887562514</c:v>
                </c:pt>
              </c:numCache>
            </c:numRef>
          </c:xVal>
          <c:yVal>
            <c:numRef>
              <c:f>Samples!$K$256:$K$257</c:f>
              <c:numCache>
                <c:formatCode>General</c:formatCode>
                <c:ptCount val="2"/>
                <c:pt idx="0">
                  <c:v>6500</c:v>
                </c:pt>
                <c:pt idx="1">
                  <c:v>5309.745499689634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BD94-431C-9351-72A97C766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ax val="8000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strRef>
              <c:f>Locale!$D$16</c:f>
              <c:strCache>
                <c:ptCount val="1"/>
                <c:pt idx="0">
                  <c:v>发动机转速 (rpm)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/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in val="0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strRef>
              <c:f>Locale!$D$45</c:f>
              <c:strCache>
                <c:ptCount val="1"/>
                <c:pt idx="0">
                  <c:v>车速 (km/h)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/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25"/>
      </c:valAx>
    </c:plotArea>
    <c:legend>
      <c:legendPos val="t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0.30788291046952465"/>
          <c:y val="5.9259259259259262E-2"/>
          <c:w val="0.38423410615339748"/>
          <c:h val="3.364260717410323E-2"/>
        </c:manualLayout>
      </c:layout>
      <c:overlay val="0"/>
      <c:txPr>
        <a:bodyPr/>
        <a:lstStyle/>
        <a:p>
          <a:pPr>
            <a:defRPr sz="1100">
              <a:latin typeface="Arial"/>
              <a:ea typeface="Microsoft YaHei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strRef>
          <c:f>Locale!$D$8</c:f>
          <c:strCache>
            <c:ptCount val="1"/>
            <c:pt idx="0">
              <c:v>扭矩与功率</c:v>
            </c:pt>
          </c:strCache>
        </c:strRef>
      </c:tx>
      <c:overlay val="0"/>
      <c:txPr>
        <a:bodyPr/>
        <a:lstStyle/>
        <a:p>
          <a:pPr>
            <a:defRPr lang="en-US" sz="1350">
              <a:latin typeface="Arial"/>
              <a:ea typeface="Microsoft YaHei"/>
              <a:cs typeface="Arial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Locale!$D$58</c:f>
              <c:strCache>
                <c:ptCount val="1"/>
                <c:pt idx="0">
                  <c:v>扭矩 (Nm)</c:v>
                </c:pt>
              </c:strCache>
            </c:strRef>
          </c:tx>
          <c:spPr>
            <a:ln w="19050">
              <a:solidFill>
                <a:srgbClr val="426F9B"/>
              </a:solidFill>
              <a:prstDash val="solid"/>
            </a:ln>
          </c:spPr>
          <c:marker>
            <c:symbol val="none"/>
          </c:marker>
          <c:xVal>
            <c:numRef>
              <c:f>Samples!$B$67:$B$86</c:f>
              <c:numCache>
                <c:formatCode>General</c:formatCode>
                <c:ptCount val="20"/>
                <c:pt idx="0">
                  <c:v>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4000</c:v>
                </c:pt>
                <c:pt idx="9">
                  <c:v>4500</c:v>
                </c:pt>
                <c:pt idx="10">
                  <c:v>4760</c:v>
                </c:pt>
                <c:pt idx="11">
                  <c:v>5000</c:v>
                </c:pt>
                <c:pt idx="12">
                  <c:v>5500</c:v>
                </c:pt>
                <c:pt idx="13">
                  <c:v>6000</c:v>
                </c:pt>
                <c:pt idx="14">
                  <c:v>6500</c:v>
                </c:pt>
                <c:pt idx="15">
                  <c:v>6840</c:v>
                </c:pt>
                <c:pt idx="16">
                  <c:v>7000</c:v>
                </c:pt>
                <c:pt idx="17">
                  <c:v>7500</c:v>
                </c:pt>
                <c:pt idx="18">
                  <c:v>8000</c:v>
                </c:pt>
                <c:pt idx="19">
                  <c:v>8499</c:v>
                </c:pt>
              </c:numCache>
            </c:numRef>
          </c:xVal>
          <c:yVal>
            <c:numRef>
              <c:f>Samples!$C$67:$C$86</c:f>
              <c:numCache>
                <c:formatCode>0.00</c:formatCode>
                <c:ptCount val="20"/>
                <c:pt idx="0">
                  <c:v>-12.15</c:v>
                </c:pt>
                <c:pt idx="1">
                  <c:v>37.607959843714411</c:v>
                </c:pt>
                <c:pt idx="2">
                  <c:v>141.03569204279131</c:v>
                </c:pt>
                <c:pt idx="3">
                  <c:v>278.88278637512616</c:v>
                </c:pt>
                <c:pt idx="4">
                  <c:v>377.97203339025481</c:v>
                </c:pt>
                <c:pt idx="5">
                  <c:v>401.0745188774066</c:v>
                </c:pt>
                <c:pt idx="6">
                  <c:v>420.15432677720401</c:v>
                </c:pt>
                <c:pt idx="7">
                  <c:v>434.59516013261145</c:v>
                </c:pt>
                <c:pt idx="8">
                  <c:v>442.89770491258372</c:v>
                </c:pt>
                <c:pt idx="9">
                  <c:v>447.64206079947775</c:v>
                </c:pt>
                <c:pt idx="10">
                  <c:v>448.23569782092903</c:v>
                </c:pt>
                <c:pt idx="11">
                  <c:v>447.92621648884773</c:v>
                </c:pt>
                <c:pt idx="12">
                  <c:v>445.55952378227533</c:v>
                </c:pt>
                <c:pt idx="13">
                  <c:v>437.9255436520225</c:v>
                </c:pt>
                <c:pt idx="14">
                  <c:v>419.37327085245357</c:v>
                </c:pt>
                <c:pt idx="15">
                  <c:v>401.1180324483995</c:v>
                </c:pt>
                <c:pt idx="16">
                  <c:v>391.58756157870539</c:v>
                </c:pt>
                <c:pt idx="17">
                  <c:v>359.55425365765126</c:v>
                </c:pt>
                <c:pt idx="18">
                  <c:v>319.71543607804244</c:v>
                </c:pt>
                <c:pt idx="19">
                  <c:v>271.36793150569207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D96-4CC9-AD8F-F5521A4681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scatterChart>
        <c:scatterStyle val="smoothMarker"/>
        <c:varyColors val="0"/>
        <c:ser>
          <c:idx val="1"/>
          <c:order val="1"/>
          <c:tx>
            <c:strRef>
              <c:f>Locale!$D$43</c:f>
              <c:strCache>
                <c:ptCount val="1"/>
                <c:pt idx="0">
                  <c:v>功率 (hp)</c:v>
                </c:pt>
              </c:strCache>
            </c:strRef>
          </c:tx>
          <c:spPr>
            <a:ln w="19050">
              <a:solidFill>
                <a:srgbClr val="C95745"/>
              </a:solidFill>
              <a:prstDash val="solid"/>
            </a:ln>
          </c:spPr>
          <c:marker>
            <c:symbol val="none"/>
          </c:marker>
          <c:xVal>
            <c:numRef>
              <c:f>Samples!$B$67:$B$86</c:f>
              <c:numCache>
                <c:formatCode>General</c:formatCode>
                <c:ptCount val="20"/>
                <c:pt idx="0">
                  <c:v>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4000</c:v>
                </c:pt>
                <c:pt idx="9">
                  <c:v>4500</c:v>
                </c:pt>
                <c:pt idx="10">
                  <c:v>4760</c:v>
                </c:pt>
                <c:pt idx="11">
                  <c:v>5000</c:v>
                </c:pt>
                <c:pt idx="12">
                  <c:v>5500</c:v>
                </c:pt>
                <c:pt idx="13">
                  <c:v>6000</c:v>
                </c:pt>
                <c:pt idx="14">
                  <c:v>6500</c:v>
                </c:pt>
                <c:pt idx="15">
                  <c:v>6840</c:v>
                </c:pt>
                <c:pt idx="16">
                  <c:v>7000</c:v>
                </c:pt>
                <c:pt idx="17">
                  <c:v>7500</c:v>
                </c:pt>
                <c:pt idx="18">
                  <c:v>8000</c:v>
                </c:pt>
                <c:pt idx="19">
                  <c:v>8499</c:v>
                </c:pt>
              </c:numCache>
            </c:numRef>
          </c:xVal>
          <c:yVal>
            <c:numRef>
              <c:f>Samples!$D$67:$D$86</c:f>
              <c:numCache>
                <c:formatCode>0.0</c:formatCode>
                <c:ptCount val="20"/>
                <c:pt idx="0">
                  <c:v>0</c:v>
                </c:pt>
                <c:pt idx="1">
                  <c:v>2.6406711972655037</c:v>
                </c:pt>
                <c:pt idx="2">
                  <c:v>19.805854468654587</c:v>
                </c:pt>
                <c:pt idx="3">
                  <c:v>58.74589404378672</c:v>
                </c:pt>
                <c:pt idx="4">
                  <c:v>106.15836286714588</c:v>
                </c:pt>
                <c:pt idx="5">
                  <c:v>140.8087455897585</c:v>
                </c:pt>
                <c:pt idx="6">
                  <c:v>177.0087131135578</c:v>
                </c:pt>
                <c:pt idx="7">
                  <c:v>213.60798315612135</c:v>
                </c:pt>
                <c:pt idx="8">
                  <c:v>248.78716475084263</c:v>
                </c:pt>
                <c:pt idx="9">
                  <c:v>282.88371700965536</c:v>
                </c:pt>
                <c:pt idx="10">
                  <c:v>299.62492856756506</c:v>
                </c:pt>
                <c:pt idx="11">
                  <c:v>314.5147631771639</c:v>
                </c:pt>
                <c:pt idx="12">
                  <c:v>344.13826929445071</c:v>
                </c:pt>
                <c:pt idx="13">
                  <c:v>368.99125859772272</c:v>
                </c:pt>
                <c:pt idx="14">
                  <c:v>382.80592683004716</c:v>
                </c:pt>
                <c:pt idx="15">
                  <c:v>385.29452495916468</c:v>
                </c:pt>
                <c:pt idx="16">
                  <c:v>384.93861382315947</c:v>
                </c:pt>
                <c:pt idx="17">
                  <c:v>378.69558682538178</c:v>
                </c:pt>
                <c:pt idx="18">
                  <c:v>359.1849584528091</c:v>
                </c:pt>
                <c:pt idx="19">
                  <c:v>323.88505076222094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D96-4CC9-AD8F-F5521A4681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9429007"/>
        <c:axId val="1509422287"/>
      </c:scatterChart>
      <c:valAx>
        <c:axId val="48672768"/>
        <c:scaling>
          <c:orientation val="minMax"/>
          <c:max val="500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strRef>
              <c:f>Locale!$D$58</c:f>
              <c:strCache>
                <c:ptCount val="1"/>
                <c:pt idx="0">
                  <c:v>扭矩 (Nm)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/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"/>
      </c:valAx>
      <c:valAx>
        <c:axId val="48650112"/>
        <c:scaling>
          <c:orientation val="minMax"/>
          <c:max val="9000"/>
          <c:min val="2500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strRef>
              <c:f>Locale!$D$16</c:f>
              <c:strCache>
                <c:ptCount val="1"/>
                <c:pt idx="0">
                  <c:v>发动机转速 (rpm)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/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500"/>
      </c:valAx>
      <c:valAx>
        <c:axId val="1509422287"/>
        <c:scaling>
          <c:orientation val="minMax"/>
          <c:max val="500"/>
          <c:min val="0"/>
        </c:scaling>
        <c:delete val="0"/>
        <c:axPos val="r"/>
        <c:title>
          <c:tx>
            <c:strRef>
              <c:f>Locale!$D$43</c:f>
              <c:strCache>
                <c:ptCount val="1"/>
                <c:pt idx="0">
                  <c:v>功率 (hp)</c:v>
                </c:pt>
              </c:strCache>
            </c:strRef>
          </c:tx>
          <c:overlay val="0"/>
          <c:txPr>
            <a:bodyPr/>
            <a:lstStyle/>
            <a:p>
              <a:pPr>
                <a:defRPr altLang="zh-CN" sz="1100">
                  <a:latin typeface="Arial"/>
                  <a:ea typeface="Microsoft YaHei"/>
                  <a:cs typeface="Arial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1509429007"/>
        <c:crosses val="max"/>
        <c:crossBetween val="midCat"/>
        <c:majorUnit val="100"/>
      </c:valAx>
      <c:valAx>
        <c:axId val="1509429007"/>
        <c:scaling>
          <c:orientation val="minMax"/>
          <c:max val="9000"/>
          <c:min val="2500"/>
        </c:scaling>
        <c:delete val="1"/>
        <c:axPos val="b"/>
        <c:numFmt formatCode="General" sourceLinked="1"/>
        <c:majorTickMark val="out"/>
        <c:minorTickMark val="none"/>
        <c:tickLblPos val="nextTo"/>
        <c:crossAx val="1509422287"/>
        <c:crosses val="autoZero"/>
        <c:crossBetween val="midCat"/>
        <c:majorUnit val="500"/>
      </c:valAx>
    </c:plotArea>
    <c:legend>
      <c:legendPos val="t"/>
      <c:overlay val="0"/>
      <c:txPr>
        <a:bodyPr anchorCtr="1"/>
        <a:lstStyle/>
        <a:p>
          <a:pPr>
            <a:defRPr sz="1100">
              <a:latin typeface="Arial"/>
              <a:ea typeface="Microsoft YaHei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strRef>
          <c:f>Locale!$D$3</c:f>
          <c:strCache>
            <c:ptCount val="1"/>
            <c:pt idx="0">
              <c:v>挡位分布</c:v>
            </c:pt>
          </c:strCache>
        </c:strRef>
      </c:tx>
      <c:layout>
        <c:manualLayout>
          <c:xMode val="edge"/>
          <c:yMode val="edge"/>
          <c:x val="0.45346296296296296"/>
          <c:y val="1.4814814814814815E-2"/>
        </c:manualLayout>
      </c:layout>
      <c:overlay val="1"/>
      <c:txPr>
        <a:bodyPr anchorCtr="1"/>
        <a:lstStyle/>
        <a:p>
          <a:pPr>
            <a:defRPr altLang="zh-CN" sz="1350">
              <a:latin typeface="Arial"/>
              <a:ea typeface="Microsoft YaHei"/>
              <a:cs typeface="Arial"/>
            </a:defRPr>
          </a:pPr>
          <a:endParaRPr lang="en-US"/>
        </a:p>
      </c:txPr>
    </c:title>
    <c:autoTitleDeleted val="0"/>
    <c:plotArea>
      <c:layout>
        <c:manualLayout>
          <c:xMode val="edge"/>
          <c:yMode val="edge"/>
          <c:x val="3.2129629629629633E-2"/>
          <c:y val="0.11481481481481481"/>
          <c:w val="0.95768518518518519"/>
          <c:h val="0.80555555555555558"/>
        </c:manualLayout>
      </c:layout>
      <c:scatterChart>
        <c:scatterStyle val="lineMarker"/>
        <c:varyColors val="0"/>
        <c:ser>
          <c:idx val="0"/>
          <c:order val="0"/>
          <c:tx>
            <c:strRef>
              <c:f>Locale!$D$25</c:f>
              <c:strCache>
                <c:ptCount val="1"/>
                <c:pt idx="0">
                  <c:v>1 挡</c:v>
                </c:pt>
              </c:strCache>
            </c:strRef>
          </c:tx>
          <c:spPr>
            <a:ln w="19050">
              <a:solidFill>
                <a:srgbClr val="D73027"/>
              </a:solidFill>
              <a:prstDash val="solid"/>
            </a:ln>
          </c:spPr>
          <c:marker>
            <c:symbol val="none"/>
          </c:marker>
          <c:xVal>
            <c:numRef>
              <c:f>Samples!$B$288:$B$289</c:f>
              <c:numCache>
                <c:formatCode>General</c:formatCode>
                <c:ptCount val="2"/>
                <c:pt idx="0">
                  <c:v>0</c:v>
                </c:pt>
                <c:pt idx="1">
                  <c:v>66.332219995224065</c:v>
                </c:pt>
              </c:numCache>
            </c:numRef>
          </c:xVal>
          <c:yVal>
            <c:numRef>
              <c:f>Samples!$C$288:$C$289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B9-4432-A168-B4DD6D31151B}"/>
            </c:ext>
          </c:extLst>
        </c:ser>
        <c:ser>
          <c:idx val="1"/>
          <c:order val="1"/>
          <c:tx>
            <c:strRef>
              <c:f>Locale!$D$29</c:f>
              <c:strCache>
                <c:ptCount val="1"/>
                <c:pt idx="0">
                  <c:v>2 挡</c:v>
                </c:pt>
              </c:strCache>
            </c:strRef>
          </c:tx>
          <c:spPr>
            <a:ln w="19050">
              <a:solidFill>
                <a:srgbClr val="F46D43"/>
              </a:solidFill>
              <a:prstDash val="solid"/>
            </a:ln>
          </c:spPr>
          <c:marker>
            <c:symbol val="none"/>
          </c:marker>
          <c:xVal>
            <c:numRef>
              <c:f>Samples!$D$288:$D$289</c:f>
              <c:numCache>
                <c:formatCode>General</c:formatCode>
                <c:ptCount val="2"/>
                <c:pt idx="0">
                  <c:v>0</c:v>
                </c:pt>
                <c:pt idx="1">
                  <c:v>81.523689959165253</c:v>
                </c:pt>
              </c:numCache>
            </c:numRef>
          </c:xVal>
          <c:yVal>
            <c:numRef>
              <c:f>Samples!$E$288:$E$289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9B9-4432-A168-B4DD6D31151B}"/>
            </c:ext>
          </c:extLst>
        </c:ser>
        <c:ser>
          <c:idx val="2"/>
          <c:order val="2"/>
          <c:tx>
            <c:strRef>
              <c:f>Locale!$D$28</c:f>
              <c:strCache>
                <c:ptCount val="1"/>
                <c:pt idx="0">
                  <c:v>3 挡</c:v>
                </c:pt>
              </c:strCache>
            </c:strRef>
          </c:tx>
          <c:spPr>
            <a:ln w="19050">
              <a:solidFill>
                <a:srgbClr val="DBAA15"/>
              </a:solidFill>
              <a:prstDash val="solid"/>
            </a:ln>
          </c:spPr>
          <c:marker>
            <c:symbol val="none"/>
          </c:marker>
          <c:xVal>
            <c:numRef>
              <c:f>Samples!$F$288:$F$289</c:f>
              <c:numCache>
                <c:formatCode>General</c:formatCode>
                <c:ptCount val="2"/>
                <c:pt idx="0">
                  <c:v>0</c:v>
                </c:pt>
                <c:pt idx="1">
                  <c:v>101.59379228026695</c:v>
                </c:pt>
              </c:numCache>
            </c:numRef>
          </c:xVal>
          <c:yVal>
            <c:numRef>
              <c:f>Samples!$G$288:$G$289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9B9-4432-A168-B4DD6D31151B}"/>
            </c:ext>
          </c:extLst>
        </c:ser>
        <c:ser>
          <c:idx val="3"/>
          <c:order val="3"/>
          <c:tx>
            <c:strRef>
              <c:f>Locale!$D$23</c:f>
              <c:strCache>
                <c:ptCount val="1"/>
                <c:pt idx="0">
                  <c:v>4 挡</c:v>
                </c:pt>
              </c:strCache>
            </c:strRef>
          </c:tx>
          <c:spPr>
            <a:ln w="19050">
              <a:solidFill>
                <a:srgbClr val="C47C18"/>
              </a:solidFill>
              <a:prstDash val="solid"/>
            </a:ln>
          </c:spPr>
          <c:marker>
            <c:symbol val="none"/>
          </c:marker>
          <c:xVal>
            <c:numRef>
              <c:f>Samples!$H$288:$H$289</c:f>
              <c:numCache>
                <c:formatCode>General</c:formatCode>
                <c:ptCount val="2"/>
                <c:pt idx="0">
                  <c:v>0</c:v>
                </c:pt>
                <c:pt idx="1">
                  <c:v>126.16761541299385</c:v>
                </c:pt>
              </c:numCache>
            </c:numRef>
          </c:xVal>
          <c:yVal>
            <c:numRef>
              <c:f>Samples!$I$288:$I$289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9B9-4432-A168-B4DD6D31151B}"/>
            </c:ext>
          </c:extLst>
        </c:ser>
        <c:ser>
          <c:idx val="4"/>
          <c:order val="4"/>
          <c:tx>
            <c:strRef>
              <c:f>Locale!$D$22</c:f>
              <c:strCache>
                <c:ptCount val="1"/>
                <c:pt idx="0">
                  <c:v>5 挡</c:v>
                </c:pt>
              </c:strCache>
            </c:strRef>
          </c:tx>
          <c:spPr>
            <a:ln w="19050">
              <a:solidFill>
                <a:srgbClr val="505050"/>
              </a:solidFill>
              <a:prstDash val="solid"/>
            </a:ln>
          </c:spPr>
          <c:marker>
            <c:symbol val="none"/>
          </c:marker>
          <c:xVal>
            <c:numRef>
              <c:f>Samples!$J$288:$J$289</c:f>
              <c:numCache>
                <c:formatCode>General</c:formatCode>
                <c:ptCount val="2"/>
                <c:pt idx="0">
                  <c:v>0</c:v>
                </c:pt>
                <c:pt idx="1">
                  <c:v>156.37676276540085</c:v>
                </c:pt>
              </c:numCache>
            </c:numRef>
          </c:xVal>
          <c:yVal>
            <c:numRef>
              <c:f>Samples!$K$288:$K$289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9B9-4432-A168-B4DD6D31151B}"/>
            </c:ext>
          </c:extLst>
        </c:ser>
        <c:ser>
          <c:idx val="5"/>
          <c:order val="5"/>
          <c:tx>
            <c:strRef>
              <c:f>Locale!$D$27</c:f>
              <c:strCache>
                <c:ptCount val="1"/>
                <c:pt idx="0">
                  <c:v>6 挡</c:v>
                </c:pt>
              </c:strCache>
            </c:strRef>
          </c:tx>
          <c:spPr>
            <a:ln w="19050">
              <a:solidFill>
                <a:srgbClr val="2C7C50"/>
              </a:solidFill>
              <a:prstDash val="solid"/>
            </a:ln>
          </c:spPr>
          <c:marker>
            <c:symbol val="none"/>
          </c:marker>
          <c:xVal>
            <c:numRef>
              <c:f>Samples!$L$288:$L$289</c:f>
              <c:numCache>
                <c:formatCode>General</c:formatCode>
                <c:ptCount val="2"/>
                <c:pt idx="0">
                  <c:v>0</c:v>
                </c:pt>
                <c:pt idx="1">
                  <c:v>191.4267268335079</c:v>
                </c:pt>
              </c:numCache>
            </c:numRef>
          </c:xVal>
          <c:yVal>
            <c:numRef>
              <c:f>Samples!$M$288:$M$289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9B9-4432-A168-B4DD6D31151B}"/>
            </c:ext>
          </c:extLst>
        </c:ser>
        <c:ser>
          <c:idx val="6"/>
          <c:order val="6"/>
          <c:tx>
            <c:strRef>
              <c:f>Locale!$D$53</c:f>
              <c:strCache>
                <c:ptCount val="1"/>
                <c:pt idx="0">
                  <c:v>1 升 2 挡</c:v>
                </c:pt>
              </c:strCache>
            </c:strRef>
          </c:tx>
          <c:spPr>
            <a:ln w="12383">
              <a:solidFill>
                <a:srgbClr val="D73027"/>
              </a:solidFill>
              <a:prstDash val="solid"/>
            </a:ln>
          </c:spPr>
          <c:marker>
            <c:symbol val="none"/>
          </c:marker>
          <c:xVal>
            <c:numRef>
              <c:f>Samples!$B$294:$B$295</c:f>
              <c:numCache>
                <c:formatCode>General</c:formatCode>
                <c:ptCount val="2"/>
                <c:pt idx="0">
                  <c:v>55.641026890111483</c:v>
                </c:pt>
                <c:pt idx="1">
                  <c:v>55.641026890111483</c:v>
                </c:pt>
              </c:numCache>
            </c:numRef>
          </c:xVal>
          <c:yVal>
            <c:numRef>
              <c:f>Samples!$C$294:$C$295</c:f>
              <c:numCache>
                <c:formatCode>General</c:formatCode>
                <c:ptCount val="2"/>
                <c:pt idx="0">
                  <c:v>7130</c:v>
                </c:pt>
                <c:pt idx="1">
                  <c:v>5801.3655761024174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9B9-4432-A168-B4DD6D31151B}"/>
            </c:ext>
          </c:extLst>
        </c:ser>
        <c:ser>
          <c:idx val="7"/>
          <c:order val="7"/>
          <c:tx>
            <c:strRef>
              <c:f>Locale!$D$55</c:f>
              <c:strCache>
                <c:ptCount val="1"/>
                <c:pt idx="0">
                  <c:v>2 升 3 挡</c:v>
                </c:pt>
              </c:strCache>
            </c:strRef>
          </c:tx>
          <c:spPr>
            <a:ln w="12383">
              <a:solidFill>
                <a:srgbClr val="F46D43"/>
              </a:solidFill>
              <a:prstDash val="solid"/>
            </a:ln>
          </c:spPr>
          <c:marker>
            <c:symbol val="none"/>
          </c:marker>
          <c:xVal>
            <c:numRef>
              <c:f>Samples!$D$294:$D$295</c:f>
              <c:numCache>
                <c:formatCode>General</c:formatCode>
                <c:ptCount val="2"/>
                <c:pt idx="0">
                  <c:v>70.685834705770347</c:v>
                </c:pt>
                <c:pt idx="1">
                  <c:v>70.685834705770347</c:v>
                </c:pt>
              </c:numCache>
            </c:numRef>
          </c:xVal>
          <c:yVal>
            <c:numRef>
              <c:f>Samples!$E$294:$E$295</c:f>
              <c:numCache>
                <c:formatCode>General</c:formatCode>
                <c:ptCount val="2"/>
                <c:pt idx="0">
                  <c:v>7370</c:v>
                </c:pt>
                <c:pt idx="1">
                  <c:v>5914.038461538461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B9-4432-A168-B4DD6D31151B}"/>
            </c:ext>
          </c:extLst>
        </c:ser>
        <c:ser>
          <c:idx val="8"/>
          <c:order val="8"/>
          <c:tx>
            <c:strRef>
              <c:f>Locale!$D$54</c:f>
              <c:strCache>
                <c:ptCount val="1"/>
                <c:pt idx="0">
                  <c:v>3 升 4 挡</c:v>
                </c:pt>
              </c:strCache>
            </c:strRef>
          </c:tx>
          <c:spPr>
            <a:ln w="12383">
              <a:solidFill>
                <a:srgbClr val="DBAA15"/>
              </a:solidFill>
              <a:prstDash val="solid"/>
            </a:ln>
          </c:spPr>
          <c:marker>
            <c:symbol val="none"/>
          </c:marker>
          <c:xVal>
            <c:numRef>
              <c:f>Samples!$F$294:$F$295</c:f>
              <c:numCache>
                <c:formatCode>General</c:formatCode>
                <c:ptCount val="2"/>
                <c:pt idx="0">
                  <c:v>89.043970880939852</c:v>
                </c:pt>
                <c:pt idx="1">
                  <c:v>89.043970880939852</c:v>
                </c:pt>
              </c:numCache>
            </c:numRef>
          </c:xVal>
          <c:yVal>
            <c:numRef>
              <c:f>Samples!$G$294:$G$295</c:f>
              <c:numCache>
                <c:formatCode>General</c:formatCode>
                <c:ptCount val="2"/>
                <c:pt idx="0">
                  <c:v>7450</c:v>
                </c:pt>
                <c:pt idx="1">
                  <c:v>5998.9542483660134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9B9-4432-A168-B4DD6D31151B}"/>
            </c:ext>
          </c:extLst>
        </c:ser>
        <c:ser>
          <c:idx val="9"/>
          <c:order val="9"/>
          <c:tx>
            <c:strRef>
              <c:f>Locale!$D$50</c:f>
              <c:strCache>
                <c:ptCount val="1"/>
                <c:pt idx="0">
                  <c:v>4 升 5 挡</c:v>
                </c:pt>
              </c:strCache>
            </c:strRef>
          </c:tx>
          <c:spPr>
            <a:ln w="12383">
              <a:solidFill>
                <a:srgbClr val="C47C18"/>
              </a:solidFill>
              <a:prstDash val="solid"/>
            </a:ln>
          </c:spPr>
          <c:marker>
            <c:symbol val="none"/>
          </c:marker>
          <c:xVal>
            <c:numRef>
              <c:f>Samples!$H$294:$H$295</c:f>
              <c:numCache>
                <c:formatCode>General</c:formatCode>
                <c:ptCount val="2"/>
                <c:pt idx="0">
                  <c:v>111.47279902959809</c:v>
                </c:pt>
                <c:pt idx="1">
                  <c:v>111.47279902959809</c:v>
                </c:pt>
              </c:numCache>
            </c:numRef>
          </c:xVal>
          <c:yVal>
            <c:numRef>
              <c:f>Samples!$I$294:$I$295</c:f>
              <c:numCache>
                <c:formatCode>General</c:formatCode>
                <c:ptCount val="2"/>
                <c:pt idx="0">
                  <c:v>7510</c:v>
                </c:pt>
                <c:pt idx="1">
                  <c:v>6059.204545454546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9B9-4432-A168-B4DD6D31151B}"/>
            </c:ext>
          </c:extLst>
        </c:ser>
        <c:ser>
          <c:idx val="10"/>
          <c:order val="10"/>
          <c:tx>
            <c:strRef>
              <c:f>Locale!$D$49</c:f>
              <c:strCache>
                <c:ptCount val="1"/>
                <c:pt idx="0">
                  <c:v>5 升 6 挡</c:v>
                </c:pt>
              </c:strCache>
            </c:strRef>
          </c:tx>
          <c:spPr>
            <a:ln w="12383">
              <a:solidFill>
                <a:srgbClr val="505050"/>
              </a:solidFill>
              <a:prstDash val="solid"/>
            </a:ln>
          </c:spPr>
          <c:marker>
            <c:symbol val="none"/>
          </c:marker>
          <c:xVal>
            <c:numRef>
              <c:f>Samples!$J$294:$J$295</c:f>
              <c:numCache>
                <c:formatCode>General</c:formatCode>
                <c:ptCount val="2"/>
                <c:pt idx="0">
                  <c:v>137.97949655770663</c:v>
                </c:pt>
                <c:pt idx="1">
                  <c:v>137.97949655770663</c:v>
                </c:pt>
              </c:numCache>
            </c:numRef>
          </c:xVal>
          <c:yVal>
            <c:numRef>
              <c:f>Samples!$K$294:$K$295</c:f>
              <c:numCache>
                <c:formatCode>General</c:formatCode>
                <c:ptCount val="2"/>
                <c:pt idx="0">
                  <c:v>7500</c:v>
                </c:pt>
                <c:pt idx="1">
                  <c:v>6126.7605633802814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F9B9-4432-A168-B4DD6D3115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ax val="9000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strRef>
              <c:f>Locale!$D$16</c:f>
              <c:strCache>
                <c:ptCount val="1"/>
                <c:pt idx="0">
                  <c:v>发动机转速 (rpm)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/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in val="0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strRef>
              <c:f>Locale!$D$45</c:f>
              <c:strCache>
                <c:ptCount val="1"/>
                <c:pt idx="0">
                  <c:v>车速 (km/h)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/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25"/>
      </c:valAx>
    </c:plotArea>
    <c:legend>
      <c:legendPos val="t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0.30788291046952465"/>
          <c:y val="5.9259259259259262E-2"/>
          <c:w val="0.38423410615339748"/>
          <c:h val="3.364260717410323E-2"/>
        </c:manualLayout>
      </c:layout>
      <c:overlay val="0"/>
      <c:txPr>
        <a:bodyPr/>
        <a:lstStyle/>
        <a:p>
          <a:pPr>
            <a:defRPr sz="1100">
              <a:latin typeface="Arial"/>
              <a:ea typeface="Microsoft YaHei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strRef>
          <c:f>Locale!$D$8</c:f>
          <c:strCache>
            <c:ptCount val="1"/>
            <c:pt idx="0">
              <c:v>扭矩与功率</c:v>
            </c:pt>
          </c:strCache>
        </c:strRef>
      </c:tx>
      <c:overlay val="0"/>
      <c:txPr>
        <a:bodyPr/>
        <a:lstStyle/>
        <a:p>
          <a:pPr>
            <a:defRPr lang="en-US" sz="1350">
              <a:latin typeface="Arial"/>
              <a:ea typeface="Microsoft YaHei"/>
              <a:cs typeface="Arial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Locale!$D$58</c:f>
              <c:strCache>
                <c:ptCount val="1"/>
                <c:pt idx="0">
                  <c:v>扭矩 (Nm)</c:v>
                </c:pt>
              </c:strCache>
            </c:strRef>
          </c:tx>
          <c:spPr>
            <a:ln w="19050">
              <a:solidFill>
                <a:srgbClr val="426F9B"/>
              </a:solidFill>
              <a:prstDash val="solid"/>
            </a:ln>
          </c:spPr>
          <c:marker>
            <c:symbol val="none"/>
          </c:marker>
          <c:xVal>
            <c:numRef>
              <c:f>Samples!$B$97:$B$116</c:f>
              <c:numCache>
                <c:formatCode>General</c:formatCode>
                <c:ptCount val="20"/>
                <c:pt idx="0">
                  <c:v>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4000</c:v>
                </c:pt>
                <c:pt idx="9">
                  <c:v>4500</c:v>
                </c:pt>
                <c:pt idx="10">
                  <c:v>4860</c:v>
                </c:pt>
                <c:pt idx="11">
                  <c:v>5000</c:v>
                </c:pt>
                <c:pt idx="12">
                  <c:v>5500</c:v>
                </c:pt>
                <c:pt idx="13">
                  <c:v>6000</c:v>
                </c:pt>
                <c:pt idx="14">
                  <c:v>6500</c:v>
                </c:pt>
                <c:pt idx="15">
                  <c:v>6670</c:v>
                </c:pt>
                <c:pt idx="16">
                  <c:v>7000</c:v>
                </c:pt>
                <c:pt idx="17">
                  <c:v>7500</c:v>
                </c:pt>
                <c:pt idx="18">
                  <c:v>8000</c:v>
                </c:pt>
                <c:pt idx="19">
                  <c:v>8499</c:v>
                </c:pt>
              </c:numCache>
            </c:numRef>
          </c:xVal>
          <c:yVal>
            <c:numRef>
              <c:f>Samples!$C$97:$C$116</c:f>
              <c:numCache>
                <c:formatCode>0.00</c:formatCode>
                <c:ptCount val="20"/>
                <c:pt idx="0">
                  <c:v>-12.15</c:v>
                </c:pt>
                <c:pt idx="1">
                  <c:v>37.607959843714411</c:v>
                </c:pt>
                <c:pt idx="2">
                  <c:v>141.03569204279131</c:v>
                </c:pt>
                <c:pt idx="3">
                  <c:v>278.88278637512616</c:v>
                </c:pt>
                <c:pt idx="4">
                  <c:v>377.97203339025481</c:v>
                </c:pt>
                <c:pt idx="5">
                  <c:v>401.0745188774066</c:v>
                </c:pt>
                <c:pt idx="6">
                  <c:v>420.15432677720401</c:v>
                </c:pt>
                <c:pt idx="7">
                  <c:v>434.59643200985198</c:v>
                </c:pt>
                <c:pt idx="8">
                  <c:v>441.61027704675757</c:v>
                </c:pt>
                <c:pt idx="9">
                  <c:v>445.04988072588696</c:v>
                </c:pt>
                <c:pt idx="10">
                  <c:v>445.97739055382596</c:v>
                </c:pt>
                <c:pt idx="11">
                  <c:v>445.78790313598341</c:v>
                </c:pt>
                <c:pt idx="12">
                  <c:v>442.17584901438272</c:v>
                </c:pt>
                <c:pt idx="13">
                  <c:v>431.71057345825471</c:v>
                </c:pt>
                <c:pt idx="14">
                  <c:v>409.39327523553129</c:v>
                </c:pt>
                <c:pt idx="15">
                  <c:v>399.74936902349452</c:v>
                </c:pt>
                <c:pt idx="16">
                  <c:v>378.66221654161524</c:v>
                </c:pt>
                <c:pt idx="17">
                  <c:v>342.718175202944</c:v>
                </c:pt>
                <c:pt idx="18">
                  <c:v>299.11076922716995</c:v>
                </c:pt>
                <c:pt idx="19">
                  <c:v>249.98546670258065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BAA-4D41-AAD1-3DF92D63A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scatterChart>
        <c:scatterStyle val="smoothMarker"/>
        <c:varyColors val="0"/>
        <c:ser>
          <c:idx val="1"/>
          <c:order val="1"/>
          <c:tx>
            <c:strRef>
              <c:f>Locale!$D$43</c:f>
              <c:strCache>
                <c:ptCount val="1"/>
                <c:pt idx="0">
                  <c:v>功率 (hp)</c:v>
                </c:pt>
              </c:strCache>
            </c:strRef>
          </c:tx>
          <c:spPr>
            <a:ln w="19050">
              <a:solidFill>
                <a:srgbClr val="C95745"/>
              </a:solidFill>
              <a:prstDash val="solid"/>
            </a:ln>
          </c:spPr>
          <c:marker>
            <c:symbol val="none"/>
          </c:marker>
          <c:xVal>
            <c:numRef>
              <c:f>Samples!$B$97:$B$116</c:f>
              <c:numCache>
                <c:formatCode>General</c:formatCode>
                <c:ptCount val="20"/>
                <c:pt idx="0">
                  <c:v>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4000</c:v>
                </c:pt>
                <c:pt idx="9">
                  <c:v>4500</c:v>
                </c:pt>
                <c:pt idx="10">
                  <c:v>4860</c:v>
                </c:pt>
                <c:pt idx="11">
                  <c:v>5000</c:v>
                </c:pt>
                <c:pt idx="12">
                  <c:v>5500</c:v>
                </c:pt>
                <c:pt idx="13">
                  <c:v>6000</c:v>
                </c:pt>
                <c:pt idx="14">
                  <c:v>6500</c:v>
                </c:pt>
                <c:pt idx="15">
                  <c:v>6670</c:v>
                </c:pt>
                <c:pt idx="16">
                  <c:v>7000</c:v>
                </c:pt>
                <c:pt idx="17">
                  <c:v>7500</c:v>
                </c:pt>
                <c:pt idx="18">
                  <c:v>8000</c:v>
                </c:pt>
                <c:pt idx="19">
                  <c:v>8499</c:v>
                </c:pt>
              </c:numCache>
            </c:numRef>
          </c:xVal>
          <c:yVal>
            <c:numRef>
              <c:f>Samples!$D$97:$D$116</c:f>
              <c:numCache>
                <c:formatCode>0.0</c:formatCode>
                <c:ptCount val="20"/>
                <c:pt idx="0">
                  <c:v>0</c:v>
                </c:pt>
                <c:pt idx="1">
                  <c:v>2.6406711972655037</c:v>
                </c:pt>
                <c:pt idx="2">
                  <c:v>19.805854468654587</c:v>
                </c:pt>
                <c:pt idx="3">
                  <c:v>58.74589404378672</c:v>
                </c:pt>
                <c:pt idx="4">
                  <c:v>106.15836286714588</c:v>
                </c:pt>
                <c:pt idx="5">
                  <c:v>140.8087455897585</c:v>
                </c:pt>
                <c:pt idx="6">
                  <c:v>177.0087131135578</c:v>
                </c:pt>
                <c:pt idx="7">
                  <c:v>213.6086082968433</c:v>
                </c:pt>
                <c:pt idx="8">
                  <c:v>248.06398302059785</c:v>
                </c:pt>
                <c:pt idx="9">
                  <c:v>281.24561014126573</c:v>
                </c:pt>
                <c:pt idx="10">
                  <c:v>304.37828173286493</c:v>
                </c:pt>
                <c:pt idx="11">
                  <c:v>313.01333036743364</c:v>
                </c:pt>
                <c:pt idx="12">
                  <c:v>341.52480932709761</c:v>
                </c:pt>
                <c:pt idx="13">
                  <c:v>363.75459289692509</c:v>
                </c:pt>
                <c:pt idx="14">
                  <c:v>373.69613911246063</c:v>
                </c:pt>
                <c:pt idx="15">
                  <c:v>374.43649433675955</c:v>
                </c:pt>
                <c:pt idx="16">
                  <c:v>372.23273424489935</c:v>
                </c:pt>
                <c:pt idx="17">
                  <c:v>360.96321807884431</c:v>
                </c:pt>
                <c:pt idx="18">
                  <c:v>336.03660347329526</c:v>
                </c:pt>
                <c:pt idx="19">
                  <c:v>298.36449400464443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BAA-4D41-AAD1-3DF92D63A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9338767"/>
        <c:axId val="1509416047"/>
      </c:scatterChart>
      <c:valAx>
        <c:axId val="48672768"/>
        <c:scaling>
          <c:orientation val="minMax"/>
          <c:max val="500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strRef>
              <c:f>Locale!$D$58</c:f>
              <c:strCache>
                <c:ptCount val="1"/>
                <c:pt idx="0">
                  <c:v>扭矩 (Nm)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/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"/>
      </c:valAx>
      <c:valAx>
        <c:axId val="48650112"/>
        <c:scaling>
          <c:orientation val="minMax"/>
          <c:max val="9000"/>
          <c:min val="2500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strRef>
              <c:f>Locale!$D$16</c:f>
              <c:strCache>
                <c:ptCount val="1"/>
                <c:pt idx="0">
                  <c:v>发动机转速 (rpm)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/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500"/>
      </c:valAx>
      <c:valAx>
        <c:axId val="1509416047"/>
        <c:scaling>
          <c:orientation val="minMax"/>
          <c:max val="500"/>
          <c:min val="0"/>
        </c:scaling>
        <c:delete val="0"/>
        <c:axPos val="r"/>
        <c:title>
          <c:tx>
            <c:strRef>
              <c:f>Locale!$D$43</c:f>
              <c:strCache>
                <c:ptCount val="1"/>
                <c:pt idx="0">
                  <c:v>功率 (hp)</c:v>
                </c:pt>
              </c:strCache>
            </c:strRef>
          </c:tx>
          <c:overlay val="0"/>
          <c:txPr>
            <a:bodyPr/>
            <a:lstStyle/>
            <a:p>
              <a:pPr>
                <a:defRPr altLang="zh-CN" sz="1100">
                  <a:latin typeface="Arial"/>
                  <a:ea typeface="Microsoft YaHei"/>
                  <a:cs typeface="Arial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1509338767"/>
        <c:crosses val="max"/>
        <c:crossBetween val="midCat"/>
        <c:majorUnit val="100"/>
      </c:valAx>
      <c:valAx>
        <c:axId val="1509338767"/>
        <c:scaling>
          <c:orientation val="minMax"/>
          <c:max val="9000"/>
          <c:min val="2500"/>
        </c:scaling>
        <c:delete val="1"/>
        <c:axPos val="b"/>
        <c:numFmt formatCode="General" sourceLinked="1"/>
        <c:majorTickMark val="out"/>
        <c:minorTickMark val="none"/>
        <c:tickLblPos val="nextTo"/>
        <c:crossAx val="1509416047"/>
        <c:crosses val="autoZero"/>
        <c:crossBetween val="midCat"/>
        <c:majorUnit val="500"/>
      </c:valAx>
    </c:plotArea>
    <c:legend>
      <c:legendPos val="t"/>
      <c:overlay val="0"/>
      <c:txPr>
        <a:bodyPr anchorCtr="1"/>
        <a:lstStyle/>
        <a:p>
          <a:pPr>
            <a:defRPr sz="1100">
              <a:latin typeface="Arial"/>
              <a:ea typeface="Microsoft YaHei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strRef>
          <c:f>Locale!$D$3</c:f>
          <c:strCache>
            <c:ptCount val="1"/>
            <c:pt idx="0">
              <c:v>挡位分布</c:v>
            </c:pt>
          </c:strCache>
        </c:strRef>
      </c:tx>
      <c:layout>
        <c:manualLayout>
          <c:xMode val="edge"/>
          <c:yMode val="edge"/>
          <c:x val="0.45346296296296296"/>
          <c:y val="1.4814814814814815E-2"/>
        </c:manualLayout>
      </c:layout>
      <c:overlay val="1"/>
      <c:txPr>
        <a:bodyPr anchorCtr="1"/>
        <a:lstStyle/>
        <a:p>
          <a:pPr>
            <a:defRPr altLang="zh-CN" sz="1350">
              <a:latin typeface="Arial"/>
              <a:ea typeface="Microsoft YaHei"/>
              <a:cs typeface="Arial"/>
            </a:defRPr>
          </a:pPr>
          <a:endParaRPr lang="en-US"/>
        </a:p>
      </c:txPr>
    </c:title>
    <c:autoTitleDeleted val="0"/>
    <c:plotArea>
      <c:layout>
        <c:manualLayout>
          <c:xMode val="edge"/>
          <c:yMode val="edge"/>
          <c:x val="3.2129629629629633E-2"/>
          <c:y val="0.11481481481481481"/>
          <c:w val="0.95768518518518519"/>
          <c:h val="0.80555555555555558"/>
        </c:manualLayout>
      </c:layout>
      <c:scatterChart>
        <c:scatterStyle val="lineMarker"/>
        <c:varyColors val="0"/>
        <c:ser>
          <c:idx val="0"/>
          <c:order val="0"/>
          <c:tx>
            <c:strRef>
              <c:f>Locale!$D$25</c:f>
              <c:strCache>
                <c:ptCount val="1"/>
                <c:pt idx="0">
                  <c:v>1 挡</c:v>
                </c:pt>
              </c:strCache>
            </c:strRef>
          </c:tx>
          <c:spPr>
            <a:ln w="19050">
              <a:solidFill>
                <a:srgbClr val="D73027"/>
              </a:solidFill>
              <a:prstDash val="solid"/>
            </a:ln>
          </c:spPr>
          <c:marker>
            <c:symbol val="none"/>
          </c:marker>
          <c:xVal>
            <c:numRef>
              <c:f>Samples!$B$326:$B$327</c:f>
              <c:numCache>
                <c:formatCode>General</c:formatCode>
                <c:ptCount val="2"/>
                <c:pt idx="0">
                  <c:v>0</c:v>
                </c:pt>
                <c:pt idx="1">
                  <c:v>59.243074983029985</c:v>
                </c:pt>
              </c:numCache>
            </c:numRef>
          </c:xVal>
          <c:yVal>
            <c:numRef>
              <c:f>Samples!$C$326:$C$327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50-4B30-9A38-AD6B8822F56C}"/>
            </c:ext>
          </c:extLst>
        </c:ser>
        <c:ser>
          <c:idx val="1"/>
          <c:order val="1"/>
          <c:tx>
            <c:strRef>
              <c:f>Locale!$D$29</c:f>
              <c:strCache>
                <c:ptCount val="1"/>
                <c:pt idx="0">
                  <c:v>2 挡</c:v>
                </c:pt>
              </c:strCache>
            </c:strRef>
          </c:tx>
          <c:spPr>
            <a:ln w="19050">
              <a:solidFill>
                <a:srgbClr val="F46D43"/>
              </a:solidFill>
              <a:prstDash val="solid"/>
            </a:ln>
          </c:spPr>
          <c:marker>
            <c:symbol val="none"/>
          </c:marker>
          <c:xVal>
            <c:numRef>
              <c:f>Samples!$D$326:$D$327</c:f>
              <c:numCache>
                <c:formatCode>General</c:formatCode>
                <c:ptCount val="2"/>
                <c:pt idx="0">
                  <c:v>0</c:v>
                </c:pt>
                <c:pt idx="1">
                  <c:v>82.909114150321344</c:v>
                </c:pt>
              </c:numCache>
            </c:numRef>
          </c:xVal>
          <c:yVal>
            <c:numRef>
              <c:f>Samples!$E$326:$E$327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050-4B30-9A38-AD6B8822F56C}"/>
            </c:ext>
          </c:extLst>
        </c:ser>
        <c:ser>
          <c:idx val="2"/>
          <c:order val="2"/>
          <c:tx>
            <c:strRef>
              <c:f>Locale!$D$28</c:f>
              <c:strCache>
                <c:ptCount val="1"/>
                <c:pt idx="0">
                  <c:v>3 挡</c:v>
                </c:pt>
              </c:strCache>
            </c:strRef>
          </c:tx>
          <c:spPr>
            <a:ln w="19050">
              <a:solidFill>
                <a:srgbClr val="DBAA15"/>
              </a:solidFill>
              <a:prstDash val="solid"/>
            </a:ln>
          </c:spPr>
          <c:marker>
            <c:symbol val="none"/>
          </c:marker>
          <c:xVal>
            <c:numRef>
              <c:f>Samples!$F$326:$F$327</c:f>
              <c:numCache>
                <c:formatCode>General</c:formatCode>
                <c:ptCount val="2"/>
                <c:pt idx="0">
                  <c:v>0</c:v>
                </c:pt>
                <c:pt idx="1">
                  <c:v>113.64943522906026</c:v>
                </c:pt>
              </c:numCache>
            </c:numRef>
          </c:xVal>
          <c:yVal>
            <c:numRef>
              <c:f>Samples!$G$326:$G$327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050-4B30-9A38-AD6B8822F56C}"/>
            </c:ext>
          </c:extLst>
        </c:ser>
        <c:ser>
          <c:idx val="3"/>
          <c:order val="3"/>
          <c:tx>
            <c:strRef>
              <c:f>Locale!$D$23</c:f>
              <c:strCache>
                <c:ptCount val="1"/>
                <c:pt idx="0">
                  <c:v>4 挡</c:v>
                </c:pt>
              </c:strCache>
            </c:strRef>
          </c:tx>
          <c:spPr>
            <a:ln w="19050">
              <a:solidFill>
                <a:srgbClr val="C47C18"/>
              </a:solidFill>
              <a:prstDash val="solid"/>
            </a:ln>
          </c:spPr>
          <c:marker>
            <c:symbol val="none"/>
          </c:marker>
          <c:xVal>
            <c:numRef>
              <c:f>Samples!$H$326:$H$327</c:f>
              <c:numCache>
                <c:formatCode>General</c:formatCode>
                <c:ptCount val="2"/>
                <c:pt idx="0">
                  <c:v>0</c:v>
                </c:pt>
                <c:pt idx="1">
                  <c:v>143.3224106386954</c:v>
                </c:pt>
              </c:numCache>
            </c:numRef>
          </c:xVal>
          <c:yVal>
            <c:numRef>
              <c:f>Samples!$I$326:$I$327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050-4B30-9A38-AD6B8822F56C}"/>
            </c:ext>
          </c:extLst>
        </c:ser>
        <c:ser>
          <c:idx val="4"/>
          <c:order val="4"/>
          <c:tx>
            <c:strRef>
              <c:f>Locale!$D$22</c:f>
              <c:strCache>
                <c:ptCount val="1"/>
                <c:pt idx="0">
                  <c:v>5 挡</c:v>
                </c:pt>
              </c:strCache>
            </c:strRef>
          </c:tx>
          <c:spPr>
            <a:ln w="19050">
              <a:solidFill>
                <a:srgbClr val="505050"/>
              </a:solidFill>
              <a:prstDash val="solid"/>
            </a:ln>
          </c:spPr>
          <c:marker>
            <c:symbol val="none"/>
          </c:marker>
          <c:xVal>
            <c:numRef>
              <c:f>Samples!$J$326:$J$327</c:f>
              <c:numCache>
                <c:formatCode>General</c:formatCode>
                <c:ptCount val="2"/>
                <c:pt idx="0">
                  <c:v>0</c:v>
                </c:pt>
                <c:pt idx="1">
                  <c:v>187.47083177293638</c:v>
                </c:pt>
              </c:numCache>
            </c:numRef>
          </c:xVal>
          <c:yVal>
            <c:numRef>
              <c:f>Samples!$K$326:$K$327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050-4B30-9A38-AD6B8822F56C}"/>
            </c:ext>
          </c:extLst>
        </c:ser>
        <c:ser>
          <c:idx val="5"/>
          <c:order val="5"/>
          <c:tx>
            <c:strRef>
              <c:f>Locale!$D$53</c:f>
              <c:strCache>
                <c:ptCount val="1"/>
                <c:pt idx="0">
                  <c:v>1 升 2 挡</c:v>
                </c:pt>
              </c:strCache>
            </c:strRef>
          </c:tx>
          <c:spPr>
            <a:ln w="12383">
              <a:solidFill>
                <a:srgbClr val="D73027"/>
              </a:solidFill>
              <a:prstDash val="solid"/>
            </a:ln>
          </c:spPr>
          <c:marker>
            <c:symbol val="none"/>
          </c:marker>
          <c:xVal>
            <c:numRef>
              <c:f>Samples!$B$332:$B$333</c:f>
              <c:numCache>
                <c:formatCode>General</c:formatCode>
                <c:ptCount val="2"/>
                <c:pt idx="0">
                  <c:v>51.158137691228248</c:v>
                </c:pt>
                <c:pt idx="1">
                  <c:v>51.158137691228248</c:v>
                </c:pt>
              </c:numCache>
            </c:numRef>
          </c:xVal>
          <c:yVal>
            <c:numRef>
              <c:f>Samples!$C$332:$C$333</c:f>
              <c:numCache>
                <c:formatCode>General</c:formatCode>
                <c:ptCount val="2"/>
                <c:pt idx="0">
                  <c:v>7340</c:v>
                </c:pt>
                <c:pt idx="1">
                  <c:v>5244.8295320949919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050-4B30-9A38-AD6B8822F56C}"/>
            </c:ext>
          </c:extLst>
        </c:ser>
        <c:ser>
          <c:idx val="6"/>
          <c:order val="6"/>
          <c:tx>
            <c:strRef>
              <c:f>Locale!$D$55</c:f>
              <c:strCache>
                <c:ptCount val="1"/>
                <c:pt idx="0">
                  <c:v>2 升 3 挡</c:v>
                </c:pt>
              </c:strCache>
            </c:strRef>
          </c:tx>
          <c:spPr>
            <a:ln w="12383">
              <a:solidFill>
                <a:srgbClr val="F46D43"/>
              </a:solidFill>
              <a:prstDash val="solid"/>
            </a:ln>
          </c:spPr>
          <c:marker>
            <c:symbol val="none"/>
          </c:marker>
          <c:xVal>
            <c:numRef>
              <c:f>Samples!$D$332:$D$333</c:f>
              <c:numCache>
                <c:formatCode>General</c:formatCode>
                <c:ptCount val="2"/>
                <c:pt idx="0">
                  <c:v>73.350180989460753</c:v>
                </c:pt>
                <c:pt idx="1">
                  <c:v>73.350180989460753</c:v>
                </c:pt>
              </c:numCache>
            </c:numRef>
          </c:xVal>
          <c:yVal>
            <c:numRef>
              <c:f>Samples!$E$332:$E$333</c:f>
              <c:numCache>
                <c:formatCode>General</c:formatCode>
                <c:ptCount val="2"/>
                <c:pt idx="0">
                  <c:v>7520</c:v>
                </c:pt>
                <c:pt idx="1">
                  <c:v>5485.9624876604148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050-4B30-9A38-AD6B8822F56C}"/>
            </c:ext>
          </c:extLst>
        </c:ser>
        <c:ser>
          <c:idx val="7"/>
          <c:order val="7"/>
          <c:tx>
            <c:strRef>
              <c:f>Locale!$D$54</c:f>
              <c:strCache>
                <c:ptCount val="1"/>
                <c:pt idx="0">
                  <c:v>3 升 4 挡</c:v>
                </c:pt>
              </c:strCache>
            </c:strRef>
          </c:tx>
          <c:spPr>
            <a:ln w="12383">
              <a:solidFill>
                <a:srgbClr val="DBAA15"/>
              </a:solidFill>
              <a:prstDash val="solid"/>
            </a:ln>
          </c:spPr>
          <c:marker>
            <c:symbol val="none"/>
          </c:marker>
          <c:xVal>
            <c:numRef>
              <c:f>Samples!$F$332:$F$333</c:f>
              <c:numCache>
                <c:formatCode>General</c:formatCode>
                <c:ptCount val="2"/>
                <c:pt idx="0">
                  <c:v>98.139629950741437</c:v>
                </c:pt>
                <c:pt idx="1">
                  <c:v>98.139629950741437</c:v>
                </c:pt>
              </c:numCache>
            </c:numRef>
          </c:xVal>
          <c:yVal>
            <c:numRef>
              <c:f>Samples!$G$332:$G$333</c:f>
              <c:numCache>
                <c:formatCode>General</c:formatCode>
                <c:ptCount val="2"/>
                <c:pt idx="0">
                  <c:v>7340</c:v>
                </c:pt>
                <c:pt idx="1">
                  <c:v>5820.351826792963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050-4B30-9A38-AD6B8822F56C}"/>
            </c:ext>
          </c:extLst>
        </c:ser>
        <c:ser>
          <c:idx val="8"/>
          <c:order val="8"/>
          <c:tx>
            <c:strRef>
              <c:f>Locale!$D$50</c:f>
              <c:strCache>
                <c:ptCount val="1"/>
                <c:pt idx="0">
                  <c:v>4 升 5 挡</c:v>
                </c:pt>
              </c:strCache>
            </c:strRef>
          </c:tx>
          <c:spPr>
            <a:ln w="12383">
              <a:solidFill>
                <a:srgbClr val="C47C18"/>
              </a:solidFill>
              <a:prstDash val="solid"/>
            </a:ln>
          </c:spPr>
          <c:marker>
            <c:symbol val="none"/>
          </c:marker>
          <c:xVal>
            <c:numRef>
              <c:f>Samples!$H$332:$H$333</c:f>
              <c:numCache>
                <c:formatCode>General</c:formatCode>
                <c:ptCount val="2"/>
                <c:pt idx="0">
                  <c:v>126.7981797650576</c:v>
                </c:pt>
                <c:pt idx="1">
                  <c:v>126.7981797650576</c:v>
                </c:pt>
              </c:numCache>
            </c:numRef>
          </c:xVal>
          <c:yVal>
            <c:numRef>
              <c:f>Samples!$I$332:$I$333</c:f>
              <c:numCache>
                <c:formatCode>General</c:formatCode>
                <c:ptCount val="2"/>
                <c:pt idx="0">
                  <c:v>7520</c:v>
                </c:pt>
                <c:pt idx="1">
                  <c:v>5749.0784982935156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50-4B30-9A38-AD6B8822F5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ax val="9000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strRef>
              <c:f>Locale!$D$16</c:f>
              <c:strCache>
                <c:ptCount val="1"/>
                <c:pt idx="0">
                  <c:v>发动机转速 (rpm)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/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in val="0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strRef>
              <c:f>Locale!$D$45</c:f>
              <c:strCache>
                <c:ptCount val="1"/>
                <c:pt idx="0">
                  <c:v>车速 (km/h)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/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25"/>
      </c:valAx>
    </c:plotArea>
    <c:legend>
      <c:legendPos val="t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ayout>
        <c:manualLayout>
          <c:xMode val="edge"/>
          <c:yMode val="edge"/>
          <c:x val="0.3399024496937883"/>
          <c:y val="5.9259259259259262E-2"/>
          <c:w val="0.32019510061242346"/>
          <c:h val="3.364260717410323E-2"/>
        </c:manualLayout>
      </c:layout>
      <c:overlay val="0"/>
      <c:txPr>
        <a:bodyPr/>
        <a:lstStyle/>
        <a:p>
          <a:pPr>
            <a:defRPr sz="1100">
              <a:latin typeface="Arial"/>
              <a:ea typeface="Microsoft YaHei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strRef>
          <c:f>Locale!$D$8</c:f>
          <c:strCache>
            <c:ptCount val="1"/>
            <c:pt idx="0">
              <c:v>扭矩与功率</c:v>
            </c:pt>
          </c:strCache>
        </c:strRef>
      </c:tx>
      <c:overlay val="0"/>
      <c:txPr>
        <a:bodyPr/>
        <a:lstStyle/>
        <a:p>
          <a:pPr>
            <a:defRPr lang="en-US" sz="1350">
              <a:latin typeface="Arial"/>
              <a:ea typeface="Microsoft YaHei"/>
              <a:cs typeface="Arial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Locale!$D$58</c:f>
              <c:strCache>
                <c:ptCount val="1"/>
                <c:pt idx="0">
                  <c:v>扭矩 (Nm)</c:v>
                </c:pt>
              </c:strCache>
            </c:strRef>
          </c:tx>
          <c:spPr>
            <a:ln w="19050">
              <a:solidFill>
                <a:srgbClr val="426F9B"/>
              </a:solidFill>
              <a:prstDash val="solid"/>
            </a:ln>
          </c:spPr>
          <c:marker>
            <c:symbol val="none"/>
          </c:marker>
          <c:xVal>
            <c:numRef>
              <c:f>Samples!$B$127:$B$146</c:f>
              <c:numCache>
                <c:formatCode>General</c:formatCode>
                <c:ptCount val="20"/>
                <c:pt idx="0">
                  <c:v>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4000</c:v>
                </c:pt>
                <c:pt idx="9">
                  <c:v>4140</c:v>
                </c:pt>
                <c:pt idx="10">
                  <c:v>4500</c:v>
                </c:pt>
                <c:pt idx="11">
                  <c:v>5000</c:v>
                </c:pt>
                <c:pt idx="12">
                  <c:v>5500</c:v>
                </c:pt>
                <c:pt idx="13">
                  <c:v>5690</c:v>
                </c:pt>
                <c:pt idx="14">
                  <c:v>6000</c:v>
                </c:pt>
                <c:pt idx="15">
                  <c:v>6500</c:v>
                </c:pt>
                <c:pt idx="16">
                  <c:v>7000</c:v>
                </c:pt>
                <c:pt idx="17">
                  <c:v>7500</c:v>
                </c:pt>
                <c:pt idx="18">
                  <c:v>8000</c:v>
                </c:pt>
                <c:pt idx="19">
                  <c:v>8499</c:v>
                </c:pt>
              </c:numCache>
            </c:numRef>
          </c:xVal>
          <c:yVal>
            <c:numRef>
              <c:f>Samples!$C$127:$C$146</c:f>
              <c:numCache>
                <c:formatCode>0.00</c:formatCode>
                <c:ptCount val="20"/>
                <c:pt idx="0">
                  <c:v>-13.230000000000002</c:v>
                </c:pt>
                <c:pt idx="1">
                  <c:v>63.244986096004553</c:v>
                </c:pt>
                <c:pt idx="2">
                  <c:v>200.69013367948659</c:v>
                </c:pt>
                <c:pt idx="3">
                  <c:v>437.72909021486583</c:v>
                </c:pt>
                <c:pt idx="4">
                  <c:v>701.08596562095306</c:v>
                </c:pt>
                <c:pt idx="5">
                  <c:v>781.33066324650258</c:v>
                </c:pt>
                <c:pt idx="6">
                  <c:v>815.57038116415981</c:v>
                </c:pt>
                <c:pt idx="7">
                  <c:v>839.3101465704458</c:v>
                </c:pt>
                <c:pt idx="8">
                  <c:v>849.15980914838872</c:v>
                </c:pt>
                <c:pt idx="9">
                  <c:v>849.65873074466481</c:v>
                </c:pt>
                <c:pt idx="10">
                  <c:v>846.29454015823137</c:v>
                </c:pt>
                <c:pt idx="11">
                  <c:v>830.31349416463172</c:v>
                </c:pt>
                <c:pt idx="12">
                  <c:v>778.94554940973444</c:v>
                </c:pt>
                <c:pt idx="13">
                  <c:v>754.97659458085627</c:v>
                </c:pt>
                <c:pt idx="14">
                  <c:v>713.52169730177775</c:v>
                </c:pt>
                <c:pt idx="15">
                  <c:v>650.00524403360237</c:v>
                </c:pt>
                <c:pt idx="16">
                  <c:v>590.16355423147775</c:v>
                </c:pt>
                <c:pt idx="17">
                  <c:v>529.20441938131887</c:v>
                </c:pt>
                <c:pt idx="18">
                  <c:v>466.50031942689958</c:v>
                </c:pt>
                <c:pt idx="19">
                  <c:v>397.78844881517381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C4-4B96-9E3C-EEF59820E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scatterChart>
        <c:scatterStyle val="smoothMarker"/>
        <c:varyColors val="0"/>
        <c:ser>
          <c:idx val="1"/>
          <c:order val="1"/>
          <c:tx>
            <c:strRef>
              <c:f>Locale!$D$43</c:f>
              <c:strCache>
                <c:ptCount val="1"/>
                <c:pt idx="0">
                  <c:v>功率 (hp)</c:v>
                </c:pt>
              </c:strCache>
            </c:strRef>
          </c:tx>
          <c:spPr>
            <a:ln w="19050">
              <a:solidFill>
                <a:srgbClr val="C95745"/>
              </a:solidFill>
              <a:prstDash val="solid"/>
            </a:ln>
          </c:spPr>
          <c:marker>
            <c:symbol val="none"/>
          </c:marker>
          <c:xVal>
            <c:numRef>
              <c:f>Samples!$B$127:$B$146</c:f>
              <c:numCache>
                <c:formatCode>General</c:formatCode>
                <c:ptCount val="20"/>
                <c:pt idx="0">
                  <c:v>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4000</c:v>
                </c:pt>
                <c:pt idx="9">
                  <c:v>4140</c:v>
                </c:pt>
                <c:pt idx="10">
                  <c:v>4500</c:v>
                </c:pt>
                <c:pt idx="11">
                  <c:v>5000</c:v>
                </c:pt>
                <c:pt idx="12">
                  <c:v>5500</c:v>
                </c:pt>
                <c:pt idx="13">
                  <c:v>5690</c:v>
                </c:pt>
                <c:pt idx="14">
                  <c:v>6000</c:v>
                </c:pt>
                <c:pt idx="15">
                  <c:v>6500</c:v>
                </c:pt>
                <c:pt idx="16">
                  <c:v>7000</c:v>
                </c:pt>
                <c:pt idx="17">
                  <c:v>7500</c:v>
                </c:pt>
                <c:pt idx="18">
                  <c:v>8000</c:v>
                </c:pt>
                <c:pt idx="19">
                  <c:v>8499</c:v>
                </c:pt>
              </c:numCache>
            </c:numRef>
          </c:xVal>
          <c:yVal>
            <c:numRef>
              <c:f>Samples!$D$127:$D$146</c:f>
              <c:numCache>
                <c:formatCode>0.0</c:formatCode>
                <c:ptCount val="20"/>
                <c:pt idx="0">
                  <c:v>0</c:v>
                </c:pt>
                <c:pt idx="1">
                  <c:v>4.4407942852845155</c:v>
                </c:pt>
                <c:pt idx="2">
                  <c:v>28.183217477635015</c:v>
                </c:pt>
                <c:pt idx="3">
                  <c:v>92.206432271716551</c:v>
                </c:pt>
                <c:pt idx="4">
                  <c:v>196.90911433811758</c:v>
                </c:pt>
                <c:pt idx="5">
                  <c:v>274.30860202859827</c:v>
                </c:pt>
                <c:pt idx="6">
                  <c:v>343.59532777096314</c:v>
                </c:pt>
                <c:pt idx="7">
                  <c:v>412.5295541640993</c:v>
                </c:pt>
                <c:pt idx="8">
                  <c:v>476.99515936776282</c:v>
                </c:pt>
                <c:pt idx="9">
                  <c:v>493.98005619134659</c:v>
                </c:pt>
                <c:pt idx="10">
                  <c:v>534.80887112656421</c:v>
                </c:pt>
                <c:pt idx="11">
                  <c:v>583.01086734112721</c:v>
                </c:pt>
                <c:pt idx="12">
                  <c:v>601.63672627379901</c:v>
                </c:pt>
                <c:pt idx="13">
                  <c:v>603.26802096160782</c:v>
                </c:pt>
                <c:pt idx="14">
                  <c:v>601.20555409613723</c:v>
                </c:pt>
                <c:pt idx="15">
                  <c:v>593.32789469602972</c:v>
                </c:pt>
                <c:pt idx="16">
                  <c:v>580.14289212593815</c:v>
                </c:pt>
                <c:pt idx="17">
                  <c:v>557.37729733274523</c:v>
                </c:pt>
                <c:pt idx="18">
                  <c:v>524.09073489548939</c:v>
                </c:pt>
                <c:pt idx="19">
                  <c:v>474.77139698220111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EC4-4B96-9E3C-EEF59820E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180719"/>
        <c:axId val="1728185999"/>
      </c:scatterChart>
      <c:valAx>
        <c:axId val="48672768"/>
        <c:scaling>
          <c:orientation val="minMax"/>
          <c:max val="900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strRef>
              <c:f>Locale!$D$58</c:f>
              <c:strCache>
                <c:ptCount val="1"/>
                <c:pt idx="0">
                  <c:v>扭矩 (Nm)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/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"/>
      </c:valAx>
      <c:valAx>
        <c:axId val="48650112"/>
        <c:scaling>
          <c:orientation val="minMax"/>
          <c:max val="9000"/>
          <c:min val="2500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strRef>
              <c:f>Locale!$D$16</c:f>
              <c:strCache>
                <c:ptCount val="1"/>
                <c:pt idx="0">
                  <c:v>发动机转速 (rpm)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/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500"/>
      </c:valAx>
      <c:valAx>
        <c:axId val="1728185999"/>
        <c:scaling>
          <c:orientation val="minMax"/>
          <c:max val="900"/>
          <c:min val="0"/>
        </c:scaling>
        <c:delete val="0"/>
        <c:axPos val="r"/>
        <c:title>
          <c:tx>
            <c:strRef>
              <c:f>Locale!$D$43</c:f>
              <c:strCache>
                <c:ptCount val="1"/>
                <c:pt idx="0">
                  <c:v>功率 (hp)</c:v>
                </c:pt>
              </c:strCache>
            </c:strRef>
          </c:tx>
          <c:overlay val="0"/>
          <c:txPr>
            <a:bodyPr/>
            <a:lstStyle/>
            <a:p>
              <a:pPr>
                <a:defRPr altLang="zh-CN" sz="1100">
                  <a:latin typeface="Arial"/>
                  <a:ea typeface="Microsoft YaHei"/>
                  <a:cs typeface="Arial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1728180719"/>
        <c:crosses val="max"/>
        <c:crossBetween val="midCat"/>
        <c:majorUnit val="100"/>
      </c:valAx>
      <c:valAx>
        <c:axId val="1728180719"/>
        <c:scaling>
          <c:orientation val="minMax"/>
          <c:max val="9000"/>
          <c:min val="2500"/>
        </c:scaling>
        <c:delete val="1"/>
        <c:axPos val="b"/>
        <c:numFmt formatCode="General" sourceLinked="1"/>
        <c:majorTickMark val="out"/>
        <c:minorTickMark val="none"/>
        <c:tickLblPos val="nextTo"/>
        <c:crossAx val="1728185999"/>
        <c:crosses val="autoZero"/>
        <c:crossBetween val="midCat"/>
        <c:majorUnit val="500"/>
      </c:valAx>
    </c:plotArea>
    <c:legend>
      <c:legendPos val="t"/>
      <c:overlay val="0"/>
      <c:txPr>
        <a:bodyPr anchorCtr="1"/>
        <a:lstStyle/>
        <a:p>
          <a:pPr>
            <a:defRPr sz="1100">
              <a:latin typeface="Arial"/>
              <a:ea typeface="Microsoft YaHei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strRef>
          <c:f>Locale!$D$3</c:f>
          <c:strCache>
            <c:ptCount val="1"/>
            <c:pt idx="0">
              <c:v>挡位分布</c:v>
            </c:pt>
          </c:strCache>
        </c:strRef>
      </c:tx>
      <c:layout>
        <c:manualLayout>
          <c:xMode val="edge"/>
          <c:yMode val="edge"/>
          <c:x val="0.45346296296296296"/>
          <c:y val="1.4814814814814815E-2"/>
        </c:manualLayout>
      </c:layout>
      <c:overlay val="1"/>
      <c:txPr>
        <a:bodyPr anchorCtr="1"/>
        <a:lstStyle/>
        <a:p>
          <a:pPr>
            <a:defRPr altLang="zh-CN" sz="1350">
              <a:latin typeface="Arial"/>
              <a:ea typeface="Microsoft YaHei"/>
              <a:cs typeface="Arial"/>
            </a:defRPr>
          </a:pPr>
          <a:endParaRPr lang="en-US"/>
        </a:p>
      </c:txPr>
    </c:title>
    <c:autoTitleDeleted val="0"/>
    <c:plotArea>
      <c:layout>
        <c:manualLayout>
          <c:xMode val="edge"/>
          <c:yMode val="edge"/>
          <c:x val="3.2129629629629633E-2"/>
          <c:y val="0.11481481481481481"/>
          <c:w val="0.95768518518518519"/>
          <c:h val="0.80555555555555558"/>
        </c:manualLayout>
      </c:layout>
      <c:scatterChart>
        <c:scatterStyle val="lineMarker"/>
        <c:varyColors val="0"/>
        <c:ser>
          <c:idx val="0"/>
          <c:order val="0"/>
          <c:tx>
            <c:strRef>
              <c:f>Locale!$D$25</c:f>
              <c:strCache>
                <c:ptCount val="1"/>
                <c:pt idx="0">
                  <c:v>1 挡</c:v>
                </c:pt>
              </c:strCache>
            </c:strRef>
          </c:tx>
          <c:spPr>
            <a:ln w="19050">
              <a:solidFill>
                <a:srgbClr val="D73027"/>
              </a:solidFill>
              <a:prstDash val="solid"/>
            </a:ln>
          </c:spPr>
          <c:marker>
            <c:symbol val="none"/>
          </c:marker>
          <c:xVal>
            <c:numRef>
              <c:f>Samples!$B$364:$B$365</c:f>
              <c:numCache>
                <c:formatCode>General</c:formatCode>
                <c:ptCount val="2"/>
                <c:pt idx="0">
                  <c:v>0</c:v>
                </c:pt>
                <c:pt idx="1">
                  <c:v>79.121592757076257</c:v>
                </c:pt>
              </c:numCache>
            </c:numRef>
          </c:xVal>
          <c:yVal>
            <c:numRef>
              <c:f>Samples!$C$364:$C$365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96-425E-83E7-17290CFC3DED}"/>
            </c:ext>
          </c:extLst>
        </c:ser>
        <c:ser>
          <c:idx val="1"/>
          <c:order val="1"/>
          <c:tx>
            <c:strRef>
              <c:f>Locale!$D$29</c:f>
              <c:strCache>
                <c:ptCount val="1"/>
                <c:pt idx="0">
                  <c:v>2 挡</c:v>
                </c:pt>
              </c:strCache>
            </c:strRef>
          </c:tx>
          <c:spPr>
            <a:ln w="19050">
              <a:solidFill>
                <a:srgbClr val="F46D43"/>
              </a:solidFill>
              <a:prstDash val="solid"/>
            </a:ln>
          </c:spPr>
          <c:marker>
            <c:symbol val="none"/>
          </c:marker>
          <c:xVal>
            <c:numRef>
              <c:f>Samples!$D$364:$D$365</c:f>
              <c:numCache>
                <c:formatCode>General</c:formatCode>
                <c:ptCount val="2"/>
                <c:pt idx="0">
                  <c:v>0</c:v>
                </c:pt>
                <c:pt idx="1">
                  <c:v>98.635613902626829</c:v>
                </c:pt>
              </c:numCache>
            </c:numRef>
          </c:xVal>
          <c:yVal>
            <c:numRef>
              <c:f>Samples!$E$364:$E$365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96-425E-83E7-17290CFC3DED}"/>
            </c:ext>
          </c:extLst>
        </c:ser>
        <c:ser>
          <c:idx val="2"/>
          <c:order val="2"/>
          <c:tx>
            <c:strRef>
              <c:f>Locale!$D$28</c:f>
              <c:strCache>
                <c:ptCount val="1"/>
                <c:pt idx="0">
                  <c:v>3 挡</c:v>
                </c:pt>
              </c:strCache>
            </c:strRef>
          </c:tx>
          <c:spPr>
            <a:ln w="19050">
              <a:solidFill>
                <a:srgbClr val="DBAA15"/>
              </a:solidFill>
              <a:prstDash val="solid"/>
            </a:ln>
          </c:spPr>
          <c:marker>
            <c:symbol val="none"/>
          </c:marker>
          <c:xVal>
            <c:numRef>
              <c:f>Samples!$F$364:$F$365</c:f>
              <c:numCache>
                <c:formatCode>General</c:formatCode>
                <c:ptCount val="2"/>
                <c:pt idx="0">
                  <c:v>0</c:v>
                </c:pt>
                <c:pt idx="1">
                  <c:v>122.89259852968704</c:v>
                </c:pt>
              </c:numCache>
            </c:numRef>
          </c:xVal>
          <c:yVal>
            <c:numRef>
              <c:f>Samples!$G$364:$G$365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96-425E-83E7-17290CFC3DED}"/>
            </c:ext>
          </c:extLst>
        </c:ser>
        <c:ser>
          <c:idx val="3"/>
          <c:order val="3"/>
          <c:tx>
            <c:strRef>
              <c:f>Locale!$D$23</c:f>
              <c:strCache>
                <c:ptCount val="1"/>
                <c:pt idx="0">
                  <c:v>4 挡</c:v>
                </c:pt>
              </c:strCache>
            </c:strRef>
          </c:tx>
          <c:spPr>
            <a:ln w="19050">
              <a:solidFill>
                <a:srgbClr val="C47C18"/>
              </a:solidFill>
              <a:prstDash val="solid"/>
            </a:ln>
          </c:spPr>
          <c:marker>
            <c:symbol val="none"/>
          </c:marker>
          <c:xVal>
            <c:numRef>
              <c:f>Samples!$H$364:$H$365</c:f>
              <c:numCache>
                <c:formatCode>General</c:formatCode>
                <c:ptCount val="2"/>
                <c:pt idx="0">
                  <c:v>0</c:v>
                </c:pt>
                <c:pt idx="1">
                  <c:v>151.68873404315215</c:v>
                </c:pt>
              </c:numCache>
            </c:numRef>
          </c:xVal>
          <c:yVal>
            <c:numRef>
              <c:f>Samples!$I$364:$I$365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96-425E-83E7-17290CFC3DED}"/>
            </c:ext>
          </c:extLst>
        </c:ser>
        <c:ser>
          <c:idx val="4"/>
          <c:order val="4"/>
          <c:tx>
            <c:strRef>
              <c:f>Locale!$D$22</c:f>
              <c:strCache>
                <c:ptCount val="1"/>
                <c:pt idx="0">
                  <c:v>5 挡</c:v>
                </c:pt>
              </c:strCache>
            </c:strRef>
          </c:tx>
          <c:spPr>
            <a:ln w="19050">
              <a:solidFill>
                <a:srgbClr val="505050"/>
              </a:solidFill>
              <a:prstDash val="solid"/>
            </a:ln>
          </c:spPr>
          <c:marker>
            <c:symbol val="none"/>
          </c:marker>
          <c:xVal>
            <c:numRef>
              <c:f>Samples!$J$364:$J$365</c:f>
              <c:numCache>
                <c:formatCode>General</c:formatCode>
                <c:ptCount val="2"/>
                <c:pt idx="0">
                  <c:v>0</c:v>
                </c:pt>
                <c:pt idx="1">
                  <c:v>185.49490631905005</c:v>
                </c:pt>
              </c:numCache>
            </c:numRef>
          </c:xVal>
          <c:yVal>
            <c:numRef>
              <c:f>Samples!$K$364:$K$365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96-425E-83E7-17290CFC3DED}"/>
            </c:ext>
          </c:extLst>
        </c:ser>
        <c:ser>
          <c:idx val="5"/>
          <c:order val="5"/>
          <c:tx>
            <c:strRef>
              <c:f>Locale!$D$27</c:f>
              <c:strCache>
                <c:ptCount val="1"/>
                <c:pt idx="0">
                  <c:v>6 挡</c:v>
                </c:pt>
              </c:strCache>
            </c:strRef>
          </c:tx>
          <c:spPr>
            <a:ln w="19050">
              <a:solidFill>
                <a:srgbClr val="2C7C50"/>
              </a:solidFill>
              <a:prstDash val="solid"/>
            </a:ln>
          </c:spPr>
          <c:marker>
            <c:symbol val="none"/>
          </c:marker>
          <c:xVal>
            <c:numRef>
              <c:f>Samples!$L$364:$L$365</c:f>
              <c:numCache>
                <c:formatCode>General</c:formatCode>
                <c:ptCount val="2"/>
                <c:pt idx="0">
                  <c:v>0</c:v>
                </c:pt>
                <c:pt idx="1">
                  <c:v>224.87189520432207</c:v>
                </c:pt>
              </c:numCache>
            </c:numRef>
          </c:xVal>
          <c:yVal>
            <c:numRef>
              <c:f>Samples!$M$364:$M$365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E96-425E-83E7-17290CFC3DED}"/>
            </c:ext>
          </c:extLst>
        </c:ser>
        <c:ser>
          <c:idx val="6"/>
          <c:order val="6"/>
          <c:tx>
            <c:strRef>
              <c:f>Locale!$D$53</c:f>
              <c:strCache>
                <c:ptCount val="1"/>
                <c:pt idx="0">
                  <c:v>1 升 2 挡</c:v>
                </c:pt>
              </c:strCache>
            </c:strRef>
          </c:tx>
          <c:spPr>
            <a:ln w="12383">
              <a:solidFill>
                <a:srgbClr val="D73027"/>
              </a:solidFill>
              <a:prstDash val="solid"/>
            </a:ln>
          </c:spPr>
          <c:marker>
            <c:symbol val="none"/>
          </c:marker>
          <c:xVal>
            <c:numRef>
              <c:f>Samples!$B$370:$B$371</c:f>
              <c:numCache>
                <c:formatCode>General</c:formatCode>
                <c:ptCount val="2"/>
                <c:pt idx="0">
                  <c:v>55.850536063818538</c:v>
                </c:pt>
                <c:pt idx="1">
                  <c:v>55.850536063818538</c:v>
                </c:pt>
              </c:numCache>
            </c:numRef>
          </c:xVal>
          <c:yVal>
            <c:numRef>
              <c:f>Samples!$C$370:$C$371</c:f>
              <c:numCache>
                <c:formatCode>General</c:formatCode>
                <c:ptCount val="2"/>
                <c:pt idx="0">
                  <c:v>6000</c:v>
                </c:pt>
                <c:pt idx="1">
                  <c:v>4812.9629629629635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E96-425E-83E7-17290CFC3DED}"/>
            </c:ext>
          </c:extLst>
        </c:ser>
        <c:ser>
          <c:idx val="7"/>
          <c:order val="7"/>
          <c:tx>
            <c:strRef>
              <c:f>Locale!$D$55</c:f>
              <c:strCache>
                <c:ptCount val="1"/>
                <c:pt idx="0">
                  <c:v>2 升 3 挡</c:v>
                </c:pt>
              </c:strCache>
            </c:strRef>
          </c:tx>
          <c:spPr>
            <a:ln w="12383">
              <a:solidFill>
                <a:srgbClr val="F46D43"/>
              </a:solidFill>
              <a:prstDash val="solid"/>
            </a:ln>
          </c:spPr>
          <c:marker>
            <c:symbol val="none"/>
          </c:marker>
          <c:xVal>
            <c:numRef>
              <c:f>Samples!$D$370:$D$371</c:f>
              <c:numCache>
                <c:formatCode>General</c:formatCode>
                <c:ptCount val="2"/>
                <c:pt idx="0">
                  <c:v>71.597851503436175</c:v>
                </c:pt>
                <c:pt idx="1">
                  <c:v>71.597851503436175</c:v>
                </c:pt>
              </c:numCache>
            </c:numRef>
          </c:xVal>
          <c:yVal>
            <c:numRef>
              <c:f>Samples!$E$370:$E$371</c:f>
              <c:numCache>
                <c:formatCode>General</c:formatCode>
                <c:ptCount val="2"/>
                <c:pt idx="0">
                  <c:v>6170</c:v>
                </c:pt>
                <c:pt idx="1">
                  <c:v>4952.1431319738349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E96-425E-83E7-17290CFC3DED}"/>
            </c:ext>
          </c:extLst>
        </c:ser>
        <c:ser>
          <c:idx val="8"/>
          <c:order val="8"/>
          <c:tx>
            <c:strRef>
              <c:f>Locale!$D$54</c:f>
              <c:strCache>
                <c:ptCount val="1"/>
                <c:pt idx="0">
                  <c:v>3 升 4 挡</c:v>
                </c:pt>
              </c:strCache>
            </c:strRef>
          </c:tx>
          <c:spPr>
            <a:ln w="12383">
              <a:solidFill>
                <a:srgbClr val="DBAA15"/>
              </a:solidFill>
              <a:prstDash val="solid"/>
            </a:ln>
          </c:spPr>
          <c:marker>
            <c:symbol val="none"/>
          </c:marker>
          <c:xVal>
            <c:numRef>
              <c:f>Samples!$F$370:$F$371</c:f>
              <c:numCache>
                <c:formatCode>General</c:formatCode>
                <c:ptCount val="2"/>
                <c:pt idx="0">
                  <c:v>89.928466218194515</c:v>
                </c:pt>
                <c:pt idx="1">
                  <c:v>89.928466218194515</c:v>
                </c:pt>
              </c:numCache>
            </c:numRef>
          </c:xVal>
          <c:yVal>
            <c:numRef>
              <c:f>Samples!$G$370:$G$371</c:f>
              <c:numCache>
                <c:formatCode>General</c:formatCode>
                <c:ptCount val="2"/>
                <c:pt idx="0">
                  <c:v>6220</c:v>
                </c:pt>
                <c:pt idx="1">
                  <c:v>5039.2138063278999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E96-425E-83E7-17290CFC3DED}"/>
            </c:ext>
          </c:extLst>
        </c:ser>
        <c:ser>
          <c:idx val="9"/>
          <c:order val="9"/>
          <c:tx>
            <c:strRef>
              <c:f>Locale!$D$50</c:f>
              <c:strCache>
                <c:ptCount val="1"/>
                <c:pt idx="0">
                  <c:v>4 升 5 挡</c:v>
                </c:pt>
              </c:strCache>
            </c:strRef>
          </c:tx>
          <c:spPr>
            <a:ln w="12383">
              <a:solidFill>
                <a:srgbClr val="C47C18"/>
              </a:solidFill>
              <a:prstDash val="solid"/>
            </a:ln>
          </c:spPr>
          <c:marker>
            <c:symbol val="none"/>
          </c:marker>
          <c:xVal>
            <c:numRef>
              <c:f>Samples!$H$370:$H$371</c:f>
              <c:numCache>
                <c:formatCode>General</c:formatCode>
                <c:ptCount val="2"/>
                <c:pt idx="0">
                  <c:v>111.53583385525893</c:v>
                </c:pt>
                <c:pt idx="1">
                  <c:v>111.53583385525893</c:v>
                </c:pt>
              </c:numCache>
            </c:numRef>
          </c:xVal>
          <c:yVal>
            <c:numRef>
              <c:f>Samples!$I$370:$I$371</c:f>
              <c:numCache>
                <c:formatCode>General</c:formatCode>
                <c:ptCount val="2"/>
                <c:pt idx="0">
                  <c:v>6250</c:v>
                </c:pt>
                <c:pt idx="1">
                  <c:v>5110.9467455621307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E96-425E-83E7-17290CFC3DED}"/>
            </c:ext>
          </c:extLst>
        </c:ser>
        <c:ser>
          <c:idx val="10"/>
          <c:order val="10"/>
          <c:tx>
            <c:strRef>
              <c:f>Locale!$D$49</c:f>
              <c:strCache>
                <c:ptCount val="1"/>
                <c:pt idx="0">
                  <c:v>5 升 6 挡</c:v>
                </c:pt>
              </c:strCache>
            </c:strRef>
          </c:tx>
          <c:spPr>
            <a:ln w="12383">
              <a:solidFill>
                <a:srgbClr val="505050"/>
              </a:solidFill>
              <a:prstDash val="solid"/>
            </a:ln>
          </c:spPr>
          <c:marker>
            <c:symbol val="none"/>
          </c:marker>
          <c:xVal>
            <c:numRef>
              <c:f>Samples!$J$370:$J$371</c:f>
              <c:numCache>
                <c:formatCode>General</c:formatCode>
                <c:ptCount val="2"/>
                <c:pt idx="0">
                  <c:v>136.61154277144155</c:v>
                </c:pt>
                <c:pt idx="1">
                  <c:v>136.61154277144155</c:v>
                </c:pt>
              </c:numCache>
            </c:numRef>
          </c:xVal>
          <c:yVal>
            <c:numRef>
              <c:f>Samples!$K$370:$K$371</c:f>
              <c:numCache>
                <c:formatCode>General</c:formatCode>
                <c:ptCount val="2"/>
                <c:pt idx="0">
                  <c:v>6260</c:v>
                </c:pt>
                <c:pt idx="1">
                  <c:v>5163.820549927641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9E96-425E-83E7-17290CFC3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ax val="9000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strRef>
              <c:f>Locale!$D$16</c:f>
              <c:strCache>
                <c:ptCount val="1"/>
                <c:pt idx="0">
                  <c:v>发动机转速 (rpm)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/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in val="0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strRef>
              <c:f>Locale!$D$45</c:f>
              <c:strCache>
                <c:ptCount val="1"/>
                <c:pt idx="0">
                  <c:v>车速 (km/h)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/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25"/>
      </c:valAx>
    </c:plotArea>
    <c:legend>
      <c:legendPos val="t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0.30788291046952465"/>
          <c:y val="5.9259259259259262E-2"/>
          <c:w val="0.38423410615339748"/>
          <c:h val="3.364260717410323E-2"/>
        </c:manualLayout>
      </c:layout>
      <c:overlay val="0"/>
      <c:txPr>
        <a:bodyPr/>
        <a:lstStyle/>
        <a:p>
          <a:pPr>
            <a:defRPr sz="1100">
              <a:latin typeface="Arial"/>
              <a:ea typeface="Microsoft YaHei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 orientation="portrait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strRef>
          <c:f>Locale!$D$8</c:f>
          <c:strCache>
            <c:ptCount val="1"/>
            <c:pt idx="0">
              <c:v>扭矩与功率</c:v>
            </c:pt>
          </c:strCache>
        </c:strRef>
      </c:tx>
      <c:overlay val="0"/>
      <c:txPr>
        <a:bodyPr/>
        <a:lstStyle/>
        <a:p>
          <a:pPr>
            <a:defRPr lang="en-US" sz="1350">
              <a:latin typeface="Arial"/>
              <a:ea typeface="Microsoft YaHei"/>
              <a:cs typeface="Arial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Locale!$D$58</c:f>
              <c:strCache>
                <c:ptCount val="1"/>
                <c:pt idx="0">
                  <c:v>扭矩 (Nm)</c:v>
                </c:pt>
              </c:strCache>
            </c:strRef>
          </c:tx>
          <c:spPr>
            <a:ln w="19050">
              <a:solidFill>
                <a:srgbClr val="426F9B"/>
              </a:solidFill>
              <a:prstDash val="solid"/>
            </a:ln>
          </c:spPr>
          <c:marker>
            <c:symbol val="none"/>
          </c:marker>
          <c:xVal>
            <c:numRef>
              <c:f>Samples!$B$157:$B$176</c:f>
              <c:numCache>
                <c:formatCode>General</c:formatCode>
                <c:ptCount val="20"/>
                <c:pt idx="0">
                  <c:v>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4000</c:v>
                </c:pt>
                <c:pt idx="9">
                  <c:v>4140</c:v>
                </c:pt>
                <c:pt idx="10">
                  <c:v>4500</c:v>
                </c:pt>
                <c:pt idx="11">
                  <c:v>5000</c:v>
                </c:pt>
                <c:pt idx="12">
                  <c:v>5500</c:v>
                </c:pt>
                <c:pt idx="13">
                  <c:v>5690</c:v>
                </c:pt>
                <c:pt idx="14">
                  <c:v>6000</c:v>
                </c:pt>
                <c:pt idx="15">
                  <c:v>6500</c:v>
                </c:pt>
                <c:pt idx="16">
                  <c:v>7000</c:v>
                </c:pt>
                <c:pt idx="17">
                  <c:v>7500</c:v>
                </c:pt>
                <c:pt idx="18">
                  <c:v>8000</c:v>
                </c:pt>
                <c:pt idx="19">
                  <c:v>8499</c:v>
                </c:pt>
              </c:numCache>
            </c:numRef>
          </c:xVal>
          <c:yVal>
            <c:numRef>
              <c:f>Samples!$C$157:$C$176</c:f>
              <c:numCache>
                <c:formatCode>0.00</c:formatCode>
                <c:ptCount val="20"/>
                <c:pt idx="0">
                  <c:v>-13.230000000000002</c:v>
                </c:pt>
                <c:pt idx="1">
                  <c:v>63.244986096004553</c:v>
                </c:pt>
                <c:pt idx="2">
                  <c:v>200.69013367948659</c:v>
                </c:pt>
                <c:pt idx="3">
                  <c:v>437.72909021486583</c:v>
                </c:pt>
                <c:pt idx="4">
                  <c:v>701.08596562095306</c:v>
                </c:pt>
                <c:pt idx="5">
                  <c:v>781.33066324650258</c:v>
                </c:pt>
                <c:pt idx="6">
                  <c:v>815.57038116415981</c:v>
                </c:pt>
                <c:pt idx="7">
                  <c:v>839.3101465704458</c:v>
                </c:pt>
                <c:pt idx="8">
                  <c:v>849.15980914838872</c:v>
                </c:pt>
                <c:pt idx="9">
                  <c:v>849.65873074466481</c:v>
                </c:pt>
                <c:pt idx="10">
                  <c:v>846.29454015823137</c:v>
                </c:pt>
                <c:pt idx="11">
                  <c:v>830.31349416463172</c:v>
                </c:pt>
                <c:pt idx="12">
                  <c:v>778.94554940973444</c:v>
                </c:pt>
                <c:pt idx="13">
                  <c:v>754.97659458085627</c:v>
                </c:pt>
                <c:pt idx="14">
                  <c:v>713.52169730177775</c:v>
                </c:pt>
                <c:pt idx="15">
                  <c:v>650.00524403360237</c:v>
                </c:pt>
                <c:pt idx="16">
                  <c:v>590.16355423147775</c:v>
                </c:pt>
                <c:pt idx="17">
                  <c:v>529.20441938131887</c:v>
                </c:pt>
                <c:pt idx="18">
                  <c:v>466.50031942689958</c:v>
                </c:pt>
                <c:pt idx="19">
                  <c:v>397.78844881517381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790-4E85-A109-50CDC6BF1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scatterChart>
        <c:scatterStyle val="smoothMarker"/>
        <c:varyColors val="0"/>
        <c:ser>
          <c:idx val="1"/>
          <c:order val="1"/>
          <c:tx>
            <c:strRef>
              <c:f>Locale!$D$43</c:f>
              <c:strCache>
                <c:ptCount val="1"/>
                <c:pt idx="0">
                  <c:v>功率 (hp)</c:v>
                </c:pt>
              </c:strCache>
            </c:strRef>
          </c:tx>
          <c:spPr>
            <a:ln w="19050">
              <a:solidFill>
                <a:srgbClr val="C95745"/>
              </a:solidFill>
              <a:prstDash val="solid"/>
            </a:ln>
          </c:spPr>
          <c:marker>
            <c:symbol val="none"/>
          </c:marker>
          <c:xVal>
            <c:numRef>
              <c:f>Samples!$B$157:$B$176</c:f>
              <c:numCache>
                <c:formatCode>General</c:formatCode>
                <c:ptCount val="20"/>
                <c:pt idx="0">
                  <c:v>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4000</c:v>
                </c:pt>
                <c:pt idx="9">
                  <c:v>4140</c:v>
                </c:pt>
                <c:pt idx="10">
                  <c:v>4500</c:v>
                </c:pt>
                <c:pt idx="11">
                  <c:v>5000</c:v>
                </c:pt>
                <c:pt idx="12">
                  <c:v>5500</c:v>
                </c:pt>
                <c:pt idx="13">
                  <c:v>5690</c:v>
                </c:pt>
                <c:pt idx="14">
                  <c:v>6000</c:v>
                </c:pt>
                <c:pt idx="15">
                  <c:v>6500</c:v>
                </c:pt>
                <c:pt idx="16">
                  <c:v>7000</c:v>
                </c:pt>
                <c:pt idx="17">
                  <c:v>7500</c:v>
                </c:pt>
                <c:pt idx="18">
                  <c:v>8000</c:v>
                </c:pt>
                <c:pt idx="19">
                  <c:v>8499</c:v>
                </c:pt>
              </c:numCache>
            </c:numRef>
          </c:xVal>
          <c:yVal>
            <c:numRef>
              <c:f>Samples!$D$157:$D$176</c:f>
              <c:numCache>
                <c:formatCode>0.0</c:formatCode>
                <c:ptCount val="20"/>
                <c:pt idx="0">
                  <c:v>0</c:v>
                </c:pt>
                <c:pt idx="1">
                  <c:v>4.4407942852845155</c:v>
                </c:pt>
                <c:pt idx="2">
                  <c:v>28.183217477635015</c:v>
                </c:pt>
                <c:pt idx="3">
                  <c:v>92.206432271716551</c:v>
                </c:pt>
                <c:pt idx="4">
                  <c:v>196.90911433811758</c:v>
                </c:pt>
                <c:pt idx="5">
                  <c:v>274.30860202859827</c:v>
                </c:pt>
                <c:pt idx="6">
                  <c:v>343.59532777096314</c:v>
                </c:pt>
                <c:pt idx="7">
                  <c:v>412.5295541640993</c:v>
                </c:pt>
                <c:pt idx="8">
                  <c:v>476.99515936776282</c:v>
                </c:pt>
                <c:pt idx="9">
                  <c:v>493.98005619134659</c:v>
                </c:pt>
                <c:pt idx="10">
                  <c:v>534.80887112656421</c:v>
                </c:pt>
                <c:pt idx="11">
                  <c:v>583.01086734112721</c:v>
                </c:pt>
                <c:pt idx="12">
                  <c:v>601.63672627379901</c:v>
                </c:pt>
                <c:pt idx="13">
                  <c:v>603.26802096160782</c:v>
                </c:pt>
                <c:pt idx="14">
                  <c:v>601.20555409613723</c:v>
                </c:pt>
                <c:pt idx="15">
                  <c:v>593.32789469602972</c:v>
                </c:pt>
                <c:pt idx="16">
                  <c:v>580.14289212593815</c:v>
                </c:pt>
                <c:pt idx="17">
                  <c:v>557.37729733274523</c:v>
                </c:pt>
                <c:pt idx="18">
                  <c:v>524.09073489548939</c:v>
                </c:pt>
                <c:pt idx="19">
                  <c:v>474.77139698220111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790-4E85-A109-50CDC6BF1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9353647"/>
        <c:axId val="1509330127"/>
      </c:scatterChart>
      <c:valAx>
        <c:axId val="48672768"/>
        <c:scaling>
          <c:orientation val="minMax"/>
          <c:max val="900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strRef>
              <c:f>Locale!$D$58</c:f>
              <c:strCache>
                <c:ptCount val="1"/>
                <c:pt idx="0">
                  <c:v>扭矩 (Nm)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/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"/>
      </c:valAx>
      <c:valAx>
        <c:axId val="48650112"/>
        <c:scaling>
          <c:orientation val="minMax"/>
          <c:max val="9000"/>
          <c:min val="2500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strRef>
              <c:f>Locale!$D$16</c:f>
              <c:strCache>
                <c:ptCount val="1"/>
                <c:pt idx="0">
                  <c:v>发动机转速 (rpm)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/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500"/>
      </c:valAx>
      <c:valAx>
        <c:axId val="1509330127"/>
        <c:scaling>
          <c:orientation val="minMax"/>
          <c:max val="900"/>
          <c:min val="0"/>
        </c:scaling>
        <c:delete val="0"/>
        <c:axPos val="r"/>
        <c:title>
          <c:tx>
            <c:strRef>
              <c:f>Locale!$D$43</c:f>
              <c:strCache>
                <c:ptCount val="1"/>
                <c:pt idx="0">
                  <c:v>功率 (hp)</c:v>
                </c:pt>
              </c:strCache>
            </c:strRef>
          </c:tx>
          <c:overlay val="0"/>
          <c:txPr>
            <a:bodyPr/>
            <a:lstStyle/>
            <a:p>
              <a:pPr>
                <a:defRPr altLang="zh-CN" sz="1100">
                  <a:latin typeface="Arial"/>
                  <a:ea typeface="Microsoft YaHei"/>
                  <a:cs typeface="Arial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1509353647"/>
        <c:crosses val="max"/>
        <c:crossBetween val="midCat"/>
        <c:majorUnit val="100"/>
      </c:valAx>
      <c:valAx>
        <c:axId val="1509353647"/>
        <c:scaling>
          <c:orientation val="minMax"/>
          <c:max val="9000"/>
          <c:min val="2500"/>
        </c:scaling>
        <c:delete val="1"/>
        <c:axPos val="b"/>
        <c:numFmt formatCode="General" sourceLinked="1"/>
        <c:majorTickMark val="out"/>
        <c:minorTickMark val="none"/>
        <c:tickLblPos val="nextTo"/>
        <c:crossAx val="1509330127"/>
        <c:crosses val="autoZero"/>
        <c:crossBetween val="midCat"/>
        <c:majorUnit val="500"/>
      </c:valAx>
    </c:plotArea>
    <c:legend>
      <c:legendPos val="t"/>
      <c:overlay val="0"/>
      <c:txPr>
        <a:bodyPr anchorCtr="1"/>
        <a:lstStyle/>
        <a:p>
          <a:pPr>
            <a:defRPr sz="1100">
              <a:latin typeface="Arial"/>
              <a:ea typeface="Microsoft YaHei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strRef>
          <c:f>Locale!$D$3</c:f>
          <c:strCache>
            <c:ptCount val="1"/>
            <c:pt idx="0">
              <c:v>挡位分布</c:v>
            </c:pt>
          </c:strCache>
        </c:strRef>
      </c:tx>
      <c:layout>
        <c:manualLayout>
          <c:xMode val="edge"/>
          <c:yMode val="edge"/>
          <c:x val="0.45346296296296296"/>
          <c:y val="1.4814814814814815E-2"/>
        </c:manualLayout>
      </c:layout>
      <c:overlay val="1"/>
      <c:txPr>
        <a:bodyPr anchorCtr="1"/>
        <a:lstStyle/>
        <a:p>
          <a:pPr>
            <a:defRPr altLang="zh-CN" sz="1350">
              <a:latin typeface="Arial"/>
              <a:ea typeface="Microsoft YaHei"/>
              <a:cs typeface="Arial"/>
            </a:defRPr>
          </a:pPr>
          <a:endParaRPr lang="en-US"/>
        </a:p>
      </c:txPr>
    </c:title>
    <c:autoTitleDeleted val="0"/>
    <c:plotArea>
      <c:layout>
        <c:manualLayout>
          <c:xMode val="edge"/>
          <c:yMode val="edge"/>
          <c:x val="3.2129629629629633E-2"/>
          <c:y val="0.11481481481481481"/>
          <c:w val="0.95768518518518519"/>
          <c:h val="0.80555555555555558"/>
        </c:manualLayout>
      </c:layout>
      <c:scatterChart>
        <c:scatterStyle val="lineMarker"/>
        <c:varyColors val="0"/>
        <c:ser>
          <c:idx val="0"/>
          <c:order val="0"/>
          <c:tx>
            <c:strRef>
              <c:f>Locale!$D$25</c:f>
              <c:strCache>
                <c:ptCount val="1"/>
                <c:pt idx="0">
                  <c:v>1 挡</c:v>
                </c:pt>
              </c:strCache>
            </c:strRef>
          </c:tx>
          <c:spPr>
            <a:ln w="19050">
              <a:solidFill>
                <a:srgbClr val="D73027"/>
              </a:solidFill>
              <a:prstDash val="solid"/>
            </a:ln>
          </c:spPr>
          <c:marker>
            <c:symbol val="none"/>
          </c:marker>
          <c:xVal>
            <c:numRef>
              <c:f>Samples!$B$402:$B$403</c:f>
              <c:numCache>
                <c:formatCode>General</c:formatCode>
                <c:ptCount val="2"/>
                <c:pt idx="0">
                  <c:v>0</c:v>
                </c:pt>
                <c:pt idx="1">
                  <c:v>79.121592757076257</c:v>
                </c:pt>
              </c:numCache>
            </c:numRef>
          </c:xVal>
          <c:yVal>
            <c:numRef>
              <c:f>Samples!$C$402:$C$403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3F-448D-A34D-D4571362035B}"/>
            </c:ext>
          </c:extLst>
        </c:ser>
        <c:ser>
          <c:idx val="1"/>
          <c:order val="1"/>
          <c:tx>
            <c:strRef>
              <c:f>Locale!$D$29</c:f>
              <c:strCache>
                <c:ptCount val="1"/>
                <c:pt idx="0">
                  <c:v>2 挡</c:v>
                </c:pt>
              </c:strCache>
            </c:strRef>
          </c:tx>
          <c:spPr>
            <a:ln w="19050">
              <a:solidFill>
                <a:srgbClr val="F46D43"/>
              </a:solidFill>
              <a:prstDash val="solid"/>
            </a:ln>
          </c:spPr>
          <c:marker>
            <c:symbol val="none"/>
          </c:marker>
          <c:xVal>
            <c:numRef>
              <c:f>Samples!$D$402:$D$403</c:f>
              <c:numCache>
                <c:formatCode>General</c:formatCode>
                <c:ptCount val="2"/>
                <c:pt idx="0">
                  <c:v>0</c:v>
                </c:pt>
                <c:pt idx="1">
                  <c:v>98.635613902626829</c:v>
                </c:pt>
              </c:numCache>
            </c:numRef>
          </c:xVal>
          <c:yVal>
            <c:numRef>
              <c:f>Samples!$E$402:$E$403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83F-448D-A34D-D4571362035B}"/>
            </c:ext>
          </c:extLst>
        </c:ser>
        <c:ser>
          <c:idx val="2"/>
          <c:order val="2"/>
          <c:tx>
            <c:strRef>
              <c:f>Locale!$D$28</c:f>
              <c:strCache>
                <c:ptCount val="1"/>
                <c:pt idx="0">
                  <c:v>3 挡</c:v>
                </c:pt>
              </c:strCache>
            </c:strRef>
          </c:tx>
          <c:spPr>
            <a:ln w="19050">
              <a:solidFill>
                <a:srgbClr val="DBAA15"/>
              </a:solidFill>
              <a:prstDash val="solid"/>
            </a:ln>
          </c:spPr>
          <c:marker>
            <c:symbol val="none"/>
          </c:marker>
          <c:xVal>
            <c:numRef>
              <c:f>Samples!$F$402:$F$403</c:f>
              <c:numCache>
                <c:formatCode>General</c:formatCode>
                <c:ptCount val="2"/>
                <c:pt idx="0">
                  <c:v>0</c:v>
                </c:pt>
                <c:pt idx="1">
                  <c:v>122.89259852968704</c:v>
                </c:pt>
              </c:numCache>
            </c:numRef>
          </c:xVal>
          <c:yVal>
            <c:numRef>
              <c:f>Samples!$G$402:$G$403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83F-448D-A34D-D4571362035B}"/>
            </c:ext>
          </c:extLst>
        </c:ser>
        <c:ser>
          <c:idx val="3"/>
          <c:order val="3"/>
          <c:tx>
            <c:strRef>
              <c:f>Locale!$D$23</c:f>
              <c:strCache>
                <c:ptCount val="1"/>
                <c:pt idx="0">
                  <c:v>4 挡</c:v>
                </c:pt>
              </c:strCache>
            </c:strRef>
          </c:tx>
          <c:spPr>
            <a:ln w="19050">
              <a:solidFill>
                <a:srgbClr val="C47C18"/>
              </a:solidFill>
              <a:prstDash val="solid"/>
            </a:ln>
          </c:spPr>
          <c:marker>
            <c:symbol val="none"/>
          </c:marker>
          <c:xVal>
            <c:numRef>
              <c:f>Samples!$H$402:$H$403</c:f>
              <c:numCache>
                <c:formatCode>General</c:formatCode>
                <c:ptCount val="2"/>
                <c:pt idx="0">
                  <c:v>0</c:v>
                </c:pt>
                <c:pt idx="1">
                  <c:v>151.68873404315215</c:v>
                </c:pt>
              </c:numCache>
            </c:numRef>
          </c:xVal>
          <c:yVal>
            <c:numRef>
              <c:f>Samples!$I$402:$I$403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83F-448D-A34D-D4571362035B}"/>
            </c:ext>
          </c:extLst>
        </c:ser>
        <c:ser>
          <c:idx val="4"/>
          <c:order val="4"/>
          <c:tx>
            <c:strRef>
              <c:f>Locale!$D$22</c:f>
              <c:strCache>
                <c:ptCount val="1"/>
                <c:pt idx="0">
                  <c:v>5 挡</c:v>
                </c:pt>
              </c:strCache>
            </c:strRef>
          </c:tx>
          <c:spPr>
            <a:ln w="19050">
              <a:solidFill>
                <a:srgbClr val="505050"/>
              </a:solidFill>
              <a:prstDash val="solid"/>
            </a:ln>
          </c:spPr>
          <c:marker>
            <c:symbol val="none"/>
          </c:marker>
          <c:xVal>
            <c:numRef>
              <c:f>Samples!$J$402:$J$403</c:f>
              <c:numCache>
                <c:formatCode>General</c:formatCode>
                <c:ptCount val="2"/>
                <c:pt idx="0">
                  <c:v>0</c:v>
                </c:pt>
                <c:pt idx="1">
                  <c:v>185.49490631905005</c:v>
                </c:pt>
              </c:numCache>
            </c:numRef>
          </c:xVal>
          <c:yVal>
            <c:numRef>
              <c:f>Samples!$K$402:$K$403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83F-448D-A34D-D4571362035B}"/>
            </c:ext>
          </c:extLst>
        </c:ser>
        <c:ser>
          <c:idx val="5"/>
          <c:order val="5"/>
          <c:tx>
            <c:strRef>
              <c:f>Locale!$D$53</c:f>
              <c:strCache>
                <c:ptCount val="1"/>
                <c:pt idx="0">
                  <c:v>1 升 2 挡</c:v>
                </c:pt>
              </c:strCache>
            </c:strRef>
          </c:tx>
          <c:spPr>
            <a:ln w="12383">
              <a:solidFill>
                <a:srgbClr val="D73027"/>
              </a:solidFill>
              <a:prstDash val="solid"/>
            </a:ln>
          </c:spPr>
          <c:marker>
            <c:symbol val="none"/>
          </c:marker>
          <c:xVal>
            <c:numRef>
              <c:f>Samples!$B$408:$B$409</c:f>
              <c:numCache>
                <c:formatCode>General</c:formatCode>
                <c:ptCount val="2"/>
                <c:pt idx="0">
                  <c:v>55.850536063818538</c:v>
                </c:pt>
                <c:pt idx="1">
                  <c:v>55.850536063818538</c:v>
                </c:pt>
              </c:numCache>
            </c:numRef>
          </c:xVal>
          <c:yVal>
            <c:numRef>
              <c:f>Samples!$C$408:$C$409</c:f>
              <c:numCache>
                <c:formatCode>General</c:formatCode>
                <c:ptCount val="2"/>
                <c:pt idx="0">
                  <c:v>6000</c:v>
                </c:pt>
                <c:pt idx="1">
                  <c:v>4812.9629629629635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83F-448D-A34D-D4571362035B}"/>
            </c:ext>
          </c:extLst>
        </c:ser>
        <c:ser>
          <c:idx val="6"/>
          <c:order val="6"/>
          <c:tx>
            <c:strRef>
              <c:f>Locale!$D$55</c:f>
              <c:strCache>
                <c:ptCount val="1"/>
                <c:pt idx="0">
                  <c:v>2 升 3 挡</c:v>
                </c:pt>
              </c:strCache>
            </c:strRef>
          </c:tx>
          <c:spPr>
            <a:ln w="12383">
              <a:solidFill>
                <a:srgbClr val="F46D43"/>
              </a:solidFill>
              <a:prstDash val="solid"/>
            </a:ln>
          </c:spPr>
          <c:marker>
            <c:symbol val="none"/>
          </c:marker>
          <c:xVal>
            <c:numRef>
              <c:f>Samples!$D$408:$D$409</c:f>
              <c:numCache>
                <c:formatCode>General</c:formatCode>
                <c:ptCount val="2"/>
                <c:pt idx="0">
                  <c:v>71.597851503436175</c:v>
                </c:pt>
                <c:pt idx="1">
                  <c:v>71.597851503436175</c:v>
                </c:pt>
              </c:numCache>
            </c:numRef>
          </c:xVal>
          <c:yVal>
            <c:numRef>
              <c:f>Samples!$E$408:$E$409</c:f>
              <c:numCache>
                <c:formatCode>General</c:formatCode>
                <c:ptCount val="2"/>
                <c:pt idx="0">
                  <c:v>6170</c:v>
                </c:pt>
                <c:pt idx="1">
                  <c:v>4952.1431319738349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83F-448D-A34D-D4571362035B}"/>
            </c:ext>
          </c:extLst>
        </c:ser>
        <c:ser>
          <c:idx val="7"/>
          <c:order val="7"/>
          <c:tx>
            <c:strRef>
              <c:f>Locale!$D$54</c:f>
              <c:strCache>
                <c:ptCount val="1"/>
                <c:pt idx="0">
                  <c:v>3 升 4 挡</c:v>
                </c:pt>
              </c:strCache>
            </c:strRef>
          </c:tx>
          <c:spPr>
            <a:ln w="12383">
              <a:solidFill>
                <a:srgbClr val="DBAA15"/>
              </a:solidFill>
              <a:prstDash val="solid"/>
            </a:ln>
          </c:spPr>
          <c:marker>
            <c:symbol val="none"/>
          </c:marker>
          <c:xVal>
            <c:numRef>
              <c:f>Samples!$F$408:$F$409</c:f>
              <c:numCache>
                <c:formatCode>General</c:formatCode>
                <c:ptCount val="2"/>
                <c:pt idx="0">
                  <c:v>89.928466218194515</c:v>
                </c:pt>
                <c:pt idx="1">
                  <c:v>89.928466218194515</c:v>
                </c:pt>
              </c:numCache>
            </c:numRef>
          </c:xVal>
          <c:yVal>
            <c:numRef>
              <c:f>Samples!$G$408:$G$409</c:f>
              <c:numCache>
                <c:formatCode>General</c:formatCode>
                <c:ptCount val="2"/>
                <c:pt idx="0">
                  <c:v>6220</c:v>
                </c:pt>
                <c:pt idx="1">
                  <c:v>5039.2138063278999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83F-448D-A34D-D4571362035B}"/>
            </c:ext>
          </c:extLst>
        </c:ser>
        <c:ser>
          <c:idx val="8"/>
          <c:order val="8"/>
          <c:tx>
            <c:strRef>
              <c:f>Locale!$D$50</c:f>
              <c:strCache>
                <c:ptCount val="1"/>
                <c:pt idx="0">
                  <c:v>4 升 5 挡</c:v>
                </c:pt>
              </c:strCache>
            </c:strRef>
          </c:tx>
          <c:spPr>
            <a:ln w="12383">
              <a:solidFill>
                <a:srgbClr val="C47C18"/>
              </a:solidFill>
              <a:prstDash val="solid"/>
            </a:ln>
          </c:spPr>
          <c:marker>
            <c:symbol val="none"/>
          </c:marker>
          <c:xVal>
            <c:numRef>
              <c:f>Samples!$H$408:$H$409</c:f>
              <c:numCache>
                <c:formatCode>General</c:formatCode>
                <c:ptCount val="2"/>
                <c:pt idx="0">
                  <c:v>111.53583385525893</c:v>
                </c:pt>
                <c:pt idx="1">
                  <c:v>111.53583385525893</c:v>
                </c:pt>
              </c:numCache>
            </c:numRef>
          </c:xVal>
          <c:yVal>
            <c:numRef>
              <c:f>Samples!$I$408:$I$409</c:f>
              <c:numCache>
                <c:formatCode>General</c:formatCode>
                <c:ptCount val="2"/>
                <c:pt idx="0">
                  <c:v>6250</c:v>
                </c:pt>
                <c:pt idx="1">
                  <c:v>5110.9467455621307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83F-448D-A34D-D45713620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ax val="9000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strRef>
              <c:f>Locale!$D$16</c:f>
              <c:strCache>
                <c:ptCount val="1"/>
                <c:pt idx="0">
                  <c:v>发动机转速 (rpm)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/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in val="0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strRef>
              <c:f>Locale!$D$45</c:f>
              <c:strCache>
                <c:ptCount val="1"/>
                <c:pt idx="0">
                  <c:v>车速 (km/h)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/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25"/>
      </c:valAx>
    </c:plotArea>
    <c:legend>
      <c:legendPos val="t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ayout>
        <c:manualLayout>
          <c:xMode val="edge"/>
          <c:yMode val="edge"/>
          <c:x val="0.3399024496937883"/>
          <c:y val="5.9259259259259262E-2"/>
          <c:w val="0.32019510061242346"/>
          <c:h val="3.364260717410323E-2"/>
        </c:manualLayout>
      </c:layout>
      <c:overlay val="0"/>
      <c:txPr>
        <a:bodyPr/>
        <a:lstStyle/>
        <a:p>
          <a:pPr>
            <a:defRPr sz="1100">
              <a:latin typeface="Arial"/>
              <a:ea typeface="Microsoft YaHei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 orientation="portrait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25</xdr:row>
      <xdr:rowOff>0</xdr:rowOff>
    </xdr:from>
    <xdr:ext cx="13716000" cy="68580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54</xdr:row>
      <xdr:rowOff>0</xdr:rowOff>
    </xdr:from>
    <xdr:ext cx="13716000" cy="685800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25</xdr:row>
      <xdr:rowOff>0</xdr:rowOff>
    </xdr:from>
    <xdr:ext cx="13716000" cy="68580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54</xdr:row>
      <xdr:rowOff>0</xdr:rowOff>
    </xdr:from>
    <xdr:ext cx="13716000" cy="685800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25</xdr:row>
      <xdr:rowOff>0</xdr:rowOff>
    </xdr:from>
    <xdr:ext cx="13716000" cy="68580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54</xdr:row>
      <xdr:rowOff>0</xdr:rowOff>
    </xdr:from>
    <xdr:ext cx="13716000" cy="685800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25</xdr:row>
      <xdr:rowOff>0</xdr:rowOff>
    </xdr:from>
    <xdr:ext cx="13716000" cy="68580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54</xdr:row>
      <xdr:rowOff>0</xdr:rowOff>
    </xdr:from>
    <xdr:ext cx="13716000" cy="685800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25</xdr:row>
      <xdr:rowOff>0</xdr:rowOff>
    </xdr:from>
    <xdr:ext cx="13716000" cy="68580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54</xdr:row>
      <xdr:rowOff>0</xdr:rowOff>
    </xdr:from>
    <xdr:ext cx="13716000" cy="685800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25</xdr:row>
      <xdr:rowOff>0</xdr:rowOff>
    </xdr:from>
    <xdr:ext cx="13716000" cy="68580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54</xdr:row>
      <xdr:rowOff>0</xdr:rowOff>
    </xdr:from>
    <xdr:ext cx="13716000" cy="685800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203200</xdr:colOff>
      <xdr:row>21</xdr:row>
      <xdr:rowOff>107950</xdr:rowOff>
    </xdr:to>
    <xdr:sp macro="" textlink="">
      <xdr:nvSpPr>
        <xdr:cNvPr id="7170" name="Text Box 2" hidden="1">
          <a:extLst>
            <a:ext uri="{FF2B5EF4-FFF2-40B4-BE49-F238E27FC236}">
              <a16:creationId xmlns:a16="http://schemas.microsoft.com/office/drawing/2014/main" id="{187CD513-9AB3-BD42-0B77-4C19B50D1FC3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203200</xdr:colOff>
      <xdr:row>21</xdr:row>
      <xdr:rowOff>107950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C3C4E447-2CF1-27CE-17B9-AA8117C180C4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203200</xdr:colOff>
      <xdr:row>21</xdr:row>
      <xdr:rowOff>107950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2F67B21A-0A6D-4708-364B-2EB0E6D5C0E7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203200</xdr:colOff>
      <xdr:row>21</xdr:row>
      <xdr:rowOff>107950</xdr:rowOff>
    </xdr:to>
    <xdr:sp macro="" textlink="">
      <xdr:nvSpPr>
        <xdr:cNvPr id="4" name="AutoShape 2">
          <a:extLst>
            <a:ext uri="{FF2B5EF4-FFF2-40B4-BE49-F238E27FC236}">
              <a16:creationId xmlns:a16="http://schemas.microsoft.com/office/drawing/2014/main" id="{E0968B9D-F4CC-6243-B004-34DBE71F133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Codex" id="{4B51B63F-135D-471B-AFAA-1BEB5D1B10EA}" userId="" providerId=""/>
</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" dT="2026-10-27T03:19:09.83" personId="{4B51B63F-135D-471B-AFAA-1BEB5D1B10EA}" id="{61577C78-3AE9-40FE-BEAD-1A1561E5C31C}">
    <text>Source: Astral JBeam at c209001. Net torque samples are for the normal full-boost curve. Power is mechanical hp: Nm × rpm × 2π / (60 × 745.69987158227). Flash thresholds are recorded calibration inputs, previously calculated with rotational inertia and the separate first-gear boost cap; this workbook does not rerun that solver. RX3 is an RX1 placeholder.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FB3E3-BE93-4423-91FE-4A24FB9067C2}">
  <dimension ref="A1:Q80"/>
  <sheetViews>
    <sheetView showGridLines="0" workbookViewId="0"/>
  </sheetViews>
  <sheetFormatPr defaultRowHeight="14"/>
  <cols>
    <col min="1" max="1" width="3" customWidth="1"/>
    <col min="2" max="16" width="12" customWidth="1"/>
    <col min="17" max="17" width="3" customWidth="1"/>
  </cols>
  <sheetData>
    <row r="1" spans="1:17" ht="22" customHeight="1">
      <c r="A1" s="1"/>
      <c r="B1" s="33" t="s">
        <v>75</v>
      </c>
      <c r="C1" s="33" t="s">
        <v>75</v>
      </c>
      <c r="D1" s="33" t="s">
        <v>75</v>
      </c>
      <c r="E1" s="34" t="s">
        <v>235</v>
      </c>
      <c r="F1" s="34" t="s">
        <v>76</v>
      </c>
      <c r="G1" s="34" t="s">
        <v>76</v>
      </c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34" customHeight="1">
      <c r="A2" s="1"/>
      <c r="B2" s="32" t="str">
        <f>VLOOKUP("title.rally2GearingShiftLights",Locale!$A$2:$D$73,4,FALSE)</f>
        <v>Rally2 · 齿比与换挡灯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1"/>
    </row>
    <row r="3" spans="1:17" ht="22.5" customHeight="1">
      <c r="A3" s="1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1"/>
    </row>
    <row r="4" spans="1:17" ht="22.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32" customHeight="1">
      <c r="A5" s="1"/>
      <c r="B5" s="27" t="str">
        <f>VLOOKUP("chart.engineCurve",Locale!$A$2:$D$73,4,FALSE)</f>
        <v>发动机曲线</v>
      </c>
      <c r="C5" s="27"/>
      <c r="D5" s="27"/>
      <c r="E5" s="1"/>
      <c r="F5" s="27" t="str">
        <f>VLOOKUP("label.calibrationBasis",Locale!$A$2:$D$73,4,FALSE)</f>
        <v>标定依据</v>
      </c>
      <c r="G5" s="27"/>
      <c r="H5" s="27"/>
      <c r="I5" s="27"/>
      <c r="J5" s="1"/>
      <c r="K5" s="27" t="str">
        <f>VLOOKUP("label.shiftLights",Locale!$A$2:$D$73,4,FALSE)</f>
        <v>换挡灯</v>
      </c>
      <c r="L5" s="27"/>
      <c r="M5" s="27"/>
      <c r="N5" s="27"/>
      <c r="O5" s="27"/>
      <c r="P5" s="27"/>
      <c r="Q5" s="1"/>
    </row>
    <row r="6" spans="1:17" ht="22.5" customHeight="1">
      <c r="A6" s="1"/>
      <c r="B6" s="30" t="str">
        <f>VLOOKUP("label.peakPowerHp",Locale!$A$2:$D$73,4,FALSE)</f>
        <v>峰值功率 (hp)</v>
      </c>
      <c r="C6" s="30"/>
      <c r="D6" s="6">
        <f>MAX(Samples!$D$7:$D$24)</f>
        <v>292.91312333776995</v>
      </c>
      <c r="E6" s="1"/>
      <c r="F6" s="30" t="str">
        <f>VLOOKUP("label.runningMassKg",Locale!$A$2:$D$73,4,FALSE)</f>
        <v>运行质量 (kg)</v>
      </c>
      <c r="G6" s="30"/>
      <c r="H6" s="30"/>
      <c r="I6" s="7">
        <v>1420.59</v>
      </c>
      <c r="J6" s="1"/>
      <c r="K6" s="30" t="str">
        <f>VLOOKUP("label.neutralFlashRpm",Locale!$A$2:$D$73,4,FALSE)</f>
        <v>空挡闪烁 (rpm)</v>
      </c>
      <c r="L6" s="30"/>
      <c r="M6" s="30"/>
      <c r="N6" s="30"/>
      <c r="O6" s="31">
        <v>3000</v>
      </c>
      <c r="P6" s="31"/>
      <c r="Q6" s="1"/>
    </row>
    <row r="7" spans="1:17" ht="22.5" customHeight="1">
      <c r="A7" s="1"/>
      <c r="B7" s="28" t="str">
        <f>VLOOKUP("label.powerPeakRpm",Locale!$A$2:$D$73,4,FALSE)</f>
        <v>功率峰值转速 (rpm)</v>
      </c>
      <c r="C7" s="28"/>
      <c r="D7" s="5">
        <f>INDEX(Samples!$B$7:$B$24,MATCH(D6,Samples!$D$7:$D$24,0))</f>
        <v>5610</v>
      </c>
      <c r="E7" s="1"/>
      <c r="F7" s="28" t="str">
        <f>VLOOKUP("label.engineFlywheelInertia",Locale!$A$2:$D$73,4,FALSE)</f>
        <v>发动机 + 飞轮转动惯量 (kg m²)</v>
      </c>
      <c r="G7" s="28"/>
      <c r="H7" s="28"/>
      <c r="I7" s="8">
        <v>0.12343999999999999</v>
      </c>
      <c r="J7" s="1"/>
      <c r="K7" s="28" t="str">
        <f>VLOOKUP("label.topGearLimiterRpm",Locale!$A$2:$D$73,4,FALSE)</f>
        <v>最高挡 / 限转 (rpm)</v>
      </c>
      <c r="L7" s="28"/>
      <c r="M7" s="28"/>
      <c r="N7" s="28"/>
      <c r="O7" s="28">
        <v>7500</v>
      </c>
      <c r="P7" s="28"/>
      <c r="Q7" s="1"/>
    </row>
    <row r="8" spans="1:17" ht="22.5" customHeight="1">
      <c r="A8" s="1"/>
      <c r="B8" s="30" t="str">
        <f>VLOOKUP("label.peakTorqueNm",Locale!$A$2:$D$73,4,FALSE)</f>
        <v>峰值扭矩 (Nm)</v>
      </c>
      <c r="C8" s="30"/>
      <c r="D8" s="6">
        <f>MAX(Samples!$C$7:$C$24)</f>
        <v>425.214197164935</v>
      </c>
      <c r="E8" s="1"/>
      <c r="F8" s="30" t="str">
        <f>VLOOKUP("label.finalDrive",Locale!$A$2:$D$73,4,FALSE)</f>
        <v>主减速比</v>
      </c>
      <c r="G8" s="30"/>
      <c r="H8" s="30"/>
      <c r="I8" s="9">
        <v>4.1333333333333337</v>
      </c>
      <c r="J8" s="1"/>
      <c r="K8" s="30" t="str">
        <f>VLOOKUP("label.lightRangeRpm",Locale!$A$2:$D$73,4,FALSE)</f>
        <v>亮灯范围 (rpm)</v>
      </c>
      <c r="L8" s="30"/>
      <c r="M8" s="30"/>
      <c r="N8" s="30"/>
      <c r="O8" s="31">
        <v>800</v>
      </c>
      <c r="P8" s="31"/>
      <c r="Q8" s="1"/>
    </row>
    <row r="9" spans="1:17" ht="22.5" customHeight="1">
      <c r="A9" s="1"/>
      <c r="B9" s="28" t="str">
        <f>VLOOKUP("label.torquePeakRpm",Locale!$A$2:$D$73,4,FALSE)</f>
        <v>峰值扭矩转速 (rpm)</v>
      </c>
      <c r="C9" s="28"/>
      <c r="D9" s="5">
        <f>INDEX(Samples!$B$7:$B$24,MATCH(D8,Samples!$C$7:$C$24,0))</f>
        <v>3740</v>
      </c>
      <c r="E9" s="1"/>
      <c r="F9" s="28" t="str">
        <f>VLOOKUP("label.gearboxTorqueLoss",Locale!$A$2:$D$73,4,FALSE)</f>
        <v>变速箱扭矩损失</v>
      </c>
      <c r="G9" s="28"/>
      <c r="H9" s="28"/>
      <c r="I9" s="10">
        <v>1.0999999999999999E-2</v>
      </c>
      <c r="J9" s="1"/>
      <c r="K9" s="28" t="str">
        <f>VLOOKUP("label.roundingRpm",Locale!$A$2:$D$73,4,FALSE)</f>
        <v>取整步长 (rpm)</v>
      </c>
      <c r="L9" s="28"/>
      <c r="M9" s="28"/>
      <c r="N9" s="28"/>
      <c r="O9" s="28">
        <v>10</v>
      </c>
      <c r="P9" s="28"/>
      <c r="Q9" s="1"/>
    </row>
    <row r="10" spans="1:17" ht="22.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22.5" customHeight="1">
      <c r="A11" s="1"/>
      <c r="B11" s="29" t="str">
        <f>VLOOKUP("note.yellowInputs",Locale!$A$2:$D$73,4,FALSE)</f>
        <v>黄色单元格为手动输入。</v>
      </c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1"/>
    </row>
    <row r="12" spans="1:17" ht="22.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32" customHeight="1">
      <c r="A13" s="1"/>
      <c r="B13" s="27" t="str">
        <f>VLOOKUP("label.groupOneTypeATarmac",Locale!$A$2:$D$73,4,FALSE)</f>
        <v>第 1 组 · Type-A / 柏油</v>
      </c>
      <c r="C13" s="27"/>
      <c r="D13" s="27"/>
      <c r="E13" s="27"/>
      <c r="F13" s="27"/>
      <c r="G13" s="27"/>
      <c r="H13" s="27"/>
      <c r="I13" s="1"/>
      <c r="J13" s="27" t="str">
        <f>VLOOKUP("label.groupTwoTypeBGravel",Locale!$A$2:$D$73,4,FALSE)</f>
        <v>第 2 组 · Type-B / 砂石</v>
      </c>
      <c r="K13" s="27"/>
      <c r="L13" s="27"/>
      <c r="M13" s="27"/>
      <c r="N13" s="27"/>
      <c r="O13" s="27"/>
      <c r="P13" s="27"/>
      <c r="Q13" s="1"/>
    </row>
    <row r="14" spans="1:17" ht="32" customHeight="1">
      <c r="A14" s="1"/>
      <c r="B14" s="2" t="str">
        <f>VLOOKUP("label.gear",Locale!$A$2:$D$73,4,FALSE)</f>
        <v>挡位</v>
      </c>
      <c r="C14" s="2" t="str">
        <f>VLOOKUP("label.gearRatio",Locale!$A$2:$D$73,4,FALSE)</f>
        <v>齿比</v>
      </c>
      <c r="D14" s="2" t="str">
        <f>VLOOKUP("label.flashRpmWrap",Locale!$A$2:$D$73,4,FALSE)</f>
        <v>闪烁
(rpm)</v>
      </c>
      <c r="E14" s="2" t="str">
        <f>VLOOKUP("label.afterShiftRpmWrap",Locale!$A$2:$D$73,4,FALSE)</f>
        <v>换挡后
(rpm)</v>
      </c>
      <c r="F14" s="2" t="str">
        <f>VLOOKUP("label.speedKmhMultiline",Locale!$A$2:$D$73,4,FALSE)</f>
        <v>车速
(km/h)</v>
      </c>
      <c r="G14" s="2" t="str">
        <f>VLOOKUP("label.firstLightRpm",Locale!$A$2:$D$73,4,FALSE)</f>
        <v>首灯亮起
(rpm)</v>
      </c>
      <c r="H14" s="2" t="str">
        <f>VLOOKUP("label.trigger",Locale!$A$2:$D$73,4,FALSE)</f>
        <v>触发条件</v>
      </c>
      <c r="I14" s="1"/>
      <c r="J14" s="2" t="str">
        <f>VLOOKUP("label.gear",Locale!$A$2:$D$73,4,FALSE)</f>
        <v>挡位</v>
      </c>
      <c r="K14" s="2" t="str">
        <f>VLOOKUP("label.gearRatio",Locale!$A$2:$D$73,4,FALSE)</f>
        <v>齿比</v>
      </c>
      <c r="L14" s="2" t="str">
        <f>VLOOKUP("label.flashRpmWrap",Locale!$A$2:$D$73,4,FALSE)</f>
        <v>闪烁
(rpm)</v>
      </c>
      <c r="M14" s="2" t="str">
        <f>VLOOKUP("label.afterShiftRpmWrap",Locale!$A$2:$D$73,4,FALSE)</f>
        <v>换挡后
(rpm)</v>
      </c>
      <c r="N14" s="2" t="str">
        <f>VLOOKUP("label.speedKmhMultiline",Locale!$A$2:$D$73,4,FALSE)</f>
        <v>车速
(km/h)</v>
      </c>
      <c r="O14" s="2" t="str">
        <f>VLOOKUP("label.firstLightRpm",Locale!$A$2:$D$73,4,FALSE)</f>
        <v>首灯亮起
(rpm)</v>
      </c>
      <c r="P14" s="2" t="str">
        <f>VLOOKUP("label.trigger",Locale!$A$2:$D$73,4,FALSE)</f>
        <v>触发条件</v>
      </c>
      <c r="Q14" s="1"/>
    </row>
    <row r="15" spans="1:17" ht="22.5" customHeight="1">
      <c r="A15" s="1"/>
      <c r="B15" s="11">
        <v>1</v>
      </c>
      <c r="C15" s="12">
        <v>3.762</v>
      </c>
      <c r="D15" s="22">
        <v>6250</v>
      </c>
      <c r="E15" s="13">
        <f>D15*C16/C15</f>
        <v>4469.0324295587452</v>
      </c>
      <c r="F15" s="14">
        <f>D15*2*PI()/60*$D$22/(C15*$I$8)*3.6</f>
        <v>49.246489254547519</v>
      </c>
      <c r="G15" s="13">
        <f>MAX(0,D15-$O$8)</f>
        <v>5450</v>
      </c>
      <c r="H15" s="11" t="str">
        <f>VLOOKUP("label.shift",Locale!$A$2:$D$73,4,FALSE)</f>
        <v>换挡</v>
      </c>
      <c r="I15" s="1"/>
      <c r="J15" s="11">
        <v>1</v>
      </c>
      <c r="K15" s="12">
        <v>3.3650000000000002</v>
      </c>
      <c r="L15" s="22">
        <v>6490</v>
      </c>
      <c r="M15" s="13">
        <f>L15*K16/K15</f>
        <v>4443.6731054977708</v>
      </c>
      <c r="N15" s="14">
        <f>L15*2*PI()/60*$L$22/(K15*$I$8)*3.6</f>
        <v>56.994812169258736</v>
      </c>
      <c r="O15" s="13">
        <f>MAX(0,L15-$O$8)</f>
        <v>5690</v>
      </c>
      <c r="P15" s="11" t="str">
        <f>VLOOKUP("label.shift",Locale!$A$2:$D$73,4,FALSE)</f>
        <v>换挡</v>
      </c>
      <c r="Q15" s="1"/>
    </row>
    <row r="16" spans="1:17" ht="22.5" customHeight="1">
      <c r="A16" s="1"/>
      <c r="B16" s="15">
        <v>2</v>
      </c>
      <c r="C16" s="12">
        <v>2.69</v>
      </c>
      <c r="D16" s="22">
        <v>6400</v>
      </c>
      <c r="E16" s="16">
        <f>D16*C17/C16</f>
        <v>4665.5762081784387</v>
      </c>
      <c r="F16" s="17">
        <f>D16*2*PI()/60*$D$22/(C16*$I$8)*3.6</f>
        <v>70.524780519487848</v>
      </c>
      <c r="G16" s="16">
        <f>MAX(0,D16-$O$8)</f>
        <v>5600</v>
      </c>
      <c r="H16" s="15" t="str">
        <f>VLOOKUP("label.shift",Locale!$A$2:$D$73,4,FALSE)</f>
        <v>换挡</v>
      </c>
      <c r="I16" s="1"/>
      <c r="J16" s="15">
        <v>2</v>
      </c>
      <c r="K16" s="12">
        <v>2.3039999999999998</v>
      </c>
      <c r="L16" s="22">
        <v>6270</v>
      </c>
      <c r="M16" s="16">
        <f>L16*K17/K16</f>
        <v>4784.140625</v>
      </c>
      <c r="N16" s="17">
        <f>L16*2*PI()/60*$L$22/(K16*$I$8)*3.6</f>
        <v>80.419388154165745</v>
      </c>
      <c r="O16" s="16">
        <f>MAX(0,L16-$O$8)</f>
        <v>5470</v>
      </c>
      <c r="P16" s="15" t="str">
        <f>VLOOKUP("label.shift",Locale!$A$2:$D$73,4,FALSE)</f>
        <v>换挡</v>
      </c>
      <c r="Q16" s="1"/>
    </row>
    <row r="17" spans="1:17" ht="22.5" customHeight="1">
      <c r="A17" s="1"/>
      <c r="B17" s="11">
        <v>3</v>
      </c>
      <c r="C17" s="12">
        <v>1.9610000000000001</v>
      </c>
      <c r="D17" s="22">
        <v>6330</v>
      </c>
      <c r="E17" s="13">
        <f>D17*C18/C17</f>
        <v>4809.637939826619</v>
      </c>
      <c r="F17" s="14">
        <f>D17*2*PI()/60*$D$22/(C17*$I$8)*3.6</f>
        <v>95.684185783057387</v>
      </c>
      <c r="G17" s="13">
        <f>MAX(0,D17-$O$8)</f>
        <v>5530</v>
      </c>
      <c r="H17" s="11" t="str">
        <f>VLOOKUP("label.shift",Locale!$A$2:$D$73,4,FALSE)</f>
        <v>换挡</v>
      </c>
      <c r="I17" s="1"/>
      <c r="J17" s="11">
        <v>3</v>
      </c>
      <c r="K17" s="12">
        <v>1.758</v>
      </c>
      <c r="L17" s="22">
        <v>6210</v>
      </c>
      <c r="M17" s="13">
        <f>L17*K18/K17</f>
        <v>4885.3412969283281</v>
      </c>
      <c r="N17" s="14">
        <f>L17*2*PI()/60*$L$22/(K17*$I$8)*3.6</f>
        <v>104.38748347564912</v>
      </c>
      <c r="O17" s="13">
        <f>MAX(0,L17-$O$8)</f>
        <v>5410</v>
      </c>
      <c r="P17" s="11" t="str">
        <f>VLOOKUP("label.shift",Locale!$A$2:$D$73,4,FALSE)</f>
        <v>换挡</v>
      </c>
      <c r="Q17" s="1"/>
    </row>
    <row r="18" spans="1:17" ht="22.5" customHeight="1">
      <c r="A18" s="1"/>
      <c r="B18" s="15">
        <v>4</v>
      </c>
      <c r="C18" s="12">
        <v>1.49</v>
      </c>
      <c r="D18" s="22">
        <v>6190</v>
      </c>
      <c r="E18" s="16">
        <f>D18*C19/C18</f>
        <v>4939.5369127516788</v>
      </c>
      <c r="F18" s="17">
        <f>D18*2*PI()/60*$D$22/(C18*$I$8)*3.6</f>
        <v>123.14546695763887</v>
      </c>
      <c r="G18" s="16">
        <f>MAX(0,D18-$O$8)</f>
        <v>5390</v>
      </c>
      <c r="H18" s="15" t="str">
        <f>VLOOKUP("label.shift",Locale!$A$2:$D$73,4,FALSE)</f>
        <v>换挡</v>
      </c>
      <c r="I18" s="1"/>
      <c r="J18" s="15">
        <v>4</v>
      </c>
      <c r="K18" s="12">
        <v>1.383</v>
      </c>
      <c r="L18" s="22">
        <v>6160</v>
      </c>
      <c r="M18" s="16">
        <f>L18*K19/K18</f>
        <v>4961.8510484454091</v>
      </c>
      <c r="N18" s="17">
        <f>L18*2*PI()/60*$L$22/(K18*$I$8)*3.6</f>
        <v>131.62374113233474</v>
      </c>
      <c r="O18" s="16">
        <f>MAX(0,L18-$O$8)</f>
        <v>5360</v>
      </c>
      <c r="P18" s="15" t="str">
        <f>VLOOKUP("label.shift",Locale!$A$2:$D$73,4,FALSE)</f>
        <v>换挡</v>
      </c>
      <c r="Q18" s="1"/>
    </row>
    <row r="19" spans="1:17" ht="22.5" customHeight="1">
      <c r="A19" s="1"/>
      <c r="B19" s="11">
        <v>5</v>
      </c>
      <c r="C19" s="12">
        <v>1.1890000000000001</v>
      </c>
      <c r="D19" s="13">
        <f>$O$7</f>
        <v>7500</v>
      </c>
      <c r="E19" s="13" t="s">
        <v>27</v>
      </c>
      <c r="F19" s="14">
        <f>D19*2*PI()/60*$D$22/(C19*$I$8)*3.6</f>
        <v>186.97926921003307</v>
      </c>
      <c r="G19" s="13">
        <f>MAX(0,D19-$O$8)</f>
        <v>6700</v>
      </c>
      <c r="H19" s="11" t="str">
        <f>VLOOKUP("label.limiter",Locale!$A$2:$D$73,4,FALSE)</f>
        <v>限转</v>
      </c>
      <c r="I19" s="1"/>
      <c r="J19" s="11">
        <v>5</v>
      </c>
      <c r="K19" s="12">
        <v>1.1140000000000001</v>
      </c>
      <c r="L19" s="13">
        <f>$O$7</f>
        <v>7500</v>
      </c>
      <c r="M19" s="13" t="s">
        <v>27</v>
      </c>
      <c r="N19" s="14">
        <f>L19*2*PI()/60*$L$22/(K19*$I$8)*3.6</f>
        <v>198.95358584006709</v>
      </c>
      <c r="O19" s="13">
        <f>MAX(0,L19-$O$8)</f>
        <v>6700</v>
      </c>
      <c r="P19" s="11" t="str">
        <f>VLOOKUP("label.limiter",Locale!$A$2:$D$73,4,FALSE)</f>
        <v>限转</v>
      </c>
      <c r="Q19" s="1"/>
    </row>
    <row r="20" spans="1:17" ht="22.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22.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22.5" customHeight="1">
      <c r="A22" s="1"/>
      <c r="B22" s="26" t="str">
        <f>VLOOKUP("label.tyreRadiusM",Locale!$A$2:$D$73,4,FALSE)</f>
        <v>轮胎半径 (m)</v>
      </c>
      <c r="C22" s="26"/>
      <c r="D22" s="18">
        <v>0.32500000000000001</v>
      </c>
      <c r="E22" s="1"/>
      <c r="F22" s="26" t="str">
        <f>VLOOKUP("label.wheelInertia",Locale!$A$2:$D$73,4,FALSE)</f>
        <v>车轮转动惯量 I (kg m²)</v>
      </c>
      <c r="G22" s="26"/>
      <c r="H22" s="19">
        <v>5.4748128000000005</v>
      </c>
      <c r="I22" s="1"/>
      <c r="J22" s="26" t="str">
        <f>VLOOKUP("label.tyreRadiusM",Locale!$A$2:$D$73,4,FALSE)</f>
        <v>轮胎半径 (m)</v>
      </c>
      <c r="K22" s="26"/>
      <c r="L22" s="18">
        <v>0.32400000000000001</v>
      </c>
      <c r="M22" s="1"/>
      <c r="N22" s="26" t="str">
        <f>VLOOKUP("label.wheelInertia",Locale!$A$2:$D$73,4,FALSE)</f>
        <v>车轮转动惯量 I (kg m²)</v>
      </c>
      <c r="O22" s="26"/>
      <c r="P22" s="19">
        <v>5.7898434559999998</v>
      </c>
      <c r="Q22" s="1"/>
    </row>
    <row r="23" spans="1:17" ht="22.5" customHeight="1">
      <c r="A23" s="1"/>
      <c r="B23" s="26" t="str">
        <f>VLOOKUP("label.gearboxFriction",Locale!$A$2:$D$73,4,FALSE)</f>
        <v>变速箱摩擦阻力 (Nm)</v>
      </c>
      <c r="C23" s="26"/>
      <c r="D23" s="20">
        <v>1.65</v>
      </c>
      <c r="E23" s="1"/>
      <c r="F23" s="26" t="str">
        <f>VLOOKUP("label.gearboxDynamicLoss",Locale!$A$2:$D$73,4,FALSE)</f>
        <v>变速箱动态阻力 (Nm s)</v>
      </c>
      <c r="G23" s="26"/>
      <c r="H23" s="21">
        <v>7.7999999999999999E-4</v>
      </c>
      <c r="I23" s="1"/>
      <c r="J23" s="26" t="str">
        <f>VLOOKUP("label.gearboxFriction",Locale!$A$2:$D$73,4,FALSE)</f>
        <v>变速箱摩擦阻力 (Nm)</v>
      </c>
      <c r="K23" s="26"/>
      <c r="L23" s="20">
        <f>$D$23</f>
        <v>1.65</v>
      </c>
      <c r="M23" s="1"/>
      <c r="N23" s="26" t="str">
        <f>VLOOKUP("label.gearboxDynamicLoss",Locale!$A$2:$D$73,4,FALSE)</f>
        <v>变速箱动态阻力 (Nm s)</v>
      </c>
      <c r="O23" s="26"/>
      <c r="P23" s="21">
        <f>$H$23</f>
        <v>7.7999999999999999E-4</v>
      </c>
      <c r="Q23" s="1"/>
    </row>
    <row r="24" spans="1:17" ht="22.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22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22.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22.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22.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22.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22.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22.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22.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22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22.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22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22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22.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22.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22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22.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22.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22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22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22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22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22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22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22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22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22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22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22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22.5" customHeight="1">
      <c r="A53" s="1"/>
      <c r="B53" s="26" t="str">
        <f>VLOOKUP("label.gearGroup",Locale!$A$2:$D$73,4,FALSE)</f>
        <v>齿轮组</v>
      </c>
      <c r="C53" s="26"/>
      <c r="D53" s="23">
        <v>1</v>
      </c>
      <c r="E53" s="26" t="str">
        <f>IF(D53=1,VLOOKUP("label.groupOneTypeATarmac",Locale!$A$2:$D$73,4,FALSE),VLOOKUP("label.groupTwoTypeBGravel",Locale!$A$2:$D$73,4,FALSE))</f>
        <v>第 1 组 · Type-A / 柏油</v>
      </c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1"/>
    </row>
    <row r="54" spans="1:17" ht="22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22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22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22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22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22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22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22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22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22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22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22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22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22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22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22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22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22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22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22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22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22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22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22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22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22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22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</sheetData>
  <mergeCells count="35">
    <mergeCell ref="B1:D1"/>
    <mergeCell ref="E1:G1"/>
    <mergeCell ref="B2:P2"/>
    <mergeCell ref="B5:D5"/>
    <mergeCell ref="F5:I5"/>
    <mergeCell ref="K5:P5"/>
    <mergeCell ref="B6:C6"/>
    <mergeCell ref="F6:H6"/>
    <mergeCell ref="K6:N6"/>
    <mergeCell ref="O6:P6"/>
    <mergeCell ref="B7:C7"/>
    <mergeCell ref="F7:H7"/>
    <mergeCell ref="K7:N7"/>
    <mergeCell ref="O7:P7"/>
    <mergeCell ref="B8:C8"/>
    <mergeCell ref="F8:H8"/>
    <mergeCell ref="K8:N8"/>
    <mergeCell ref="O8:P8"/>
    <mergeCell ref="B9:C9"/>
    <mergeCell ref="F9:H9"/>
    <mergeCell ref="K9:N9"/>
    <mergeCell ref="O9:P9"/>
    <mergeCell ref="B11:P11"/>
    <mergeCell ref="B53:C53"/>
    <mergeCell ref="E53:P53"/>
    <mergeCell ref="J13:P13"/>
    <mergeCell ref="J22:K22"/>
    <mergeCell ref="N22:O22"/>
    <mergeCell ref="J23:K23"/>
    <mergeCell ref="N23:O23"/>
    <mergeCell ref="B13:H13"/>
    <mergeCell ref="B22:C22"/>
    <mergeCell ref="F22:G22"/>
    <mergeCell ref="B23:C23"/>
    <mergeCell ref="F23:G23"/>
  </mergeCells>
  <phoneticPr fontId="9" type="noConversion"/>
  <dataValidations count="5">
    <dataValidation type="decimal" operator="greaterThan" sqref="I6:I8" xr:uid="{00000000-0002-0000-0000-000000000000}">
      <formula1>0</formula1>
    </dataValidation>
    <dataValidation type="decimal" sqref="I9" xr:uid="{00000000-0002-0000-0000-000003000000}">
      <formula1>0</formula1>
      <formula2>0.9</formula2>
    </dataValidation>
    <dataValidation type="decimal" sqref="K15:K19 C15:C19" xr:uid="{00000000-0002-0000-0000-000004000000}">
      <formula1>0.1</formula1>
      <formula2>8</formula2>
    </dataValidation>
    <dataValidation type="whole" sqref="D53" xr:uid="{00000000-0002-0000-0000-00000E000000}">
      <formula1>1</formula1>
      <formula2>2</formula2>
    </dataValidation>
    <dataValidation type="list" sqref="E1:G1" xr:uid="{00000000-0002-0000-0000-000004000000}">
      <formula1>"English,简体中文"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1E9E4-D32E-4B92-978D-04801643B138}">
  <dimension ref="A1:Q80"/>
  <sheetViews>
    <sheetView showGridLines="0" workbookViewId="0"/>
  </sheetViews>
  <sheetFormatPr defaultRowHeight="14"/>
  <cols>
    <col min="1" max="1" width="3" customWidth="1"/>
    <col min="2" max="16" width="12" customWidth="1"/>
    <col min="17" max="17" width="3" customWidth="1"/>
  </cols>
  <sheetData>
    <row r="1" spans="1:17" ht="22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34" customHeight="1">
      <c r="A2" s="1"/>
      <c r="B2" s="32" t="str">
        <f>VLOOKUP("title.wrc16GearingShiftLights",Locale!$A$2:$D$73,4,FALSE)</f>
        <v>WRC16 · 齿比与换挡灯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1"/>
    </row>
    <row r="3" spans="1:17" ht="22.5" customHeight="1">
      <c r="A3" s="1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1"/>
    </row>
    <row r="4" spans="1:17" ht="22.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32" customHeight="1">
      <c r="A5" s="1"/>
      <c r="B5" s="27" t="str">
        <f>VLOOKUP("chart.engineCurve",Locale!$A$2:$D$73,4,FALSE)</f>
        <v>发动机曲线</v>
      </c>
      <c r="C5" s="27"/>
      <c r="D5" s="27"/>
      <c r="E5" s="1"/>
      <c r="F5" s="27" t="str">
        <f>VLOOKUP("label.calibrationBasis",Locale!$A$2:$D$73,4,FALSE)</f>
        <v>标定依据</v>
      </c>
      <c r="G5" s="27"/>
      <c r="H5" s="27"/>
      <c r="I5" s="27"/>
      <c r="J5" s="1"/>
      <c r="K5" s="27" t="str">
        <f>VLOOKUP("label.shiftLights",Locale!$A$2:$D$73,4,FALSE)</f>
        <v>换挡灯</v>
      </c>
      <c r="L5" s="27"/>
      <c r="M5" s="27"/>
      <c r="N5" s="27"/>
      <c r="O5" s="27"/>
      <c r="P5" s="27"/>
      <c r="Q5" s="1"/>
    </row>
    <row r="6" spans="1:17" ht="22.5" customHeight="1">
      <c r="A6" s="1"/>
      <c r="B6" s="30" t="str">
        <f>VLOOKUP("label.peakPowerHp",Locale!$A$2:$D$73,4,FALSE)</f>
        <v>峰值功率 (hp)</v>
      </c>
      <c r="C6" s="30"/>
      <c r="D6" s="6">
        <f>MAX(Samples!$D$37:$D$55)</f>
        <v>308.13179986562693</v>
      </c>
      <c r="E6" s="1"/>
      <c r="F6" s="30" t="str">
        <f>VLOOKUP("label.runningMassKg",Locale!$A$2:$D$73,4,FALSE)</f>
        <v>运行质量 (kg)</v>
      </c>
      <c r="G6" s="30"/>
      <c r="H6" s="30"/>
      <c r="I6" s="7">
        <v>1390</v>
      </c>
      <c r="J6" s="1"/>
      <c r="K6" s="30" t="str">
        <f>VLOOKUP("label.neutralFlashRpm",Locale!$A$2:$D$73,4,FALSE)</f>
        <v>空挡闪烁 (rpm)</v>
      </c>
      <c r="L6" s="30"/>
      <c r="M6" s="30"/>
      <c r="N6" s="30"/>
      <c r="O6" s="31">
        <v>3000</v>
      </c>
      <c r="P6" s="31"/>
      <c r="Q6" s="1"/>
    </row>
    <row r="7" spans="1:17" ht="22.5" customHeight="1">
      <c r="A7" s="1"/>
      <c r="B7" s="28" t="str">
        <f>VLOOKUP("label.powerPeakRpm",Locale!$A$2:$D$73,4,FALSE)</f>
        <v>功率峰值转速 (rpm)</v>
      </c>
      <c r="C7" s="28"/>
      <c r="D7" s="5">
        <f>INDEX(Samples!$B$37:$B$55,MATCH(D6,Samples!$D$37:$D$55,0))</f>
        <v>5960</v>
      </c>
      <c r="E7" s="1"/>
      <c r="F7" s="28" t="str">
        <f>VLOOKUP("label.engineFlywheelInertia",Locale!$A$2:$D$73,4,FALSE)</f>
        <v>发动机 + 飞轮转动惯量 (kg m²)</v>
      </c>
      <c r="G7" s="28"/>
      <c r="H7" s="28"/>
      <c r="I7" s="8">
        <v>0.12171599999999999</v>
      </c>
      <c r="J7" s="1"/>
      <c r="K7" s="28" t="str">
        <f>VLOOKUP("label.topGearLimiterRpm",Locale!$A$2:$D$73,4,FALSE)</f>
        <v>最高挡 / 限转 (rpm)</v>
      </c>
      <c r="L7" s="28"/>
      <c r="M7" s="28"/>
      <c r="N7" s="28"/>
      <c r="O7" s="28">
        <v>7650</v>
      </c>
      <c r="P7" s="28"/>
      <c r="Q7" s="1"/>
    </row>
    <row r="8" spans="1:17" ht="22.5" customHeight="1">
      <c r="A8" s="1"/>
      <c r="B8" s="30" t="str">
        <f>VLOOKUP("label.peakTorqueNm",Locale!$A$2:$D$73,4,FALSE)</f>
        <v>峰值扭矩 (Nm)</v>
      </c>
      <c r="C8" s="30"/>
      <c r="D8" s="6">
        <f>MAX(Samples!$C$37:$C$55)</f>
        <v>409.78852677824824</v>
      </c>
      <c r="E8" s="1"/>
      <c r="F8" s="30" t="str">
        <f>VLOOKUP("label.finalDrive",Locale!$A$2:$D$73,4,FALSE)</f>
        <v>主减速比</v>
      </c>
      <c r="G8" s="30"/>
      <c r="H8" s="30"/>
      <c r="I8" s="9">
        <v>4.1333333333333337</v>
      </c>
      <c r="J8" s="1"/>
      <c r="K8" s="30" t="str">
        <f>VLOOKUP("label.lightRangeRpm",Locale!$A$2:$D$73,4,FALSE)</f>
        <v>亮灯范围 (rpm)</v>
      </c>
      <c r="L8" s="30"/>
      <c r="M8" s="30"/>
      <c r="N8" s="30"/>
      <c r="O8" s="31">
        <v>800</v>
      </c>
      <c r="P8" s="31"/>
      <c r="Q8" s="1"/>
    </row>
    <row r="9" spans="1:17" ht="22.5" customHeight="1">
      <c r="A9" s="1"/>
      <c r="B9" s="28" t="str">
        <f>VLOOKUP("label.torquePeakRpm",Locale!$A$2:$D$73,4,FALSE)</f>
        <v>峰值扭矩转速 (rpm)</v>
      </c>
      <c r="C9" s="28"/>
      <c r="D9" s="5">
        <f>INDEX(Samples!$B$37:$B$55,MATCH(D8,Samples!$C$37:$C$55,0))</f>
        <v>4170</v>
      </c>
      <c r="E9" s="1"/>
      <c r="F9" s="28" t="str">
        <f>VLOOKUP("label.gearboxTorqueLoss",Locale!$A$2:$D$73,4,FALSE)</f>
        <v>变速箱扭矩损失</v>
      </c>
      <c r="G9" s="28"/>
      <c r="H9" s="28"/>
      <c r="I9" s="10">
        <v>1.2E-2</v>
      </c>
      <c r="J9" s="1"/>
      <c r="K9" s="28" t="str">
        <f>VLOOKUP("label.roundingRpm",Locale!$A$2:$D$73,4,FALSE)</f>
        <v>取整步长 (rpm)</v>
      </c>
      <c r="L9" s="28"/>
      <c r="M9" s="28"/>
      <c r="N9" s="28"/>
      <c r="O9" s="28">
        <v>10</v>
      </c>
      <c r="P9" s="28"/>
      <c r="Q9" s="1"/>
    </row>
    <row r="10" spans="1:17" ht="22.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22.5" customHeight="1">
      <c r="A11" s="1"/>
      <c r="B11" s="29" t="str">
        <f>VLOOKUP("note.yellowInputs",Locale!$A$2:$D$73,4,FALSE)</f>
        <v>黄色单元格为手动输入。</v>
      </c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1"/>
    </row>
    <row r="12" spans="1:17" ht="22.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32" customHeight="1">
      <c r="A13" s="1"/>
      <c r="B13" s="27" t="str">
        <f>VLOOKUP("label.groupOneTypeATarmac",Locale!$A$2:$D$73,4,FALSE)</f>
        <v>第 1 组 · Type-A / 柏油</v>
      </c>
      <c r="C13" s="27"/>
      <c r="D13" s="27"/>
      <c r="E13" s="27"/>
      <c r="F13" s="27"/>
      <c r="G13" s="27"/>
      <c r="H13" s="27"/>
      <c r="I13" s="1"/>
      <c r="J13" s="27" t="str">
        <f>VLOOKUP("label.groupTwoTypeBGravel",Locale!$A$2:$D$73,4,FALSE)</f>
        <v>第 2 组 · Type-B / 砂石</v>
      </c>
      <c r="K13" s="27"/>
      <c r="L13" s="27"/>
      <c r="M13" s="27"/>
      <c r="N13" s="27"/>
      <c r="O13" s="27"/>
      <c r="P13" s="27"/>
      <c r="Q13" s="1"/>
    </row>
    <row r="14" spans="1:17" ht="32" customHeight="1">
      <c r="A14" s="1"/>
      <c r="B14" s="2" t="str">
        <f>VLOOKUP("label.gear",Locale!$A$2:$D$73,4,FALSE)</f>
        <v>挡位</v>
      </c>
      <c r="C14" s="2" t="str">
        <f>VLOOKUP("label.gearRatio",Locale!$A$2:$D$73,4,FALSE)</f>
        <v>齿比</v>
      </c>
      <c r="D14" s="2" t="str">
        <f>VLOOKUP("label.flashRpmWrap",Locale!$A$2:$D$73,4,FALSE)</f>
        <v>闪烁
(rpm)</v>
      </c>
      <c r="E14" s="2" t="str">
        <f>VLOOKUP("label.afterShiftRpmWrap",Locale!$A$2:$D$73,4,FALSE)</f>
        <v>换挡后
(rpm)</v>
      </c>
      <c r="F14" s="2" t="str">
        <f>VLOOKUP("label.speedKmhMultiline",Locale!$A$2:$D$73,4,FALSE)</f>
        <v>车速
(km/h)</v>
      </c>
      <c r="G14" s="2" t="str">
        <f>VLOOKUP("label.firstLightRpm",Locale!$A$2:$D$73,4,FALSE)</f>
        <v>首灯亮起
(rpm)</v>
      </c>
      <c r="H14" s="2" t="str">
        <f>VLOOKUP("label.trigger",Locale!$A$2:$D$73,4,FALSE)</f>
        <v>触发条件</v>
      </c>
      <c r="I14" s="1"/>
      <c r="J14" s="2" t="str">
        <f>VLOOKUP("label.gear",Locale!$A$2:$D$73,4,FALSE)</f>
        <v>挡位</v>
      </c>
      <c r="K14" s="2" t="str">
        <f>VLOOKUP("label.gearRatio",Locale!$A$2:$D$73,4,FALSE)</f>
        <v>齿比</v>
      </c>
      <c r="L14" s="2" t="str">
        <f>VLOOKUP("label.flashRpmWrap",Locale!$A$2:$D$73,4,FALSE)</f>
        <v>闪烁
(rpm)</v>
      </c>
      <c r="M14" s="2" t="str">
        <f>VLOOKUP("label.afterShiftRpmWrap",Locale!$A$2:$D$73,4,FALSE)</f>
        <v>换挡后
(rpm)</v>
      </c>
      <c r="N14" s="2" t="str">
        <f>VLOOKUP("label.speedKmhMultiline",Locale!$A$2:$D$73,4,FALSE)</f>
        <v>车速
(km/h)</v>
      </c>
      <c r="O14" s="2" t="str">
        <f>VLOOKUP("label.firstLightRpm",Locale!$A$2:$D$73,4,FALSE)</f>
        <v>首灯亮起
(rpm)</v>
      </c>
      <c r="P14" s="2" t="str">
        <f>VLOOKUP("label.trigger",Locale!$A$2:$D$73,4,FALSE)</f>
        <v>触发条件</v>
      </c>
      <c r="Q14" s="1"/>
    </row>
    <row r="15" spans="1:17" ht="22.5" customHeight="1">
      <c r="A15" s="1"/>
      <c r="B15" s="11">
        <v>1</v>
      </c>
      <c r="C15" s="12">
        <v>3.7970000000000002</v>
      </c>
      <c r="D15" s="22">
        <v>6190</v>
      </c>
      <c r="E15" s="13">
        <f>D15*C16/C15</f>
        <v>5037.4242823281529</v>
      </c>
      <c r="F15" s="14">
        <f t="shared" ref="F15:F20" si="0">D15*2*PI()/60*$D$22/(C15*$I$8)*3.6</f>
        <v>48.324136362096894</v>
      </c>
      <c r="G15" s="13">
        <f t="shared" ref="G15:G20" si="1">MAX(0,D15-$O$8)</f>
        <v>5390</v>
      </c>
      <c r="H15" s="11" t="str">
        <f>VLOOKUP("label.shift",Locale!$A$2:$D$73,4,FALSE)</f>
        <v>换挡</v>
      </c>
      <c r="I15" s="1"/>
      <c r="J15" s="11">
        <v>1</v>
      </c>
      <c r="K15" s="12">
        <v>3.4910000000000001</v>
      </c>
      <c r="L15" s="22">
        <v>6290</v>
      </c>
      <c r="M15" s="13">
        <f>L15*K16/K15</f>
        <v>5043.1710111715838</v>
      </c>
      <c r="N15" s="14">
        <f t="shared" ref="N15:N20" si="2">L15*2*PI()/60*$L$22/(K15*$I$8)*3.6</f>
        <v>53.244713575728085</v>
      </c>
      <c r="O15" s="13">
        <f t="shared" ref="O15:O20" si="3">MAX(0,L15-$O$8)</f>
        <v>5490</v>
      </c>
      <c r="P15" s="11" t="str">
        <f>VLOOKUP("label.shift",Locale!$A$2:$D$73,4,FALSE)</f>
        <v>换挡</v>
      </c>
      <c r="Q15" s="1"/>
    </row>
    <row r="16" spans="1:17" ht="22.5" customHeight="1">
      <c r="A16" s="1"/>
      <c r="B16" s="15">
        <v>2</v>
      </c>
      <c r="C16" s="12">
        <v>3.09</v>
      </c>
      <c r="D16" s="22">
        <v>6380</v>
      </c>
      <c r="E16" s="16">
        <f>D16*C17/C16</f>
        <v>5118.4530744336571</v>
      </c>
      <c r="F16" s="17">
        <f t="shared" si="0"/>
        <v>61.203498595851272</v>
      </c>
      <c r="G16" s="16">
        <f t="shared" si="1"/>
        <v>5580</v>
      </c>
      <c r="H16" s="15" t="str">
        <f>VLOOKUP("label.shift",Locale!$A$2:$D$73,4,FALSE)</f>
        <v>换挡</v>
      </c>
      <c r="I16" s="1"/>
      <c r="J16" s="15">
        <v>2</v>
      </c>
      <c r="K16" s="12">
        <v>2.7989999999999999</v>
      </c>
      <c r="L16" s="22">
        <v>6420</v>
      </c>
      <c r="M16" s="16">
        <f>L16*K17/K16</f>
        <v>5149.3033226152202</v>
      </c>
      <c r="N16" s="17">
        <f t="shared" si="2"/>
        <v>67.780977563313513</v>
      </c>
      <c r="O16" s="16">
        <f t="shared" si="3"/>
        <v>5620</v>
      </c>
      <c r="P16" s="15" t="str">
        <f>VLOOKUP("label.shift",Locale!$A$2:$D$73,4,FALSE)</f>
        <v>换挡</v>
      </c>
      <c r="Q16" s="1"/>
    </row>
    <row r="17" spans="1:17" ht="22.5" customHeight="1">
      <c r="A17" s="1"/>
      <c r="B17" s="11">
        <v>3</v>
      </c>
      <c r="C17" s="12">
        <v>2.4790000000000001</v>
      </c>
      <c r="D17" s="22">
        <v>6450</v>
      </c>
      <c r="E17" s="13">
        <f>D17*C18/C17</f>
        <v>5195.9056070996376</v>
      </c>
      <c r="F17" s="14">
        <f t="shared" si="0"/>
        <v>77.125365848336912</v>
      </c>
      <c r="G17" s="13">
        <f t="shared" si="1"/>
        <v>5650</v>
      </c>
      <c r="H17" s="11" t="str">
        <f>VLOOKUP("label.shift",Locale!$A$2:$D$73,4,FALSE)</f>
        <v>换挡</v>
      </c>
      <c r="I17" s="1"/>
      <c r="J17" s="11">
        <v>3</v>
      </c>
      <c r="K17" s="12">
        <v>2.2450000000000001</v>
      </c>
      <c r="L17" s="22">
        <v>6460</v>
      </c>
      <c r="M17" s="13">
        <f>L17*K18/K17</f>
        <v>5234.1826280623609</v>
      </c>
      <c r="N17" s="14">
        <f t="shared" si="2"/>
        <v>85.033855577306156</v>
      </c>
      <c r="O17" s="13">
        <f t="shared" si="3"/>
        <v>5660</v>
      </c>
      <c r="P17" s="11" t="str">
        <f>VLOOKUP("label.shift",Locale!$A$2:$D$73,4,FALSE)</f>
        <v>换挡</v>
      </c>
      <c r="Q17" s="1"/>
    </row>
    <row r="18" spans="1:17" ht="22.5" customHeight="1">
      <c r="A18" s="1"/>
      <c r="B18" s="15">
        <v>4</v>
      </c>
      <c r="C18" s="12">
        <v>1.9970000000000001</v>
      </c>
      <c r="D18" s="22">
        <v>6500</v>
      </c>
      <c r="E18" s="16">
        <f>D18*C19/C18</f>
        <v>5243.6154231347018</v>
      </c>
      <c r="F18" s="17">
        <f t="shared" si="0"/>
        <v>96.48267615354635</v>
      </c>
      <c r="G18" s="16">
        <f t="shared" si="1"/>
        <v>5700</v>
      </c>
      <c r="H18" s="15" t="str">
        <f>VLOOKUP("label.shift",Locale!$A$2:$D$73,4,FALSE)</f>
        <v>换挡</v>
      </c>
      <c r="I18" s="1"/>
      <c r="J18" s="15">
        <v>4</v>
      </c>
      <c r="K18" s="12">
        <v>1.819</v>
      </c>
      <c r="L18" s="22">
        <v>6470</v>
      </c>
      <c r="M18" s="16">
        <f>L18*K19/K18</f>
        <v>5292.6663001649258</v>
      </c>
      <c r="N18" s="17">
        <f t="shared" si="2"/>
        <v>105.11078513682615</v>
      </c>
      <c r="O18" s="16">
        <f t="shared" si="3"/>
        <v>5670</v>
      </c>
      <c r="P18" s="15" t="str">
        <f>VLOOKUP("label.shift",Locale!$A$2:$D$73,4,FALSE)</f>
        <v>换挡</v>
      </c>
      <c r="Q18" s="1"/>
    </row>
    <row r="19" spans="1:17" ht="22.5" customHeight="1">
      <c r="A19" s="1"/>
      <c r="B19" s="11">
        <v>5</v>
      </c>
      <c r="C19" s="12">
        <v>1.611</v>
      </c>
      <c r="D19" s="22">
        <v>6500</v>
      </c>
      <c r="E19" s="13">
        <f>D19*C20/C19</f>
        <v>5309.745499689634</v>
      </c>
      <c r="F19" s="14">
        <f t="shared" si="0"/>
        <v>119.60018887562514</v>
      </c>
      <c r="G19" s="13">
        <f t="shared" si="1"/>
        <v>5700</v>
      </c>
      <c r="H19" s="11" t="str">
        <f>VLOOKUP("label.shift",Locale!$A$2:$D$73,4,FALSE)</f>
        <v>换挡</v>
      </c>
      <c r="I19" s="1"/>
      <c r="J19" s="11">
        <v>5</v>
      </c>
      <c r="K19" s="12">
        <v>1.488</v>
      </c>
      <c r="L19" s="22">
        <v>6480</v>
      </c>
      <c r="M19" s="13">
        <f>L19*K20/K19</f>
        <v>5343.3870967741941</v>
      </c>
      <c r="N19" s="14">
        <f t="shared" si="2"/>
        <v>128.69088075048469</v>
      </c>
      <c r="O19" s="13">
        <f t="shared" si="3"/>
        <v>5680</v>
      </c>
      <c r="P19" s="11" t="str">
        <f>VLOOKUP("label.shift",Locale!$A$2:$D$73,4,FALSE)</f>
        <v>换挡</v>
      </c>
      <c r="Q19" s="1"/>
    </row>
    <row r="20" spans="1:17" ht="22.5" customHeight="1">
      <c r="A20" s="1"/>
      <c r="B20" s="15">
        <v>6</v>
      </c>
      <c r="C20" s="12">
        <v>1.3160000000000001</v>
      </c>
      <c r="D20" s="16">
        <f>$O$7</f>
        <v>7650</v>
      </c>
      <c r="E20" s="16" t="s">
        <v>27</v>
      </c>
      <c r="F20" s="17">
        <f t="shared" si="0"/>
        <v>172.31361558703946</v>
      </c>
      <c r="G20" s="16">
        <f t="shared" si="1"/>
        <v>6850</v>
      </c>
      <c r="H20" s="15" t="str">
        <f>VLOOKUP("label.limiter",Locale!$A$2:$D$73,4,FALSE)</f>
        <v>限转</v>
      </c>
      <c r="I20" s="1"/>
      <c r="J20" s="15">
        <v>6</v>
      </c>
      <c r="K20" s="12">
        <v>1.2270000000000001</v>
      </c>
      <c r="L20" s="16">
        <f>$O$7</f>
        <v>7650</v>
      </c>
      <c r="M20" s="16" t="s">
        <v>27</v>
      </c>
      <c r="N20" s="17">
        <f t="shared" si="2"/>
        <v>184.24366790411688</v>
      </c>
      <c r="O20" s="16">
        <f t="shared" si="3"/>
        <v>6850</v>
      </c>
      <c r="P20" s="15" t="str">
        <f>VLOOKUP("label.limiter",Locale!$A$2:$D$73,4,FALSE)</f>
        <v>限转</v>
      </c>
      <c r="Q20" s="1"/>
    </row>
    <row r="21" spans="1:17" ht="22.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22.5" customHeight="1">
      <c r="A22" s="1"/>
      <c r="B22" s="26" t="str">
        <f>VLOOKUP("label.tyreRadiusM",Locale!$A$2:$D$73,4,FALSE)</f>
        <v>轮胎半径 (m)</v>
      </c>
      <c r="C22" s="26"/>
      <c r="D22" s="18">
        <v>0.32500000000000001</v>
      </c>
      <c r="E22" s="1"/>
      <c r="F22" s="26" t="str">
        <f>VLOOKUP("label.wheelInertia",Locale!$A$2:$D$73,4,FALSE)</f>
        <v>车轮转动惯量 I (kg m²)</v>
      </c>
      <c r="G22" s="26"/>
      <c r="H22" s="19">
        <v>5.4748128000000005</v>
      </c>
      <c r="I22" s="1"/>
      <c r="J22" s="26" t="str">
        <f>VLOOKUP("label.tyreRadiusM",Locale!$A$2:$D$73,4,FALSE)</f>
        <v>轮胎半径 (m)</v>
      </c>
      <c r="K22" s="26"/>
      <c r="L22" s="18">
        <v>0.32400000000000001</v>
      </c>
      <c r="M22" s="1"/>
      <c r="N22" s="26" t="str">
        <f>VLOOKUP("label.wheelInertia",Locale!$A$2:$D$73,4,FALSE)</f>
        <v>车轮转动惯量 I (kg m²)</v>
      </c>
      <c r="O22" s="26"/>
      <c r="P22" s="19">
        <v>5.7898434559999998</v>
      </c>
      <c r="Q22" s="1"/>
    </row>
    <row r="23" spans="1:17" ht="22.5" customHeight="1">
      <c r="A23" s="1"/>
      <c r="B23" s="26" t="str">
        <f>VLOOKUP("label.gearboxFriction",Locale!$A$2:$D$73,4,FALSE)</f>
        <v>变速箱摩擦阻力 (Nm)</v>
      </c>
      <c r="C23" s="26"/>
      <c r="D23" s="20">
        <v>1.85</v>
      </c>
      <c r="E23" s="1"/>
      <c r="F23" s="26" t="str">
        <f>VLOOKUP("label.gearboxDynamicLoss",Locale!$A$2:$D$73,4,FALSE)</f>
        <v>变速箱动态阻力 (Nm s)</v>
      </c>
      <c r="G23" s="26"/>
      <c r="H23" s="21">
        <v>9.7999999999999997E-4</v>
      </c>
      <c r="I23" s="1"/>
      <c r="J23" s="26" t="str">
        <f>VLOOKUP("label.gearboxFriction",Locale!$A$2:$D$73,4,FALSE)</f>
        <v>变速箱摩擦阻力 (Nm)</v>
      </c>
      <c r="K23" s="26"/>
      <c r="L23" s="20">
        <f>$D$23</f>
        <v>1.85</v>
      </c>
      <c r="M23" s="1"/>
      <c r="N23" s="26" t="str">
        <f>VLOOKUP("label.gearboxDynamicLoss",Locale!$A$2:$D$73,4,FALSE)</f>
        <v>变速箱动态阻力 (Nm s)</v>
      </c>
      <c r="O23" s="26"/>
      <c r="P23" s="21">
        <f>$H$23</f>
        <v>9.7999999999999997E-4</v>
      </c>
      <c r="Q23" s="1"/>
    </row>
    <row r="24" spans="1:17" ht="22.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22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22.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22.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22.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22.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22.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22.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22.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22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22.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22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22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22.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22.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22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22.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22.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22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22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22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22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22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22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22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22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22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22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22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22.5" customHeight="1">
      <c r="A53" s="1"/>
      <c r="B53" s="26" t="str">
        <f>VLOOKUP("label.gearGroup",Locale!$A$2:$D$73,4,FALSE)</f>
        <v>齿轮组</v>
      </c>
      <c r="C53" s="26"/>
      <c r="D53" s="23">
        <v>1</v>
      </c>
      <c r="E53" s="26" t="str">
        <f>IF(D53=1,VLOOKUP("label.groupOneTypeATarmac",Locale!$A$2:$D$73,4,FALSE),VLOOKUP("label.groupTwoTypeBGravel",Locale!$A$2:$D$73,4,FALSE))</f>
        <v>第 1 组 · Type-A / 柏油</v>
      </c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1"/>
    </row>
    <row r="54" spans="1:17" ht="22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22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22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22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22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22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22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22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22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22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22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22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22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22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22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22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22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22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22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22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22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22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22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22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22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22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22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</sheetData>
  <mergeCells count="33">
    <mergeCell ref="B2:P2"/>
    <mergeCell ref="B5:D5"/>
    <mergeCell ref="F5:I5"/>
    <mergeCell ref="K5:P5"/>
    <mergeCell ref="B6:C6"/>
    <mergeCell ref="F6:H6"/>
    <mergeCell ref="K6:N6"/>
    <mergeCell ref="O6:P6"/>
    <mergeCell ref="B7:C7"/>
    <mergeCell ref="F7:H7"/>
    <mergeCell ref="K7:N7"/>
    <mergeCell ref="O7:P7"/>
    <mergeCell ref="B8:C8"/>
    <mergeCell ref="F8:H8"/>
    <mergeCell ref="K8:N8"/>
    <mergeCell ref="O8:P8"/>
    <mergeCell ref="B9:C9"/>
    <mergeCell ref="F9:H9"/>
    <mergeCell ref="K9:N9"/>
    <mergeCell ref="O9:P9"/>
    <mergeCell ref="B11:P11"/>
    <mergeCell ref="B53:C53"/>
    <mergeCell ref="E53:P53"/>
    <mergeCell ref="J13:P13"/>
    <mergeCell ref="J22:K22"/>
    <mergeCell ref="N22:O22"/>
    <mergeCell ref="J23:K23"/>
    <mergeCell ref="N23:O23"/>
    <mergeCell ref="B13:H13"/>
    <mergeCell ref="B22:C22"/>
    <mergeCell ref="F22:G22"/>
    <mergeCell ref="B23:C23"/>
    <mergeCell ref="F23:G23"/>
  </mergeCells>
  <phoneticPr fontId="9" type="noConversion"/>
  <dataValidations count="4">
    <dataValidation type="decimal" operator="greaterThan" sqref="I6:I8" xr:uid="{00000000-0002-0000-0100-000000000000}">
      <formula1>0</formula1>
    </dataValidation>
    <dataValidation type="decimal" sqref="I9" xr:uid="{00000000-0002-0000-0100-000003000000}">
      <formula1>0</formula1>
      <formula2>0.9</formula2>
    </dataValidation>
    <dataValidation type="decimal" sqref="K15:K20 C15:C20" xr:uid="{00000000-0002-0000-0100-000004000000}">
      <formula1>0.1</formula1>
      <formula2>8</formula2>
    </dataValidation>
    <dataValidation type="whole" sqref="D53" xr:uid="{00000000-0002-0000-0100-000010000000}">
      <formula1>1</formula1>
      <formula2>2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8D9CA-7598-4187-B70E-7D1FD42190B1}">
  <dimension ref="A1:Q80"/>
  <sheetViews>
    <sheetView showGridLines="0" workbookViewId="0"/>
  </sheetViews>
  <sheetFormatPr defaultRowHeight="14"/>
  <cols>
    <col min="1" max="1" width="3" customWidth="1"/>
    <col min="2" max="16" width="12" customWidth="1"/>
    <col min="17" max="17" width="3" customWidth="1"/>
  </cols>
  <sheetData>
    <row r="1" spans="1:17" ht="22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34" customHeight="1">
      <c r="A2" s="1"/>
      <c r="B2" s="32" t="str">
        <f>VLOOKUP("title.wrc17GearingShiftLights",Locale!$A$2:$D$73,4,FALSE)</f>
        <v>WRC17 · 齿比与换挡灯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1"/>
    </row>
    <row r="3" spans="1:17" ht="22.5" customHeight="1">
      <c r="A3" s="1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1"/>
    </row>
    <row r="4" spans="1:17" ht="22.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32" customHeight="1">
      <c r="A5" s="1"/>
      <c r="B5" s="27" t="str">
        <f>VLOOKUP("chart.engineCurve",Locale!$A$2:$D$73,4,FALSE)</f>
        <v>发动机曲线</v>
      </c>
      <c r="C5" s="27"/>
      <c r="D5" s="27"/>
      <c r="E5" s="1"/>
      <c r="F5" s="27" t="str">
        <f>VLOOKUP("label.calibrationBasis",Locale!$A$2:$D$73,4,FALSE)</f>
        <v>标定依据</v>
      </c>
      <c r="G5" s="27"/>
      <c r="H5" s="27"/>
      <c r="I5" s="27"/>
      <c r="J5" s="1"/>
      <c r="K5" s="27" t="str">
        <f>VLOOKUP("label.shiftLights",Locale!$A$2:$D$73,4,FALSE)</f>
        <v>换挡灯</v>
      </c>
      <c r="L5" s="27"/>
      <c r="M5" s="27"/>
      <c r="N5" s="27"/>
      <c r="O5" s="27"/>
      <c r="P5" s="27"/>
      <c r="Q5" s="1"/>
    </row>
    <row r="6" spans="1:17" ht="22.5" customHeight="1">
      <c r="A6" s="1"/>
      <c r="B6" s="30" t="str">
        <f>VLOOKUP("label.peakPowerHp",Locale!$A$2:$D$73,4,FALSE)</f>
        <v>峰值功率 (hp)</v>
      </c>
      <c r="C6" s="30"/>
      <c r="D6" s="6">
        <f>MAX(Samples!$D$67:$D$86)</f>
        <v>385.29452495916468</v>
      </c>
      <c r="E6" s="1"/>
      <c r="F6" s="30" t="str">
        <f>VLOOKUP("label.runningMassKg",Locale!$A$2:$D$73,4,FALSE)</f>
        <v>运行质量 (kg)</v>
      </c>
      <c r="G6" s="30"/>
      <c r="H6" s="30"/>
      <c r="I6" s="7">
        <v>1391.01</v>
      </c>
      <c r="J6" s="1"/>
      <c r="K6" s="30" t="str">
        <f>VLOOKUP("label.neutralFlashRpm",Locale!$A$2:$D$73,4,FALSE)</f>
        <v>空挡闪烁 (rpm)</v>
      </c>
      <c r="L6" s="30"/>
      <c r="M6" s="30"/>
      <c r="N6" s="30"/>
      <c r="O6" s="31">
        <v>3000</v>
      </c>
      <c r="P6" s="31"/>
      <c r="Q6" s="1"/>
    </row>
    <row r="7" spans="1:17" ht="22.5" customHeight="1">
      <c r="A7" s="1"/>
      <c r="B7" s="28" t="str">
        <f>VLOOKUP("label.powerPeakRpm",Locale!$A$2:$D$73,4,FALSE)</f>
        <v>功率峰值转速 (rpm)</v>
      </c>
      <c r="C7" s="28"/>
      <c r="D7" s="5">
        <f>INDEX(Samples!$B$67:$B$86,MATCH(D6,Samples!$D$67:$D$86,0))</f>
        <v>6840</v>
      </c>
      <c r="E7" s="1"/>
      <c r="F7" s="28" t="str">
        <f>VLOOKUP("label.engineFlywheelInertia",Locale!$A$2:$D$73,4,FALSE)</f>
        <v>发动机 + 飞轮转动惯量 (kg m²)</v>
      </c>
      <c r="G7" s="28"/>
      <c r="H7" s="28"/>
      <c r="I7" s="8">
        <v>0.12171599999999999</v>
      </c>
      <c r="J7" s="1"/>
      <c r="K7" s="28" t="str">
        <f>VLOOKUP("label.topGearLimiterRpm",Locale!$A$2:$D$73,4,FALSE)</f>
        <v>最高挡 / 限转 (rpm)</v>
      </c>
      <c r="L7" s="28"/>
      <c r="M7" s="28"/>
      <c r="N7" s="28"/>
      <c r="O7" s="28">
        <v>8500</v>
      </c>
      <c r="P7" s="28"/>
      <c r="Q7" s="1"/>
    </row>
    <row r="8" spans="1:17" ht="22.5" customHeight="1">
      <c r="A8" s="1"/>
      <c r="B8" s="30" t="str">
        <f>VLOOKUP("label.peakTorqueNm",Locale!$A$2:$D$73,4,FALSE)</f>
        <v>峰值扭矩 (Nm)</v>
      </c>
      <c r="C8" s="30"/>
      <c r="D8" s="6">
        <f>MAX(Samples!$C$67:$C$86)</f>
        <v>448.23569782092903</v>
      </c>
      <c r="E8" s="1"/>
      <c r="F8" s="30" t="str">
        <f>VLOOKUP("label.finalDrive",Locale!$A$2:$D$73,4,FALSE)</f>
        <v>主减速比</v>
      </c>
      <c r="G8" s="30"/>
      <c r="H8" s="30"/>
      <c r="I8" s="9">
        <v>4.4666666666666668</v>
      </c>
      <c r="J8" s="1"/>
      <c r="K8" s="30" t="str">
        <f>VLOOKUP("label.lightRangeRpm",Locale!$A$2:$D$73,4,FALSE)</f>
        <v>亮灯范围 (rpm)</v>
      </c>
      <c r="L8" s="30"/>
      <c r="M8" s="30"/>
      <c r="N8" s="30"/>
      <c r="O8" s="31">
        <v>800</v>
      </c>
      <c r="P8" s="31"/>
      <c r="Q8" s="1"/>
    </row>
    <row r="9" spans="1:17" ht="22.5" customHeight="1">
      <c r="A9" s="1"/>
      <c r="B9" s="28" t="str">
        <f>VLOOKUP("label.torquePeakRpm",Locale!$A$2:$D$73,4,FALSE)</f>
        <v>峰值扭矩转速 (rpm)</v>
      </c>
      <c r="C9" s="28"/>
      <c r="D9" s="5">
        <f>INDEX(Samples!$B$67:$B$86,MATCH(D8,Samples!$C$67:$C$86,0))</f>
        <v>4760</v>
      </c>
      <c r="E9" s="1"/>
      <c r="F9" s="28" t="str">
        <f>VLOOKUP("label.gearboxTorqueLoss",Locale!$A$2:$D$73,4,FALSE)</f>
        <v>变速箱扭矩损失</v>
      </c>
      <c r="G9" s="28"/>
      <c r="H9" s="28"/>
      <c r="I9" s="10">
        <v>1.2E-2</v>
      </c>
      <c r="J9" s="1"/>
      <c r="K9" s="28" t="str">
        <f>VLOOKUP("label.roundingRpm",Locale!$A$2:$D$73,4,FALSE)</f>
        <v>取整步长 (rpm)</v>
      </c>
      <c r="L9" s="28"/>
      <c r="M9" s="28"/>
      <c r="N9" s="28"/>
      <c r="O9" s="28">
        <v>10</v>
      </c>
      <c r="P9" s="28"/>
      <c r="Q9" s="1"/>
    </row>
    <row r="10" spans="1:17" ht="22.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22.5" customHeight="1">
      <c r="A11" s="1"/>
      <c r="B11" s="29" t="str">
        <f>VLOOKUP("note.yellowInputs",Locale!$A$2:$D$73,4,FALSE)</f>
        <v>黄色单元格为手动输入。</v>
      </c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1"/>
    </row>
    <row r="12" spans="1:17" ht="22.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32" customHeight="1">
      <c r="A13" s="1"/>
      <c r="B13" s="27" t="str">
        <f>VLOOKUP("label.groupOneTypeATarmac",Locale!$A$2:$D$73,4,FALSE)</f>
        <v>第 1 组 · Type-A / 柏油</v>
      </c>
      <c r="C13" s="27"/>
      <c r="D13" s="27"/>
      <c r="E13" s="27"/>
      <c r="F13" s="27"/>
      <c r="G13" s="27"/>
      <c r="H13" s="27"/>
      <c r="I13" s="1"/>
      <c r="J13" s="27" t="str">
        <f>VLOOKUP("label.groupTwoTypeBGravel",Locale!$A$2:$D$73,4,FALSE)</f>
        <v>第 2 组 · Type-B / 砂石</v>
      </c>
      <c r="K13" s="27"/>
      <c r="L13" s="27"/>
      <c r="M13" s="27"/>
      <c r="N13" s="27"/>
      <c r="O13" s="27"/>
      <c r="P13" s="27"/>
      <c r="Q13" s="1"/>
    </row>
    <row r="14" spans="1:17" ht="32" customHeight="1">
      <c r="A14" s="1"/>
      <c r="B14" s="2" t="str">
        <f>VLOOKUP("label.gear",Locale!$A$2:$D$73,4,FALSE)</f>
        <v>挡位</v>
      </c>
      <c r="C14" s="2" t="str">
        <f>VLOOKUP("label.gearRatio",Locale!$A$2:$D$73,4,FALSE)</f>
        <v>齿比</v>
      </c>
      <c r="D14" s="2" t="str">
        <f>VLOOKUP("label.flashRpmWrap",Locale!$A$2:$D$73,4,FALSE)</f>
        <v>闪烁
(rpm)</v>
      </c>
      <c r="E14" s="2" t="str">
        <f>VLOOKUP("label.afterShiftRpmWrap",Locale!$A$2:$D$73,4,FALSE)</f>
        <v>换挡后
(rpm)</v>
      </c>
      <c r="F14" s="2" t="str">
        <f>VLOOKUP("label.speedKmhMultiline",Locale!$A$2:$D$73,4,FALSE)</f>
        <v>车速
(km/h)</v>
      </c>
      <c r="G14" s="2" t="str">
        <f>VLOOKUP("label.firstLightRpm",Locale!$A$2:$D$73,4,FALSE)</f>
        <v>首灯亮起
(rpm)</v>
      </c>
      <c r="H14" s="2" t="str">
        <f>VLOOKUP("label.trigger",Locale!$A$2:$D$73,4,FALSE)</f>
        <v>触发条件</v>
      </c>
      <c r="I14" s="1"/>
      <c r="J14" s="2" t="str">
        <f>VLOOKUP("label.gear",Locale!$A$2:$D$73,4,FALSE)</f>
        <v>挡位</v>
      </c>
      <c r="K14" s="2" t="str">
        <f>VLOOKUP("label.gearRatio",Locale!$A$2:$D$73,4,FALSE)</f>
        <v>齿比</v>
      </c>
      <c r="L14" s="2" t="str">
        <f>VLOOKUP("label.flashRpmWrap",Locale!$A$2:$D$73,4,FALSE)</f>
        <v>闪烁
(rpm)</v>
      </c>
      <c r="M14" s="2" t="str">
        <f>VLOOKUP("label.afterShiftRpmWrap",Locale!$A$2:$D$73,4,FALSE)</f>
        <v>换挡后
(rpm)</v>
      </c>
      <c r="N14" s="2" t="str">
        <f>VLOOKUP("label.speedKmhMultiline",Locale!$A$2:$D$73,4,FALSE)</f>
        <v>车速
(km/h)</v>
      </c>
      <c r="O14" s="2" t="str">
        <f>VLOOKUP("label.firstLightRpm",Locale!$A$2:$D$73,4,FALSE)</f>
        <v>首灯亮起
(rpm)</v>
      </c>
      <c r="P14" s="2" t="str">
        <f>VLOOKUP("label.trigger",Locale!$A$2:$D$73,4,FALSE)</f>
        <v>触发条件</v>
      </c>
      <c r="Q14" s="1"/>
    </row>
    <row r="15" spans="1:17" ht="22.5" customHeight="1">
      <c r="A15" s="1"/>
      <c r="B15" s="11">
        <v>1</v>
      </c>
      <c r="C15" s="12">
        <v>3.5150000000000001</v>
      </c>
      <c r="D15" s="22">
        <v>7130</v>
      </c>
      <c r="E15" s="13">
        <f>D15*C16/C15</f>
        <v>5801.3655761024174</v>
      </c>
      <c r="F15" s="14">
        <f t="shared" ref="F15:F20" si="0">D15*2*PI()/60*$D$22/(C15*$I$8)*3.6</f>
        <v>55.641026890111483</v>
      </c>
      <c r="G15" s="13">
        <f t="shared" ref="G15:G20" si="1">MAX(0,D15-$O$8)</f>
        <v>6330</v>
      </c>
      <c r="H15" s="11" t="str">
        <f>VLOOKUP("label.shift",Locale!$A$2:$D$73,4,FALSE)</f>
        <v>换挡</v>
      </c>
      <c r="I15" s="1"/>
      <c r="J15" s="11">
        <v>1</v>
      </c>
      <c r="K15" s="12">
        <v>3.2349999999999999</v>
      </c>
      <c r="L15" s="22">
        <v>7250</v>
      </c>
      <c r="M15" s="13">
        <f>L15*K16/K15</f>
        <v>5815.6877897990726</v>
      </c>
      <c r="N15" s="14">
        <f t="shared" ref="N15:N20" si="2">L15*2*PI()/60*$L$22/(K15*$I$8)*3.6</f>
        <v>61.28529865929255</v>
      </c>
      <c r="O15" s="13">
        <f t="shared" ref="O15:O20" si="3">MAX(0,L15-$O$8)</f>
        <v>6450</v>
      </c>
      <c r="P15" s="11" t="str">
        <f>VLOOKUP("label.shift",Locale!$A$2:$D$73,4,FALSE)</f>
        <v>换挡</v>
      </c>
      <c r="Q15" s="1"/>
    </row>
    <row r="16" spans="1:17" ht="22.5" customHeight="1">
      <c r="A16" s="1"/>
      <c r="B16" s="15">
        <v>2</v>
      </c>
      <c r="C16" s="12">
        <v>2.86</v>
      </c>
      <c r="D16" s="22">
        <v>7370</v>
      </c>
      <c r="E16" s="16">
        <f>D16*C17/C16</f>
        <v>5914.038461538461</v>
      </c>
      <c r="F16" s="17">
        <f t="shared" si="0"/>
        <v>70.685834705770347</v>
      </c>
      <c r="G16" s="16">
        <f t="shared" si="1"/>
        <v>6570</v>
      </c>
      <c r="H16" s="15" t="str">
        <f>VLOOKUP("label.shift",Locale!$A$2:$D$73,4,FALSE)</f>
        <v>换挡</v>
      </c>
      <c r="I16" s="1"/>
      <c r="J16" s="15">
        <v>2</v>
      </c>
      <c r="K16" s="12">
        <v>2.5950000000000002</v>
      </c>
      <c r="L16" s="22">
        <v>7410</v>
      </c>
      <c r="M16" s="16">
        <f>L16*K17/K16</f>
        <v>5947.9884393063585</v>
      </c>
      <c r="N16" s="17">
        <f t="shared" si="2"/>
        <v>78.086045791850779</v>
      </c>
      <c r="O16" s="16">
        <f t="shared" si="3"/>
        <v>6610</v>
      </c>
      <c r="P16" s="15" t="str">
        <f>VLOOKUP("label.shift",Locale!$A$2:$D$73,4,FALSE)</f>
        <v>换挡</v>
      </c>
      <c r="Q16" s="1"/>
    </row>
    <row r="17" spans="1:17" ht="22.5" customHeight="1">
      <c r="A17" s="1"/>
      <c r="B17" s="11">
        <v>3</v>
      </c>
      <c r="C17" s="12">
        <v>2.2949999999999999</v>
      </c>
      <c r="D17" s="22">
        <v>7450</v>
      </c>
      <c r="E17" s="13">
        <f>D17*C18/C17</f>
        <v>5998.9542483660134</v>
      </c>
      <c r="F17" s="14">
        <f t="shared" si="0"/>
        <v>89.043970880939852</v>
      </c>
      <c r="G17" s="13">
        <f t="shared" si="1"/>
        <v>6650</v>
      </c>
      <c r="H17" s="11" t="str">
        <f>VLOOKUP("label.shift",Locale!$A$2:$D$73,4,FALSE)</f>
        <v>换挡</v>
      </c>
      <c r="I17" s="1"/>
      <c r="J17" s="11">
        <v>3</v>
      </c>
      <c r="K17" s="12">
        <v>2.0830000000000002</v>
      </c>
      <c r="L17" s="22">
        <v>7460</v>
      </c>
      <c r="M17" s="13">
        <f>L17*K18/K17</f>
        <v>6041.7762842054726</v>
      </c>
      <c r="N17" s="14">
        <f t="shared" si="2"/>
        <v>97.935950540471978</v>
      </c>
      <c r="O17" s="13">
        <f t="shared" si="3"/>
        <v>6660</v>
      </c>
      <c r="P17" s="11" t="str">
        <f>VLOOKUP("label.shift",Locale!$A$2:$D$73,4,FALSE)</f>
        <v>换挡</v>
      </c>
      <c r="Q17" s="1"/>
    </row>
    <row r="18" spans="1:17" ht="22.5" customHeight="1">
      <c r="A18" s="1"/>
      <c r="B18" s="15">
        <v>4</v>
      </c>
      <c r="C18" s="12">
        <v>1.8480000000000001</v>
      </c>
      <c r="D18" s="22">
        <v>7510</v>
      </c>
      <c r="E18" s="16">
        <f>D18*C19/C18</f>
        <v>6059.204545454546</v>
      </c>
      <c r="F18" s="17">
        <f t="shared" si="0"/>
        <v>111.47279902959809</v>
      </c>
      <c r="G18" s="16">
        <f t="shared" si="1"/>
        <v>6710</v>
      </c>
      <c r="H18" s="15" t="str">
        <f>VLOOKUP("label.shift",Locale!$A$2:$D$73,4,FALSE)</f>
        <v>换挡</v>
      </c>
      <c r="I18" s="1"/>
      <c r="J18" s="15">
        <v>4</v>
      </c>
      <c r="K18" s="12">
        <v>1.6870000000000001</v>
      </c>
      <c r="L18" s="22">
        <v>7480</v>
      </c>
      <c r="M18" s="16">
        <f>L18*K19/K18</f>
        <v>6118.7907528156484</v>
      </c>
      <c r="N18" s="17">
        <f t="shared" si="2"/>
        <v>121.24926107539024</v>
      </c>
      <c r="O18" s="16">
        <f t="shared" si="3"/>
        <v>6680</v>
      </c>
      <c r="P18" s="15" t="str">
        <f>VLOOKUP("label.shift",Locale!$A$2:$D$73,4,FALSE)</f>
        <v>换挡</v>
      </c>
      <c r="Q18" s="1"/>
    </row>
    <row r="19" spans="1:17" ht="22.5" customHeight="1">
      <c r="A19" s="1"/>
      <c r="B19" s="11">
        <v>5</v>
      </c>
      <c r="C19" s="12">
        <v>1.4910000000000001</v>
      </c>
      <c r="D19" s="22">
        <v>7500</v>
      </c>
      <c r="E19" s="13">
        <f>D19*C20/C19</f>
        <v>6126.7605633802814</v>
      </c>
      <c r="F19" s="14">
        <f t="shared" si="0"/>
        <v>137.97949655770663</v>
      </c>
      <c r="G19" s="13">
        <f t="shared" si="1"/>
        <v>6700</v>
      </c>
      <c r="H19" s="11" t="str">
        <f>VLOOKUP("label.shift",Locale!$A$2:$D$73,4,FALSE)</f>
        <v>换挡</v>
      </c>
      <c r="I19" s="1"/>
      <c r="J19" s="11">
        <v>5</v>
      </c>
      <c r="K19" s="12">
        <v>1.38</v>
      </c>
      <c r="L19" s="22">
        <v>7480</v>
      </c>
      <c r="M19" s="13">
        <f>L19*K20/K19</f>
        <v>6168.289855072464</v>
      </c>
      <c r="N19" s="14">
        <f t="shared" si="2"/>
        <v>148.22282857549519</v>
      </c>
      <c r="O19" s="13">
        <f t="shared" si="3"/>
        <v>6680</v>
      </c>
      <c r="P19" s="11" t="str">
        <f>VLOOKUP("label.shift",Locale!$A$2:$D$73,4,FALSE)</f>
        <v>换挡</v>
      </c>
      <c r="Q19" s="1"/>
    </row>
    <row r="20" spans="1:17" ht="22.5" customHeight="1">
      <c r="A20" s="1"/>
      <c r="B20" s="15">
        <v>6</v>
      </c>
      <c r="C20" s="12">
        <v>1.218</v>
      </c>
      <c r="D20" s="16">
        <f>$O$7</f>
        <v>8500</v>
      </c>
      <c r="E20" s="16" t="s">
        <v>27</v>
      </c>
      <c r="F20" s="17">
        <f t="shared" si="0"/>
        <v>191.4267268335079</v>
      </c>
      <c r="G20" s="16">
        <f t="shared" si="1"/>
        <v>7700</v>
      </c>
      <c r="H20" s="15" t="str">
        <f>VLOOKUP("label.limiter",Locale!$A$2:$D$73,4,FALSE)</f>
        <v>限转</v>
      </c>
      <c r="I20" s="1"/>
      <c r="J20" s="15">
        <v>6</v>
      </c>
      <c r="K20" s="12">
        <v>1.1379999999999999</v>
      </c>
      <c r="L20" s="16">
        <f>$O$7</f>
        <v>8500</v>
      </c>
      <c r="M20" s="16" t="s">
        <v>27</v>
      </c>
      <c r="N20" s="17">
        <f t="shared" si="2"/>
        <v>204.25337856904392</v>
      </c>
      <c r="O20" s="16">
        <f t="shared" si="3"/>
        <v>7700</v>
      </c>
      <c r="P20" s="15" t="str">
        <f>VLOOKUP("label.limiter",Locale!$A$2:$D$73,4,FALSE)</f>
        <v>限转</v>
      </c>
      <c r="Q20" s="1"/>
    </row>
    <row r="21" spans="1:17" ht="22.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22.5" customHeight="1">
      <c r="A22" s="1"/>
      <c r="B22" s="26" t="str">
        <f>VLOOKUP("label.tyreRadiusM",Locale!$A$2:$D$73,4,FALSE)</f>
        <v>轮胎半径 (m)</v>
      </c>
      <c r="C22" s="26"/>
      <c r="D22" s="18">
        <v>0.32500000000000001</v>
      </c>
      <c r="E22" s="1"/>
      <c r="F22" s="26" t="str">
        <f>VLOOKUP("label.wheelInertia",Locale!$A$2:$D$73,4,FALSE)</f>
        <v>车轮转动惯量 I (kg m²)</v>
      </c>
      <c r="G22" s="26"/>
      <c r="H22" s="19">
        <v>5.4748128000000005</v>
      </c>
      <c r="I22" s="1"/>
      <c r="J22" s="26" t="str">
        <f>VLOOKUP("label.tyreRadiusM",Locale!$A$2:$D$73,4,FALSE)</f>
        <v>轮胎半径 (m)</v>
      </c>
      <c r="K22" s="26"/>
      <c r="L22" s="18">
        <v>0.32400000000000001</v>
      </c>
      <c r="M22" s="1"/>
      <c r="N22" s="26" t="str">
        <f>VLOOKUP("label.wheelInertia",Locale!$A$2:$D$73,4,FALSE)</f>
        <v>车轮转动惯量 I (kg m²)</v>
      </c>
      <c r="O22" s="26"/>
      <c r="P22" s="19">
        <v>5.7898434559999998</v>
      </c>
      <c r="Q22" s="1"/>
    </row>
    <row r="23" spans="1:17" ht="22.5" customHeight="1">
      <c r="A23" s="1"/>
      <c r="B23" s="26" t="str">
        <f>VLOOKUP("label.gearboxFriction",Locale!$A$2:$D$73,4,FALSE)</f>
        <v>变速箱摩擦阻力 (Nm)</v>
      </c>
      <c r="C23" s="26"/>
      <c r="D23" s="20">
        <v>1.85</v>
      </c>
      <c r="E23" s="1"/>
      <c r="F23" s="26" t="str">
        <f>VLOOKUP("label.gearboxDynamicLoss",Locale!$A$2:$D$73,4,FALSE)</f>
        <v>变速箱动态阻力 (Nm s)</v>
      </c>
      <c r="G23" s="26"/>
      <c r="H23" s="21">
        <v>9.7999999999999997E-4</v>
      </c>
      <c r="I23" s="1"/>
      <c r="J23" s="26" t="str">
        <f>VLOOKUP("label.gearboxFriction",Locale!$A$2:$D$73,4,FALSE)</f>
        <v>变速箱摩擦阻力 (Nm)</v>
      </c>
      <c r="K23" s="26"/>
      <c r="L23" s="20">
        <f>$D$23</f>
        <v>1.85</v>
      </c>
      <c r="M23" s="1"/>
      <c r="N23" s="26" t="str">
        <f>VLOOKUP("label.gearboxDynamicLoss",Locale!$A$2:$D$73,4,FALSE)</f>
        <v>变速箱动态阻力 (Nm s)</v>
      </c>
      <c r="O23" s="26"/>
      <c r="P23" s="21">
        <f>$H$23</f>
        <v>9.7999999999999997E-4</v>
      </c>
      <c r="Q23" s="1"/>
    </row>
    <row r="24" spans="1:17" ht="22.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22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22.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22.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22.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22.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22.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22.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22.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22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22.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22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22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22.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22.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22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22.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22.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22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22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22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22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22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22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22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22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22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22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22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22.5" customHeight="1">
      <c r="A53" s="1"/>
      <c r="B53" s="26" t="str">
        <f>VLOOKUP("label.gearGroup",Locale!$A$2:$D$73,4,FALSE)</f>
        <v>齿轮组</v>
      </c>
      <c r="C53" s="26"/>
      <c r="D53" s="23">
        <v>1</v>
      </c>
      <c r="E53" s="26" t="str">
        <f>IF(D53=1,VLOOKUP("label.groupOneTypeATarmac",Locale!$A$2:$D$73,4,FALSE),VLOOKUP("label.groupTwoTypeBGravel",Locale!$A$2:$D$73,4,FALSE))</f>
        <v>第 1 组 · Type-A / 柏油</v>
      </c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1"/>
    </row>
    <row r="54" spans="1:17" ht="22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22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22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22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22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22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22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22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22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22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22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22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22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22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22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22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22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22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22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22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22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22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22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22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22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22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22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</sheetData>
  <mergeCells count="33">
    <mergeCell ref="B2:P2"/>
    <mergeCell ref="B5:D5"/>
    <mergeCell ref="F5:I5"/>
    <mergeCell ref="K5:P5"/>
    <mergeCell ref="B6:C6"/>
    <mergeCell ref="F6:H6"/>
    <mergeCell ref="K6:N6"/>
    <mergeCell ref="O6:P6"/>
    <mergeCell ref="B7:C7"/>
    <mergeCell ref="F7:H7"/>
    <mergeCell ref="K7:N7"/>
    <mergeCell ref="O7:P7"/>
    <mergeCell ref="B8:C8"/>
    <mergeCell ref="F8:H8"/>
    <mergeCell ref="K8:N8"/>
    <mergeCell ref="O8:P8"/>
    <mergeCell ref="B9:C9"/>
    <mergeCell ref="F9:H9"/>
    <mergeCell ref="K9:N9"/>
    <mergeCell ref="O9:P9"/>
    <mergeCell ref="B11:P11"/>
    <mergeCell ref="B53:C53"/>
    <mergeCell ref="E53:P53"/>
    <mergeCell ref="J13:P13"/>
    <mergeCell ref="J22:K22"/>
    <mergeCell ref="N22:O22"/>
    <mergeCell ref="J23:K23"/>
    <mergeCell ref="N23:O23"/>
    <mergeCell ref="B13:H13"/>
    <mergeCell ref="B22:C22"/>
    <mergeCell ref="F22:G22"/>
    <mergeCell ref="B23:C23"/>
    <mergeCell ref="F23:G23"/>
  </mergeCells>
  <phoneticPr fontId="9" type="noConversion"/>
  <dataValidations count="4">
    <dataValidation type="decimal" operator="greaterThan" sqref="I6:I8" xr:uid="{00000000-0002-0000-0200-000000000000}">
      <formula1>0</formula1>
    </dataValidation>
    <dataValidation type="decimal" sqref="I9" xr:uid="{00000000-0002-0000-0200-000003000000}">
      <formula1>0</formula1>
      <formula2>0.9</formula2>
    </dataValidation>
    <dataValidation type="decimal" sqref="K15:K20 C15:C20" xr:uid="{00000000-0002-0000-0200-000004000000}">
      <formula1>0.1</formula1>
      <formula2>8</formula2>
    </dataValidation>
    <dataValidation type="whole" sqref="D53" xr:uid="{00000000-0002-0000-0200-000010000000}">
      <formula1>1</formula1>
      <formula2>2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D0999-E494-4D3A-8DDF-80B7F803CB71}">
  <dimension ref="A1:Q80"/>
  <sheetViews>
    <sheetView showGridLines="0" workbookViewId="0"/>
  </sheetViews>
  <sheetFormatPr defaultRowHeight="14"/>
  <cols>
    <col min="1" max="1" width="3" customWidth="1"/>
    <col min="2" max="16" width="12" customWidth="1"/>
    <col min="17" max="17" width="3" customWidth="1"/>
  </cols>
  <sheetData>
    <row r="1" spans="1:17" ht="22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34" customHeight="1">
      <c r="A2" s="1"/>
      <c r="B2" s="32" t="str">
        <f>VLOOKUP("title.rally1GearingShiftLights",Locale!$A$2:$D$73,4,FALSE)</f>
        <v>Rally1 · 齿比与换挡灯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1"/>
    </row>
    <row r="3" spans="1:17" ht="22.5" customHeight="1">
      <c r="A3" s="1"/>
      <c r="B3" s="35" t="str">
        <f>VLOOKUP("note.rally1Calibration",Locale!$A$2:$D$73,4,FALSE)</f>
        <v>2025 标定 · 与 2022 共用</v>
      </c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1"/>
    </row>
    <row r="4" spans="1:17" ht="22.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32" customHeight="1">
      <c r="A5" s="1"/>
      <c r="B5" s="27" t="str">
        <f>VLOOKUP("chart.engineCurve",Locale!$A$2:$D$73,4,FALSE)</f>
        <v>发动机曲线</v>
      </c>
      <c r="C5" s="27"/>
      <c r="D5" s="27"/>
      <c r="E5" s="1"/>
      <c r="F5" s="27" t="str">
        <f>VLOOKUP("label.calibrationBasis",Locale!$A$2:$D$73,4,FALSE)</f>
        <v>标定依据</v>
      </c>
      <c r="G5" s="27"/>
      <c r="H5" s="27"/>
      <c r="I5" s="27"/>
      <c r="J5" s="1"/>
      <c r="K5" s="27" t="str">
        <f>VLOOKUP("label.shiftLights",Locale!$A$2:$D$73,4,FALSE)</f>
        <v>换挡灯</v>
      </c>
      <c r="L5" s="27"/>
      <c r="M5" s="27"/>
      <c r="N5" s="27"/>
      <c r="O5" s="27"/>
      <c r="P5" s="27"/>
      <c r="Q5" s="1"/>
    </row>
    <row r="6" spans="1:17" ht="22.5" customHeight="1">
      <c r="A6" s="1"/>
      <c r="B6" s="30" t="str">
        <f>VLOOKUP("label.peakPowerHp",Locale!$A$2:$D$73,4,FALSE)</f>
        <v>峰值功率 (hp)</v>
      </c>
      <c r="C6" s="30"/>
      <c r="D6" s="6">
        <f>MAX(Samples!$D$97:$D$116)</f>
        <v>374.43649433675955</v>
      </c>
      <c r="E6" s="1"/>
      <c r="F6" s="30" t="str">
        <f>VLOOKUP("label.runningMassKg",Locale!$A$2:$D$73,4,FALSE)</f>
        <v>运行质量 (kg)</v>
      </c>
      <c r="G6" s="30"/>
      <c r="H6" s="30"/>
      <c r="I6" s="7">
        <v>1380</v>
      </c>
      <c r="J6" s="1"/>
      <c r="K6" s="30" t="str">
        <f>VLOOKUP("label.neutralFlashRpm",Locale!$A$2:$D$73,4,FALSE)</f>
        <v>空挡闪烁 (rpm)</v>
      </c>
      <c r="L6" s="30"/>
      <c r="M6" s="30"/>
      <c r="N6" s="30"/>
      <c r="O6" s="31">
        <v>3000</v>
      </c>
      <c r="P6" s="31"/>
      <c r="Q6" s="1"/>
    </row>
    <row r="7" spans="1:17" ht="22.5" customHeight="1">
      <c r="A7" s="1"/>
      <c r="B7" s="28" t="str">
        <f>VLOOKUP("label.powerPeakRpm",Locale!$A$2:$D$73,4,FALSE)</f>
        <v>功率峰值转速 (rpm)</v>
      </c>
      <c r="C7" s="28"/>
      <c r="D7" s="5">
        <f>INDEX(Samples!$B$97:$B$116,MATCH(D6,Samples!$D$97:$D$116,0))</f>
        <v>6670</v>
      </c>
      <c r="E7" s="1"/>
      <c r="F7" s="28" t="str">
        <f>VLOOKUP("label.engineFlywheelInertia",Locale!$A$2:$D$73,4,FALSE)</f>
        <v>发动机 + 飞轮转动惯量 (kg m²)</v>
      </c>
      <c r="G7" s="28"/>
      <c r="H7" s="28"/>
      <c r="I7" s="8">
        <v>0.12171599999999999</v>
      </c>
      <c r="J7" s="1"/>
      <c r="K7" s="28" t="str">
        <f>VLOOKUP("label.topGearLimiterRpm",Locale!$A$2:$D$73,4,FALSE)</f>
        <v>最高挡 / 限转 (rpm)</v>
      </c>
      <c r="L7" s="28"/>
      <c r="M7" s="28"/>
      <c r="N7" s="28"/>
      <c r="O7" s="28">
        <v>8500</v>
      </c>
      <c r="P7" s="28"/>
      <c r="Q7" s="1"/>
    </row>
    <row r="8" spans="1:17" ht="22.5" customHeight="1">
      <c r="A8" s="1"/>
      <c r="B8" s="30" t="str">
        <f>VLOOKUP("label.peakTorqueNm",Locale!$A$2:$D$73,4,FALSE)</f>
        <v>峰值扭矩 (Nm)</v>
      </c>
      <c r="C8" s="30"/>
      <c r="D8" s="6">
        <f>MAX(Samples!$C$97:$C$116)</f>
        <v>445.97739055382596</v>
      </c>
      <c r="E8" s="1"/>
      <c r="F8" s="30" t="str">
        <f>VLOOKUP("label.finalDrive",Locale!$A$2:$D$73,4,FALSE)</f>
        <v>主减速比</v>
      </c>
      <c r="G8" s="30"/>
      <c r="H8" s="30"/>
      <c r="I8" s="9">
        <v>4.1333333333333337</v>
      </c>
      <c r="J8" s="1"/>
      <c r="K8" s="30" t="str">
        <f>VLOOKUP("label.lightRangeRpm",Locale!$A$2:$D$73,4,FALSE)</f>
        <v>亮灯范围 (rpm)</v>
      </c>
      <c r="L8" s="30"/>
      <c r="M8" s="30"/>
      <c r="N8" s="30"/>
      <c r="O8" s="31">
        <v>800</v>
      </c>
      <c r="P8" s="31"/>
      <c r="Q8" s="1"/>
    </row>
    <row r="9" spans="1:17" ht="22.5" customHeight="1">
      <c r="A9" s="1"/>
      <c r="B9" s="28" t="str">
        <f>VLOOKUP("label.torquePeakRpm",Locale!$A$2:$D$73,4,FALSE)</f>
        <v>峰值扭矩转速 (rpm)</v>
      </c>
      <c r="C9" s="28"/>
      <c r="D9" s="5">
        <f>INDEX(Samples!$B$97:$B$116,MATCH(D8,Samples!$C$97:$C$116,0))</f>
        <v>4860</v>
      </c>
      <c r="E9" s="1"/>
      <c r="F9" s="28" t="str">
        <f>VLOOKUP("label.gearboxTorqueLoss",Locale!$A$2:$D$73,4,FALSE)</f>
        <v>变速箱扭矩损失</v>
      </c>
      <c r="G9" s="28"/>
      <c r="H9" s="28"/>
      <c r="I9" s="10">
        <v>1.0999999999999999E-2</v>
      </c>
      <c r="J9" s="1"/>
      <c r="K9" s="28" t="str">
        <f>VLOOKUP("label.roundingRpm",Locale!$A$2:$D$73,4,FALSE)</f>
        <v>取整步长 (rpm)</v>
      </c>
      <c r="L9" s="28"/>
      <c r="M9" s="28"/>
      <c r="N9" s="28"/>
      <c r="O9" s="28">
        <v>10</v>
      </c>
      <c r="P9" s="28"/>
      <c r="Q9" s="1"/>
    </row>
    <row r="10" spans="1:17" ht="22.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22.5" customHeight="1">
      <c r="A11" s="1"/>
      <c r="B11" s="29" t="str">
        <f>VLOOKUP("note.yellowInputs",Locale!$A$2:$D$73,4,FALSE)</f>
        <v>黄色单元格为手动输入。</v>
      </c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1"/>
    </row>
    <row r="12" spans="1:17" ht="22.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32" customHeight="1">
      <c r="A13" s="1"/>
      <c r="B13" s="27" t="str">
        <f>VLOOKUP("label.groupOneTypeATarmac",Locale!$A$2:$D$73,4,FALSE)</f>
        <v>第 1 组 · Type-A / 柏油</v>
      </c>
      <c r="C13" s="27"/>
      <c r="D13" s="27"/>
      <c r="E13" s="27"/>
      <c r="F13" s="27"/>
      <c r="G13" s="27"/>
      <c r="H13" s="27"/>
      <c r="I13" s="1"/>
      <c r="J13" s="27" t="str">
        <f>VLOOKUP("label.groupTwoTypeBGravel",Locale!$A$2:$D$73,4,FALSE)</f>
        <v>第 2 组 · Type-B / 砂石</v>
      </c>
      <c r="K13" s="27"/>
      <c r="L13" s="27"/>
      <c r="M13" s="27"/>
      <c r="N13" s="27"/>
      <c r="O13" s="27"/>
      <c r="P13" s="27"/>
      <c r="Q13" s="1"/>
    </row>
    <row r="14" spans="1:17" ht="32" customHeight="1">
      <c r="A14" s="1"/>
      <c r="B14" s="2" t="str">
        <f>VLOOKUP("label.gear",Locale!$A$2:$D$73,4,FALSE)</f>
        <v>挡位</v>
      </c>
      <c r="C14" s="2" t="str">
        <f>VLOOKUP("label.gearRatio",Locale!$A$2:$D$73,4,FALSE)</f>
        <v>齿比</v>
      </c>
      <c r="D14" s="2" t="str">
        <f>VLOOKUP("label.flashRpmWrap",Locale!$A$2:$D$73,4,FALSE)</f>
        <v>闪烁
(rpm)</v>
      </c>
      <c r="E14" s="2" t="str">
        <f>VLOOKUP("label.afterShiftRpmWrap",Locale!$A$2:$D$73,4,FALSE)</f>
        <v>换挡后
(rpm)</v>
      </c>
      <c r="F14" s="2" t="str">
        <f>VLOOKUP("label.speedKmhMultiline",Locale!$A$2:$D$73,4,FALSE)</f>
        <v>车速
(km/h)</v>
      </c>
      <c r="G14" s="2" t="str">
        <f>VLOOKUP("label.firstLightRpm",Locale!$A$2:$D$73,4,FALSE)</f>
        <v>首灯亮起
(rpm)</v>
      </c>
      <c r="H14" s="2" t="str">
        <f>VLOOKUP("label.trigger",Locale!$A$2:$D$73,4,FALSE)</f>
        <v>触发条件</v>
      </c>
      <c r="I14" s="1"/>
      <c r="J14" s="2" t="str">
        <f>VLOOKUP("label.gear",Locale!$A$2:$D$73,4,FALSE)</f>
        <v>挡位</v>
      </c>
      <c r="K14" s="2" t="str">
        <f>VLOOKUP("label.gearRatio",Locale!$A$2:$D$73,4,FALSE)</f>
        <v>齿比</v>
      </c>
      <c r="L14" s="2" t="str">
        <f>VLOOKUP("label.flashRpmWrap",Locale!$A$2:$D$73,4,FALSE)</f>
        <v>闪烁
(rpm)</v>
      </c>
      <c r="M14" s="2" t="str">
        <f>VLOOKUP("label.afterShiftRpmWrap",Locale!$A$2:$D$73,4,FALSE)</f>
        <v>换挡后
(rpm)</v>
      </c>
      <c r="N14" s="2" t="str">
        <f>VLOOKUP("label.speedKmhMultiline",Locale!$A$2:$D$73,4,FALSE)</f>
        <v>车速
(km/h)</v>
      </c>
      <c r="O14" s="2" t="str">
        <f>VLOOKUP("label.firstLightRpm",Locale!$A$2:$D$73,4,FALSE)</f>
        <v>首灯亮起
(rpm)</v>
      </c>
      <c r="P14" s="2" t="str">
        <f>VLOOKUP("label.trigger",Locale!$A$2:$D$73,4,FALSE)</f>
        <v>触发条件</v>
      </c>
      <c r="Q14" s="1"/>
    </row>
    <row r="15" spans="1:17" ht="22.5" customHeight="1">
      <c r="A15" s="1"/>
      <c r="B15" s="11">
        <v>1</v>
      </c>
      <c r="C15" s="12">
        <v>4.2530000000000001</v>
      </c>
      <c r="D15" s="22">
        <v>7340</v>
      </c>
      <c r="E15" s="13">
        <f>D15*C16/C15</f>
        <v>5244.8295320949919</v>
      </c>
      <c r="F15" s="14">
        <f>D15*2*PI()/60*$D$22/(C15*$I$8)*3.6</f>
        <v>51.158137691228248</v>
      </c>
      <c r="G15" s="13">
        <f>MAX(0,D15-$O$8)</f>
        <v>6540</v>
      </c>
      <c r="H15" s="11" t="str">
        <f>VLOOKUP("label.shift",Locale!$A$2:$D$73,4,FALSE)</f>
        <v>换挡</v>
      </c>
      <c r="I15" s="1"/>
      <c r="J15" s="11">
        <v>1</v>
      </c>
      <c r="K15" s="12">
        <v>3.6890000000000001</v>
      </c>
      <c r="L15" s="22">
        <v>7590</v>
      </c>
      <c r="M15" s="13">
        <f>L15*K16/K15</f>
        <v>5197.1645432366495</v>
      </c>
      <c r="N15" s="14">
        <f>L15*2*PI()/60*$L$22/(K15*$I$8)*3.6</f>
        <v>60.800733575859248</v>
      </c>
      <c r="O15" s="13">
        <f>MAX(0,L15-$O$8)</f>
        <v>6790</v>
      </c>
      <c r="P15" s="11" t="str">
        <f>VLOOKUP("label.shift",Locale!$A$2:$D$73,4,FALSE)</f>
        <v>换挡</v>
      </c>
      <c r="Q15" s="1"/>
    </row>
    <row r="16" spans="1:17" ht="22.5" customHeight="1">
      <c r="A16" s="1"/>
      <c r="B16" s="15">
        <v>2</v>
      </c>
      <c r="C16" s="12">
        <v>3.0390000000000001</v>
      </c>
      <c r="D16" s="22">
        <v>7520</v>
      </c>
      <c r="E16" s="16">
        <f>D16*C17/C16</f>
        <v>5485.9624876604148</v>
      </c>
      <c r="F16" s="17">
        <f>D16*2*PI()/60*$D$22/(C16*$I$8)*3.6</f>
        <v>73.350180989460753</v>
      </c>
      <c r="G16" s="16">
        <f>MAX(0,D16-$O$8)</f>
        <v>6720</v>
      </c>
      <c r="H16" s="15" t="str">
        <f>VLOOKUP("label.shift",Locale!$A$2:$D$73,4,FALSE)</f>
        <v>换挡</v>
      </c>
      <c r="I16" s="1"/>
      <c r="J16" s="15">
        <v>2</v>
      </c>
      <c r="K16" s="12">
        <v>2.5259999999999998</v>
      </c>
      <c r="L16" s="22">
        <v>7500</v>
      </c>
      <c r="M16" s="16">
        <f>L16*K17/K16</f>
        <v>5620.5463182897865</v>
      </c>
      <c r="N16" s="17">
        <f>L16*2*PI()/60*$L$22/(K16*$I$8)*3.6</f>
        <v>87.741209273885502</v>
      </c>
      <c r="O16" s="16">
        <f>MAX(0,L16-$O$8)</f>
        <v>6700</v>
      </c>
      <c r="P16" s="15" t="str">
        <f>VLOOKUP("label.shift",Locale!$A$2:$D$73,4,FALSE)</f>
        <v>换挡</v>
      </c>
      <c r="Q16" s="1"/>
    </row>
    <row r="17" spans="1:17" ht="22.5" customHeight="1">
      <c r="A17" s="1"/>
      <c r="B17" s="11">
        <v>3</v>
      </c>
      <c r="C17" s="12">
        <v>2.2170000000000001</v>
      </c>
      <c r="D17" s="22">
        <v>7340</v>
      </c>
      <c r="E17" s="13">
        <f>D17*C18/C17</f>
        <v>5820.351826792963</v>
      </c>
      <c r="F17" s="14">
        <f>D17*2*PI()/60*$D$22/(C17*$I$8)*3.6</f>
        <v>98.139629950741437</v>
      </c>
      <c r="G17" s="13">
        <f>MAX(0,D17-$O$8)</f>
        <v>6540</v>
      </c>
      <c r="H17" s="11" t="str">
        <f>VLOOKUP("label.shift",Locale!$A$2:$D$73,4,FALSE)</f>
        <v>换挡</v>
      </c>
      <c r="I17" s="1"/>
      <c r="J17" s="11">
        <v>3</v>
      </c>
      <c r="K17" s="12">
        <v>1.893</v>
      </c>
      <c r="L17" s="22">
        <v>7340</v>
      </c>
      <c r="M17" s="13">
        <f>L17*K18/K17</f>
        <v>5878.2039091389333</v>
      </c>
      <c r="N17" s="14">
        <f>L17*2*PI()/60*$L$22/(K17*$I$8)*3.6</f>
        <v>114.58325216084711</v>
      </c>
      <c r="O17" s="13">
        <f>MAX(0,L17-$O$8)</f>
        <v>6540</v>
      </c>
      <c r="P17" s="11" t="str">
        <f>VLOOKUP("label.shift",Locale!$A$2:$D$73,4,FALSE)</f>
        <v>换挡</v>
      </c>
      <c r="Q17" s="1"/>
    </row>
    <row r="18" spans="1:17" ht="22.5" customHeight="1">
      <c r="A18" s="1"/>
      <c r="B18" s="15">
        <v>4</v>
      </c>
      <c r="C18" s="12">
        <v>1.758</v>
      </c>
      <c r="D18" s="22">
        <v>7520</v>
      </c>
      <c r="E18" s="16">
        <f>D18*C19/C18</f>
        <v>5749.0784982935156</v>
      </c>
      <c r="F18" s="17">
        <f>D18*2*PI()/60*$D$22/(C18*$I$8)*3.6</f>
        <v>126.7981797650576</v>
      </c>
      <c r="G18" s="16">
        <f>MAX(0,D18-$O$8)</f>
        <v>6720</v>
      </c>
      <c r="H18" s="15" t="str">
        <f>VLOOKUP("label.shift",Locale!$A$2:$D$73,4,FALSE)</f>
        <v>换挡</v>
      </c>
      <c r="I18" s="1"/>
      <c r="J18" s="15">
        <v>4</v>
      </c>
      <c r="K18" s="12">
        <v>1.516</v>
      </c>
      <c r="L18" s="22">
        <v>7350</v>
      </c>
      <c r="M18" s="16">
        <f>L18*K19/K18</f>
        <v>5924.6042216358828</v>
      </c>
      <c r="N18" s="17">
        <f>L18*2*PI()/60*$L$22/(K18*$I$8)*3.6</f>
        <v>143.27282897976124</v>
      </c>
      <c r="O18" s="16">
        <f>MAX(0,L18-$O$8)</f>
        <v>6550</v>
      </c>
      <c r="P18" s="15" t="str">
        <f>VLOOKUP("label.shift",Locale!$A$2:$D$73,4,FALSE)</f>
        <v>换挡</v>
      </c>
      <c r="Q18" s="1"/>
    </row>
    <row r="19" spans="1:17" ht="22.5" customHeight="1">
      <c r="A19" s="1"/>
      <c r="B19" s="11">
        <v>5</v>
      </c>
      <c r="C19" s="12">
        <v>1.3440000000000001</v>
      </c>
      <c r="D19" s="13">
        <f>$O$7</f>
        <v>8500</v>
      </c>
      <c r="E19" s="13" t="s">
        <v>27</v>
      </c>
      <c r="F19" s="14">
        <f>D19*2*PI()/60*$D$22/(C19*$I$8)*3.6</f>
        <v>187.47083177293638</v>
      </c>
      <c r="G19" s="13">
        <f>MAX(0,D19-$O$8)</f>
        <v>7700</v>
      </c>
      <c r="H19" s="11" t="str">
        <f>VLOOKUP("label.limiter",Locale!$A$2:$D$73,4,FALSE)</f>
        <v>限转</v>
      </c>
      <c r="I19" s="1"/>
      <c r="J19" s="11">
        <v>5</v>
      </c>
      <c r="K19" s="12">
        <v>1.222</v>
      </c>
      <c r="L19" s="13">
        <f>$O$7</f>
        <v>8500</v>
      </c>
      <c r="M19" s="13" t="s">
        <v>27</v>
      </c>
      <c r="N19" s="14">
        <f>L19*2*PI()/60*$L$22/(K19*$I$8)*3.6</f>
        <v>205.55281007306004</v>
      </c>
      <c r="O19" s="13">
        <f>MAX(0,L19-$O$8)</f>
        <v>7700</v>
      </c>
      <c r="P19" s="11" t="str">
        <f>VLOOKUP("label.limiter",Locale!$A$2:$D$73,4,FALSE)</f>
        <v>限转</v>
      </c>
      <c r="Q19" s="1"/>
    </row>
    <row r="20" spans="1:17" ht="22.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22.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22.5" customHeight="1">
      <c r="A22" s="1"/>
      <c r="B22" s="26" t="str">
        <f>VLOOKUP("label.tyreRadiusM",Locale!$A$2:$D$73,4,FALSE)</f>
        <v>轮胎半径 (m)</v>
      </c>
      <c r="C22" s="26"/>
      <c r="D22" s="18">
        <v>0.32500000000000001</v>
      </c>
      <c r="E22" s="1"/>
      <c r="F22" s="26" t="str">
        <f>VLOOKUP("label.wheelInertia",Locale!$A$2:$D$73,4,FALSE)</f>
        <v>车轮转动惯量 I (kg m²)</v>
      </c>
      <c r="G22" s="26"/>
      <c r="H22" s="19">
        <v>5.4748128000000005</v>
      </c>
      <c r="I22" s="1"/>
      <c r="J22" s="26" t="str">
        <f>VLOOKUP("label.tyreRadiusM",Locale!$A$2:$D$73,4,FALSE)</f>
        <v>轮胎半径 (m)</v>
      </c>
      <c r="K22" s="26"/>
      <c r="L22" s="18">
        <v>0.32400000000000001</v>
      </c>
      <c r="M22" s="1"/>
      <c r="N22" s="26" t="str">
        <f>VLOOKUP("label.wheelInertia",Locale!$A$2:$D$73,4,FALSE)</f>
        <v>车轮转动惯量 I (kg m²)</v>
      </c>
      <c r="O22" s="26"/>
      <c r="P22" s="19">
        <v>5.7898434559999998</v>
      </c>
      <c r="Q22" s="1"/>
    </row>
    <row r="23" spans="1:17" ht="22.5" customHeight="1">
      <c r="A23" s="1"/>
      <c r="B23" s="26" t="str">
        <f>VLOOKUP("label.gearboxFriction",Locale!$A$2:$D$73,4,FALSE)</f>
        <v>变速箱摩擦阻力 (Nm)</v>
      </c>
      <c r="C23" s="26"/>
      <c r="D23" s="20">
        <v>1.65</v>
      </c>
      <c r="E23" s="1"/>
      <c r="F23" s="26" t="str">
        <f>VLOOKUP("label.gearboxDynamicLoss",Locale!$A$2:$D$73,4,FALSE)</f>
        <v>变速箱动态阻力 (Nm s)</v>
      </c>
      <c r="G23" s="26"/>
      <c r="H23" s="21">
        <v>7.7999999999999999E-4</v>
      </c>
      <c r="I23" s="1"/>
      <c r="J23" s="26" t="str">
        <f>VLOOKUP("label.gearboxFriction",Locale!$A$2:$D$73,4,FALSE)</f>
        <v>变速箱摩擦阻力 (Nm)</v>
      </c>
      <c r="K23" s="26"/>
      <c r="L23" s="20">
        <f>$D$23</f>
        <v>1.65</v>
      </c>
      <c r="M23" s="1"/>
      <c r="N23" s="26" t="str">
        <f>VLOOKUP("label.gearboxDynamicLoss",Locale!$A$2:$D$73,4,FALSE)</f>
        <v>变速箱动态阻力 (Nm s)</v>
      </c>
      <c r="O23" s="26"/>
      <c r="P23" s="21">
        <f>$H$23</f>
        <v>7.7999999999999999E-4</v>
      </c>
      <c r="Q23" s="1"/>
    </row>
    <row r="24" spans="1:17" ht="22.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22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22.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22.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22.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22.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22.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22.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22.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22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22.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22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22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22.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22.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22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22.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22.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22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22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22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22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22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22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22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22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22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22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22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22.5" customHeight="1">
      <c r="A53" s="1"/>
      <c r="B53" s="26" t="str">
        <f>VLOOKUP("label.gearGroup",Locale!$A$2:$D$73,4,FALSE)</f>
        <v>齿轮组</v>
      </c>
      <c r="C53" s="26"/>
      <c r="D53" s="23">
        <v>1</v>
      </c>
      <c r="E53" s="26" t="str">
        <f>IF(D53=1,VLOOKUP("label.groupOneTypeATarmac",Locale!$A$2:$D$73,4,FALSE),VLOOKUP("label.groupTwoTypeBGravel",Locale!$A$2:$D$73,4,FALSE))</f>
        <v>第 1 组 · Type-A / 柏油</v>
      </c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1"/>
    </row>
    <row r="54" spans="1:17" ht="22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22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22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22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22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22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22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22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22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22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22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22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22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22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22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22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22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22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22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22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22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22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22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22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22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22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22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</sheetData>
  <mergeCells count="34">
    <mergeCell ref="B2:P2"/>
    <mergeCell ref="B3:P3"/>
    <mergeCell ref="B5:D5"/>
    <mergeCell ref="F5:I5"/>
    <mergeCell ref="K5:P5"/>
    <mergeCell ref="B6:C6"/>
    <mergeCell ref="F6:H6"/>
    <mergeCell ref="K6:N6"/>
    <mergeCell ref="O6:P6"/>
    <mergeCell ref="B7:C7"/>
    <mergeCell ref="F7:H7"/>
    <mergeCell ref="K7:N7"/>
    <mergeCell ref="O7:P7"/>
    <mergeCell ref="B8:C8"/>
    <mergeCell ref="F8:H8"/>
    <mergeCell ref="K8:N8"/>
    <mergeCell ref="O8:P8"/>
    <mergeCell ref="B9:C9"/>
    <mergeCell ref="F9:H9"/>
    <mergeCell ref="K9:N9"/>
    <mergeCell ref="O9:P9"/>
    <mergeCell ref="B53:C53"/>
    <mergeCell ref="E53:P53"/>
    <mergeCell ref="B11:P11"/>
    <mergeCell ref="B13:H13"/>
    <mergeCell ref="B22:C22"/>
    <mergeCell ref="F22:G22"/>
    <mergeCell ref="B23:C23"/>
    <mergeCell ref="F23:G23"/>
    <mergeCell ref="J13:P13"/>
    <mergeCell ref="J22:K22"/>
    <mergeCell ref="N22:O22"/>
    <mergeCell ref="J23:K23"/>
    <mergeCell ref="N23:O23"/>
  </mergeCells>
  <phoneticPr fontId="9" type="noConversion"/>
  <dataValidations count="4">
    <dataValidation type="decimal" operator="greaterThan" sqref="I6:I8" xr:uid="{00000000-0002-0000-0300-000000000000}">
      <formula1>0</formula1>
    </dataValidation>
    <dataValidation type="decimal" sqref="I9" xr:uid="{00000000-0002-0000-0300-000003000000}">
      <formula1>0</formula1>
      <formula2>0.9</formula2>
    </dataValidation>
    <dataValidation type="decimal" sqref="K15:K19 C15:C19" xr:uid="{00000000-0002-0000-0300-000004000000}">
      <formula1>0.1</formula1>
      <formula2>8</formula2>
    </dataValidation>
    <dataValidation type="whole" sqref="D53" xr:uid="{00000000-0002-0000-0300-00000E000000}">
      <formula1>1</formula1>
      <formula2>2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D7136-E9CA-4148-A530-621233C00E61}">
  <dimension ref="A1:Q80"/>
  <sheetViews>
    <sheetView showGridLines="0" workbookViewId="0"/>
  </sheetViews>
  <sheetFormatPr defaultRowHeight="14"/>
  <cols>
    <col min="1" max="1" width="3" customWidth="1"/>
    <col min="2" max="16" width="12" customWidth="1"/>
    <col min="17" max="17" width="3" customWidth="1"/>
  </cols>
  <sheetData>
    <row r="1" spans="1:17" ht="22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34" customHeight="1">
      <c r="A2" s="1"/>
      <c r="B2" s="32" t="str">
        <f>VLOOKUP("title.rx1GearingShiftLights",Locale!$A$2:$D$73,4,FALSE)</f>
        <v>RX1 · 齿比与换挡灯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1"/>
    </row>
    <row r="3" spans="1:17" ht="22.5" customHeight="1">
      <c r="A3" s="1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1"/>
    </row>
    <row r="4" spans="1:17" ht="22.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32" customHeight="1">
      <c r="A5" s="1"/>
      <c r="B5" s="27" t="str">
        <f>VLOOKUP("chart.engineCurve",Locale!$A$2:$D$73,4,FALSE)</f>
        <v>发动机曲线</v>
      </c>
      <c r="C5" s="27"/>
      <c r="D5" s="27"/>
      <c r="E5" s="1"/>
      <c r="F5" s="27" t="str">
        <f>VLOOKUP("label.calibrationBasis",Locale!$A$2:$D$73,4,FALSE)</f>
        <v>标定依据</v>
      </c>
      <c r="G5" s="27"/>
      <c r="H5" s="27"/>
      <c r="I5" s="27"/>
      <c r="J5" s="1"/>
      <c r="K5" s="27" t="str">
        <f>VLOOKUP("label.shiftLights",Locale!$A$2:$D$73,4,FALSE)</f>
        <v>换挡灯</v>
      </c>
      <c r="L5" s="27"/>
      <c r="M5" s="27"/>
      <c r="N5" s="27"/>
      <c r="O5" s="27"/>
      <c r="P5" s="27"/>
      <c r="Q5" s="1"/>
    </row>
    <row r="6" spans="1:17" ht="22.5" customHeight="1">
      <c r="A6" s="1"/>
      <c r="B6" s="30" t="str">
        <f>VLOOKUP("label.peakPowerHp",Locale!$A$2:$D$73,4,FALSE)</f>
        <v>峰值功率 (hp)</v>
      </c>
      <c r="C6" s="30"/>
      <c r="D6" s="6">
        <f>MAX(Samples!$D$127:$D$146)</f>
        <v>603.26802096160782</v>
      </c>
      <c r="E6" s="1"/>
      <c r="F6" s="30" t="str">
        <f>VLOOKUP("label.runningMassKg",Locale!$A$2:$D$73,4,FALSE)</f>
        <v>运行质量 (kg)</v>
      </c>
      <c r="G6" s="30"/>
      <c r="H6" s="30"/>
      <c r="I6" s="7">
        <v>1306</v>
      </c>
      <c r="J6" s="1"/>
      <c r="K6" s="30" t="str">
        <f>VLOOKUP("label.neutralFlashRpm",Locale!$A$2:$D$73,4,FALSE)</f>
        <v>空挡闪烁 (rpm)</v>
      </c>
      <c r="L6" s="30"/>
      <c r="M6" s="30"/>
      <c r="N6" s="30"/>
      <c r="O6" s="31">
        <v>3000</v>
      </c>
      <c r="P6" s="31"/>
      <c r="Q6" s="1"/>
    </row>
    <row r="7" spans="1:17" ht="22.5" customHeight="1">
      <c r="A7" s="1"/>
      <c r="B7" s="28" t="str">
        <f>VLOOKUP("label.powerPeakRpm",Locale!$A$2:$D$73,4,FALSE)</f>
        <v>功率峰值转速 (rpm)</v>
      </c>
      <c r="C7" s="28"/>
      <c r="D7" s="5">
        <f>INDEX(Samples!$B$127:$B$146,MATCH(D6,Samples!$D$127:$D$146,0))</f>
        <v>5690</v>
      </c>
      <c r="E7" s="1"/>
      <c r="F7" s="28" t="str">
        <f>VLOOKUP("label.engineFlywheelInertia",Locale!$A$2:$D$73,4,FALSE)</f>
        <v>发动机 + 飞轮转动惯量 (kg m²)</v>
      </c>
      <c r="G7" s="28"/>
      <c r="H7" s="28"/>
      <c r="I7" s="8">
        <v>0.128</v>
      </c>
      <c r="J7" s="1"/>
      <c r="K7" s="28" t="str">
        <f>VLOOKUP("label.topGearLimiterRpm",Locale!$A$2:$D$73,4,FALSE)</f>
        <v>最高挡 / 限转 (rpm)</v>
      </c>
      <c r="L7" s="28"/>
      <c r="M7" s="28"/>
      <c r="N7" s="28"/>
      <c r="O7" s="28">
        <v>8500</v>
      </c>
      <c r="P7" s="28"/>
      <c r="Q7" s="1"/>
    </row>
    <row r="8" spans="1:17" ht="22.5" customHeight="1">
      <c r="A8" s="1"/>
      <c r="B8" s="30" t="str">
        <f>VLOOKUP("label.peakTorqueNm",Locale!$A$2:$D$73,4,FALSE)</f>
        <v>峰值扭矩 (Nm)</v>
      </c>
      <c r="C8" s="30"/>
      <c r="D8" s="6">
        <f>MAX(Samples!$C$127:$C$146)</f>
        <v>849.65873074466481</v>
      </c>
      <c r="E8" s="1"/>
      <c r="F8" s="30" t="str">
        <f>VLOOKUP("label.finalDrive",Locale!$A$2:$D$73,4,FALSE)</f>
        <v>主减速比</v>
      </c>
      <c r="G8" s="30"/>
      <c r="H8" s="30"/>
      <c r="I8" s="9">
        <v>4</v>
      </c>
      <c r="J8" s="1"/>
      <c r="K8" s="30" t="str">
        <f>VLOOKUP("label.lightRangeRpm",Locale!$A$2:$D$73,4,FALSE)</f>
        <v>亮灯范围 (rpm)</v>
      </c>
      <c r="L8" s="30"/>
      <c r="M8" s="30"/>
      <c r="N8" s="30"/>
      <c r="O8" s="31">
        <v>800</v>
      </c>
      <c r="P8" s="31"/>
      <c r="Q8" s="1"/>
    </row>
    <row r="9" spans="1:17" ht="22.5" customHeight="1">
      <c r="A9" s="1"/>
      <c r="B9" s="28" t="str">
        <f>VLOOKUP("label.torquePeakRpm",Locale!$A$2:$D$73,4,FALSE)</f>
        <v>峰值扭矩转速 (rpm)</v>
      </c>
      <c r="C9" s="28"/>
      <c r="D9" s="5">
        <f>INDEX(Samples!$B$127:$B$146,MATCH(D8,Samples!$C$127:$C$146,0))</f>
        <v>4140</v>
      </c>
      <c r="E9" s="1"/>
      <c r="F9" s="28" t="str">
        <f>VLOOKUP("label.gearboxTorqueLoss",Locale!$A$2:$D$73,4,FALSE)</f>
        <v>变速箱扭矩损失</v>
      </c>
      <c r="G9" s="28"/>
      <c r="H9" s="28"/>
      <c r="I9" s="10">
        <v>1.2E-2</v>
      </c>
      <c r="J9" s="1"/>
      <c r="K9" s="28" t="str">
        <f>VLOOKUP("label.roundingRpm",Locale!$A$2:$D$73,4,FALSE)</f>
        <v>取整步长 (rpm)</v>
      </c>
      <c r="L9" s="28"/>
      <c r="M9" s="28"/>
      <c r="N9" s="28"/>
      <c r="O9" s="28">
        <v>10</v>
      </c>
      <c r="P9" s="28"/>
      <c r="Q9" s="1"/>
    </row>
    <row r="10" spans="1:17" ht="22.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22.5" customHeight="1">
      <c r="A11" s="1"/>
      <c r="B11" s="29" t="str">
        <f>VLOOKUP("note.yellowInputs",Locale!$A$2:$D$73,4,FALSE)</f>
        <v>黄色单元格为手动输入。</v>
      </c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1"/>
    </row>
    <row r="12" spans="1:17" ht="22.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32" customHeight="1">
      <c r="A13" s="1"/>
      <c r="B13" s="27" t="str">
        <f>VLOOKUP("label.groupOneRx1",Locale!$A$2:$D$73,4,FALSE)</f>
        <v>第 1 组 · RX1</v>
      </c>
      <c r="C13" s="27"/>
      <c r="D13" s="27"/>
      <c r="E13" s="27"/>
      <c r="F13" s="27"/>
      <c r="G13" s="27"/>
      <c r="H13" s="27"/>
      <c r="I13" s="1"/>
      <c r="J13" s="1"/>
      <c r="K13" s="1"/>
      <c r="L13" s="1"/>
      <c r="M13" s="1"/>
      <c r="N13" s="1"/>
      <c r="O13" s="1"/>
      <c r="P13" s="1"/>
      <c r="Q13" s="1"/>
    </row>
    <row r="14" spans="1:17" ht="32" customHeight="1">
      <c r="A14" s="1"/>
      <c r="B14" s="2" t="str">
        <f>VLOOKUP("label.gear",Locale!$A$2:$D$73,4,FALSE)</f>
        <v>挡位</v>
      </c>
      <c r="C14" s="2" t="str">
        <f>VLOOKUP("label.gearRatio",Locale!$A$2:$D$73,4,FALSE)</f>
        <v>齿比</v>
      </c>
      <c r="D14" s="2" t="str">
        <f>VLOOKUP("label.flashRpmWrap",Locale!$A$2:$D$73,4,FALSE)</f>
        <v>闪烁
(rpm)</v>
      </c>
      <c r="E14" s="2" t="str">
        <f>VLOOKUP("label.afterShiftRpmWrap",Locale!$A$2:$D$73,4,FALSE)</f>
        <v>换挡后
(rpm)</v>
      </c>
      <c r="F14" s="2" t="str">
        <f>VLOOKUP("label.speedKmhMultiline",Locale!$A$2:$D$73,4,FALSE)</f>
        <v>车速
(km/h)</v>
      </c>
      <c r="G14" s="2" t="str">
        <f>VLOOKUP("label.firstLightRpm",Locale!$A$2:$D$73,4,FALSE)</f>
        <v>首灯亮起
(rpm)</v>
      </c>
      <c r="H14" s="2" t="str">
        <f>VLOOKUP("label.trigger",Locale!$A$2:$D$73,4,FALSE)</f>
        <v>触发条件</v>
      </c>
      <c r="I14" s="1"/>
      <c r="J14" s="1"/>
      <c r="K14" s="1"/>
      <c r="L14" s="1"/>
      <c r="M14" s="1"/>
      <c r="N14" s="1"/>
      <c r="O14" s="1"/>
      <c r="P14" s="1"/>
      <c r="Q14" s="1"/>
    </row>
    <row r="15" spans="1:17" ht="22.5" customHeight="1">
      <c r="A15" s="1"/>
      <c r="B15" s="11">
        <v>1</v>
      </c>
      <c r="C15" s="12">
        <v>3.24</v>
      </c>
      <c r="D15" s="22">
        <v>6000</v>
      </c>
      <c r="E15" s="13">
        <f>D15*C16/C15</f>
        <v>4812.9629629629635</v>
      </c>
      <c r="F15" s="14">
        <f t="shared" ref="F15:F20" si="0">D15*2*PI()/60*$D$22/(C15*$I$8)*3.6</f>
        <v>55.850536063818538</v>
      </c>
      <c r="G15" s="13">
        <f t="shared" ref="G15:G20" si="1">MAX(0,D15-$O$8)</f>
        <v>5200</v>
      </c>
      <c r="H15" s="11" t="str">
        <f>VLOOKUP("label.shift",Locale!$A$2:$D$73,4,FALSE)</f>
        <v>换挡</v>
      </c>
      <c r="I15" s="1"/>
      <c r="J15" s="1"/>
      <c r="K15" s="1"/>
      <c r="L15" s="1"/>
      <c r="M15" s="1"/>
      <c r="N15" s="1"/>
      <c r="O15" s="1"/>
      <c r="P15" s="1"/>
      <c r="Q15" s="1"/>
    </row>
    <row r="16" spans="1:17" ht="22.5" customHeight="1">
      <c r="A16" s="1"/>
      <c r="B16" s="15">
        <v>2</v>
      </c>
      <c r="C16" s="12">
        <v>2.5990000000000002</v>
      </c>
      <c r="D16" s="22">
        <v>6170</v>
      </c>
      <c r="E16" s="16">
        <f>D16*C17/C16</f>
        <v>4952.1431319738349</v>
      </c>
      <c r="F16" s="17">
        <f t="shared" si="0"/>
        <v>71.597851503436175</v>
      </c>
      <c r="G16" s="16">
        <f t="shared" si="1"/>
        <v>5370</v>
      </c>
      <c r="H16" s="15" t="str">
        <f>VLOOKUP("label.shift",Locale!$A$2:$D$73,4,FALSE)</f>
        <v>换挡</v>
      </c>
      <c r="I16" s="1"/>
      <c r="J16" s="1"/>
      <c r="K16" s="1"/>
      <c r="L16" s="1"/>
      <c r="M16" s="1"/>
      <c r="N16" s="1"/>
      <c r="O16" s="1"/>
      <c r="P16" s="1"/>
      <c r="Q16" s="1"/>
    </row>
    <row r="17" spans="1:17" ht="22.5" customHeight="1">
      <c r="A17" s="1"/>
      <c r="B17" s="11">
        <v>3</v>
      </c>
      <c r="C17" s="12">
        <v>2.0859999999999999</v>
      </c>
      <c r="D17" s="22">
        <v>6220</v>
      </c>
      <c r="E17" s="13">
        <f>D17*C18/C17</f>
        <v>5039.2138063278999</v>
      </c>
      <c r="F17" s="14">
        <f t="shared" si="0"/>
        <v>89.928466218194515</v>
      </c>
      <c r="G17" s="13">
        <f t="shared" si="1"/>
        <v>5420</v>
      </c>
      <c r="H17" s="11" t="str">
        <f>VLOOKUP("label.shift",Locale!$A$2:$D$73,4,FALSE)</f>
        <v>换挡</v>
      </c>
      <c r="I17" s="1"/>
      <c r="J17" s="1"/>
      <c r="K17" s="1"/>
      <c r="L17" s="1"/>
      <c r="M17" s="1"/>
      <c r="N17" s="1"/>
      <c r="O17" s="1"/>
      <c r="P17" s="1"/>
      <c r="Q17" s="1"/>
    </row>
    <row r="18" spans="1:17" ht="22.5" customHeight="1">
      <c r="A18" s="1"/>
      <c r="B18" s="15">
        <v>4</v>
      </c>
      <c r="C18" s="12">
        <v>1.69</v>
      </c>
      <c r="D18" s="22">
        <v>6250</v>
      </c>
      <c r="E18" s="16">
        <f>D18*C19/C18</f>
        <v>5110.9467455621307</v>
      </c>
      <c r="F18" s="17">
        <f t="shared" si="0"/>
        <v>111.53583385525893</v>
      </c>
      <c r="G18" s="16">
        <f t="shared" si="1"/>
        <v>5450</v>
      </c>
      <c r="H18" s="15" t="str">
        <f>VLOOKUP("label.shift",Locale!$A$2:$D$73,4,FALSE)</f>
        <v>换挡</v>
      </c>
      <c r="I18" s="1"/>
      <c r="J18" s="1"/>
      <c r="K18" s="1"/>
      <c r="L18" s="1"/>
      <c r="M18" s="1"/>
      <c r="N18" s="1"/>
      <c r="O18" s="1"/>
      <c r="P18" s="1"/>
      <c r="Q18" s="1"/>
    </row>
    <row r="19" spans="1:17" ht="22.5" customHeight="1">
      <c r="A19" s="1"/>
      <c r="B19" s="11">
        <v>5</v>
      </c>
      <c r="C19" s="12">
        <v>1.3819999999999999</v>
      </c>
      <c r="D19" s="22">
        <v>6260</v>
      </c>
      <c r="E19" s="13">
        <f>D19*C20/C19</f>
        <v>5163.820549927641</v>
      </c>
      <c r="F19" s="14">
        <f t="shared" si="0"/>
        <v>136.61154277144155</v>
      </c>
      <c r="G19" s="13">
        <f t="shared" si="1"/>
        <v>5460</v>
      </c>
      <c r="H19" s="11" t="str">
        <f>VLOOKUP("label.shift",Locale!$A$2:$D$73,4,FALSE)</f>
        <v>换挡</v>
      </c>
      <c r="I19" s="1"/>
      <c r="J19" s="1"/>
      <c r="K19" s="1"/>
      <c r="L19" s="1"/>
      <c r="M19" s="1"/>
      <c r="N19" s="1"/>
      <c r="O19" s="1"/>
      <c r="P19" s="1"/>
      <c r="Q19" s="1"/>
    </row>
    <row r="20" spans="1:17" ht="22.5" customHeight="1">
      <c r="A20" s="1"/>
      <c r="B20" s="15">
        <v>6</v>
      </c>
      <c r="C20" s="12">
        <v>1.1399999999999999</v>
      </c>
      <c r="D20" s="16">
        <f>$O$7</f>
        <v>8500</v>
      </c>
      <c r="E20" s="16" t="s">
        <v>27</v>
      </c>
      <c r="F20" s="17">
        <f t="shared" si="0"/>
        <v>224.87189520432207</v>
      </c>
      <c r="G20" s="16">
        <f t="shared" si="1"/>
        <v>7700</v>
      </c>
      <c r="H20" s="15" t="str">
        <f>VLOOKUP("label.limiter",Locale!$A$2:$D$73,4,FALSE)</f>
        <v>限转</v>
      </c>
      <c r="I20" s="1"/>
      <c r="J20" s="1"/>
      <c r="K20" s="1"/>
      <c r="L20" s="1"/>
      <c r="M20" s="1"/>
      <c r="N20" s="1"/>
      <c r="O20" s="1"/>
      <c r="P20" s="1"/>
      <c r="Q20" s="1"/>
    </row>
    <row r="21" spans="1:17" ht="22.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22.5" customHeight="1">
      <c r="A22" s="1"/>
      <c r="B22" s="26" t="str">
        <f>VLOOKUP("label.tyreRadiusM",Locale!$A$2:$D$73,4,FALSE)</f>
        <v>轮胎半径 (m)</v>
      </c>
      <c r="C22" s="26"/>
      <c r="D22" s="18">
        <v>0.32</v>
      </c>
      <c r="E22" s="1"/>
      <c r="F22" s="26" t="str">
        <f>VLOOKUP("label.wheelInertia",Locale!$A$2:$D$73,4,FALSE)</f>
        <v>车轮转动惯量 I (kg m²)</v>
      </c>
      <c r="G22" s="26"/>
      <c r="H22" s="19">
        <v>5.2788544000000002</v>
      </c>
      <c r="I22" s="1"/>
      <c r="J22" s="1"/>
      <c r="K22" s="1"/>
      <c r="L22" s="1"/>
      <c r="M22" s="1"/>
      <c r="N22" s="1"/>
      <c r="O22" s="1"/>
      <c r="P22" s="1"/>
      <c r="Q22" s="1"/>
    </row>
    <row r="23" spans="1:17" ht="22.5" customHeight="1">
      <c r="A23" s="1"/>
      <c r="B23" s="26" t="str">
        <f>VLOOKUP("label.gearboxFriction",Locale!$A$2:$D$73,4,FALSE)</f>
        <v>变速箱摩擦阻力 (Nm)</v>
      </c>
      <c r="C23" s="26"/>
      <c r="D23" s="20">
        <v>1.85</v>
      </c>
      <c r="E23" s="1"/>
      <c r="F23" s="26" t="str">
        <f>VLOOKUP("label.gearboxDynamicLoss",Locale!$A$2:$D$73,4,FALSE)</f>
        <v>变速箱动态阻力 (Nm s)</v>
      </c>
      <c r="G23" s="26"/>
      <c r="H23" s="21">
        <v>9.7999999999999997E-4</v>
      </c>
      <c r="I23" s="1"/>
      <c r="J23" s="1"/>
      <c r="K23" s="1"/>
      <c r="L23" s="1"/>
      <c r="M23" s="1"/>
      <c r="N23" s="1"/>
      <c r="O23" s="1"/>
      <c r="P23" s="1"/>
      <c r="Q23" s="1"/>
    </row>
    <row r="24" spans="1:17" ht="22.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22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22.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22.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22.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22.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22.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22.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22.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22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22.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22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22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22.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22.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22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22.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22.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22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22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22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22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22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22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22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22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22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22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22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22.5" customHeight="1">
      <c r="A53" s="1"/>
      <c r="B53" s="26" t="str">
        <f>VLOOKUP("label.gearGroup",Locale!$A$2:$D$73,4,FALSE)</f>
        <v>齿轮组</v>
      </c>
      <c r="C53" s="26"/>
      <c r="D53" s="23">
        <v>1</v>
      </c>
      <c r="E53" s="26" t="str">
        <f>VLOOKUP("label.groupOneRx1",Locale!$A$2:$D$73,4,FALSE)</f>
        <v>第 1 组 · RX1</v>
      </c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1"/>
    </row>
    <row r="54" spans="1:17" ht="22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22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22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22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22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22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22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22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22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22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22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22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22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22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22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22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22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22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22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22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22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22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22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22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22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22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22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</sheetData>
  <mergeCells count="28">
    <mergeCell ref="B2:P2"/>
    <mergeCell ref="B5:D5"/>
    <mergeCell ref="F5:I5"/>
    <mergeCell ref="K5:P5"/>
    <mergeCell ref="B6:C6"/>
    <mergeCell ref="F6:H6"/>
    <mergeCell ref="K6:N6"/>
    <mergeCell ref="O6:P6"/>
    <mergeCell ref="B7:C7"/>
    <mergeCell ref="F7:H7"/>
    <mergeCell ref="K7:N7"/>
    <mergeCell ref="O7:P7"/>
    <mergeCell ref="B8:C8"/>
    <mergeCell ref="F8:H8"/>
    <mergeCell ref="K8:N8"/>
    <mergeCell ref="O8:P8"/>
    <mergeCell ref="B9:C9"/>
    <mergeCell ref="F9:H9"/>
    <mergeCell ref="K9:N9"/>
    <mergeCell ref="O9:P9"/>
    <mergeCell ref="B11:P11"/>
    <mergeCell ref="B53:C53"/>
    <mergeCell ref="E53:P53"/>
    <mergeCell ref="B13:H13"/>
    <mergeCell ref="B22:C22"/>
    <mergeCell ref="F22:G22"/>
    <mergeCell ref="B23:C23"/>
    <mergeCell ref="F23:G23"/>
  </mergeCells>
  <phoneticPr fontId="9" type="noConversion"/>
  <dataValidations count="4">
    <dataValidation type="decimal" operator="greaterThan" sqref="I6:I8" xr:uid="{00000000-0002-0000-0400-000000000000}">
      <formula1>0</formula1>
    </dataValidation>
    <dataValidation type="decimal" sqref="I9" xr:uid="{00000000-0002-0000-0400-000003000000}">
      <formula1>0</formula1>
      <formula2>0.9</formula2>
    </dataValidation>
    <dataValidation type="decimal" sqref="C15:C20" xr:uid="{00000000-0002-0000-0400-000004000000}">
      <formula1>0.1</formula1>
      <formula2>8</formula2>
    </dataValidation>
    <dataValidation type="whole" sqref="D53" xr:uid="{00000000-0002-0000-0400-00000A000000}">
      <formula1>1</formula1>
      <formula2>1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DAFBC-780B-4E84-AE81-F222DDF05E7D}">
  <dimension ref="A1:Q80"/>
  <sheetViews>
    <sheetView showGridLines="0" workbookViewId="0"/>
  </sheetViews>
  <sheetFormatPr defaultRowHeight="14"/>
  <cols>
    <col min="1" max="1" width="3" customWidth="1"/>
    <col min="2" max="16" width="12" customWidth="1"/>
    <col min="17" max="17" width="3" customWidth="1"/>
  </cols>
  <sheetData>
    <row r="1" spans="1:17" ht="22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34" customHeight="1">
      <c r="A2" s="1"/>
      <c r="B2" s="32" t="str">
        <f>VLOOKUP("title.rx3GearingShiftLights",Locale!$A$2:$D$73,4,FALSE)</f>
        <v>RX3 · 齿比与换挡灯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1"/>
    </row>
    <row r="3" spans="1:17" ht="22.5" customHeight="1">
      <c r="A3" s="1"/>
      <c r="B3" s="35" t="str">
        <f>VLOOKUP("note.rx1FiveSpeedPlaceholder",Locale!$A$2:$D$73,4,FALSE)</f>
        <v>RX1 占位 · 五挡</v>
      </c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1"/>
    </row>
    <row r="4" spans="1:17" ht="22.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32" customHeight="1">
      <c r="A5" s="1"/>
      <c r="B5" s="27" t="str">
        <f>VLOOKUP("chart.engineCurve",Locale!$A$2:$D$73,4,FALSE)</f>
        <v>发动机曲线</v>
      </c>
      <c r="C5" s="27"/>
      <c r="D5" s="27"/>
      <c r="E5" s="1"/>
      <c r="F5" s="27" t="str">
        <f>VLOOKUP("label.calibrationBasis",Locale!$A$2:$D$73,4,FALSE)</f>
        <v>标定依据</v>
      </c>
      <c r="G5" s="27"/>
      <c r="H5" s="27"/>
      <c r="I5" s="27"/>
      <c r="J5" s="1"/>
      <c r="K5" s="27" t="str">
        <f>VLOOKUP("label.shiftLights",Locale!$A$2:$D$73,4,FALSE)</f>
        <v>换挡灯</v>
      </c>
      <c r="L5" s="27"/>
      <c r="M5" s="27"/>
      <c r="N5" s="27"/>
      <c r="O5" s="27"/>
      <c r="P5" s="27"/>
      <c r="Q5" s="1"/>
    </row>
    <row r="6" spans="1:17" ht="22.5" customHeight="1">
      <c r="A6" s="1"/>
      <c r="B6" s="30" t="str">
        <f>VLOOKUP("label.peakPowerHp",Locale!$A$2:$D$73,4,FALSE)</f>
        <v>峰值功率 (hp)</v>
      </c>
      <c r="C6" s="30"/>
      <c r="D6" s="6">
        <f>MAX(Samples!$D$157:$D$176)</f>
        <v>603.26802096160782</v>
      </c>
      <c r="E6" s="1"/>
      <c r="F6" s="30" t="str">
        <f>VLOOKUP("label.runningMassKg",Locale!$A$2:$D$73,4,FALSE)</f>
        <v>运行质量 (kg)</v>
      </c>
      <c r="G6" s="30"/>
      <c r="H6" s="30"/>
      <c r="I6" s="7">
        <v>1306</v>
      </c>
      <c r="J6" s="1"/>
      <c r="K6" s="30" t="str">
        <f>VLOOKUP("label.neutralFlashRpm",Locale!$A$2:$D$73,4,FALSE)</f>
        <v>空挡闪烁 (rpm)</v>
      </c>
      <c r="L6" s="30"/>
      <c r="M6" s="30"/>
      <c r="N6" s="30"/>
      <c r="O6" s="31">
        <v>3000</v>
      </c>
      <c r="P6" s="31"/>
      <c r="Q6" s="1"/>
    </row>
    <row r="7" spans="1:17" ht="22.5" customHeight="1">
      <c r="A7" s="1"/>
      <c r="B7" s="28" t="str">
        <f>VLOOKUP("label.powerPeakRpm",Locale!$A$2:$D$73,4,FALSE)</f>
        <v>功率峰值转速 (rpm)</v>
      </c>
      <c r="C7" s="28"/>
      <c r="D7" s="5">
        <f>INDEX(Samples!$B$157:$B$176,MATCH(D6,Samples!$D$157:$D$176,0))</f>
        <v>5690</v>
      </c>
      <c r="E7" s="1"/>
      <c r="F7" s="28" t="str">
        <f>VLOOKUP("label.engineFlywheelInertia",Locale!$A$2:$D$73,4,FALSE)</f>
        <v>发动机 + 飞轮转动惯量 (kg m²)</v>
      </c>
      <c r="G7" s="28"/>
      <c r="H7" s="28"/>
      <c r="I7" s="8">
        <v>0.128</v>
      </c>
      <c r="J7" s="1"/>
      <c r="K7" s="28" t="str">
        <f>VLOOKUP("label.topGearLimiterRpm",Locale!$A$2:$D$73,4,FALSE)</f>
        <v>最高挡 / 限转 (rpm)</v>
      </c>
      <c r="L7" s="28"/>
      <c r="M7" s="28"/>
      <c r="N7" s="28"/>
      <c r="O7" s="28">
        <v>8500</v>
      </c>
      <c r="P7" s="28"/>
      <c r="Q7" s="1"/>
    </row>
    <row r="8" spans="1:17" ht="22.5" customHeight="1">
      <c r="A8" s="1"/>
      <c r="B8" s="30" t="str">
        <f>VLOOKUP("label.peakTorqueNm",Locale!$A$2:$D$73,4,FALSE)</f>
        <v>峰值扭矩 (Nm)</v>
      </c>
      <c r="C8" s="30"/>
      <c r="D8" s="6">
        <f>MAX(Samples!$C$157:$C$176)</f>
        <v>849.65873074466481</v>
      </c>
      <c r="E8" s="1"/>
      <c r="F8" s="30" t="str">
        <f>VLOOKUP("label.finalDrive",Locale!$A$2:$D$73,4,FALSE)</f>
        <v>主减速比</v>
      </c>
      <c r="G8" s="30"/>
      <c r="H8" s="30"/>
      <c r="I8" s="9">
        <v>4</v>
      </c>
      <c r="J8" s="1"/>
      <c r="K8" s="30" t="str">
        <f>VLOOKUP("label.lightRangeRpm",Locale!$A$2:$D$73,4,FALSE)</f>
        <v>亮灯范围 (rpm)</v>
      </c>
      <c r="L8" s="30"/>
      <c r="M8" s="30"/>
      <c r="N8" s="30"/>
      <c r="O8" s="31">
        <v>800</v>
      </c>
      <c r="P8" s="31"/>
      <c r="Q8" s="1"/>
    </row>
    <row r="9" spans="1:17" ht="22.5" customHeight="1">
      <c r="A9" s="1"/>
      <c r="B9" s="28" t="str">
        <f>VLOOKUP("label.torquePeakRpm",Locale!$A$2:$D$73,4,FALSE)</f>
        <v>峰值扭矩转速 (rpm)</v>
      </c>
      <c r="C9" s="28"/>
      <c r="D9" s="5">
        <f>INDEX(Samples!$B$157:$B$176,MATCH(D8,Samples!$C$157:$C$176,0))</f>
        <v>4140</v>
      </c>
      <c r="E9" s="1"/>
      <c r="F9" s="28" t="str">
        <f>VLOOKUP("label.gearboxTorqueLoss",Locale!$A$2:$D$73,4,FALSE)</f>
        <v>变速箱扭矩损失</v>
      </c>
      <c r="G9" s="28"/>
      <c r="H9" s="28"/>
      <c r="I9" s="10">
        <v>1.2E-2</v>
      </c>
      <c r="J9" s="1"/>
      <c r="K9" s="28" t="str">
        <f>VLOOKUP("label.roundingRpm",Locale!$A$2:$D$73,4,FALSE)</f>
        <v>取整步长 (rpm)</v>
      </c>
      <c r="L9" s="28"/>
      <c r="M9" s="28"/>
      <c r="N9" s="28"/>
      <c r="O9" s="28">
        <v>10</v>
      </c>
      <c r="P9" s="28"/>
      <c r="Q9" s="1"/>
    </row>
    <row r="10" spans="1:17" ht="22.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22.5" customHeight="1">
      <c r="A11" s="1"/>
      <c r="B11" s="29" t="str">
        <f>VLOOKUP("note.yellowInputs",Locale!$A$2:$D$73,4,FALSE)</f>
        <v>黄色单元格为手动输入。</v>
      </c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1"/>
    </row>
    <row r="12" spans="1:17" ht="22.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32" customHeight="1">
      <c r="A13" s="1"/>
      <c r="B13" s="27" t="str">
        <f>VLOOKUP("label.groupOneRx1",Locale!$A$2:$D$73,4,FALSE)</f>
        <v>第 1 组 · RX1</v>
      </c>
      <c r="C13" s="27"/>
      <c r="D13" s="27"/>
      <c r="E13" s="27"/>
      <c r="F13" s="27"/>
      <c r="G13" s="27"/>
      <c r="H13" s="27"/>
      <c r="I13" s="1"/>
      <c r="J13" s="1"/>
      <c r="K13" s="1"/>
      <c r="L13" s="1"/>
      <c r="M13" s="1"/>
      <c r="N13" s="1"/>
      <c r="O13" s="1"/>
      <c r="P13" s="1"/>
      <c r="Q13" s="1"/>
    </row>
    <row r="14" spans="1:17" ht="32" customHeight="1">
      <c r="A14" s="1"/>
      <c r="B14" s="2" t="str">
        <f>VLOOKUP("label.gear",Locale!$A$2:$D$73,4,FALSE)</f>
        <v>挡位</v>
      </c>
      <c r="C14" s="2" t="str">
        <f>VLOOKUP("label.gearRatio",Locale!$A$2:$D$73,4,FALSE)</f>
        <v>齿比</v>
      </c>
      <c r="D14" s="2" t="str">
        <f>VLOOKUP("label.flashRpmWrap",Locale!$A$2:$D$73,4,FALSE)</f>
        <v>闪烁
(rpm)</v>
      </c>
      <c r="E14" s="2" t="str">
        <f>VLOOKUP("label.afterShiftRpmWrap",Locale!$A$2:$D$73,4,FALSE)</f>
        <v>换挡后
(rpm)</v>
      </c>
      <c r="F14" s="2" t="str">
        <f>VLOOKUP("label.speedKmhMultiline",Locale!$A$2:$D$73,4,FALSE)</f>
        <v>车速
(km/h)</v>
      </c>
      <c r="G14" s="2" t="str">
        <f>VLOOKUP("label.firstLightRpm",Locale!$A$2:$D$73,4,FALSE)</f>
        <v>首灯亮起
(rpm)</v>
      </c>
      <c r="H14" s="2" t="str">
        <f>VLOOKUP("label.trigger",Locale!$A$2:$D$73,4,FALSE)</f>
        <v>触发条件</v>
      </c>
      <c r="I14" s="1"/>
      <c r="J14" s="1"/>
      <c r="K14" s="1"/>
      <c r="L14" s="1"/>
      <c r="M14" s="1"/>
      <c r="N14" s="1"/>
      <c r="O14" s="1"/>
      <c r="P14" s="1"/>
      <c r="Q14" s="1"/>
    </row>
    <row r="15" spans="1:17" ht="22.5" customHeight="1">
      <c r="A15" s="1"/>
      <c r="B15" s="11">
        <v>1</v>
      </c>
      <c r="C15" s="12">
        <v>3.24</v>
      </c>
      <c r="D15" s="22">
        <v>6000</v>
      </c>
      <c r="E15" s="13">
        <f>D15*C16/C15</f>
        <v>4812.9629629629635</v>
      </c>
      <c r="F15" s="14">
        <f>D15*2*PI()/60*$D$22/(C15*$I$8)*3.6</f>
        <v>55.850536063818538</v>
      </c>
      <c r="G15" s="13">
        <f>MAX(0,D15-$O$8)</f>
        <v>5200</v>
      </c>
      <c r="H15" s="11" t="str">
        <f>VLOOKUP("label.shift",Locale!$A$2:$D$73,4,FALSE)</f>
        <v>换挡</v>
      </c>
      <c r="I15" s="1"/>
      <c r="J15" s="1"/>
      <c r="K15" s="1"/>
      <c r="L15" s="1"/>
      <c r="M15" s="1"/>
      <c r="N15" s="1"/>
      <c r="O15" s="1"/>
      <c r="P15" s="1"/>
      <c r="Q15" s="1"/>
    </row>
    <row r="16" spans="1:17" ht="22.5" customHeight="1">
      <c r="A16" s="1"/>
      <c r="B16" s="15">
        <v>2</v>
      </c>
      <c r="C16" s="12">
        <v>2.5990000000000002</v>
      </c>
      <c r="D16" s="22">
        <v>6170</v>
      </c>
      <c r="E16" s="16">
        <f>D16*C17/C16</f>
        <v>4952.1431319738349</v>
      </c>
      <c r="F16" s="17">
        <f>D16*2*PI()/60*$D$22/(C16*$I$8)*3.6</f>
        <v>71.597851503436175</v>
      </c>
      <c r="G16" s="16">
        <f>MAX(0,D16-$O$8)</f>
        <v>5370</v>
      </c>
      <c r="H16" s="15" t="str">
        <f>VLOOKUP("label.shift",Locale!$A$2:$D$73,4,FALSE)</f>
        <v>换挡</v>
      </c>
      <c r="I16" s="1"/>
      <c r="J16" s="1"/>
      <c r="K16" s="1"/>
      <c r="L16" s="1"/>
      <c r="M16" s="1"/>
      <c r="N16" s="1"/>
      <c r="O16" s="1"/>
      <c r="P16" s="1"/>
      <c r="Q16" s="1"/>
    </row>
    <row r="17" spans="1:17" ht="22.5" customHeight="1">
      <c r="A17" s="1"/>
      <c r="B17" s="11">
        <v>3</v>
      </c>
      <c r="C17" s="12">
        <v>2.0859999999999999</v>
      </c>
      <c r="D17" s="22">
        <v>6220</v>
      </c>
      <c r="E17" s="13">
        <f>D17*C18/C17</f>
        <v>5039.2138063278999</v>
      </c>
      <c r="F17" s="14">
        <f>D17*2*PI()/60*$D$22/(C17*$I$8)*3.6</f>
        <v>89.928466218194515</v>
      </c>
      <c r="G17" s="13">
        <f>MAX(0,D17-$O$8)</f>
        <v>5420</v>
      </c>
      <c r="H17" s="11" t="str">
        <f>VLOOKUP("label.shift",Locale!$A$2:$D$73,4,FALSE)</f>
        <v>换挡</v>
      </c>
      <c r="I17" s="1"/>
      <c r="J17" s="1"/>
      <c r="K17" s="1"/>
      <c r="L17" s="1"/>
      <c r="M17" s="1"/>
      <c r="N17" s="1"/>
      <c r="O17" s="1"/>
      <c r="P17" s="1"/>
      <c r="Q17" s="1"/>
    </row>
    <row r="18" spans="1:17" ht="22.5" customHeight="1">
      <c r="A18" s="1"/>
      <c r="B18" s="15">
        <v>4</v>
      </c>
      <c r="C18" s="12">
        <v>1.69</v>
      </c>
      <c r="D18" s="22">
        <v>6250</v>
      </c>
      <c r="E18" s="16">
        <f>D18*C19/C18</f>
        <v>5110.9467455621307</v>
      </c>
      <c r="F18" s="17">
        <f>D18*2*PI()/60*$D$22/(C18*$I$8)*3.6</f>
        <v>111.53583385525893</v>
      </c>
      <c r="G18" s="16">
        <f>MAX(0,D18-$O$8)</f>
        <v>5450</v>
      </c>
      <c r="H18" s="15" t="str">
        <f>VLOOKUP("label.shift",Locale!$A$2:$D$73,4,FALSE)</f>
        <v>换挡</v>
      </c>
      <c r="I18" s="1"/>
      <c r="J18" s="1"/>
      <c r="K18" s="1"/>
      <c r="L18" s="1"/>
      <c r="M18" s="1"/>
      <c r="N18" s="1"/>
      <c r="O18" s="1"/>
      <c r="P18" s="1"/>
      <c r="Q18" s="1"/>
    </row>
    <row r="19" spans="1:17" ht="22.5" customHeight="1">
      <c r="A19" s="1"/>
      <c r="B19" s="11">
        <v>5</v>
      </c>
      <c r="C19" s="12">
        <v>1.3819999999999999</v>
      </c>
      <c r="D19" s="13">
        <f>$O$7</f>
        <v>8500</v>
      </c>
      <c r="E19" s="13" t="s">
        <v>27</v>
      </c>
      <c r="F19" s="14">
        <f>D19*2*PI()/60*$D$22/(C19*$I$8)*3.6</f>
        <v>185.49490631905005</v>
      </c>
      <c r="G19" s="13">
        <f>MAX(0,D19-$O$8)</f>
        <v>7700</v>
      </c>
      <c r="H19" s="11" t="str">
        <f>VLOOKUP("label.limiter",Locale!$A$2:$D$73,4,FALSE)</f>
        <v>限转</v>
      </c>
      <c r="I19" s="1"/>
      <c r="J19" s="1"/>
      <c r="K19" s="1"/>
      <c r="L19" s="1"/>
      <c r="M19" s="1"/>
      <c r="N19" s="1"/>
      <c r="O19" s="1"/>
      <c r="P19" s="1"/>
      <c r="Q19" s="1"/>
    </row>
    <row r="20" spans="1:17" ht="22.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22.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22.5" customHeight="1">
      <c r="A22" s="1"/>
      <c r="B22" s="26" t="str">
        <f>VLOOKUP("label.tyreRadiusM",Locale!$A$2:$D$73,4,FALSE)</f>
        <v>轮胎半径 (m)</v>
      </c>
      <c r="C22" s="26"/>
      <c r="D22" s="18">
        <v>0.32</v>
      </c>
      <c r="E22" s="1"/>
      <c r="F22" s="26" t="str">
        <f>VLOOKUP("label.wheelInertia",Locale!$A$2:$D$73,4,FALSE)</f>
        <v>车轮转动惯量 I (kg m²)</v>
      </c>
      <c r="G22" s="26"/>
      <c r="H22" s="19">
        <v>5.2788544000000002</v>
      </c>
      <c r="I22" s="1"/>
      <c r="J22" s="1"/>
      <c r="K22" s="1"/>
      <c r="L22" s="1"/>
      <c r="M22" s="1"/>
      <c r="N22" s="1"/>
      <c r="O22" s="1"/>
      <c r="P22" s="1"/>
      <c r="Q22" s="1"/>
    </row>
    <row r="23" spans="1:17" ht="22.5" customHeight="1">
      <c r="A23" s="1"/>
      <c r="B23" s="26" t="str">
        <f>VLOOKUP("label.gearboxFriction",Locale!$A$2:$D$73,4,FALSE)</f>
        <v>变速箱摩擦阻力 (Nm)</v>
      </c>
      <c r="C23" s="26"/>
      <c r="D23" s="20">
        <v>1.85</v>
      </c>
      <c r="E23" s="1"/>
      <c r="F23" s="26" t="str">
        <f>VLOOKUP("label.gearboxDynamicLoss",Locale!$A$2:$D$73,4,FALSE)</f>
        <v>变速箱动态阻力 (Nm s)</v>
      </c>
      <c r="G23" s="26"/>
      <c r="H23" s="21">
        <v>9.7999999999999997E-4</v>
      </c>
      <c r="I23" s="1"/>
      <c r="J23" s="1"/>
      <c r="K23" s="1"/>
      <c r="L23" s="1"/>
      <c r="M23" s="1"/>
      <c r="N23" s="1"/>
      <c r="O23" s="1"/>
      <c r="P23" s="1"/>
      <c r="Q23" s="1"/>
    </row>
    <row r="24" spans="1:17" ht="22.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22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22.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22.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22.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22.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22.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22.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22.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22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22.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22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22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22.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22.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22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22.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22.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22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22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22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22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22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22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22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22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22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22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22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22.5" customHeight="1">
      <c r="A53" s="1"/>
      <c r="B53" s="26" t="str">
        <f>VLOOKUP("label.gearGroup",Locale!$A$2:$D$73,4,FALSE)</f>
        <v>齿轮组</v>
      </c>
      <c r="C53" s="26"/>
      <c r="D53" s="23">
        <v>1</v>
      </c>
      <c r="E53" s="26" t="str">
        <f>VLOOKUP("label.groupOneRx1Placeholder",Locale!$A$2:$D$73,4,FALSE)</f>
        <v>第 1 组 · RX1 占位</v>
      </c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1"/>
    </row>
    <row r="54" spans="1:17" ht="22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22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22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22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22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22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22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22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22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22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22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22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22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22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22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22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22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22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22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22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22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22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22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22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22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22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22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</sheetData>
  <mergeCells count="29">
    <mergeCell ref="B2:P2"/>
    <mergeCell ref="B3:P3"/>
    <mergeCell ref="B5:D5"/>
    <mergeCell ref="F5:I5"/>
    <mergeCell ref="K5:P5"/>
    <mergeCell ref="B6:C6"/>
    <mergeCell ref="F6:H6"/>
    <mergeCell ref="K6:N6"/>
    <mergeCell ref="O6:P6"/>
    <mergeCell ref="B7:C7"/>
    <mergeCell ref="F7:H7"/>
    <mergeCell ref="K7:N7"/>
    <mergeCell ref="O7:P7"/>
    <mergeCell ref="B8:C8"/>
    <mergeCell ref="F8:H8"/>
    <mergeCell ref="K8:N8"/>
    <mergeCell ref="O8:P8"/>
    <mergeCell ref="B9:C9"/>
    <mergeCell ref="F9:H9"/>
    <mergeCell ref="K9:N9"/>
    <mergeCell ref="O9:P9"/>
    <mergeCell ref="B53:C53"/>
    <mergeCell ref="E53:P53"/>
    <mergeCell ref="B11:P11"/>
    <mergeCell ref="B13:H13"/>
    <mergeCell ref="B22:C22"/>
    <mergeCell ref="F22:G22"/>
    <mergeCell ref="B23:C23"/>
    <mergeCell ref="F23:G23"/>
  </mergeCells>
  <phoneticPr fontId="9" type="noConversion"/>
  <dataValidations count="4">
    <dataValidation type="decimal" operator="greaterThan" sqref="I6:I8" xr:uid="{00000000-0002-0000-0500-000000000000}">
      <formula1>0</formula1>
    </dataValidation>
    <dataValidation type="decimal" sqref="I9" xr:uid="{00000000-0002-0000-0500-000003000000}">
      <formula1>0</formula1>
      <formula2>0.9</formula2>
    </dataValidation>
    <dataValidation type="decimal" sqref="C15:C19" xr:uid="{00000000-0002-0000-0500-000004000000}">
      <formula1>0.1</formula1>
      <formula2>8</formula2>
    </dataValidation>
    <dataValidation type="whole" sqref="D53" xr:uid="{00000000-0002-0000-0500-000009000000}">
      <formula1>1</formula1>
      <formula2>1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DE508-5D3D-4664-B856-FA7EE3420A69}">
  <dimension ref="A1:D73"/>
  <sheetViews>
    <sheetView workbookViewId="0"/>
  </sheetViews>
  <sheetFormatPr defaultRowHeight="14"/>
  <sheetData>
    <row r="1" spans="1:4">
      <c r="A1" s="25" t="s">
        <v>77</v>
      </c>
      <c r="B1" s="25" t="s">
        <v>78</v>
      </c>
      <c r="C1" s="25" t="s">
        <v>79</v>
      </c>
      <c r="D1" s="25" t="s">
        <v>80</v>
      </c>
    </row>
    <row r="2" spans="1:4">
      <c r="A2" s="24" t="s">
        <v>81</v>
      </c>
      <c r="B2" s="24" t="s">
        <v>1</v>
      </c>
      <c r="C2" s="24" t="s">
        <v>82</v>
      </c>
      <c r="D2" s="24" t="str">
        <f>IF(Rally2!$E$1="English",B2,C2)</f>
        <v>发动机曲线</v>
      </c>
    </row>
    <row r="3" spans="1:4">
      <c r="A3" s="24" t="s">
        <v>83</v>
      </c>
      <c r="B3" s="24" t="s">
        <v>84</v>
      </c>
      <c r="C3" s="24" t="s">
        <v>85</v>
      </c>
      <c r="D3" s="24" t="str">
        <f>IF(Rally2!$E$1="English",B3,C3)</f>
        <v>挡位分布</v>
      </c>
    </row>
    <row r="4" spans="1:4">
      <c r="A4" s="24" t="s">
        <v>86</v>
      </c>
      <c r="B4" s="24" t="s">
        <v>72</v>
      </c>
      <c r="C4" s="24" t="s">
        <v>87</v>
      </c>
      <c r="D4" s="24" t="str">
        <f>IF(Rally2!$E$1="English",B4,C4)</f>
        <v>Rally1 · 挡位图</v>
      </c>
    </row>
    <row r="5" spans="1:4">
      <c r="A5" s="24" t="s">
        <v>88</v>
      </c>
      <c r="B5" s="24" t="s">
        <v>53</v>
      </c>
      <c r="C5" s="24" t="s">
        <v>89</v>
      </c>
      <c r="D5" s="24" t="str">
        <f>IF(Rally2!$E$1="English",B5,C5)</f>
        <v>Rally2 · 挡位图</v>
      </c>
    </row>
    <row r="6" spans="1:4">
      <c r="A6" s="24" t="s">
        <v>90</v>
      </c>
      <c r="B6" s="24" t="s">
        <v>73</v>
      </c>
      <c r="C6" s="24" t="s">
        <v>91</v>
      </c>
      <c r="D6" s="24" t="str">
        <f>IF(Rally2!$E$1="English",B6,C6)</f>
        <v>RX1 · 挡位图</v>
      </c>
    </row>
    <row r="7" spans="1:4">
      <c r="A7" s="24" t="s">
        <v>92</v>
      </c>
      <c r="B7" s="24" t="s">
        <v>74</v>
      </c>
      <c r="C7" s="24" t="s">
        <v>93</v>
      </c>
      <c r="D7" s="24" t="str">
        <f>IF(Rally2!$E$1="English",B7,C7)</f>
        <v>RX3 · 挡位图</v>
      </c>
    </row>
    <row r="8" spans="1:4">
      <c r="A8" s="24" t="s">
        <v>94</v>
      </c>
      <c r="B8" s="24" t="s">
        <v>95</v>
      </c>
      <c r="C8" s="24" t="s">
        <v>96</v>
      </c>
      <c r="D8" s="24" t="str">
        <f>IF(Rally2!$E$1="English",B8,C8)</f>
        <v>扭矩与功率</v>
      </c>
    </row>
    <row r="9" spans="1:4">
      <c r="A9" s="24" t="s">
        <v>97</v>
      </c>
      <c r="B9" s="24" t="s">
        <v>68</v>
      </c>
      <c r="C9" s="24" t="s">
        <v>98</v>
      </c>
      <c r="D9" s="24" t="str">
        <f>IF(Rally2!$E$1="English",B9,C9)</f>
        <v>WRC16 · 挡位图</v>
      </c>
    </row>
    <row r="10" spans="1:4">
      <c r="A10" s="24" t="s">
        <v>99</v>
      </c>
      <c r="B10" s="24" t="s">
        <v>71</v>
      </c>
      <c r="C10" s="24" t="s">
        <v>100</v>
      </c>
      <c r="D10" s="24" t="str">
        <f>IF(Rally2!$E$1="English",B10,C10)</f>
        <v>WRC17 · 挡位图</v>
      </c>
    </row>
    <row r="11" spans="1:4">
      <c r="A11" s="24" t="s">
        <v>101</v>
      </c>
      <c r="B11" s="24" t="s">
        <v>56</v>
      </c>
      <c r="C11" s="24" t="s">
        <v>102</v>
      </c>
      <c r="D11" s="24" t="str">
        <f>IF(Rally2!$E$1="English",B11,C11)</f>
        <v>换挡后 (rpm)</v>
      </c>
    </row>
    <row r="12" spans="1:4">
      <c r="A12" s="24" t="s">
        <v>103</v>
      </c>
      <c r="B12" s="24" t="s">
        <v>22</v>
      </c>
      <c r="C12" s="24" t="s">
        <v>104</v>
      </c>
      <c r="D12" s="24" t="str">
        <f>IF(Rally2!$E$1="English",B12,C12)</f>
        <v>换挡后
(rpm)</v>
      </c>
    </row>
    <row r="13" spans="1:4">
      <c r="A13" s="24" t="s">
        <v>105</v>
      </c>
      <c r="B13" s="24" t="s">
        <v>2</v>
      </c>
      <c r="C13" s="24" t="s">
        <v>106</v>
      </c>
      <c r="D13" s="24" t="str">
        <f>IF(Rally2!$E$1="English",B13,C13)</f>
        <v>标定依据</v>
      </c>
    </row>
    <row r="14" spans="1:4">
      <c r="A14" s="24" t="s">
        <v>107</v>
      </c>
      <c r="B14" s="24" t="s">
        <v>42</v>
      </c>
      <c r="C14" s="24" t="s">
        <v>108</v>
      </c>
      <c r="D14" s="24" t="str">
        <f>IF(Rally2!$E$1="English",B14,C14)</f>
        <v>发动机曲线采样</v>
      </c>
    </row>
    <row r="15" spans="1:4">
      <c r="A15" s="24" t="s">
        <v>109</v>
      </c>
      <c r="B15" s="24" t="s">
        <v>8</v>
      </c>
      <c r="C15" s="24" t="s">
        <v>110</v>
      </c>
      <c r="D15" s="24" t="str">
        <f>IF(Rally2!$E$1="English",B15,C15)</f>
        <v>发动机 + 飞轮转动惯量 (kg m²)</v>
      </c>
    </row>
    <row r="16" spans="1:4">
      <c r="A16" s="24" t="s">
        <v>111</v>
      </c>
      <c r="B16" s="24" t="s">
        <v>112</v>
      </c>
      <c r="C16" s="24" t="s">
        <v>113</v>
      </c>
      <c r="D16" s="24" t="str">
        <f>IF(Rally2!$E$1="English",B16,C16)</f>
        <v>发动机转速 (rpm)</v>
      </c>
    </row>
    <row r="17" spans="1:4">
      <c r="A17" s="24" t="s">
        <v>114</v>
      </c>
      <c r="B17" s="24" t="s">
        <v>11</v>
      </c>
      <c r="C17" s="24" t="s">
        <v>115</v>
      </c>
      <c r="D17" s="24" t="str">
        <f>IF(Rally2!$E$1="English",B17,C17)</f>
        <v>主减速比</v>
      </c>
    </row>
    <row r="18" spans="1:4">
      <c r="A18" s="24" t="s">
        <v>116</v>
      </c>
      <c r="B18" s="24" t="s">
        <v>24</v>
      </c>
      <c r="C18" s="24" t="s">
        <v>117</v>
      </c>
      <c r="D18" s="24" t="str">
        <f>IF(Rally2!$E$1="English",B18,C18)</f>
        <v>首灯亮起
(rpm)</v>
      </c>
    </row>
    <row r="19" spans="1:4">
      <c r="A19" s="24" t="s">
        <v>118</v>
      </c>
      <c r="B19" s="24" t="s">
        <v>54</v>
      </c>
      <c r="C19" s="24" t="s">
        <v>119</v>
      </c>
      <c r="D19" s="24" t="str">
        <f>IF(Rally2!$E$1="English",B19,C19)</f>
        <v>闪烁 (rpm)</v>
      </c>
    </row>
    <row r="20" spans="1:4">
      <c r="A20" s="24" t="s">
        <v>120</v>
      </c>
      <c r="B20" s="24" t="s">
        <v>21</v>
      </c>
      <c r="C20" s="24" t="s">
        <v>121</v>
      </c>
      <c r="D20" s="24" t="str">
        <f>IF(Rally2!$E$1="English",B20,C20)</f>
        <v>闪烁
(rpm)</v>
      </c>
    </row>
    <row r="21" spans="1:4">
      <c r="A21" s="24" t="s">
        <v>122</v>
      </c>
      <c r="B21" s="24" t="s">
        <v>19</v>
      </c>
      <c r="C21" s="24" t="s">
        <v>123</v>
      </c>
      <c r="D21" s="24" t="str">
        <f>IF(Rally2!$E$1="English",B21,C21)</f>
        <v>挡位</v>
      </c>
    </row>
    <row r="22" spans="1:4">
      <c r="A22" s="24" t="s">
        <v>124</v>
      </c>
      <c r="B22" s="24" t="s">
        <v>63</v>
      </c>
      <c r="C22" s="24" t="s">
        <v>125</v>
      </c>
      <c r="D22" s="24" t="str">
        <f>IF(Rally2!$E$1="English",B22,C22)</f>
        <v>5 挡</v>
      </c>
    </row>
    <row r="23" spans="1:4">
      <c r="A23" s="24" t="s">
        <v>126</v>
      </c>
      <c r="B23" s="24" t="s">
        <v>62</v>
      </c>
      <c r="C23" s="24" t="s">
        <v>127</v>
      </c>
      <c r="D23" s="24" t="str">
        <f>IF(Rally2!$E$1="English",B23,C23)</f>
        <v>4 挡</v>
      </c>
    </row>
    <row r="24" spans="1:4">
      <c r="A24" s="24" t="s">
        <v>128</v>
      </c>
      <c r="B24" s="24" t="s">
        <v>33</v>
      </c>
      <c r="C24" s="24" t="s">
        <v>129</v>
      </c>
      <c r="D24" s="24" t="str">
        <f>IF(Rally2!$E$1="English",B24,C24)</f>
        <v>齿轮组</v>
      </c>
    </row>
    <row r="25" spans="1:4">
      <c r="A25" s="24" t="s">
        <v>130</v>
      </c>
      <c r="B25" s="24" t="s">
        <v>59</v>
      </c>
      <c r="C25" s="24" t="s">
        <v>131</v>
      </c>
      <c r="D25" s="24" t="str">
        <f>IF(Rally2!$E$1="English",B25,C25)</f>
        <v>1 挡</v>
      </c>
    </row>
    <row r="26" spans="1:4">
      <c r="A26" s="24" t="s">
        <v>132</v>
      </c>
      <c r="B26" s="24" t="s">
        <v>20</v>
      </c>
      <c r="C26" s="24" t="s">
        <v>133</v>
      </c>
      <c r="D26" s="24" t="str">
        <f>IF(Rally2!$E$1="English",B26,C26)</f>
        <v>齿比</v>
      </c>
    </row>
    <row r="27" spans="1:4">
      <c r="A27" s="24" t="s">
        <v>134</v>
      </c>
      <c r="B27" s="24" t="s">
        <v>69</v>
      </c>
      <c r="C27" s="24" t="s">
        <v>135</v>
      </c>
      <c r="D27" s="24" t="str">
        <f>IF(Rally2!$E$1="English",B27,C27)</f>
        <v>6 挡</v>
      </c>
    </row>
    <row r="28" spans="1:4">
      <c r="A28" s="24" t="s">
        <v>136</v>
      </c>
      <c r="B28" s="24" t="s">
        <v>61</v>
      </c>
      <c r="C28" s="24" t="s">
        <v>137</v>
      </c>
      <c r="D28" s="24" t="str">
        <f>IF(Rally2!$E$1="English",B28,C28)</f>
        <v>3 挡</v>
      </c>
    </row>
    <row r="29" spans="1:4">
      <c r="A29" s="24" t="s">
        <v>138</v>
      </c>
      <c r="B29" s="24" t="s">
        <v>60</v>
      </c>
      <c r="C29" s="24" t="s">
        <v>139</v>
      </c>
      <c r="D29" s="24" t="str">
        <f>IF(Rally2!$E$1="English",B29,C29)</f>
        <v>2 挡</v>
      </c>
    </row>
    <row r="30" spans="1:4">
      <c r="A30" s="24" t="s">
        <v>140</v>
      </c>
      <c r="B30" s="24" t="s">
        <v>32</v>
      </c>
      <c r="C30" s="24" t="s">
        <v>141</v>
      </c>
      <c r="D30" s="24" t="str">
        <f>IF(Rally2!$E$1="English",B30,C30)</f>
        <v>变速箱动态阻力 (Nm s)</v>
      </c>
    </row>
    <row r="31" spans="1:4">
      <c r="A31" s="24" t="s">
        <v>142</v>
      </c>
      <c r="B31" s="24" t="s">
        <v>31</v>
      </c>
      <c r="C31" s="24" t="s">
        <v>143</v>
      </c>
      <c r="D31" s="24" t="str">
        <f>IF(Rally2!$E$1="English",B31,C31)</f>
        <v>变速箱摩擦阻力 (Nm)</v>
      </c>
    </row>
    <row r="32" spans="1:4">
      <c r="A32" s="24" t="s">
        <v>144</v>
      </c>
      <c r="B32" s="24" t="s">
        <v>14</v>
      </c>
      <c r="C32" s="24" t="s">
        <v>145</v>
      </c>
      <c r="D32" s="24" t="str">
        <f>IF(Rally2!$E$1="English",B32,C32)</f>
        <v>变速箱扭矩损失</v>
      </c>
    </row>
    <row r="33" spans="1:4">
      <c r="A33" s="24" t="s">
        <v>146</v>
      </c>
      <c r="B33" s="24" t="s">
        <v>39</v>
      </c>
      <c r="C33" s="24" t="s">
        <v>147</v>
      </c>
      <c r="D33" s="24" t="str">
        <f>IF(Rally2!$E$1="English",B33,C33)</f>
        <v>第 1 组 · RX1</v>
      </c>
    </row>
    <row r="34" spans="1:4">
      <c r="A34" s="24" t="s">
        <v>148</v>
      </c>
      <c r="B34" s="24" t="s">
        <v>149</v>
      </c>
      <c r="C34" s="24" t="s">
        <v>150</v>
      </c>
      <c r="D34" s="24" t="str">
        <f>IF(Rally2!$E$1="English",B34,C34)</f>
        <v>第 1 组 · RX1 占位</v>
      </c>
    </row>
    <row r="35" spans="1:4">
      <c r="A35" s="24" t="s">
        <v>151</v>
      </c>
      <c r="B35" s="24" t="s">
        <v>17</v>
      </c>
      <c r="C35" s="24" t="s">
        <v>152</v>
      </c>
      <c r="D35" s="24" t="str">
        <f>IF(Rally2!$E$1="English",B35,C35)</f>
        <v>第 1 组 · Type-A / 柏油</v>
      </c>
    </row>
    <row r="36" spans="1:4">
      <c r="A36" s="24" t="s">
        <v>153</v>
      </c>
      <c r="B36" s="24" t="s">
        <v>18</v>
      </c>
      <c r="C36" s="24" t="s">
        <v>154</v>
      </c>
      <c r="D36" s="24" t="str">
        <f>IF(Rally2!$E$1="English",B36,C36)</f>
        <v>第 2 组 · Type-B / 砂石</v>
      </c>
    </row>
    <row r="37" spans="1:4">
      <c r="A37" s="24" t="s">
        <v>155</v>
      </c>
      <c r="B37" s="24" t="s">
        <v>12</v>
      </c>
      <c r="C37" s="24" t="s">
        <v>156</v>
      </c>
      <c r="D37" s="24" t="str">
        <f>IF(Rally2!$E$1="English",B37,C37)</f>
        <v>亮灯范围 (rpm)</v>
      </c>
    </row>
    <row r="38" spans="1:4">
      <c r="A38" s="24" t="s">
        <v>157</v>
      </c>
      <c r="B38" s="24" t="s">
        <v>57</v>
      </c>
      <c r="C38" s="24" t="s">
        <v>158</v>
      </c>
      <c r="D38" s="24" t="str">
        <f>IF(Rally2!$E$1="English",B38,C38)</f>
        <v>限转车速 (km/h)</v>
      </c>
    </row>
    <row r="39" spans="1:4">
      <c r="A39" s="24" t="s">
        <v>159</v>
      </c>
      <c r="B39" s="24" t="s">
        <v>28</v>
      </c>
      <c r="C39" s="24" t="s">
        <v>160</v>
      </c>
      <c r="D39" s="24" t="str">
        <f>IF(Rally2!$E$1="English",B39,C39)</f>
        <v>限转</v>
      </c>
    </row>
    <row r="40" spans="1:4">
      <c r="A40" s="24" t="s">
        <v>161</v>
      </c>
      <c r="B40" s="24" t="s">
        <v>6</v>
      </c>
      <c r="C40" s="24" t="s">
        <v>162</v>
      </c>
      <c r="D40" s="24" t="str">
        <f>IF(Rally2!$E$1="English",B40,C40)</f>
        <v>空挡闪烁 (rpm)</v>
      </c>
    </row>
    <row r="41" spans="1:4">
      <c r="A41" s="24" t="s">
        <v>163</v>
      </c>
      <c r="B41" s="24" t="s">
        <v>4</v>
      </c>
      <c r="C41" s="24" t="s">
        <v>164</v>
      </c>
      <c r="D41" s="24" t="str">
        <f>IF(Rally2!$E$1="English",B41,C41)</f>
        <v>峰值功率 (hp)</v>
      </c>
    </row>
    <row r="42" spans="1:4">
      <c r="A42" s="24" t="s">
        <v>165</v>
      </c>
      <c r="B42" s="24" t="s">
        <v>10</v>
      </c>
      <c r="C42" s="24" t="s">
        <v>166</v>
      </c>
      <c r="D42" s="24" t="str">
        <f>IF(Rally2!$E$1="English",B42,C42)</f>
        <v>峰值扭矩 (Nm)</v>
      </c>
    </row>
    <row r="43" spans="1:4">
      <c r="A43" s="24" t="s">
        <v>167</v>
      </c>
      <c r="B43" s="24" t="s">
        <v>47</v>
      </c>
      <c r="C43" s="24" t="s">
        <v>168</v>
      </c>
      <c r="D43" s="24" t="str">
        <f>IF(Rally2!$E$1="English",B43,C43)</f>
        <v>功率 (hp)</v>
      </c>
    </row>
    <row r="44" spans="1:4">
      <c r="A44" s="24" t="s">
        <v>169</v>
      </c>
      <c r="B44" s="24" t="s">
        <v>7</v>
      </c>
      <c r="C44" s="24" t="s">
        <v>170</v>
      </c>
      <c r="D44" s="24" t="str">
        <f>IF(Rally2!$E$1="English",B44,C44)</f>
        <v>功率峰值转速 (rpm)</v>
      </c>
    </row>
    <row r="45" spans="1:4">
      <c r="A45" s="24" t="s">
        <v>171</v>
      </c>
      <c r="B45" s="24" t="s">
        <v>172</v>
      </c>
      <c r="C45" s="24" t="s">
        <v>173</v>
      </c>
      <c r="D45" s="24" t="str">
        <f>IF(Rally2!$E$1="English",B45,C45)</f>
        <v>车速 (km/h)</v>
      </c>
    </row>
    <row r="46" spans="1:4">
      <c r="A46" s="24" t="s">
        <v>174</v>
      </c>
      <c r="B46" s="24" t="s">
        <v>15</v>
      </c>
      <c r="C46" s="24" t="s">
        <v>175</v>
      </c>
      <c r="D46" s="24" t="str">
        <f>IF(Rally2!$E$1="English",B46,C46)</f>
        <v>取整步长 (rpm)</v>
      </c>
    </row>
    <row r="47" spans="1:4">
      <c r="A47" s="24" t="s">
        <v>176</v>
      </c>
      <c r="B47" s="24" t="s">
        <v>5</v>
      </c>
      <c r="C47" s="24" t="s">
        <v>177</v>
      </c>
      <c r="D47" s="24" t="str">
        <f>IF(Rally2!$E$1="English",B47,C47)</f>
        <v>运行质量 (kg)</v>
      </c>
    </row>
    <row r="48" spans="1:4">
      <c r="A48" s="24" t="s">
        <v>178</v>
      </c>
      <c r="B48" s="24" t="s">
        <v>26</v>
      </c>
      <c r="C48" s="24" t="s">
        <v>179</v>
      </c>
      <c r="D48" s="24" t="str">
        <f>IF(Rally2!$E$1="English",B48,C48)</f>
        <v>换挡</v>
      </c>
    </row>
    <row r="49" spans="1:4">
      <c r="A49" s="24" t="s">
        <v>180</v>
      </c>
      <c r="B49" s="24" t="s">
        <v>181</v>
      </c>
      <c r="C49" s="24" t="s">
        <v>182</v>
      </c>
      <c r="D49" s="24" t="str">
        <f>IF(Rally2!$E$1="English",B49,C49)</f>
        <v>5 升 6 挡</v>
      </c>
    </row>
    <row r="50" spans="1:4">
      <c r="A50" s="24" t="s">
        <v>183</v>
      </c>
      <c r="B50" s="24" t="s">
        <v>184</v>
      </c>
      <c r="C50" s="24" t="s">
        <v>185</v>
      </c>
      <c r="D50" s="24" t="str">
        <f>IF(Rally2!$E$1="English",B50,C50)</f>
        <v>4 升 5 挡</v>
      </c>
    </row>
    <row r="51" spans="1:4">
      <c r="A51" s="24" t="s">
        <v>186</v>
      </c>
      <c r="B51" s="24" t="s">
        <v>55</v>
      </c>
      <c r="C51" s="24" t="s">
        <v>187</v>
      </c>
      <c r="D51" s="24" t="str">
        <f>IF(Rally2!$E$1="English",B51,C51)</f>
        <v>换挡车速 (km/h)</v>
      </c>
    </row>
    <row r="52" spans="1:4">
      <c r="A52" s="24" t="s">
        <v>188</v>
      </c>
      <c r="B52" s="24" t="s">
        <v>3</v>
      </c>
      <c r="C52" s="24" t="s">
        <v>189</v>
      </c>
      <c r="D52" s="24" t="str">
        <f>IF(Rally2!$E$1="English",B52,C52)</f>
        <v>换挡灯</v>
      </c>
    </row>
    <row r="53" spans="1:4">
      <c r="A53" s="24" t="s">
        <v>190</v>
      </c>
      <c r="B53" s="24" t="s">
        <v>191</v>
      </c>
      <c r="C53" s="24" t="s">
        <v>192</v>
      </c>
      <c r="D53" s="24" t="str">
        <f>IF(Rally2!$E$1="English",B53,C53)</f>
        <v>1 升 2 挡</v>
      </c>
    </row>
    <row r="54" spans="1:4">
      <c r="A54" s="24" t="s">
        <v>193</v>
      </c>
      <c r="B54" s="24" t="s">
        <v>194</v>
      </c>
      <c r="C54" s="24" t="s">
        <v>195</v>
      </c>
      <c r="D54" s="24" t="str">
        <f>IF(Rally2!$E$1="English",B54,C54)</f>
        <v>3 升 4 挡</v>
      </c>
    </row>
    <row r="55" spans="1:4">
      <c r="A55" s="24" t="s">
        <v>196</v>
      </c>
      <c r="B55" s="24" t="s">
        <v>197</v>
      </c>
      <c r="C55" s="24" t="s">
        <v>198</v>
      </c>
      <c r="D55" s="24" t="str">
        <f>IF(Rally2!$E$1="English",B55,C55)</f>
        <v>2 升 3 挡</v>
      </c>
    </row>
    <row r="56" spans="1:4">
      <c r="A56" s="24" t="s">
        <v>199</v>
      </c>
      <c r="B56" s="24" t="s">
        <v>23</v>
      </c>
      <c r="C56" s="24" t="s">
        <v>200</v>
      </c>
      <c r="D56" s="24" t="str">
        <f>IF(Rally2!$E$1="English",B56,C56)</f>
        <v>车速
(km/h)</v>
      </c>
    </row>
    <row r="57" spans="1:4">
      <c r="A57" s="24" t="s">
        <v>201</v>
      </c>
      <c r="B57" s="24" t="s">
        <v>9</v>
      </c>
      <c r="C57" s="24" t="s">
        <v>202</v>
      </c>
      <c r="D57" s="24" t="str">
        <f>IF(Rally2!$E$1="English",B57,C57)</f>
        <v>最高挡 / 限转 (rpm)</v>
      </c>
    </row>
    <row r="58" spans="1:4">
      <c r="A58" s="24" t="s">
        <v>203</v>
      </c>
      <c r="B58" s="24" t="s">
        <v>46</v>
      </c>
      <c r="C58" s="24" t="s">
        <v>204</v>
      </c>
      <c r="D58" s="24" t="str">
        <f>IF(Rally2!$E$1="English",B58,C58)</f>
        <v>扭矩 (Nm)</v>
      </c>
    </row>
    <row r="59" spans="1:4">
      <c r="A59" s="24" t="s">
        <v>205</v>
      </c>
      <c r="B59" s="24" t="s">
        <v>13</v>
      </c>
      <c r="C59" s="24" t="s">
        <v>206</v>
      </c>
      <c r="D59" s="24" t="str">
        <f>IF(Rally2!$E$1="English",B59,C59)</f>
        <v>峰值扭矩转速 (rpm)</v>
      </c>
    </row>
    <row r="60" spans="1:4">
      <c r="A60" s="24" t="s">
        <v>207</v>
      </c>
      <c r="B60" s="24" t="s">
        <v>25</v>
      </c>
      <c r="C60" s="24" t="s">
        <v>208</v>
      </c>
      <c r="D60" s="24" t="str">
        <f>IF(Rally2!$E$1="English",B60,C60)</f>
        <v>触发条件</v>
      </c>
    </row>
    <row r="61" spans="1:4">
      <c r="A61" s="24" t="s">
        <v>209</v>
      </c>
      <c r="B61" s="24" t="s">
        <v>29</v>
      </c>
      <c r="C61" s="24" t="s">
        <v>210</v>
      </c>
      <c r="D61" s="24" t="str">
        <f>IF(Rally2!$E$1="English",B61,C61)</f>
        <v>轮胎半径 (m)</v>
      </c>
    </row>
    <row r="62" spans="1:4">
      <c r="A62" s="24" t="s">
        <v>211</v>
      </c>
      <c r="B62" s="24" t="s">
        <v>30</v>
      </c>
      <c r="C62" s="24" t="s">
        <v>212</v>
      </c>
      <c r="D62" s="24" t="str">
        <f>IF(Rally2!$E$1="English",B62,C62)</f>
        <v>车轮转动惯量 I (kg m²)</v>
      </c>
    </row>
    <row r="63" spans="1:4">
      <c r="A63" s="24" t="s">
        <v>213</v>
      </c>
      <c r="B63" s="24" t="s">
        <v>37</v>
      </c>
      <c r="C63" s="24" t="s">
        <v>214</v>
      </c>
      <c r="D63" s="24" t="str">
        <f>IF(Rally2!$E$1="English",B63,C63)</f>
        <v>2025 标定 · 与 2022 共用</v>
      </c>
    </row>
    <row r="64" spans="1:4">
      <c r="A64" s="24" t="s">
        <v>215</v>
      </c>
      <c r="B64" s="24" t="s">
        <v>43</v>
      </c>
      <c r="C64" s="24" t="s">
        <v>216</v>
      </c>
      <c r="D64" s="24" t="str">
        <f>IF(Rally2!$E$1="English",B64,C64)</f>
        <v>500 rpm 间隔 · 保留峰值点</v>
      </c>
    </row>
    <row r="65" spans="1:4">
      <c r="A65" s="24" t="s">
        <v>217</v>
      </c>
      <c r="B65" s="24" t="s">
        <v>41</v>
      </c>
      <c r="C65" s="24" t="s">
        <v>218</v>
      </c>
      <c r="D65" s="24" t="str">
        <f>IF(Rally2!$E$1="English",B65,C65)</f>
        <v>RX1 占位 · 五挡</v>
      </c>
    </row>
    <row r="66" spans="1:4">
      <c r="A66" s="24" t="s">
        <v>219</v>
      </c>
      <c r="B66" s="24" t="s">
        <v>52</v>
      </c>
      <c r="C66" s="24" t="s">
        <v>220</v>
      </c>
      <c r="D66" s="24" t="str">
        <f>IF(Rally2!$E$1="English",B66,C66)</f>
        <v>RX3 · RX1 占位</v>
      </c>
    </row>
    <row r="67" spans="1:4">
      <c r="A67" s="24" t="s">
        <v>221</v>
      </c>
      <c r="B67" s="24" t="s">
        <v>222</v>
      </c>
      <c r="C67" s="24" t="s">
        <v>16</v>
      </c>
      <c r="D67" s="24" t="str">
        <f>IF(Rally2!$E$1="English",B67,C67)</f>
        <v>黄色单元格为手动输入。</v>
      </c>
    </row>
    <row r="68" spans="1:4">
      <c r="A68" s="24" t="s">
        <v>223</v>
      </c>
      <c r="B68" s="24" t="s">
        <v>36</v>
      </c>
      <c r="C68" s="24" t="s">
        <v>224</v>
      </c>
      <c r="D68" s="24" t="str">
        <f>IF(Rally2!$E$1="English",B68,C68)</f>
        <v>Rally1 · 齿比与换挡灯</v>
      </c>
    </row>
    <row r="69" spans="1:4">
      <c r="A69" s="24" t="s">
        <v>225</v>
      </c>
      <c r="B69" s="24" t="s">
        <v>0</v>
      </c>
      <c r="C69" s="24" t="s">
        <v>226</v>
      </c>
      <c r="D69" s="24" t="str">
        <f>IF(Rally2!$E$1="English",B69,C69)</f>
        <v>Rally2 · 齿比与换挡灯</v>
      </c>
    </row>
    <row r="70" spans="1:4">
      <c r="A70" s="24" t="s">
        <v>227</v>
      </c>
      <c r="B70" s="24" t="s">
        <v>38</v>
      </c>
      <c r="C70" s="24" t="s">
        <v>228</v>
      </c>
      <c r="D70" s="24" t="str">
        <f>IF(Rally2!$E$1="English",B70,C70)</f>
        <v>RX1 · 齿比与换挡灯</v>
      </c>
    </row>
    <row r="71" spans="1:4">
      <c r="A71" s="24" t="s">
        <v>229</v>
      </c>
      <c r="B71" s="24" t="s">
        <v>40</v>
      </c>
      <c r="C71" s="24" t="s">
        <v>230</v>
      </c>
      <c r="D71" s="24" t="str">
        <f>IF(Rally2!$E$1="English",B71,C71)</f>
        <v>RX3 · 齿比与换挡灯</v>
      </c>
    </row>
    <row r="72" spans="1:4">
      <c r="A72" s="24" t="s">
        <v>231</v>
      </c>
      <c r="B72" s="24" t="s">
        <v>34</v>
      </c>
      <c r="C72" s="24" t="s">
        <v>232</v>
      </c>
      <c r="D72" s="24" t="str">
        <f>IF(Rally2!$E$1="English",B72,C72)</f>
        <v>WRC16 · 齿比与换挡灯</v>
      </c>
    </row>
    <row r="73" spans="1:4">
      <c r="A73" s="24" t="s">
        <v>233</v>
      </c>
      <c r="B73" s="24" t="s">
        <v>35</v>
      </c>
      <c r="C73" s="24" t="s">
        <v>234</v>
      </c>
      <c r="D73" s="24" t="str">
        <f>IF(Rally2!$E$1="English",B73,C73)</f>
        <v>WRC17 · 齿比与换挡灯</v>
      </c>
    </row>
  </sheetData>
  <phoneticPr fontId="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52162-7D4F-4480-B3A1-D1F60ABD0387}">
  <dimension ref="A1:M430"/>
  <sheetViews>
    <sheetView showGridLines="0" tabSelected="1" workbookViewId="0">
      <pane ySplit="3" topLeftCell="A4" activePane="bottomLeft" state="frozen"/>
      <selection pane="bottomLeft"/>
    </sheetView>
  </sheetViews>
  <sheetFormatPr defaultRowHeight="14"/>
  <cols>
    <col min="1" max="1" width="3" customWidth="1"/>
    <col min="2" max="5" width="19.4140625" customWidth="1"/>
    <col min="6" max="13" width="13.75" customWidth="1"/>
  </cols>
  <sheetData>
    <row r="1" spans="1:13" ht="22.5" customHeight="1">
      <c r="A1" s="1"/>
      <c r="B1" s="36" t="str">
        <f>VLOOKUP("label.engineCurveSamples",Locale!$A$2:$D$73,4,FALSE)</f>
        <v>发动机曲线采样</v>
      </c>
      <c r="C1" s="36"/>
      <c r="D1" s="36"/>
      <c r="E1" s="36"/>
      <c r="F1" s="1"/>
      <c r="G1" s="1"/>
      <c r="H1" s="1"/>
      <c r="I1" s="1"/>
      <c r="J1" s="1"/>
      <c r="K1" s="1"/>
      <c r="L1" s="1"/>
      <c r="M1" s="1"/>
    </row>
    <row r="2" spans="1:13" ht="22.5" customHeight="1">
      <c r="A2" s="1"/>
      <c r="B2" s="37" t="str">
        <f>VLOOKUP("note.rpmSampleSpacing",Locale!$A$2:$D$73,4,FALSE)</f>
        <v>500 rpm 间隔 · 保留峰值点</v>
      </c>
      <c r="C2" s="37"/>
      <c r="D2" s="37"/>
      <c r="E2" s="37"/>
      <c r="F2" s="1"/>
      <c r="G2" s="1"/>
      <c r="H2" s="1"/>
      <c r="I2" s="1"/>
      <c r="J2" s="1"/>
      <c r="K2" s="1"/>
      <c r="L2" s="1"/>
      <c r="M2" s="1"/>
    </row>
    <row r="3" spans="1:13" ht="22.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22.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spans="1:13" ht="32" customHeight="1">
      <c r="A5" s="1"/>
      <c r="B5" s="27" t="s">
        <v>44</v>
      </c>
      <c r="C5" s="27"/>
      <c r="D5" s="27"/>
      <c r="E5" s="27"/>
      <c r="F5" s="1"/>
      <c r="G5" s="1"/>
      <c r="H5" s="1"/>
      <c r="I5" s="1"/>
      <c r="J5" s="1"/>
      <c r="K5" s="1"/>
      <c r="L5" s="1"/>
      <c r="M5" s="1"/>
    </row>
    <row r="6" spans="1:13" ht="32" customHeight="1">
      <c r="A6" s="1"/>
      <c r="B6" s="2" t="s">
        <v>45</v>
      </c>
      <c r="C6" s="2" t="str">
        <f>VLOOKUP("label.torqueNm",Locale!$A$2:$D$73,4,FALSE)</f>
        <v>扭矩 (Nm)</v>
      </c>
      <c r="D6" s="2" t="str">
        <f>VLOOKUP("label.powerHp",Locale!$A$2:$D$73,4,FALSE)</f>
        <v>功率 (hp)</v>
      </c>
      <c r="E6" s="1"/>
      <c r="F6" s="1"/>
      <c r="G6" s="1"/>
      <c r="H6" s="1"/>
      <c r="I6" s="1"/>
      <c r="J6" s="1"/>
      <c r="K6" s="1"/>
      <c r="L6" s="1"/>
      <c r="M6" s="1"/>
    </row>
    <row r="7" spans="1:13" ht="22.5" customHeight="1">
      <c r="A7" s="1"/>
      <c r="B7" s="1">
        <v>0</v>
      </c>
      <c r="C7" s="3">
        <v>-11.700000000000001</v>
      </c>
      <c r="D7" s="4">
        <f t="shared" ref="D7:D24" si="0">C7*B7*2*PI()/(60*745.69987158227)</f>
        <v>0</v>
      </c>
      <c r="E7" s="1"/>
      <c r="F7" s="1"/>
      <c r="G7" s="1"/>
      <c r="H7" s="1"/>
      <c r="I7" s="1"/>
      <c r="J7" s="1"/>
      <c r="K7" s="1"/>
      <c r="L7" s="1"/>
      <c r="M7" s="1"/>
    </row>
    <row r="8" spans="1:13" ht="22.5" customHeight="1">
      <c r="A8" s="1"/>
      <c r="B8" s="1">
        <v>500</v>
      </c>
      <c r="C8" s="3">
        <v>38.005559657208096</v>
      </c>
      <c r="D8" s="4">
        <f t="shared" si="0"/>
        <v>2.6685889673305132</v>
      </c>
      <c r="E8" s="1"/>
      <c r="F8" s="1"/>
      <c r="G8" s="1"/>
      <c r="H8" s="1"/>
      <c r="I8" s="1"/>
      <c r="J8" s="1"/>
      <c r="K8" s="1"/>
      <c r="L8" s="1"/>
      <c r="M8" s="1"/>
    </row>
    <row r="9" spans="1:13" ht="22.5" customHeight="1">
      <c r="A9" s="1"/>
      <c r="B9" s="1">
        <v>1000</v>
      </c>
      <c r="C9" s="3">
        <v>144.68644472051628</v>
      </c>
      <c r="D9" s="4">
        <f t="shared" si="0"/>
        <v>20.318535160958582</v>
      </c>
      <c r="E9" s="1"/>
      <c r="F9" s="1"/>
      <c r="G9" s="1"/>
      <c r="H9" s="1"/>
      <c r="I9" s="1"/>
      <c r="J9" s="1"/>
      <c r="K9" s="1"/>
      <c r="L9" s="1"/>
      <c r="M9" s="1"/>
    </row>
    <row r="10" spans="1:13" ht="22.5" customHeight="1">
      <c r="A10" s="1"/>
      <c r="B10" s="1">
        <v>1500</v>
      </c>
      <c r="C10" s="3">
        <v>295.31452770142562</v>
      </c>
      <c r="D10" s="4">
        <f t="shared" si="0"/>
        <v>62.207195285991304</v>
      </c>
      <c r="E10" s="1"/>
      <c r="F10" s="1"/>
      <c r="G10" s="1"/>
      <c r="H10" s="1"/>
      <c r="I10" s="1"/>
      <c r="J10" s="1"/>
      <c r="K10" s="1"/>
      <c r="L10" s="1"/>
      <c r="M10" s="1"/>
    </row>
    <row r="11" spans="1:13" ht="22.5" customHeight="1">
      <c r="A11" s="1"/>
      <c r="B11" s="1">
        <v>2000</v>
      </c>
      <c r="C11" s="3">
        <v>372.0321421528443</v>
      </c>
      <c r="D11" s="4">
        <f t="shared" si="0"/>
        <v>104.49006713712463</v>
      </c>
      <c r="E11" s="1"/>
      <c r="F11" s="1"/>
      <c r="G11" s="1"/>
      <c r="H11" s="1"/>
      <c r="I11" s="1"/>
      <c r="J11" s="1"/>
      <c r="K11" s="1"/>
      <c r="L11" s="1"/>
      <c r="M11" s="1"/>
    </row>
    <row r="12" spans="1:13" ht="22.5" customHeight="1">
      <c r="A12" s="1"/>
      <c r="B12" s="1">
        <v>2500</v>
      </c>
      <c r="C12" s="3">
        <v>390.99388862528957</v>
      </c>
      <c r="D12" s="4">
        <f t="shared" si="0"/>
        <v>137.26965039984785</v>
      </c>
      <c r="E12" s="1"/>
      <c r="F12" s="1"/>
      <c r="G12" s="1"/>
      <c r="H12" s="1"/>
      <c r="I12" s="1"/>
      <c r="J12" s="1"/>
      <c r="K12" s="1"/>
      <c r="L12" s="1"/>
      <c r="M12" s="1"/>
    </row>
    <row r="13" spans="1:13" ht="22.5" customHeight="1">
      <c r="A13" s="1"/>
      <c r="B13" s="1">
        <v>3000</v>
      </c>
      <c r="C13" s="3">
        <v>411.25036500210729</v>
      </c>
      <c r="D13" s="4">
        <f t="shared" si="0"/>
        <v>173.25752286041558</v>
      </c>
      <c r="E13" s="1"/>
      <c r="F13" s="1"/>
      <c r="G13" s="1"/>
      <c r="H13" s="1"/>
      <c r="I13" s="1"/>
      <c r="J13" s="1"/>
      <c r="K13" s="1"/>
      <c r="L13" s="1"/>
      <c r="M13" s="1"/>
    </row>
    <row r="14" spans="1:13" ht="22.5" customHeight="1">
      <c r="A14" s="1"/>
      <c r="B14" s="1">
        <v>3500</v>
      </c>
      <c r="C14" s="3">
        <v>423.80703475739853</v>
      </c>
      <c r="D14" s="4">
        <f t="shared" si="0"/>
        <v>208.30550877345351</v>
      </c>
      <c r="E14" s="1"/>
      <c r="F14" s="1"/>
      <c r="G14" s="1"/>
      <c r="H14" s="1"/>
      <c r="I14" s="1"/>
      <c r="J14" s="1"/>
      <c r="K14" s="1"/>
      <c r="L14" s="1"/>
      <c r="M14" s="1"/>
    </row>
    <row r="15" spans="1:13" ht="22.5" customHeight="1">
      <c r="A15" s="1"/>
      <c r="B15" s="1">
        <v>3740</v>
      </c>
      <c r="C15" s="3">
        <v>425.214197164935</v>
      </c>
      <c r="D15" s="4">
        <f t="shared" si="0"/>
        <v>223.32837624413057</v>
      </c>
      <c r="E15" s="1"/>
      <c r="F15" s="1"/>
      <c r="G15" s="1"/>
      <c r="H15" s="1"/>
      <c r="I15" s="1"/>
      <c r="J15" s="1"/>
      <c r="K15" s="1"/>
      <c r="L15" s="1"/>
      <c r="M15" s="1"/>
    </row>
    <row r="16" spans="1:13" ht="22.5" customHeight="1">
      <c r="A16" s="1"/>
      <c r="B16" s="1">
        <v>4000</v>
      </c>
      <c r="C16" s="3">
        <v>424.44212471320429</v>
      </c>
      <c r="D16" s="4">
        <f t="shared" si="0"/>
        <v>238.42018515102365</v>
      </c>
      <c r="E16" s="1"/>
      <c r="F16" s="1"/>
      <c r="G16" s="1"/>
      <c r="H16" s="1"/>
      <c r="I16" s="1"/>
      <c r="J16" s="1"/>
      <c r="K16" s="1"/>
      <c r="L16" s="1"/>
      <c r="M16" s="1"/>
    </row>
    <row r="17" spans="1:13" ht="22.5" customHeight="1">
      <c r="A17" s="1"/>
      <c r="B17" s="1">
        <v>4500</v>
      </c>
      <c r="C17" s="3">
        <v>419.64479082879961</v>
      </c>
      <c r="D17" s="4">
        <f t="shared" si="0"/>
        <v>265.19107262033378</v>
      </c>
      <c r="E17" s="1"/>
      <c r="F17" s="1"/>
      <c r="G17" s="1"/>
      <c r="H17" s="1"/>
      <c r="I17" s="1"/>
      <c r="J17" s="1"/>
      <c r="K17" s="1"/>
      <c r="L17" s="1"/>
      <c r="M17" s="1"/>
    </row>
    <row r="18" spans="1:13" ht="22.5" customHeight="1">
      <c r="A18" s="1"/>
      <c r="B18" s="1">
        <v>5000</v>
      </c>
      <c r="C18" s="3">
        <v>409.78589785572836</v>
      </c>
      <c r="D18" s="4">
        <f t="shared" si="0"/>
        <v>287.73425147497431</v>
      </c>
      <c r="E18" s="1"/>
      <c r="F18" s="1"/>
      <c r="G18" s="1"/>
      <c r="H18" s="1"/>
      <c r="I18" s="1"/>
      <c r="J18" s="1"/>
      <c r="K18" s="1"/>
      <c r="L18" s="1"/>
      <c r="M18" s="1"/>
    </row>
    <row r="19" spans="1:13" ht="22.5" customHeight="1">
      <c r="A19" s="1"/>
      <c r="B19" s="1">
        <v>5500</v>
      </c>
      <c r="C19" s="3">
        <v>379.00168763410392</v>
      </c>
      <c r="D19" s="4">
        <f t="shared" si="0"/>
        <v>292.73077530671583</v>
      </c>
      <c r="E19" s="1"/>
      <c r="F19" s="1"/>
      <c r="G19" s="1"/>
      <c r="H19" s="1"/>
      <c r="I19" s="1"/>
      <c r="J19" s="1"/>
      <c r="K19" s="1"/>
      <c r="L19" s="1"/>
      <c r="M19" s="1"/>
    </row>
    <row r="20" spans="1:13" ht="22.5" customHeight="1">
      <c r="A20" s="1"/>
      <c r="B20" s="1">
        <v>5610</v>
      </c>
      <c r="C20" s="3">
        <v>371.80174077831521</v>
      </c>
      <c r="D20" s="4">
        <f t="shared" si="0"/>
        <v>292.91312333776995</v>
      </c>
      <c r="E20" s="1"/>
      <c r="F20" s="1"/>
      <c r="G20" s="1"/>
      <c r="H20" s="1"/>
      <c r="I20" s="1"/>
      <c r="J20" s="1"/>
      <c r="K20" s="1"/>
      <c r="L20" s="1"/>
      <c r="M20" s="1"/>
    </row>
    <row r="21" spans="1:13" ht="22.5" customHeight="1">
      <c r="A21" s="1"/>
      <c r="B21" s="1">
        <v>6000</v>
      </c>
      <c r="C21" s="3">
        <v>345.49564491030742</v>
      </c>
      <c r="D21" s="4">
        <f t="shared" si="0"/>
        <v>291.11083996686489</v>
      </c>
      <c r="E21" s="1"/>
      <c r="F21" s="1"/>
      <c r="G21" s="1"/>
      <c r="H21" s="1"/>
      <c r="I21" s="1"/>
      <c r="J21" s="1"/>
      <c r="K21" s="1"/>
      <c r="L21" s="1"/>
      <c r="M21" s="1"/>
    </row>
    <row r="22" spans="1:13" ht="22.5" customHeight="1">
      <c r="A22" s="1"/>
      <c r="B22" s="1">
        <v>6500</v>
      </c>
      <c r="C22" s="3">
        <v>311.30536651597919</v>
      </c>
      <c r="D22" s="4">
        <f t="shared" si="0"/>
        <v>284.16102703465776</v>
      </c>
      <c r="E22" s="1"/>
      <c r="F22" s="1"/>
      <c r="G22" s="1"/>
      <c r="H22" s="1"/>
      <c r="I22" s="1"/>
      <c r="J22" s="1"/>
      <c r="K22" s="1"/>
      <c r="L22" s="1"/>
      <c r="M22" s="1"/>
    </row>
    <row r="23" spans="1:13" ht="22.5" customHeight="1">
      <c r="A23" s="1"/>
      <c r="B23" s="1">
        <v>7000</v>
      </c>
      <c r="C23" s="3">
        <v>277.93279486233178</v>
      </c>
      <c r="D23" s="4">
        <f t="shared" si="0"/>
        <v>273.21364437363303</v>
      </c>
      <c r="E23" s="1"/>
      <c r="F23" s="1"/>
      <c r="G23" s="1"/>
      <c r="H23" s="1"/>
      <c r="I23" s="1"/>
      <c r="J23" s="1"/>
      <c r="K23" s="1"/>
      <c r="L23" s="1"/>
      <c r="M23" s="1"/>
    </row>
    <row r="24" spans="1:13" ht="22.5" customHeight="1">
      <c r="A24" s="1"/>
      <c r="B24" s="1">
        <v>7499</v>
      </c>
      <c r="C24" s="3">
        <v>238.59697013590574</v>
      </c>
      <c r="D24" s="4">
        <f t="shared" si="0"/>
        <v>251.26548020329068</v>
      </c>
      <c r="E24" s="1"/>
      <c r="F24" s="1"/>
      <c r="G24" s="1"/>
      <c r="H24" s="1"/>
      <c r="I24" s="1"/>
      <c r="J24" s="1"/>
      <c r="K24" s="1"/>
      <c r="L24" s="1"/>
      <c r="M24" s="1"/>
    </row>
    <row r="25" spans="1:13" ht="22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13" ht="22.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13" ht="22.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13" ht="22.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13" ht="22.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13" ht="22.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1:13" ht="22.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</row>
    <row r="32" spans="1:13" ht="22.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ht="22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 ht="22.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 ht="32" customHeight="1">
      <c r="A35" s="1"/>
      <c r="B35" s="27" t="s">
        <v>48</v>
      </c>
      <c r="C35" s="27"/>
      <c r="D35" s="27"/>
      <c r="E35" s="27"/>
      <c r="F35" s="1"/>
      <c r="G35" s="1"/>
      <c r="H35" s="1"/>
      <c r="I35" s="1"/>
      <c r="J35" s="1"/>
      <c r="K35" s="1"/>
      <c r="L35" s="1"/>
      <c r="M35" s="1"/>
    </row>
    <row r="36" spans="1:13" ht="32" customHeight="1">
      <c r="A36" s="1"/>
      <c r="B36" s="2" t="s">
        <v>45</v>
      </c>
      <c r="C36" s="2" t="str">
        <f>VLOOKUP("label.torqueNm",Locale!$A$2:$D$73,4,FALSE)</f>
        <v>扭矩 (Nm)</v>
      </c>
      <c r="D36" s="2" t="str">
        <f>VLOOKUP("label.powerHp",Locale!$A$2:$D$73,4,FALSE)</f>
        <v>功率 (hp)</v>
      </c>
      <c r="E36" s="1"/>
      <c r="F36" s="1"/>
      <c r="G36" s="1"/>
      <c r="H36" s="1"/>
      <c r="I36" s="1"/>
      <c r="J36" s="1"/>
      <c r="K36" s="1"/>
      <c r="L36" s="1"/>
      <c r="M36" s="1"/>
    </row>
    <row r="37" spans="1:13" ht="22.5" customHeight="1">
      <c r="A37" s="1"/>
      <c r="B37" s="1">
        <v>0</v>
      </c>
      <c r="C37" s="3">
        <v>-12.15</v>
      </c>
      <c r="D37" s="4">
        <f t="shared" ref="D37:D55" si="1">C37*B37*2*PI()/(60*745.69987158227)</f>
        <v>0</v>
      </c>
      <c r="E37" s="1"/>
      <c r="F37" s="1"/>
      <c r="G37" s="1"/>
      <c r="H37" s="1"/>
      <c r="I37" s="1"/>
      <c r="J37" s="1"/>
      <c r="K37" s="1"/>
      <c r="L37" s="1"/>
      <c r="M37" s="1"/>
    </row>
    <row r="38" spans="1:13" ht="22.5" customHeight="1">
      <c r="A38" s="1"/>
      <c r="B38" s="1">
        <v>500</v>
      </c>
      <c r="C38" s="3">
        <v>37.607653353450431</v>
      </c>
      <c r="D38" s="4">
        <f t="shared" si="1"/>
        <v>2.6406496768210106</v>
      </c>
      <c r="E38" s="1"/>
      <c r="F38" s="1"/>
      <c r="G38" s="1"/>
      <c r="H38" s="1"/>
      <c r="I38" s="1"/>
      <c r="J38" s="1"/>
      <c r="K38" s="1"/>
      <c r="L38" s="1"/>
      <c r="M38" s="1"/>
    </row>
    <row r="39" spans="1:13" ht="22.5" customHeight="1">
      <c r="A39" s="1"/>
      <c r="B39" s="1">
        <v>1000</v>
      </c>
      <c r="C39" s="3">
        <v>141.5610188906123</v>
      </c>
      <c r="D39" s="4">
        <f t="shared" si="1"/>
        <v>19.879626908422974</v>
      </c>
      <c r="E39" s="1"/>
      <c r="F39" s="1"/>
      <c r="G39" s="1"/>
      <c r="H39" s="1"/>
      <c r="I39" s="1"/>
      <c r="J39" s="1"/>
      <c r="K39" s="1"/>
      <c r="L39" s="1"/>
      <c r="M39" s="1"/>
    </row>
    <row r="40" spans="1:13" ht="22.5" customHeight="1">
      <c r="A40" s="1"/>
      <c r="B40" s="1">
        <v>1500</v>
      </c>
      <c r="C40" s="3">
        <v>283.07918475481819</v>
      </c>
      <c r="D40" s="4">
        <f t="shared" si="1"/>
        <v>59.629853852791598</v>
      </c>
      <c r="E40" s="1"/>
      <c r="F40" s="1"/>
      <c r="G40" s="1"/>
      <c r="H40" s="1"/>
      <c r="I40" s="1"/>
      <c r="J40" s="1"/>
      <c r="K40" s="1"/>
      <c r="L40" s="1"/>
      <c r="M40" s="1"/>
    </row>
    <row r="41" spans="1:13" ht="22.5" customHeight="1">
      <c r="A41" s="1"/>
      <c r="B41" s="1">
        <v>2000</v>
      </c>
      <c r="C41" s="3">
        <v>357.87665214001487</v>
      </c>
      <c r="D41" s="4">
        <f t="shared" si="1"/>
        <v>100.51431360884006</v>
      </c>
      <c r="E41" s="1"/>
      <c r="F41" s="1"/>
      <c r="G41" s="1"/>
      <c r="H41" s="1"/>
      <c r="I41" s="1"/>
      <c r="J41" s="1"/>
      <c r="K41" s="1"/>
      <c r="L41" s="1"/>
      <c r="M41" s="1"/>
    </row>
    <row r="42" spans="1:13" ht="22.5" customHeight="1">
      <c r="A42" s="1"/>
      <c r="B42" s="1">
        <v>2500</v>
      </c>
      <c r="C42" s="3">
        <v>375.53879897634943</v>
      </c>
      <c r="D42" s="4">
        <f t="shared" si="1"/>
        <v>131.84369665804527</v>
      </c>
      <c r="E42" s="1"/>
      <c r="F42" s="1"/>
      <c r="G42" s="1"/>
      <c r="H42" s="1"/>
      <c r="I42" s="1"/>
      <c r="J42" s="1"/>
      <c r="K42" s="1"/>
      <c r="L42" s="1"/>
      <c r="M42" s="1"/>
    </row>
    <row r="43" spans="1:13" ht="22.5" customHeight="1">
      <c r="A43" s="1"/>
      <c r="B43" s="1">
        <v>3000</v>
      </c>
      <c r="C43" s="3">
        <v>393.47429935069022</v>
      </c>
      <c r="D43" s="4">
        <f t="shared" si="1"/>
        <v>165.76856391212905</v>
      </c>
      <c r="E43" s="1"/>
      <c r="F43" s="1"/>
      <c r="G43" s="1"/>
      <c r="H43" s="1"/>
      <c r="I43" s="1"/>
      <c r="J43" s="1"/>
      <c r="K43" s="1"/>
      <c r="L43" s="1"/>
      <c r="M43" s="1"/>
    </row>
    <row r="44" spans="1:13" ht="22.5" customHeight="1">
      <c r="A44" s="1"/>
      <c r="B44" s="1">
        <v>3500</v>
      </c>
      <c r="C44" s="3">
        <v>403.52794743805384</v>
      </c>
      <c r="D44" s="4">
        <f t="shared" si="1"/>
        <v>198.33812915235899</v>
      </c>
      <c r="E44" s="1"/>
      <c r="F44" s="1"/>
      <c r="G44" s="1"/>
      <c r="H44" s="1"/>
      <c r="I44" s="1"/>
      <c r="J44" s="1"/>
      <c r="K44" s="1"/>
      <c r="L44" s="1"/>
      <c r="M44" s="1"/>
    </row>
    <row r="45" spans="1:13" ht="22.5" customHeight="1">
      <c r="A45" s="1"/>
      <c r="B45" s="1">
        <v>4000</v>
      </c>
      <c r="C45" s="3">
        <v>409.35787494570224</v>
      </c>
      <c r="D45" s="4">
        <f t="shared" si="1"/>
        <v>229.94696957454855</v>
      </c>
      <c r="E45" s="1"/>
      <c r="F45" s="1"/>
      <c r="G45" s="1"/>
      <c r="H45" s="1"/>
      <c r="I45" s="1"/>
      <c r="J45" s="1"/>
      <c r="K45" s="1"/>
      <c r="L45" s="1"/>
      <c r="M45" s="1"/>
    </row>
    <row r="46" spans="1:13" ht="22.5" customHeight="1">
      <c r="A46" s="1"/>
      <c r="B46" s="1">
        <v>4170</v>
      </c>
      <c r="C46" s="3">
        <v>409.78852677824824</v>
      </c>
      <c r="D46" s="4">
        <f t="shared" si="1"/>
        <v>239.97190522551352</v>
      </c>
      <c r="E46" s="1"/>
      <c r="F46" s="1"/>
      <c r="G46" s="1"/>
      <c r="H46" s="1"/>
      <c r="I46" s="1"/>
      <c r="J46" s="1"/>
      <c r="K46" s="1"/>
      <c r="L46" s="1"/>
      <c r="M46" s="1"/>
    </row>
    <row r="47" spans="1:13" ht="22.5" customHeight="1">
      <c r="A47" s="1"/>
      <c r="B47" s="1">
        <v>4500</v>
      </c>
      <c r="C47" s="3">
        <v>409.12826663235899</v>
      </c>
      <c r="D47" s="4">
        <f t="shared" si="1"/>
        <v>258.54524168702534</v>
      </c>
      <c r="E47" s="1"/>
      <c r="F47" s="1"/>
      <c r="G47" s="1"/>
      <c r="H47" s="1"/>
      <c r="I47" s="1"/>
      <c r="J47" s="1"/>
      <c r="K47" s="1"/>
      <c r="L47" s="1"/>
      <c r="M47" s="1"/>
    </row>
    <row r="48" spans="1:13" ht="22.5" customHeight="1">
      <c r="A48" s="1"/>
      <c r="B48" s="1">
        <v>5000</v>
      </c>
      <c r="C48" s="3">
        <v>407.45143756593717</v>
      </c>
      <c r="D48" s="4">
        <f t="shared" si="1"/>
        <v>286.09509261763952</v>
      </c>
      <c r="E48" s="1"/>
      <c r="F48" s="1"/>
      <c r="G48" s="1"/>
      <c r="H48" s="1"/>
      <c r="I48" s="1"/>
      <c r="J48" s="1"/>
      <c r="K48" s="1"/>
      <c r="L48" s="1"/>
      <c r="M48" s="1"/>
    </row>
    <row r="49" spans="1:13" ht="22.5" customHeight="1">
      <c r="A49" s="1"/>
      <c r="B49" s="1">
        <v>5500</v>
      </c>
      <c r="C49" s="3">
        <v>392.988467409279</v>
      </c>
      <c r="D49" s="4">
        <f t="shared" si="1"/>
        <v>303.53379023044903</v>
      </c>
      <c r="E49" s="1"/>
      <c r="F49" s="1"/>
      <c r="G49" s="1"/>
      <c r="H49" s="1"/>
      <c r="I49" s="1"/>
      <c r="J49" s="1"/>
      <c r="K49" s="1"/>
      <c r="L49" s="1"/>
      <c r="M49" s="1"/>
    </row>
    <row r="50" spans="1:13" ht="22.5" customHeight="1">
      <c r="A50" s="1"/>
      <c r="B50" s="1">
        <v>5960</v>
      </c>
      <c r="C50" s="3">
        <v>368.1507684624786</v>
      </c>
      <c r="D50" s="4">
        <f t="shared" si="1"/>
        <v>308.13179986562693</v>
      </c>
      <c r="E50" s="1"/>
      <c r="F50" s="1"/>
      <c r="G50" s="1"/>
      <c r="H50" s="1"/>
      <c r="I50" s="1"/>
      <c r="J50" s="1"/>
      <c r="K50" s="1"/>
      <c r="L50" s="1"/>
      <c r="M50" s="1"/>
    </row>
    <row r="51" spans="1:13" ht="22.5" customHeight="1">
      <c r="A51" s="1"/>
      <c r="B51" s="1">
        <v>6000</v>
      </c>
      <c r="C51" s="3">
        <v>365.66509947073672</v>
      </c>
      <c r="D51" s="4">
        <f t="shared" si="1"/>
        <v>308.10540110028921</v>
      </c>
      <c r="E51" s="1"/>
      <c r="F51" s="1"/>
      <c r="G51" s="1"/>
      <c r="H51" s="1"/>
      <c r="I51" s="1"/>
      <c r="J51" s="1"/>
      <c r="K51" s="1"/>
      <c r="L51" s="1"/>
      <c r="M51" s="1"/>
    </row>
    <row r="52" spans="1:13" ht="22.5" customHeight="1">
      <c r="A52" s="1"/>
      <c r="B52" s="1">
        <v>6500</v>
      </c>
      <c r="C52" s="3">
        <v>330.89179093017987</v>
      </c>
      <c r="D52" s="4">
        <f t="shared" si="1"/>
        <v>302.03960889068333</v>
      </c>
      <c r="E52" s="1"/>
      <c r="F52" s="1"/>
      <c r="G52" s="1"/>
      <c r="H52" s="1"/>
      <c r="I52" s="1"/>
      <c r="J52" s="1"/>
      <c r="K52" s="1"/>
      <c r="L52" s="1"/>
      <c r="M52" s="1"/>
    </row>
    <row r="53" spans="1:13" ht="22.5" customHeight="1">
      <c r="A53" s="1"/>
      <c r="B53" s="1">
        <v>7000</v>
      </c>
      <c r="C53" s="3">
        <v>293.07421988662304</v>
      </c>
      <c r="D53" s="4">
        <f t="shared" si="1"/>
        <v>288.09797608391517</v>
      </c>
      <c r="E53" s="1"/>
      <c r="F53" s="1"/>
      <c r="G53" s="1"/>
      <c r="H53" s="1"/>
      <c r="I53" s="1"/>
      <c r="J53" s="1"/>
      <c r="K53" s="1"/>
      <c r="L53" s="1"/>
      <c r="M53" s="1"/>
    </row>
    <row r="54" spans="1:13" ht="22.5" customHeight="1">
      <c r="A54" s="1"/>
      <c r="B54" s="1">
        <v>7500</v>
      </c>
      <c r="C54" s="3">
        <v>251.2516279317727</v>
      </c>
      <c r="D54" s="4">
        <f t="shared" si="1"/>
        <v>264.62733151545461</v>
      </c>
      <c r="E54" s="1"/>
      <c r="F54" s="1"/>
      <c r="G54" s="1"/>
      <c r="H54" s="1"/>
      <c r="I54" s="1"/>
      <c r="J54" s="1"/>
      <c r="K54" s="1"/>
      <c r="L54" s="1"/>
      <c r="M54" s="1"/>
    </row>
    <row r="55" spans="1:13" ht="22.5" customHeight="1">
      <c r="A55" s="1"/>
      <c r="B55" s="1">
        <v>7649</v>
      </c>
      <c r="C55" s="3">
        <v>238.07887199367764</v>
      </c>
      <c r="D55" s="4">
        <f t="shared" si="1"/>
        <v>255.73493933679504</v>
      </c>
      <c r="E55" s="1"/>
      <c r="F55" s="1"/>
      <c r="G55" s="1"/>
      <c r="H55" s="1"/>
      <c r="I55" s="1"/>
      <c r="J55" s="1"/>
      <c r="K55" s="1"/>
      <c r="L55" s="1"/>
      <c r="M55" s="1"/>
    </row>
    <row r="56" spans="1:13" ht="22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</row>
    <row r="57" spans="1:13" ht="22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</row>
    <row r="58" spans="1:13" ht="22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</row>
    <row r="59" spans="1:13" ht="22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</row>
    <row r="60" spans="1:13" ht="22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</row>
    <row r="61" spans="1:13" ht="22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</row>
    <row r="62" spans="1:13" ht="22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</row>
    <row r="63" spans="1:13" ht="22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</row>
    <row r="64" spans="1:13" ht="22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</row>
    <row r="65" spans="1:13" ht="32" customHeight="1">
      <c r="A65" s="1"/>
      <c r="B65" s="27" t="s">
        <v>49</v>
      </c>
      <c r="C65" s="27"/>
      <c r="D65" s="27"/>
      <c r="E65" s="27"/>
      <c r="F65" s="1"/>
      <c r="G65" s="1"/>
      <c r="H65" s="1"/>
      <c r="I65" s="1"/>
      <c r="J65" s="1"/>
      <c r="K65" s="1"/>
      <c r="L65" s="1"/>
      <c r="M65" s="1"/>
    </row>
    <row r="66" spans="1:13" ht="32" customHeight="1">
      <c r="A66" s="1"/>
      <c r="B66" s="2" t="s">
        <v>45</v>
      </c>
      <c r="C66" s="2" t="str">
        <f>VLOOKUP("label.torqueNm",Locale!$A$2:$D$73,4,FALSE)</f>
        <v>扭矩 (Nm)</v>
      </c>
      <c r="D66" s="2" t="str">
        <f>VLOOKUP("label.powerHp",Locale!$A$2:$D$73,4,FALSE)</f>
        <v>功率 (hp)</v>
      </c>
      <c r="E66" s="1"/>
      <c r="F66" s="1"/>
      <c r="G66" s="1"/>
      <c r="H66" s="1"/>
      <c r="I66" s="1"/>
      <c r="J66" s="1"/>
      <c r="K66" s="1"/>
      <c r="L66" s="1"/>
      <c r="M66" s="1"/>
    </row>
    <row r="67" spans="1:13" ht="22.5" customHeight="1">
      <c r="A67" s="1"/>
      <c r="B67" s="1">
        <v>0</v>
      </c>
      <c r="C67" s="3">
        <v>-12.15</v>
      </c>
      <c r="D67" s="4">
        <f t="shared" ref="D67:D86" si="2">C67*B67*2*PI()/(60*745.69987158227)</f>
        <v>0</v>
      </c>
      <c r="E67" s="1"/>
      <c r="F67" s="1"/>
      <c r="G67" s="1"/>
      <c r="H67" s="1"/>
      <c r="I67" s="1"/>
      <c r="J67" s="1"/>
      <c r="K67" s="1"/>
      <c r="L67" s="1"/>
      <c r="M67" s="1"/>
    </row>
    <row r="68" spans="1:13" ht="22.5" customHeight="1">
      <c r="A68" s="1"/>
      <c r="B68" s="1">
        <v>500</v>
      </c>
      <c r="C68" s="3">
        <v>37.607959843714411</v>
      </c>
      <c r="D68" s="4">
        <f t="shared" si="2"/>
        <v>2.6406711972655037</v>
      </c>
      <c r="E68" s="1"/>
      <c r="F68" s="1"/>
      <c r="G68" s="1"/>
      <c r="H68" s="1"/>
      <c r="I68" s="1"/>
      <c r="J68" s="1"/>
      <c r="K68" s="1"/>
      <c r="L68" s="1"/>
      <c r="M68" s="1"/>
    </row>
    <row r="69" spans="1:13" ht="22.5" customHeight="1">
      <c r="A69" s="1"/>
      <c r="B69" s="1">
        <v>1000</v>
      </c>
      <c r="C69" s="3">
        <v>141.03569204279131</v>
      </c>
      <c r="D69" s="4">
        <f t="shared" si="2"/>
        <v>19.805854468654587</v>
      </c>
      <c r="E69" s="1"/>
      <c r="F69" s="1"/>
      <c r="G69" s="1"/>
      <c r="H69" s="1"/>
      <c r="I69" s="1"/>
      <c r="J69" s="1"/>
      <c r="K69" s="1"/>
      <c r="L69" s="1"/>
      <c r="M69" s="1"/>
    </row>
    <row r="70" spans="1:13" ht="22.5" customHeight="1">
      <c r="A70" s="1"/>
      <c r="B70" s="1">
        <v>1500</v>
      </c>
      <c r="C70" s="3">
        <v>278.88278637512616</v>
      </c>
      <c r="D70" s="4">
        <f t="shared" si="2"/>
        <v>58.74589404378672</v>
      </c>
      <c r="E70" s="1"/>
      <c r="F70" s="1"/>
      <c r="G70" s="1"/>
      <c r="H70" s="1"/>
      <c r="I70" s="1"/>
      <c r="J70" s="1"/>
      <c r="K70" s="1"/>
      <c r="L70" s="1"/>
      <c r="M70" s="1"/>
    </row>
    <row r="71" spans="1:13" ht="22.5" customHeight="1">
      <c r="A71" s="1"/>
      <c r="B71" s="1">
        <v>2000</v>
      </c>
      <c r="C71" s="3">
        <v>377.97203339025481</v>
      </c>
      <c r="D71" s="4">
        <f t="shared" si="2"/>
        <v>106.15836286714588</v>
      </c>
      <c r="E71" s="1"/>
      <c r="F71" s="1"/>
      <c r="G71" s="1"/>
      <c r="H71" s="1"/>
      <c r="I71" s="1"/>
      <c r="J71" s="1"/>
      <c r="K71" s="1"/>
      <c r="L71" s="1"/>
      <c r="M71" s="1"/>
    </row>
    <row r="72" spans="1:13" ht="22.5" customHeight="1">
      <c r="A72" s="1"/>
      <c r="B72" s="1">
        <v>2500</v>
      </c>
      <c r="C72" s="3">
        <v>401.0745188774066</v>
      </c>
      <c r="D72" s="4">
        <f t="shared" si="2"/>
        <v>140.8087455897585</v>
      </c>
      <c r="E72" s="1"/>
      <c r="F72" s="1"/>
      <c r="G72" s="1"/>
      <c r="H72" s="1"/>
      <c r="I72" s="1"/>
      <c r="J72" s="1"/>
      <c r="K72" s="1"/>
      <c r="L72" s="1"/>
      <c r="M72" s="1"/>
    </row>
    <row r="73" spans="1:13" ht="22.5" customHeight="1">
      <c r="A73" s="1"/>
      <c r="B73" s="1">
        <v>3000</v>
      </c>
      <c r="C73" s="3">
        <v>420.15432677720401</v>
      </c>
      <c r="D73" s="4">
        <f t="shared" si="2"/>
        <v>177.0087131135578</v>
      </c>
      <c r="E73" s="1"/>
      <c r="F73" s="1"/>
      <c r="G73" s="1"/>
      <c r="H73" s="1"/>
      <c r="I73" s="1"/>
      <c r="J73" s="1"/>
      <c r="K73" s="1"/>
      <c r="L73" s="1"/>
      <c r="M73" s="1"/>
    </row>
    <row r="74" spans="1:13" ht="22.5" customHeight="1">
      <c r="A74" s="1"/>
      <c r="B74" s="1">
        <v>3500</v>
      </c>
      <c r="C74" s="3">
        <v>434.59516013261145</v>
      </c>
      <c r="D74" s="4">
        <f t="shared" si="2"/>
        <v>213.60798315612135</v>
      </c>
      <c r="E74" s="1"/>
      <c r="F74" s="1"/>
      <c r="G74" s="1"/>
      <c r="H74" s="1"/>
      <c r="I74" s="1"/>
      <c r="J74" s="1"/>
      <c r="K74" s="1"/>
      <c r="L74" s="1"/>
      <c r="M74" s="1"/>
    </row>
    <row r="75" spans="1:13" ht="22.5" customHeight="1">
      <c r="A75" s="1"/>
      <c r="B75" s="1">
        <v>4000</v>
      </c>
      <c r="C75" s="3">
        <v>442.89770491258372</v>
      </c>
      <c r="D75" s="4">
        <f t="shared" si="2"/>
        <v>248.78716475084263</v>
      </c>
      <c r="E75" s="1"/>
      <c r="F75" s="1"/>
      <c r="G75" s="1"/>
      <c r="H75" s="1"/>
      <c r="I75" s="1"/>
      <c r="J75" s="1"/>
      <c r="K75" s="1"/>
      <c r="L75" s="1"/>
      <c r="M75" s="1"/>
    </row>
    <row r="76" spans="1:13" ht="22.5" customHeight="1">
      <c r="A76" s="1"/>
      <c r="B76" s="1">
        <v>4500</v>
      </c>
      <c r="C76" s="3">
        <v>447.64206079947775</v>
      </c>
      <c r="D76" s="4">
        <f t="shared" si="2"/>
        <v>282.88371700965536</v>
      </c>
      <c r="E76" s="1"/>
      <c r="F76" s="1"/>
      <c r="G76" s="1"/>
      <c r="H76" s="1"/>
      <c r="I76" s="1"/>
      <c r="J76" s="1"/>
      <c r="K76" s="1"/>
      <c r="L76" s="1"/>
      <c r="M76" s="1"/>
    </row>
    <row r="77" spans="1:13" ht="22.5" customHeight="1">
      <c r="A77" s="1"/>
      <c r="B77" s="1">
        <v>4760</v>
      </c>
      <c r="C77" s="3">
        <v>448.23569782092903</v>
      </c>
      <c r="D77" s="4">
        <f t="shared" si="2"/>
        <v>299.62492856756506</v>
      </c>
      <c r="E77" s="1"/>
      <c r="F77" s="1"/>
      <c r="G77" s="1"/>
      <c r="H77" s="1"/>
      <c r="I77" s="1"/>
      <c r="J77" s="1"/>
      <c r="K77" s="1"/>
      <c r="L77" s="1"/>
      <c r="M77" s="1"/>
    </row>
    <row r="78" spans="1:13" ht="22.5" customHeight="1">
      <c r="A78" s="1"/>
      <c r="B78" s="1">
        <v>5000</v>
      </c>
      <c r="C78" s="3">
        <v>447.92621648884773</v>
      </c>
      <c r="D78" s="4">
        <f t="shared" si="2"/>
        <v>314.5147631771639</v>
      </c>
      <c r="E78" s="1"/>
      <c r="F78" s="1"/>
      <c r="G78" s="1"/>
      <c r="H78" s="1"/>
      <c r="I78" s="1"/>
      <c r="J78" s="1"/>
      <c r="K78" s="1"/>
      <c r="L78" s="1"/>
      <c r="M78" s="1"/>
    </row>
    <row r="79" spans="1:13" ht="22.5" customHeight="1">
      <c r="A79" s="1"/>
      <c r="B79" s="1">
        <v>5500</v>
      </c>
      <c r="C79" s="3">
        <v>445.55952378227533</v>
      </c>
      <c r="D79" s="4">
        <f t="shared" si="2"/>
        <v>344.13826929445071</v>
      </c>
      <c r="E79" s="1"/>
      <c r="F79" s="1"/>
      <c r="G79" s="1"/>
      <c r="H79" s="1"/>
      <c r="I79" s="1"/>
      <c r="J79" s="1"/>
      <c r="K79" s="1"/>
      <c r="L79" s="1"/>
      <c r="M79" s="1"/>
    </row>
    <row r="80" spans="1:13" ht="22.5" customHeight="1">
      <c r="A80" s="1"/>
      <c r="B80" s="1">
        <v>6000</v>
      </c>
      <c r="C80" s="3">
        <v>437.9255436520225</v>
      </c>
      <c r="D80" s="4">
        <f t="shared" si="2"/>
        <v>368.99125859772272</v>
      </c>
      <c r="E80" s="1"/>
      <c r="F80" s="1"/>
      <c r="G80" s="1"/>
      <c r="H80" s="1"/>
      <c r="I80" s="1"/>
      <c r="J80" s="1"/>
      <c r="K80" s="1"/>
      <c r="L80" s="1"/>
      <c r="M80" s="1"/>
    </row>
    <row r="81" spans="1:13" ht="22.5" customHeight="1">
      <c r="A81" s="1"/>
      <c r="B81" s="1">
        <v>6500</v>
      </c>
      <c r="C81" s="3">
        <v>419.37327085245357</v>
      </c>
      <c r="D81" s="4">
        <f t="shared" si="2"/>
        <v>382.80592683004716</v>
      </c>
      <c r="E81" s="1"/>
      <c r="F81" s="1"/>
      <c r="G81" s="1"/>
      <c r="H81" s="1"/>
      <c r="I81" s="1"/>
      <c r="J81" s="1"/>
      <c r="K81" s="1"/>
      <c r="L81" s="1"/>
      <c r="M81" s="1"/>
    </row>
    <row r="82" spans="1:13" ht="22.5" customHeight="1">
      <c r="A82" s="1"/>
      <c r="B82" s="1">
        <v>6840</v>
      </c>
      <c r="C82" s="3">
        <v>401.1180324483995</v>
      </c>
      <c r="D82" s="4">
        <f t="shared" si="2"/>
        <v>385.29452495916468</v>
      </c>
      <c r="E82" s="1"/>
      <c r="F82" s="1"/>
      <c r="G82" s="1"/>
      <c r="H82" s="1"/>
      <c r="I82" s="1"/>
      <c r="J82" s="1"/>
      <c r="K82" s="1"/>
      <c r="L82" s="1"/>
      <c r="M82" s="1"/>
    </row>
    <row r="83" spans="1:13" ht="22.5" customHeight="1">
      <c r="A83" s="1"/>
      <c r="B83" s="1">
        <v>7000</v>
      </c>
      <c r="C83" s="3">
        <v>391.58756157870539</v>
      </c>
      <c r="D83" s="4">
        <f t="shared" si="2"/>
        <v>384.93861382315947</v>
      </c>
      <c r="E83" s="1"/>
      <c r="F83" s="1"/>
      <c r="G83" s="1"/>
      <c r="H83" s="1"/>
      <c r="I83" s="1"/>
      <c r="J83" s="1"/>
      <c r="K83" s="1"/>
      <c r="L83" s="1"/>
      <c r="M83" s="1"/>
    </row>
    <row r="84" spans="1:13" ht="22.5" customHeight="1">
      <c r="A84" s="1"/>
      <c r="B84" s="1">
        <v>7500</v>
      </c>
      <c r="C84" s="3">
        <v>359.55425365765126</v>
      </c>
      <c r="D84" s="4">
        <f t="shared" si="2"/>
        <v>378.69558682538178</v>
      </c>
      <c r="E84" s="1"/>
      <c r="F84" s="1"/>
      <c r="G84" s="1"/>
      <c r="H84" s="1"/>
      <c r="I84" s="1"/>
      <c r="J84" s="1"/>
      <c r="K84" s="1"/>
      <c r="L84" s="1"/>
      <c r="M84" s="1"/>
    </row>
    <row r="85" spans="1:13" ht="22.5" customHeight="1">
      <c r="A85" s="1"/>
      <c r="B85" s="1">
        <v>8000</v>
      </c>
      <c r="C85" s="3">
        <v>319.71543607804244</v>
      </c>
      <c r="D85" s="4">
        <f t="shared" si="2"/>
        <v>359.1849584528091</v>
      </c>
      <c r="E85" s="1"/>
      <c r="F85" s="1"/>
      <c r="G85" s="1"/>
      <c r="H85" s="1"/>
      <c r="I85" s="1"/>
      <c r="J85" s="1"/>
      <c r="K85" s="1"/>
      <c r="L85" s="1"/>
      <c r="M85" s="1"/>
    </row>
    <row r="86" spans="1:13" ht="22.5" customHeight="1">
      <c r="A86" s="1"/>
      <c r="B86" s="1">
        <v>8499</v>
      </c>
      <c r="C86" s="3">
        <v>271.36793150569207</v>
      </c>
      <c r="D86" s="4">
        <f t="shared" si="2"/>
        <v>323.88505076222094</v>
      </c>
      <c r="E86" s="1"/>
      <c r="F86" s="1"/>
      <c r="G86" s="1"/>
      <c r="H86" s="1"/>
      <c r="I86" s="1"/>
      <c r="J86" s="1"/>
      <c r="K86" s="1"/>
      <c r="L86" s="1"/>
      <c r="M86" s="1"/>
    </row>
    <row r="87" spans="1:13" ht="22.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</row>
    <row r="88" spans="1:13" ht="22.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</row>
    <row r="89" spans="1:13" ht="22.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</row>
    <row r="90" spans="1:13" ht="22.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</row>
    <row r="91" spans="1:13" ht="22.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</row>
    <row r="92" spans="1:13" ht="22.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</row>
    <row r="93" spans="1:13" ht="22.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</row>
    <row r="94" spans="1:13" ht="22.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</row>
    <row r="95" spans="1:13" ht="32" customHeight="1">
      <c r="A95" s="1"/>
      <c r="B95" s="27" t="s">
        <v>50</v>
      </c>
      <c r="C95" s="27"/>
      <c r="D95" s="27"/>
      <c r="E95" s="27"/>
      <c r="F95" s="1"/>
      <c r="G95" s="1"/>
      <c r="H95" s="1"/>
      <c r="I95" s="1"/>
      <c r="J95" s="1"/>
      <c r="K95" s="1"/>
      <c r="L95" s="1"/>
      <c r="M95" s="1"/>
    </row>
    <row r="96" spans="1:13" ht="32" customHeight="1">
      <c r="A96" s="1"/>
      <c r="B96" s="2" t="s">
        <v>45</v>
      </c>
      <c r="C96" s="2" t="str">
        <f>VLOOKUP("label.torqueNm",Locale!$A$2:$D$73,4,FALSE)</f>
        <v>扭矩 (Nm)</v>
      </c>
      <c r="D96" s="2" t="str">
        <f>VLOOKUP("label.powerHp",Locale!$A$2:$D$73,4,FALSE)</f>
        <v>功率 (hp)</v>
      </c>
      <c r="E96" s="1"/>
      <c r="F96" s="1"/>
      <c r="G96" s="1"/>
      <c r="H96" s="1"/>
      <c r="I96" s="1"/>
      <c r="J96" s="1"/>
      <c r="K96" s="1"/>
      <c r="L96" s="1"/>
      <c r="M96" s="1"/>
    </row>
    <row r="97" spans="1:13" ht="22.5" customHeight="1">
      <c r="A97" s="1"/>
      <c r="B97" s="1">
        <v>0</v>
      </c>
      <c r="C97" s="3">
        <v>-12.15</v>
      </c>
      <c r="D97" s="4">
        <f t="shared" ref="D97:D116" si="3">C97*B97*2*PI()/(60*745.69987158227)</f>
        <v>0</v>
      </c>
      <c r="E97" s="1"/>
      <c r="F97" s="1"/>
      <c r="G97" s="1"/>
      <c r="H97" s="1"/>
      <c r="I97" s="1"/>
      <c r="J97" s="1"/>
      <c r="K97" s="1"/>
      <c r="L97" s="1"/>
      <c r="M97" s="1"/>
    </row>
    <row r="98" spans="1:13" ht="22.5" customHeight="1">
      <c r="A98" s="1"/>
      <c r="B98" s="1">
        <v>500</v>
      </c>
      <c r="C98" s="3">
        <v>37.607959843714411</v>
      </c>
      <c r="D98" s="4">
        <f t="shared" si="3"/>
        <v>2.6406711972655037</v>
      </c>
      <c r="E98" s="1"/>
      <c r="F98" s="1"/>
      <c r="G98" s="1"/>
      <c r="H98" s="1"/>
      <c r="I98" s="1"/>
      <c r="J98" s="1"/>
      <c r="K98" s="1"/>
      <c r="L98" s="1"/>
      <c r="M98" s="1"/>
    </row>
    <row r="99" spans="1:13" ht="22.5" customHeight="1">
      <c r="A99" s="1"/>
      <c r="B99" s="1">
        <v>1000</v>
      </c>
      <c r="C99" s="3">
        <v>141.03569204279131</v>
      </c>
      <c r="D99" s="4">
        <f t="shared" si="3"/>
        <v>19.805854468654587</v>
      </c>
      <c r="E99" s="1"/>
      <c r="F99" s="1"/>
      <c r="G99" s="1"/>
      <c r="H99" s="1"/>
      <c r="I99" s="1"/>
      <c r="J99" s="1"/>
      <c r="K99" s="1"/>
      <c r="L99" s="1"/>
      <c r="M99" s="1"/>
    </row>
    <row r="100" spans="1:13" ht="22.5" customHeight="1">
      <c r="A100" s="1"/>
      <c r="B100" s="1">
        <v>1500</v>
      </c>
      <c r="C100" s="3">
        <v>278.88278637512616</v>
      </c>
      <c r="D100" s="4">
        <f t="shared" si="3"/>
        <v>58.74589404378672</v>
      </c>
      <c r="E100" s="1"/>
      <c r="F100" s="1"/>
      <c r="G100" s="1"/>
      <c r="H100" s="1"/>
      <c r="I100" s="1"/>
      <c r="J100" s="1"/>
      <c r="K100" s="1"/>
      <c r="L100" s="1"/>
      <c r="M100" s="1"/>
    </row>
    <row r="101" spans="1:13" ht="22.5" customHeight="1">
      <c r="A101" s="1"/>
      <c r="B101" s="1">
        <v>2000</v>
      </c>
      <c r="C101" s="3">
        <v>377.97203339025481</v>
      </c>
      <c r="D101" s="4">
        <f t="shared" si="3"/>
        <v>106.15836286714588</v>
      </c>
      <c r="E101" s="1"/>
      <c r="F101" s="1"/>
      <c r="G101" s="1"/>
      <c r="H101" s="1"/>
      <c r="I101" s="1"/>
      <c r="J101" s="1"/>
      <c r="K101" s="1"/>
      <c r="L101" s="1"/>
      <c r="M101" s="1"/>
    </row>
    <row r="102" spans="1:13" ht="22.5" customHeight="1">
      <c r="A102" s="1"/>
      <c r="B102" s="1">
        <v>2500</v>
      </c>
      <c r="C102" s="3">
        <v>401.0745188774066</v>
      </c>
      <c r="D102" s="4">
        <f t="shared" si="3"/>
        <v>140.8087455897585</v>
      </c>
      <c r="E102" s="1"/>
      <c r="F102" s="1"/>
      <c r="G102" s="1"/>
      <c r="H102" s="1"/>
      <c r="I102" s="1"/>
      <c r="J102" s="1"/>
      <c r="K102" s="1"/>
      <c r="L102" s="1"/>
      <c r="M102" s="1"/>
    </row>
    <row r="103" spans="1:13" ht="22.5" customHeight="1">
      <c r="A103" s="1"/>
      <c r="B103" s="1">
        <v>3000</v>
      </c>
      <c r="C103" s="3">
        <v>420.15432677720401</v>
      </c>
      <c r="D103" s="4">
        <f t="shared" si="3"/>
        <v>177.0087131135578</v>
      </c>
      <c r="E103" s="1"/>
      <c r="F103" s="1"/>
      <c r="G103" s="1"/>
      <c r="H103" s="1"/>
      <c r="I103" s="1"/>
      <c r="J103" s="1"/>
      <c r="K103" s="1"/>
      <c r="L103" s="1"/>
      <c r="M103" s="1"/>
    </row>
    <row r="104" spans="1:13" ht="22.5" customHeight="1">
      <c r="A104" s="1"/>
      <c r="B104" s="1">
        <v>3500</v>
      </c>
      <c r="C104" s="3">
        <v>434.59643200985198</v>
      </c>
      <c r="D104" s="4">
        <f t="shared" si="3"/>
        <v>213.6086082968433</v>
      </c>
      <c r="E104" s="1"/>
      <c r="F104" s="1"/>
      <c r="G104" s="1"/>
      <c r="H104" s="1"/>
      <c r="I104" s="1"/>
      <c r="J104" s="1"/>
      <c r="K104" s="1"/>
      <c r="L104" s="1"/>
      <c r="M104" s="1"/>
    </row>
    <row r="105" spans="1:13" ht="22.5" customHeight="1">
      <c r="A105" s="1"/>
      <c r="B105" s="1">
        <v>4000</v>
      </c>
      <c r="C105" s="3">
        <v>441.61027704675757</v>
      </c>
      <c r="D105" s="4">
        <f t="shared" si="3"/>
        <v>248.06398302059785</v>
      </c>
      <c r="E105" s="1"/>
      <c r="F105" s="1"/>
      <c r="G105" s="1"/>
      <c r="H105" s="1"/>
      <c r="I105" s="1"/>
      <c r="J105" s="1"/>
      <c r="K105" s="1"/>
      <c r="L105" s="1"/>
      <c r="M105" s="1"/>
    </row>
    <row r="106" spans="1:13" ht="22.5" customHeight="1">
      <c r="A106" s="1"/>
      <c r="B106" s="1">
        <v>4500</v>
      </c>
      <c r="C106" s="3">
        <v>445.04988072588696</v>
      </c>
      <c r="D106" s="4">
        <f t="shared" si="3"/>
        <v>281.24561014126573</v>
      </c>
      <c r="E106" s="1"/>
      <c r="F106" s="1"/>
      <c r="G106" s="1"/>
      <c r="H106" s="1"/>
      <c r="I106" s="1"/>
      <c r="J106" s="1"/>
      <c r="K106" s="1"/>
      <c r="L106" s="1"/>
      <c r="M106" s="1"/>
    </row>
    <row r="107" spans="1:13" ht="22.5" customHeight="1">
      <c r="A107" s="1"/>
      <c r="B107" s="1">
        <v>4860</v>
      </c>
      <c r="C107" s="3">
        <v>445.97739055382596</v>
      </c>
      <c r="D107" s="4">
        <f t="shared" si="3"/>
        <v>304.37828173286493</v>
      </c>
      <c r="E107" s="1"/>
      <c r="F107" s="1"/>
      <c r="G107" s="1"/>
      <c r="H107" s="1"/>
      <c r="I107" s="1"/>
      <c r="J107" s="1"/>
      <c r="K107" s="1"/>
      <c r="L107" s="1"/>
      <c r="M107" s="1"/>
    </row>
    <row r="108" spans="1:13" ht="22.5" customHeight="1">
      <c r="A108" s="1"/>
      <c r="B108" s="1">
        <v>5000</v>
      </c>
      <c r="C108" s="3">
        <v>445.78790313598341</v>
      </c>
      <c r="D108" s="4">
        <f t="shared" si="3"/>
        <v>313.01333036743364</v>
      </c>
      <c r="E108" s="1"/>
      <c r="F108" s="1"/>
      <c r="G108" s="1"/>
      <c r="H108" s="1"/>
      <c r="I108" s="1"/>
      <c r="J108" s="1"/>
      <c r="K108" s="1"/>
      <c r="L108" s="1"/>
      <c r="M108" s="1"/>
    </row>
    <row r="109" spans="1:13" ht="22.5" customHeight="1">
      <c r="A109" s="1"/>
      <c r="B109" s="1">
        <v>5500</v>
      </c>
      <c r="C109" s="3">
        <v>442.17584901438272</v>
      </c>
      <c r="D109" s="4">
        <f t="shared" si="3"/>
        <v>341.52480932709761</v>
      </c>
      <c r="E109" s="1"/>
      <c r="F109" s="1"/>
      <c r="G109" s="1"/>
      <c r="H109" s="1"/>
      <c r="I109" s="1"/>
      <c r="J109" s="1"/>
      <c r="K109" s="1"/>
      <c r="L109" s="1"/>
      <c r="M109" s="1"/>
    </row>
    <row r="110" spans="1:13" ht="22.5" customHeight="1">
      <c r="A110" s="1"/>
      <c r="B110" s="1">
        <v>6000</v>
      </c>
      <c r="C110" s="3">
        <v>431.71057345825471</v>
      </c>
      <c r="D110" s="4">
        <f t="shared" si="3"/>
        <v>363.75459289692509</v>
      </c>
      <c r="E110" s="1"/>
      <c r="F110" s="1"/>
      <c r="G110" s="1"/>
      <c r="H110" s="1"/>
      <c r="I110" s="1"/>
      <c r="J110" s="1"/>
      <c r="K110" s="1"/>
      <c r="L110" s="1"/>
      <c r="M110" s="1"/>
    </row>
    <row r="111" spans="1:13" ht="22.5" customHeight="1">
      <c r="A111" s="1"/>
      <c r="B111" s="1">
        <v>6500</v>
      </c>
      <c r="C111" s="3">
        <v>409.39327523553129</v>
      </c>
      <c r="D111" s="4">
        <f t="shared" si="3"/>
        <v>373.69613911246063</v>
      </c>
      <c r="E111" s="1"/>
      <c r="F111" s="1"/>
      <c r="G111" s="1"/>
      <c r="H111" s="1"/>
      <c r="I111" s="1"/>
      <c r="J111" s="1"/>
      <c r="K111" s="1"/>
      <c r="L111" s="1"/>
      <c r="M111" s="1"/>
    </row>
    <row r="112" spans="1:13" ht="22.5" customHeight="1">
      <c r="A112" s="1"/>
      <c r="B112" s="1">
        <v>6670</v>
      </c>
      <c r="C112" s="3">
        <v>399.74936902349452</v>
      </c>
      <c r="D112" s="4">
        <f t="shared" si="3"/>
        <v>374.43649433675955</v>
      </c>
      <c r="E112" s="1"/>
      <c r="F112" s="1"/>
      <c r="G112" s="1"/>
      <c r="H112" s="1"/>
      <c r="I112" s="1"/>
      <c r="J112" s="1"/>
      <c r="K112" s="1"/>
      <c r="L112" s="1"/>
      <c r="M112" s="1"/>
    </row>
    <row r="113" spans="1:13" ht="22.5" customHeight="1">
      <c r="A113" s="1"/>
      <c r="B113" s="1">
        <v>7000</v>
      </c>
      <c r="C113" s="3">
        <v>378.66221654161524</v>
      </c>
      <c r="D113" s="4">
        <f t="shared" si="3"/>
        <v>372.23273424489935</v>
      </c>
      <c r="E113" s="1"/>
      <c r="F113" s="1"/>
      <c r="G113" s="1"/>
      <c r="H113" s="1"/>
      <c r="I113" s="1"/>
      <c r="J113" s="1"/>
      <c r="K113" s="1"/>
      <c r="L113" s="1"/>
      <c r="M113" s="1"/>
    </row>
    <row r="114" spans="1:13" ht="22.5" customHeight="1">
      <c r="A114" s="1"/>
      <c r="B114" s="1">
        <v>7500</v>
      </c>
      <c r="C114" s="3">
        <v>342.718175202944</v>
      </c>
      <c r="D114" s="4">
        <f t="shared" si="3"/>
        <v>360.96321807884431</v>
      </c>
      <c r="E114" s="1"/>
      <c r="F114" s="1"/>
      <c r="G114" s="1"/>
      <c r="H114" s="1"/>
      <c r="I114" s="1"/>
      <c r="J114" s="1"/>
      <c r="K114" s="1"/>
      <c r="L114" s="1"/>
      <c r="M114" s="1"/>
    </row>
    <row r="115" spans="1:13" ht="22.5" customHeight="1">
      <c r="A115" s="1"/>
      <c r="B115" s="1">
        <v>8000</v>
      </c>
      <c r="C115" s="3">
        <v>299.11076922716995</v>
      </c>
      <c r="D115" s="4">
        <f t="shared" si="3"/>
        <v>336.03660347329526</v>
      </c>
      <c r="E115" s="1"/>
      <c r="F115" s="1"/>
      <c r="G115" s="1"/>
      <c r="H115" s="1"/>
      <c r="I115" s="1"/>
      <c r="J115" s="1"/>
      <c r="K115" s="1"/>
      <c r="L115" s="1"/>
      <c r="M115" s="1"/>
    </row>
    <row r="116" spans="1:13" ht="22.5" customHeight="1">
      <c r="A116" s="1"/>
      <c r="B116" s="1">
        <v>8499</v>
      </c>
      <c r="C116" s="3">
        <v>249.98546670258065</v>
      </c>
      <c r="D116" s="4">
        <f t="shared" si="3"/>
        <v>298.36449400464443</v>
      </c>
      <c r="E116" s="1"/>
      <c r="F116" s="1"/>
      <c r="G116" s="1"/>
      <c r="H116" s="1"/>
      <c r="I116" s="1"/>
      <c r="J116" s="1"/>
      <c r="K116" s="1"/>
      <c r="L116" s="1"/>
      <c r="M116" s="1"/>
    </row>
    <row r="117" spans="1:13" ht="22.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</row>
    <row r="118" spans="1:13" ht="22.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</row>
    <row r="119" spans="1:13" ht="22.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</row>
    <row r="120" spans="1:13" ht="22.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</row>
    <row r="121" spans="1:13" ht="22.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</row>
    <row r="122" spans="1:13" ht="22.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</row>
    <row r="123" spans="1:13" ht="22.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</row>
    <row r="124" spans="1:13" ht="22.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</row>
    <row r="125" spans="1:13" ht="32" customHeight="1">
      <c r="A125" s="1"/>
      <c r="B125" s="27" t="s">
        <v>51</v>
      </c>
      <c r="C125" s="27"/>
      <c r="D125" s="27"/>
      <c r="E125" s="27"/>
      <c r="F125" s="1"/>
      <c r="G125" s="1"/>
      <c r="H125" s="1"/>
      <c r="I125" s="1"/>
      <c r="J125" s="1"/>
      <c r="K125" s="1"/>
      <c r="L125" s="1"/>
      <c r="M125" s="1"/>
    </row>
    <row r="126" spans="1:13" ht="32" customHeight="1">
      <c r="A126" s="1"/>
      <c r="B126" s="2" t="s">
        <v>45</v>
      </c>
      <c r="C126" s="2" t="str">
        <f>VLOOKUP("label.torqueNm",Locale!$A$2:$D$73,4,FALSE)</f>
        <v>扭矩 (Nm)</v>
      </c>
      <c r="D126" s="2" t="str">
        <f>VLOOKUP("label.powerHp",Locale!$A$2:$D$73,4,FALSE)</f>
        <v>功率 (hp)</v>
      </c>
      <c r="E126" s="1"/>
      <c r="F126" s="1"/>
      <c r="G126" s="1"/>
      <c r="H126" s="1"/>
      <c r="I126" s="1"/>
      <c r="J126" s="1"/>
      <c r="K126" s="1"/>
      <c r="L126" s="1"/>
      <c r="M126" s="1"/>
    </row>
    <row r="127" spans="1:13" ht="22.5" customHeight="1">
      <c r="A127" s="1"/>
      <c r="B127" s="1">
        <v>0</v>
      </c>
      <c r="C127" s="3">
        <v>-13.230000000000002</v>
      </c>
      <c r="D127" s="4">
        <f t="shared" ref="D127:D146" si="4">C127*B127*2*PI()/(60*745.69987158227)</f>
        <v>0</v>
      </c>
      <c r="E127" s="1"/>
      <c r="F127" s="1"/>
      <c r="G127" s="1"/>
      <c r="H127" s="1"/>
      <c r="I127" s="1"/>
      <c r="J127" s="1"/>
      <c r="K127" s="1"/>
      <c r="L127" s="1"/>
      <c r="M127" s="1"/>
    </row>
    <row r="128" spans="1:13" ht="22.5" customHeight="1">
      <c r="A128" s="1"/>
      <c r="B128" s="1">
        <v>500</v>
      </c>
      <c r="C128" s="3">
        <v>63.244986096004553</v>
      </c>
      <c r="D128" s="4">
        <f t="shared" si="4"/>
        <v>4.4407942852845155</v>
      </c>
      <c r="E128" s="1"/>
      <c r="F128" s="1"/>
      <c r="G128" s="1"/>
      <c r="H128" s="1"/>
      <c r="I128" s="1"/>
      <c r="J128" s="1"/>
      <c r="K128" s="1"/>
      <c r="L128" s="1"/>
      <c r="M128" s="1"/>
    </row>
    <row r="129" spans="1:13" ht="22.5" customHeight="1">
      <c r="A129" s="1"/>
      <c r="B129" s="1">
        <v>1000</v>
      </c>
      <c r="C129" s="3">
        <v>200.69013367948659</v>
      </c>
      <c r="D129" s="4">
        <f t="shared" si="4"/>
        <v>28.183217477635015</v>
      </c>
      <c r="E129" s="1"/>
      <c r="F129" s="1"/>
      <c r="G129" s="1"/>
      <c r="H129" s="1"/>
      <c r="I129" s="1"/>
      <c r="J129" s="1"/>
      <c r="K129" s="1"/>
      <c r="L129" s="1"/>
      <c r="M129" s="1"/>
    </row>
    <row r="130" spans="1:13" ht="22.5" customHeight="1">
      <c r="A130" s="1"/>
      <c r="B130" s="1">
        <v>1500</v>
      </c>
      <c r="C130" s="3">
        <v>437.72909021486583</v>
      </c>
      <c r="D130" s="4">
        <f t="shared" si="4"/>
        <v>92.206432271716551</v>
      </c>
      <c r="E130" s="1"/>
      <c r="F130" s="1"/>
      <c r="G130" s="1"/>
      <c r="H130" s="1"/>
      <c r="I130" s="1"/>
      <c r="J130" s="1"/>
      <c r="K130" s="1"/>
      <c r="L130" s="1"/>
      <c r="M130" s="1"/>
    </row>
    <row r="131" spans="1:13" ht="22.5" customHeight="1">
      <c r="A131" s="1"/>
      <c r="B131" s="1">
        <v>2000</v>
      </c>
      <c r="C131" s="3">
        <v>701.08596562095306</v>
      </c>
      <c r="D131" s="4">
        <f t="shared" si="4"/>
        <v>196.90911433811758</v>
      </c>
      <c r="E131" s="1"/>
      <c r="F131" s="1"/>
      <c r="G131" s="1"/>
      <c r="H131" s="1"/>
      <c r="I131" s="1"/>
      <c r="J131" s="1"/>
      <c r="K131" s="1"/>
      <c r="L131" s="1"/>
      <c r="M131" s="1"/>
    </row>
    <row r="132" spans="1:13" ht="22.5" customHeight="1">
      <c r="A132" s="1"/>
      <c r="B132" s="1">
        <v>2500</v>
      </c>
      <c r="C132" s="3">
        <v>781.33066324650258</v>
      </c>
      <c r="D132" s="4">
        <f t="shared" si="4"/>
        <v>274.30860202859827</v>
      </c>
      <c r="E132" s="1"/>
      <c r="F132" s="1"/>
      <c r="G132" s="1"/>
      <c r="H132" s="1"/>
      <c r="I132" s="1"/>
      <c r="J132" s="1"/>
      <c r="K132" s="1"/>
      <c r="L132" s="1"/>
      <c r="M132" s="1"/>
    </row>
    <row r="133" spans="1:13" ht="22.5" customHeight="1">
      <c r="A133" s="1"/>
      <c r="B133" s="1">
        <v>3000</v>
      </c>
      <c r="C133" s="3">
        <v>815.57038116415981</v>
      </c>
      <c r="D133" s="4">
        <f t="shared" si="4"/>
        <v>343.59532777096314</v>
      </c>
      <c r="E133" s="1"/>
      <c r="F133" s="1"/>
      <c r="G133" s="1"/>
      <c r="H133" s="1"/>
      <c r="I133" s="1"/>
      <c r="J133" s="1"/>
      <c r="K133" s="1"/>
      <c r="L133" s="1"/>
      <c r="M133" s="1"/>
    </row>
    <row r="134" spans="1:13" ht="22.5" customHeight="1">
      <c r="A134" s="1"/>
      <c r="B134" s="1">
        <v>3500</v>
      </c>
      <c r="C134" s="3">
        <v>839.3101465704458</v>
      </c>
      <c r="D134" s="4">
        <f t="shared" si="4"/>
        <v>412.5295541640993</v>
      </c>
      <c r="E134" s="1"/>
      <c r="F134" s="1"/>
      <c r="G134" s="1"/>
      <c r="H134" s="1"/>
      <c r="I134" s="1"/>
      <c r="J134" s="1"/>
      <c r="K134" s="1"/>
      <c r="L134" s="1"/>
      <c r="M134" s="1"/>
    </row>
    <row r="135" spans="1:13" ht="22.5" customHeight="1">
      <c r="A135" s="1"/>
      <c r="B135" s="1">
        <v>4000</v>
      </c>
      <c r="C135" s="3">
        <v>849.15980914838872</v>
      </c>
      <c r="D135" s="4">
        <f t="shared" si="4"/>
        <v>476.99515936776282</v>
      </c>
      <c r="E135" s="1"/>
      <c r="F135" s="1"/>
      <c r="G135" s="1"/>
      <c r="H135" s="1"/>
      <c r="I135" s="1"/>
      <c r="J135" s="1"/>
      <c r="K135" s="1"/>
      <c r="L135" s="1"/>
      <c r="M135" s="1"/>
    </row>
    <row r="136" spans="1:13" ht="22.5" customHeight="1">
      <c r="A136" s="1"/>
      <c r="B136" s="1">
        <v>4140</v>
      </c>
      <c r="C136" s="3">
        <v>849.65873074466481</v>
      </c>
      <c r="D136" s="4">
        <f t="shared" si="4"/>
        <v>493.98005619134659</v>
      </c>
      <c r="E136" s="1"/>
      <c r="F136" s="1"/>
      <c r="G136" s="1"/>
      <c r="H136" s="1"/>
      <c r="I136" s="1"/>
      <c r="J136" s="1"/>
      <c r="K136" s="1"/>
      <c r="L136" s="1"/>
      <c r="M136" s="1"/>
    </row>
    <row r="137" spans="1:13" ht="22.5" customHeight="1">
      <c r="A137" s="1"/>
      <c r="B137" s="1">
        <v>4500</v>
      </c>
      <c r="C137" s="3">
        <v>846.29454015823137</v>
      </c>
      <c r="D137" s="4">
        <f t="shared" si="4"/>
        <v>534.80887112656421</v>
      </c>
      <c r="E137" s="1"/>
      <c r="F137" s="1"/>
      <c r="G137" s="1"/>
      <c r="H137" s="1"/>
      <c r="I137" s="1"/>
      <c r="J137" s="1"/>
      <c r="K137" s="1"/>
      <c r="L137" s="1"/>
      <c r="M137" s="1"/>
    </row>
    <row r="138" spans="1:13" ht="22.5" customHeight="1">
      <c r="A138" s="1"/>
      <c r="B138" s="1">
        <v>5000</v>
      </c>
      <c r="C138" s="3">
        <v>830.31349416463172</v>
      </c>
      <c r="D138" s="4">
        <f t="shared" si="4"/>
        <v>583.01086734112721</v>
      </c>
      <c r="E138" s="1"/>
      <c r="F138" s="1"/>
      <c r="G138" s="1"/>
      <c r="H138" s="1"/>
      <c r="I138" s="1"/>
      <c r="J138" s="1"/>
      <c r="K138" s="1"/>
      <c r="L138" s="1"/>
      <c r="M138" s="1"/>
    </row>
    <row r="139" spans="1:13" ht="22.5" customHeight="1">
      <c r="A139" s="1"/>
      <c r="B139" s="1">
        <v>5500</v>
      </c>
      <c r="C139" s="3">
        <v>778.94554940973444</v>
      </c>
      <c r="D139" s="4">
        <f t="shared" si="4"/>
        <v>601.63672627379901</v>
      </c>
      <c r="E139" s="1"/>
      <c r="F139" s="1"/>
      <c r="G139" s="1"/>
      <c r="H139" s="1"/>
      <c r="I139" s="1"/>
      <c r="J139" s="1"/>
      <c r="K139" s="1"/>
      <c r="L139" s="1"/>
      <c r="M139" s="1"/>
    </row>
    <row r="140" spans="1:13" ht="22.5" customHeight="1">
      <c r="A140" s="1"/>
      <c r="B140" s="1">
        <v>5690</v>
      </c>
      <c r="C140" s="3">
        <v>754.97659458085627</v>
      </c>
      <c r="D140" s="4">
        <f t="shared" si="4"/>
        <v>603.26802096160782</v>
      </c>
      <c r="E140" s="1"/>
      <c r="F140" s="1"/>
      <c r="G140" s="1"/>
      <c r="H140" s="1"/>
      <c r="I140" s="1"/>
      <c r="J140" s="1"/>
      <c r="K140" s="1"/>
      <c r="L140" s="1"/>
      <c r="M140" s="1"/>
    </row>
    <row r="141" spans="1:13" ht="22.5" customHeight="1">
      <c r="A141" s="1"/>
      <c r="B141" s="1">
        <v>6000</v>
      </c>
      <c r="C141" s="3">
        <v>713.52169730177775</v>
      </c>
      <c r="D141" s="4">
        <f t="shared" si="4"/>
        <v>601.20555409613723</v>
      </c>
      <c r="E141" s="1"/>
      <c r="F141" s="1"/>
      <c r="G141" s="1"/>
      <c r="H141" s="1"/>
      <c r="I141" s="1"/>
      <c r="J141" s="1"/>
      <c r="K141" s="1"/>
      <c r="L141" s="1"/>
      <c r="M141" s="1"/>
    </row>
    <row r="142" spans="1:13" ht="22.5" customHeight="1">
      <c r="A142" s="1"/>
      <c r="B142" s="1">
        <v>6500</v>
      </c>
      <c r="C142" s="3">
        <v>650.00524403360237</v>
      </c>
      <c r="D142" s="4">
        <f t="shared" si="4"/>
        <v>593.32789469602972</v>
      </c>
      <c r="E142" s="1"/>
      <c r="F142" s="1"/>
      <c r="G142" s="1"/>
      <c r="H142" s="1"/>
      <c r="I142" s="1"/>
      <c r="J142" s="1"/>
      <c r="K142" s="1"/>
      <c r="L142" s="1"/>
      <c r="M142" s="1"/>
    </row>
    <row r="143" spans="1:13" ht="22.5" customHeight="1">
      <c r="A143" s="1"/>
      <c r="B143" s="1">
        <v>7000</v>
      </c>
      <c r="C143" s="3">
        <v>590.16355423147775</v>
      </c>
      <c r="D143" s="4">
        <f t="shared" si="4"/>
        <v>580.14289212593815</v>
      </c>
      <c r="E143" s="1"/>
      <c r="F143" s="1"/>
      <c r="G143" s="1"/>
      <c r="H143" s="1"/>
      <c r="I143" s="1"/>
      <c r="J143" s="1"/>
      <c r="K143" s="1"/>
      <c r="L143" s="1"/>
      <c r="M143" s="1"/>
    </row>
    <row r="144" spans="1:13" ht="22.5" customHeight="1">
      <c r="A144" s="1"/>
      <c r="B144" s="1">
        <v>7500</v>
      </c>
      <c r="C144" s="3">
        <v>529.20441938131887</v>
      </c>
      <c r="D144" s="4">
        <f t="shared" si="4"/>
        <v>557.37729733274523</v>
      </c>
      <c r="E144" s="1"/>
      <c r="F144" s="1"/>
      <c r="G144" s="1"/>
      <c r="H144" s="1"/>
      <c r="I144" s="1"/>
      <c r="J144" s="1"/>
      <c r="K144" s="1"/>
      <c r="L144" s="1"/>
      <c r="M144" s="1"/>
    </row>
    <row r="145" spans="1:13" ht="22.5" customHeight="1">
      <c r="A145" s="1"/>
      <c r="B145" s="1">
        <v>8000</v>
      </c>
      <c r="C145" s="3">
        <v>466.50031942689958</v>
      </c>
      <c r="D145" s="4">
        <f t="shared" si="4"/>
        <v>524.09073489548939</v>
      </c>
      <c r="E145" s="1"/>
      <c r="F145" s="1"/>
      <c r="G145" s="1"/>
      <c r="H145" s="1"/>
      <c r="I145" s="1"/>
      <c r="J145" s="1"/>
      <c r="K145" s="1"/>
      <c r="L145" s="1"/>
      <c r="M145" s="1"/>
    </row>
    <row r="146" spans="1:13" ht="22.5" customHeight="1">
      <c r="A146" s="1"/>
      <c r="B146" s="1">
        <v>8499</v>
      </c>
      <c r="C146" s="3">
        <v>397.78844881517381</v>
      </c>
      <c r="D146" s="4">
        <f t="shared" si="4"/>
        <v>474.77139698220111</v>
      </c>
      <c r="E146" s="1"/>
      <c r="F146" s="1"/>
      <c r="G146" s="1"/>
      <c r="H146" s="1"/>
      <c r="I146" s="1"/>
      <c r="J146" s="1"/>
      <c r="K146" s="1"/>
      <c r="L146" s="1"/>
      <c r="M146" s="1"/>
    </row>
    <row r="147" spans="1:13" ht="22.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</row>
    <row r="148" spans="1:13" ht="22.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</row>
    <row r="149" spans="1:13" ht="22.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</row>
    <row r="150" spans="1:13" ht="22.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</row>
    <row r="151" spans="1:13" ht="22.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</row>
    <row r="152" spans="1:13" ht="22.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</row>
    <row r="153" spans="1:13" ht="22.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</row>
    <row r="154" spans="1:13" ht="22.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</row>
    <row r="155" spans="1:13" ht="32" customHeight="1">
      <c r="A155" s="1"/>
      <c r="B155" s="27" t="str">
        <f>VLOOKUP("note.rx3Rx1Placeholder",Locale!$A$2:$D$73,4,FALSE)</f>
        <v>RX3 · RX1 占位</v>
      </c>
      <c r="C155" s="27"/>
      <c r="D155" s="27"/>
      <c r="E155" s="27"/>
      <c r="F155" s="1"/>
      <c r="G155" s="1"/>
      <c r="H155" s="1"/>
      <c r="I155" s="1"/>
      <c r="J155" s="1"/>
      <c r="K155" s="1"/>
      <c r="L155" s="1"/>
      <c r="M155" s="1"/>
    </row>
    <row r="156" spans="1:13" ht="32" customHeight="1">
      <c r="A156" s="1"/>
      <c r="B156" s="2" t="s">
        <v>45</v>
      </c>
      <c r="C156" s="2" t="str">
        <f>VLOOKUP("label.torqueNm",Locale!$A$2:$D$73,4,FALSE)</f>
        <v>扭矩 (Nm)</v>
      </c>
      <c r="D156" s="2" t="str">
        <f>VLOOKUP("label.powerHp",Locale!$A$2:$D$73,4,FALSE)</f>
        <v>功率 (hp)</v>
      </c>
      <c r="E156" s="1"/>
      <c r="F156" s="1"/>
      <c r="G156" s="1"/>
      <c r="H156" s="1"/>
      <c r="I156" s="1"/>
      <c r="J156" s="1"/>
      <c r="K156" s="1"/>
      <c r="L156" s="1"/>
      <c r="M156" s="1"/>
    </row>
    <row r="157" spans="1:13" ht="22.5" customHeight="1">
      <c r="A157" s="1"/>
      <c r="B157" s="1">
        <v>0</v>
      </c>
      <c r="C157" s="3">
        <v>-13.230000000000002</v>
      </c>
      <c r="D157" s="4">
        <f t="shared" ref="D157:D176" si="5">C157*B157*2*PI()/(60*745.69987158227)</f>
        <v>0</v>
      </c>
      <c r="E157" s="1"/>
      <c r="F157" s="1"/>
      <c r="G157" s="1"/>
      <c r="H157" s="1"/>
      <c r="I157" s="1"/>
      <c r="J157" s="1"/>
      <c r="K157" s="1"/>
      <c r="L157" s="1"/>
      <c r="M157" s="1"/>
    </row>
    <row r="158" spans="1:13" ht="22.5" customHeight="1">
      <c r="A158" s="1"/>
      <c r="B158" s="1">
        <v>500</v>
      </c>
      <c r="C158" s="3">
        <v>63.244986096004553</v>
      </c>
      <c r="D158" s="4">
        <f t="shared" si="5"/>
        <v>4.4407942852845155</v>
      </c>
      <c r="E158" s="1"/>
      <c r="F158" s="1"/>
      <c r="G158" s="1"/>
      <c r="H158" s="1"/>
      <c r="I158" s="1"/>
      <c r="J158" s="1"/>
      <c r="K158" s="1"/>
      <c r="L158" s="1"/>
      <c r="M158" s="1"/>
    </row>
    <row r="159" spans="1:13" ht="22.5" customHeight="1">
      <c r="A159" s="1"/>
      <c r="B159" s="1">
        <v>1000</v>
      </c>
      <c r="C159" s="3">
        <v>200.69013367948659</v>
      </c>
      <c r="D159" s="4">
        <f t="shared" si="5"/>
        <v>28.183217477635015</v>
      </c>
      <c r="E159" s="1"/>
      <c r="F159" s="1"/>
      <c r="G159" s="1"/>
      <c r="H159" s="1"/>
      <c r="I159" s="1"/>
      <c r="J159" s="1"/>
      <c r="K159" s="1"/>
      <c r="L159" s="1"/>
      <c r="M159" s="1"/>
    </row>
    <row r="160" spans="1:13" ht="22.5" customHeight="1">
      <c r="A160" s="1"/>
      <c r="B160" s="1">
        <v>1500</v>
      </c>
      <c r="C160" s="3">
        <v>437.72909021486583</v>
      </c>
      <c r="D160" s="4">
        <f t="shared" si="5"/>
        <v>92.206432271716551</v>
      </c>
      <c r="E160" s="1"/>
      <c r="F160" s="1"/>
      <c r="G160" s="1"/>
      <c r="H160" s="1"/>
      <c r="I160" s="1"/>
      <c r="J160" s="1"/>
      <c r="K160" s="1"/>
      <c r="L160" s="1"/>
      <c r="M160" s="1"/>
    </row>
    <row r="161" spans="1:13" ht="22.5" customHeight="1">
      <c r="A161" s="1"/>
      <c r="B161" s="1">
        <v>2000</v>
      </c>
      <c r="C161" s="3">
        <v>701.08596562095306</v>
      </c>
      <c r="D161" s="4">
        <f t="shared" si="5"/>
        <v>196.90911433811758</v>
      </c>
      <c r="E161" s="1"/>
      <c r="F161" s="1"/>
      <c r="G161" s="1"/>
      <c r="H161" s="1"/>
      <c r="I161" s="1"/>
      <c r="J161" s="1"/>
      <c r="K161" s="1"/>
      <c r="L161" s="1"/>
      <c r="M161" s="1"/>
    </row>
    <row r="162" spans="1:13" ht="22.5" customHeight="1">
      <c r="A162" s="1"/>
      <c r="B162" s="1">
        <v>2500</v>
      </c>
      <c r="C162" s="3">
        <v>781.33066324650258</v>
      </c>
      <c r="D162" s="4">
        <f t="shared" si="5"/>
        <v>274.30860202859827</v>
      </c>
      <c r="E162" s="1"/>
      <c r="F162" s="1"/>
      <c r="G162" s="1"/>
      <c r="H162" s="1"/>
      <c r="I162" s="1"/>
      <c r="J162" s="1"/>
      <c r="K162" s="1"/>
      <c r="L162" s="1"/>
      <c r="M162" s="1"/>
    </row>
    <row r="163" spans="1:13" ht="22.5" customHeight="1">
      <c r="A163" s="1"/>
      <c r="B163" s="1">
        <v>3000</v>
      </c>
      <c r="C163" s="3">
        <v>815.57038116415981</v>
      </c>
      <c r="D163" s="4">
        <f t="shared" si="5"/>
        <v>343.59532777096314</v>
      </c>
      <c r="E163" s="1"/>
      <c r="F163" s="1"/>
      <c r="G163" s="1"/>
      <c r="H163" s="1"/>
      <c r="I163" s="1"/>
      <c r="J163" s="1"/>
      <c r="K163" s="1"/>
      <c r="L163" s="1"/>
      <c r="M163" s="1"/>
    </row>
    <row r="164" spans="1:13" ht="22.5" customHeight="1">
      <c r="A164" s="1"/>
      <c r="B164" s="1">
        <v>3500</v>
      </c>
      <c r="C164" s="3">
        <v>839.3101465704458</v>
      </c>
      <c r="D164" s="4">
        <f t="shared" si="5"/>
        <v>412.5295541640993</v>
      </c>
      <c r="E164" s="1"/>
      <c r="F164" s="1"/>
      <c r="G164" s="1"/>
      <c r="H164" s="1"/>
      <c r="I164" s="1"/>
      <c r="J164" s="1"/>
      <c r="K164" s="1"/>
      <c r="L164" s="1"/>
      <c r="M164" s="1"/>
    </row>
    <row r="165" spans="1:13" ht="22.5" customHeight="1">
      <c r="A165" s="1"/>
      <c r="B165" s="1">
        <v>4000</v>
      </c>
      <c r="C165" s="3">
        <v>849.15980914838872</v>
      </c>
      <c r="D165" s="4">
        <f t="shared" si="5"/>
        <v>476.99515936776282</v>
      </c>
      <c r="E165" s="1"/>
      <c r="F165" s="1"/>
      <c r="G165" s="1"/>
      <c r="H165" s="1"/>
      <c r="I165" s="1"/>
      <c r="J165" s="1"/>
      <c r="K165" s="1"/>
      <c r="L165" s="1"/>
      <c r="M165" s="1"/>
    </row>
    <row r="166" spans="1:13" ht="22.5" customHeight="1">
      <c r="A166" s="1"/>
      <c r="B166" s="1">
        <v>4140</v>
      </c>
      <c r="C166" s="3">
        <v>849.65873074466481</v>
      </c>
      <c r="D166" s="4">
        <f t="shared" si="5"/>
        <v>493.98005619134659</v>
      </c>
      <c r="E166" s="1"/>
      <c r="F166" s="1"/>
      <c r="G166" s="1"/>
      <c r="H166" s="1"/>
      <c r="I166" s="1"/>
      <c r="J166" s="1"/>
      <c r="K166" s="1"/>
      <c r="L166" s="1"/>
      <c r="M166" s="1"/>
    </row>
    <row r="167" spans="1:13" ht="22.5" customHeight="1">
      <c r="A167" s="1"/>
      <c r="B167" s="1">
        <v>4500</v>
      </c>
      <c r="C167" s="3">
        <v>846.29454015823137</v>
      </c>
      <c r="D167" s="4">
        <f t="shared" si="5"/>
        <v>534.80887112656421</v>
      </c>
      <c r="E167" s="1"/>
      <c r="F167" s="1"/>
      <c r="G167" s="1"/>
      <c r="H167" s="1"/>
      <c r="I167" s="1"/>
      <c r="J167" s="1"/>
      <c r="K167" s="1"/>
      <c r="L167" s="1"/>
      <c r="M167" s="1"/>
    </row>
    <row r="168" spans="1:13" ht="22.5" customHeight="1">
      <c r="A168" s="1"/>
      <c r="B168" s="1">
        <v>5000</v>
      </c>
      <c r="C168" s="3">
        <v>830.31349416463172</v>
      </c>
      <c r="D168" s="4">
        <f t="shared" si="5"/>
        <v>583.01086734112721</v>
      </c>
      <c r="E168" s="1"/>
      <c r="F168" s="1"/>
      <c r="G168" s="1"/>
      <c r="H168" s="1"/>
      <c r="I168" s="1"/>
      <c r="J168" s="1"/>
      <c r="K168" s="1"/>
      <c r="L168" s="1"/>
      <c r="M168" s="1"/>
    </row>
    <row r="169" spans="1:13" ht="22.5" customHeight="1">
      <c r="A169" s="1"/>
      <c r="B169" s="1">
        <v>5500</v>
      </c>
      <c r="C169" s="3">
        <v>778.94554940973444</v>
      </c>
      <c r="D169" s="4">
        <f t="shared" si="5"/>
        <v>601.63672627379901</v>
      </c>
      <c r="E169" s="1"/>
      <c r="F169" s="1"/>
      <c r="G169" s="1"/>
      <c r="H169" s="1"/>
      <c r="I169" s="1"/>
      <c r="J169" s="1"/>
      <c r="K169" s="1"/>
      <c r="L169" s="1"/>
      <c r="M169" s="1"/>
    </row>
    <row r="170" spans="1:13" ht="22.5" customHeight="1">
      <c r="A170" s="1"/>
      <c r="B170" s="1">
        <v>5690</v>
      </c>
      <c r="C170" s="3">
        <v>754.97659458085627</v>
      </c>
      <c r="D170" s="4">
        <f t="shared" si="5"/>
        <v>603.26802096160782</v>
      </c>
      <c r="E170" s="1"/>
      <c r="F170" s="1"/>
      <c r="G170" s="1"/>
      <c r="H170" s="1"/>
      <c r="I170" s="1"/>
      <c r="J170" s="1"/>
      <c r="K170" s="1"/>
      <c r="L170" s="1"/>
      <c r="M170" s="1"/>
    </row>
    <row r="171" spans="1:13" ht="22.5" customHeight="1">
      <c r="A171" s="1"/>
      <c r="B171" s="1">
        <v>6000</v>
      </c>
      <c r="C171" s="3">
        <v>713.52169730177775</v>
      </c>
      <c r="D171" s="4">
        <f t="shared" si="5"/>
        <v>601.20555409613723</v>
      </c>
      <c r="E171" s="1"/>
      <c r="F171" s="1"/>
      <c r="G171" s="1"/>
      <c r="H171" s="1"/>
      <c r="I171" s="1"/>
      <c r="J171" s="1"/>
      <c r="K171" s="1"/>
      <c r="L171" s="1"/>
      <c r="M171" s="1"/>
    </row>
    <row r="172" spans="1:13" ht="22.5" customHeight="1">
      <c r="A172" s="1"/>
      <c r="B172" s="1">
        <v>6500</v>
      </c>
      <c r="C172" s="3">
        <v>650.00524403360237</v>
      </c>
      <c r="D172" s="4">
        <f t="shared" si="5"/>
        <v>593.32789469602972</v>
      </c>
      <c r="E172" s="1"/>
      <c r="F172" s="1"/>
      <c r="G172" s="1"/>
      <c r="H172" s="1"/>
      <c r="I172" s="1"/>
      <c r="J172" s="1"/>
      <c r="K172" s="1"/>
      <c r="L172" s="1"/>
      <c r="M172" s="1"/>
    </row>
    <row r="173" spans="1:13" ht="22.5" customHeight="1">
      <c r="A173" s="1"/>
      <c r="B173" s="1">
        <v>7000</v>
      </c>
      <c r="C173" s="3">
        <v>590.16355423147775</v>
      </c>
      <c r="D173" s="4">
        <f t="shared" si="5"/>
        <v>580.14289212593815</v>
      </c>
      <c r="E173" s="1"/>
      <c r="F173" s="1"/>
      <c r="G173" s="1"/>
      <c r="H173" s="1"/>
      <c r="I173" s="1"/>
      <c r="J173" s="1"/>
      <c r="K173" s="1"/>
      <c r="L173" s="1"/>
      <c r="M173" s="1"/>
    </row>
    <row r="174" spans="1:13" ht="22.5" customHeight="1">
      <c r="A174" s="1"/>
      <c r="B174" s="1">
        <v>7500</v>
      </c>
      <c r="C174" s="3">
        <v>529.20441938131887</v>
      </c>
      <c r="D174" s="4">
        <f t="shared" si="5"/>
        <v>557.37729733274523</v>
      </c>
      <c r="E174" s="1"/>
      <c r="F174" s="1"/>
      <c r="G174" s="1"/>
      <c r="H174" s="1"/>
      <c r="I174" s="1"/>
      <c r="J174" s="1"/>
      <c r="K174" s="1"/>
      <c r="L174" s="1"/>
      <c r="M174" s="1"/>
    </row>
    <row r="175" spans="1:13" ht="22.5" customHeight="1">
      <c r="A175" s="1"/>
      <c r="B175" s="1">
        <v>8000</v>
      </c>
      <c r="C175" s="3">
        <v>466.50031942689958</v>
      </c>
      <c r="D175" s="4">
        <f t="shared" si="5"/>
        <v>524.09073489548939</v>
      </c>
      <c r="E175" s="1"/>
      <c r="F175" s="1"/>
      <c r="G175" s="1"/>
      <c r="H175" s="1"/>
      <c r="I175" s="1"/>
      <c r="J175" s="1"/>
      <c r="K175" s="1"/>
      <c r="L175" s="1"/>
      <c r="M175" s="1"/>
    </row>
    <row r="176" spans="1:13" ht="22.5" customHeight="1">
      <c r="A176" s="1"/>
      <c r="B176" s="1">
        <v>8499</v>
      </c>
      <c r="C176" s="3">
        <v>397.78844881517381</v>
      </c>
      <c r="D176" s="4">
        <f t="shared" si="5"/>
        <v>474.77139698220111</v>
      </c>
      <c r="E176" s="1"/>
      <c r="F176" s="1"/>
      <c r="G176" s="1"/>
      <c r="H176" s="1"/>
      <c r="I176" s="1"/>
      <c r="J176" s="1"/>
      <c r="K176" s="1"/>
      <c r="L176" s="1"/>
      <c r="M176" s="1"/>
    </row>
    <row r="177" spans="1:13" ht="22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</row>
    <row r="178" spans="1:13" ht="22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</row>
    <row r="179" spans="1:13" ht="22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</row>
    <row r="180" spans="1:13" ht="22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</row>
    <row r="181" spans="1:13" ht="22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</row>
    <row r="182" spans="1:13" ht="22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</row>
    <row r="183" spans="1:13" ht="22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</row>
    <row r="184" spans="1:13" ht="22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</row>
    <row r="185" spans="1:13" ht="22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</row>
    <row r="186" spans="1:13" ht="22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</row>
    <row r="187" spans="1:13" ht="22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</row>
    <row r="188" spans="1:13" ht="22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</row>
    <row r="189" spans="1:13" ht="22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</row>
    <row r="190" spans="1:13" ht="22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</row>
    <row r="191" spans="1:13" ht="22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</row>
    <row r="192" spans="1:13" ht="22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</row>
    <row r="193" spans="1:13" ht="22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</row>
    <row r="194" spans="1:13" ht="22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</row>
    <row r="195" spans="1:13" ht="22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</row>
    <row r="196" spans="1:13" ht="22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</row>
    <row r="197" spans="1:13" ht="22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</row>
    <row r="198" spans="1:13" ht="22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</row>
    <row r="199" spans="1:13" ht="22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</row>
    <row r="200" spans="1:13" ht="32" customHeight="1">
      <c r="A200" s="1"/>
      <c r="B200" s="27" t="str">
        <f>VLOOKUP("chart.rally2GearPositions",Locale!$A$2:$D$73,4,FALSE)</f>
        <v>Rally2 · 挡位图</v>
      </c>
      <c r="C200" s="27"/>
      <c r="D200" s="27"/>
      <c r="E200" s="27"/>
      <c r="F200" s="27"/>
      <c r="G200" s="27"/>
      <c r="H200" s="1"/>
      <c r="I200" s="1"/>
      <c r="J200" s="1"/>
      <c r="K200" s="1"/>
      <c r="L200" s="1"/>
      <c r="M200" s="1"/>
    </row>
    <row r="201" spans="1:13" ht="32" customHeight="1">
      <c r="A201" s="1"/>
      <c r="B201" s="2" t="str">
        <f>VLOOKUP("label.gear",Locale!$A$2:$D$73,4,FALSE)</f>
        <v>挡位</v>
      </c>
      <c r="C201" s="2" t="str">
        <f>VLOOKUP("label.gearRatio",Locale!$A$2:$D$73,4,FALSE)</f>
        <v>齿比</v>
      </c>
      <c r="D201" s="2" t="str">
        <f>VLOOKUP("label.flashRpm",Locale!$A$2:$D$73,4,FALSE)</f>
        <v>闪烁 (rpm)</v>
      </c>
      <c r="E201" s="2" t="str">
        <f>VLOOKUP("label.shiftKmh",Locale!$A$2:$D$73,4,FALSE)</f>
        <v>换挡车速 (km/h)</v>
      </c>
      <c r="F201" s="2" t="str">
        <f>VLOOKUP("label.afterShiftRpm",Locale!$A$2:$D$73,4,FALSE)</f>
        <v>换挡后 (rpm)</v>
      </c>
      <c r="G201" s="2" t="str">
        <f>VLOOKUP("label.limitSpeedKmh",Locale!$A$2:$D$73,4,FALSE)</f>
        <v>限转车速 (km/h)</v>
      </c>
      <c r="H201" s="1"/>
      <c r="I201" s="1"/>
      <c r="J201" s="1"/>
      <c r="K201" s="1"/>
      <c r="L201" s="1"/>
      <c r="M201" s="1"/>
    </row>
    <row r="202" spans="1:13" ht="22.5" customHeight="1">
      <c r="A202" s="1"/>
      <c r="B202" s="1">
        <v>1</v>
      </c>
      <c r="C202" s="20">
        <f>IF(Rally2!$D$53=1,Rally2!C15,Rally2!K15)</f>
        <v>3.762</v>
      </c>
      <c r="D202" s="20">
        <f>IF(Rally2!$D$53=1,Rally2!D15,Rally2!L15)</f>
        <v>6250</v>
      </c>
      <c r="E202" s="20">
        <f>IF(Rally2!$D$53=1,Rally2!F15,Rally2!N15)</f>
        <v>49.246489254547519</v>
      </c>
      <c r="F202" s="20">
        <f>IF(Rally2!$D$53=1,Rally2!E15,Rally2!M15)</f>
        <v>4469.0324295587452</v>
      </c>
      <c r="G202" s="20">
        <f>E202*Rally2!$O$7/D202</f>
        <v>59.095787105457021</v>
      </c>
      <c r="H202" s="1"/>
      <c r="I202" s="1"/>
      <c r="J202" s="1"/>
      <c r="K202" s="1"/>
      <c r="L202" s="1"/>
      <c r="M202" s="1"/>
    </row>
    <row r="203" spans="1:13" ht="22.5" customHeight="1">
      <c r="A203" s="1"/>
      <c r="B203" s="1">
        <v>2</v>
      </c>
      <c r="C203" s="20">
        <f>IF(Rally2!$D$53=1,Rally2!C16,Rally2!K16)</f>
        <v>2.69</v>
      </c>
      <c r="D203" s="20">
        <f>IF(Rally2!$D$53=1,Rally2!D16,Rally2!L16)</f>
        <v>6400</v>
      </c>
      <c r="E203" s="20">
        <f>IF(Rally2!$D$53=1,Rally2!F16,Rally2!N16)</f>
        <v>70.524780519487848</v>
      </c>
      <c r="F203" s="20">
        <f>IF(Rally2!$D$53=1,Rally2!E16,Rally2!M16)</f>
        <v>4665.5762081784387</v>
      </c>
      <c r="G203" s="20">
        <f>E203*Rally2!$O$7/D203</f>
        <v>82.646227171274816</v>
      </c>
      <c r="H203" s="1"/>
      <c r="I203" s="1"/>
      <c r="J203" s="1"/>
      <c r="K203" s="1"/>
      <c r="L203" s="1"/>
      <c r="M203" s="1"/>
    </row>
    <row r="204" spans="1:13" ht="22.5" customHeight="1">
      <c r="A204" s="1"/>
      <c r="B204" s="1">
        <v>3</v>
      </c>
      <c r="C204" s="20">
        <f>IF(Rally2!$D$53=1,Rally2!C17,Rally2!K17)</f>
        <v>1.9610000000000001</v>
      </c>
      <c r="D204" s="20">
        <f>IF(Rally2!$D$53=1,Rally2!D17,Rally2!L17)</f>
        <v>6330</v>
      </c>
      <c r="E204" s="20">
        <f>IF(Rally2!$D$53=1,Rally2!F17,Rally2!N17)</f>
        <v>95.684185783057387</v>
      </c>
      <c r="F204" s="20">
        <f>IF(Rally2!$D$53=1,Rally2!E17,Rally2!M17)</f>
        <v>4809.637939826619</v>
      </c>
      <c r="G204" s="20">
        <f>E204*Rally2!$O$7/D204</f>
        <v>113.3698883685514</v>
      </c>
      <c r="H204" s="1"/>
      <c r="I204" s="1"/>
      <c r="J204" s="1"/>
      <c r="K204" s="1"/>
      <c r="L204" s="1"/>
      <c r="M204" s="1"/>
    </row>
    <row r="205" spans="1:13" ht="22.5" customHeight="1">
      <c r="A205" s="1"/>
      <c r="B205" s="1">
        <v>4</v>
      </c>
      <c r="C205" s="20">
        <f>IF(Rally2!$D$53=1,Rally2!C18,Rally2!K18)</f>
        <v>1.49</v>
      </c>
      <c r="D205" s="20">
        <f>IF(Rally2!$D$53=1,Rally2!D18,Rally2!L18)</f>
        <v>6190</v>
      </c>
      <c r="E205" s="20">
        <f>IF(Rally2!$D$53=1,Rally2!F18,Rally2!N18)</f>
        <v>123.14546695763887</v>
      </c>
      <c r="F205" s="20">
        <f>IF(Rally2!$D$53=1,Rally2!E18,Rally2!M18)</f>
        <v>4939.5369127516788</v>
      </c>
      <c r="G205" s="20">
        <f>E205*Rally2!$O$7/D205</f>
        <v>149.20694704075794</v>
      </c>
      <c r="H205" s="1"/>
      <c r="I205" s="1"/>
      <c r="J205" s="1"/>
      <c r="K205" s="1"/>
      <c r="L205" s="1"/>
      <c r="M205" s="1"/>
    </row>
    <row r="206" spans="1:13" ht="22.5" customHeight="1">
      <c r="A206" s="1"/>
      <c r="B206" s="1">
        <v>5</v>
      </c>
      <c r="C206" s="20">
        <f>IF(Rally2!$D$53=1,Rally2!C19,Rally2!K19)</f>
        <v>1.1890000000000001</v>
      </c>
      <c r="D206" s="20">
        <f>IF(Rally2!$D$53=1,Rally2!D19,Rally2!L19)</f>
        <v>7500</v>
      </c>
      <c r="E206" s="20">
        <f>IF(Rally2!$D$53=1,Rally2!F19,Rally2!N19)</f>
        <v>186.97926921003307</v>
      </c>
      <c r="F206" s="20" t="str">
        <f>""</f>
        <v/>
      </c>
      <c r="G206" s="20">
        <f>E206*Rally2!$O$7/D206</f>
        <v>186.97926921003307</v>
      </c>
      <c r="H206" s="1"/>
      <c r="I206" s="1"/>
      <c r="J206" s="1"/>
      <c r="K206" s="1"/>
      <c r="L206" s="1"/>
      <c r="M206" s="1"/>
    </row>
    <row r="207" spans="1:13" ht="22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</row>
    <row r="208" spans="1:13" ht="22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</row>
    <row r="209" spans="1:13" ht="22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</row>
    <row r="210" spans="1:13" ht="22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</row>
    <row r="211" spans="1:13" ht="32" customHeight="1">
      <c r="A211" s="1"/>
      <c r="B211" s="2" t="s">
        <v>58</v>
      </c>
      <c r="C211" s="2" t="str">
        <f>VLOOKUP("label.gearOne",Locale!$A$2:$D$73,4,FALSE)</f>
        <v>1 挡</v>
      </c>
      <c r="D211" s="2" t="s">
        <v>58</v>
      </c>
      <c r="E211" s="2" t="str">
        <f>VLOOKUP("label.gearTwo",Locale!$A$2:$D$73,4,FALSE)</f>
        <v>2 挡</v>
      </c>
      <c r="F211" s="2" t="s">
        <v>58</v>
      </c>
      <c r="G211" s="2" t="str">
        <f>VLOOKUP("label.gearThree",Locale!$A$2:$D$73,4,FALSE)</f>
        <v>3 挡</v>
      </c>
      <c r="H211" s="2" t="s">
        <v>58</v>
      </c>
      <c r="I211" s="2" t="str">
        <f>VLOOKUP("label.gearFour",Locale!$A$2:$D$73,4,FALSE)</f>
        <v>4 挡</v>
      </c>
      <c r="J211" s="2" t="s">
        <v>58</v>
      </c>
      <c r="K211" s="2" t="str">
        <f>VLOOKUP("label.gearFive",Locale!$A$2:$D$73,4,FALSE)</f>
        <v>5 挡</v>
      </c>
      <c r="L211" s="1"/>
      <c r="M211" s="1"/>
    </row>
    <row r="212" spans="1:13" ht="22.5" customHeight="1">
      <c r="A212" s="1"/>
      <c r="B212" s="1">
        <v>0</v>
      </c>
      <c r="C212" s="1">
        <v>0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/>
      <c r="M212" s="1"/>
    </row>
    <row r="213" spans="1:13" ht="22.5" customHeight="1">
      <c r="A213" s="1"/>
      <c r="B213" s="1">
        <f>G202</f>
        <v>59.095787105457021</v>
      </c>
      <c r="C213" s="1">
        <f>Rally2!$O$7</f>
        <v>7500</v>
      </c>
      <c r="D213" s="1">
        <f>G203</f>
        <v>82.646227171274816</v>
      </c>
      <c r="E213" s="1">
        <f>Rally2!$O$7</f>
        <v>7500</v>
      </c>
      <c r="F213" s="1">
        <f>G204</f>
        <v>113.3698883685514</v>
      </c>
      <c r="G213" s="1">
        <f>Rally2!$O$7</f>
        <v>7500</v>
      </c>
      <c r="H213" s="1">
        <f>G205</f>
        <v>149.20694704075794</v>
      </c>
      <c r="I213" s="1">
        <f>Rally2!$O$7</f>
        <v>7500</v>
      </c>
      <c r="J213" s="1">
        <f>G206</f>
        <v>186.97926921003307</v>
      </c>
      <c r="K213" s="1">
        <f>Rally2!$O$7</f>
        <v>7500</v>
      </c>
      <c r="L213" s="1"/>
      <c r="M213" s="1"/>
    </row>
    <row r="214" spans="1:13" ht="22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</row>
    <row r="215" spans="1:13" ht="22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</row>
    <row r="216" spans="1:13" ht="22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</row>
    <row r="217" spans="1:13" ht="32" customHeight="1">
      <c r="A217" s="1"/>
      <c r="B217" s="2" t="s">
        <v>58</v>
      </c>
      <c r="C217" s="2" t="s">
        <v>64</v>
      </c>
      <c r="D217" s="2" t="s">
        <v>58</v>
      </c>
      <c r="E217" s="2" t="s">
        <v>65</v>
      </c>
      <c r="F217" s="2" t="s">
        <v>58</v>
      </c>
      <c r="G217" s="2" t="s">
        <v>66</v>
      </c>
      <c r="H217" s="2" t="s">
        <v>58</v>
      </c>
      <c r="I217" s="2" t="s">
        <v>67</v>
      </c>
      <c r="J217" s="1"/>
      <c r="K217" s="1"/>
      <c r="L217" s="1"/>
      <c r="M217" s="1"/>
    </row>
    <row r="218" spans="1:13" ht="22.5" customHeight="1">
      <c r="A218" s="1"/>
      <c r="B218" s="1">
        <f>E202</f>
        <v>49.246489254547519</v>
      </c>
      <c r="C218" s="1">
        <f>D202</f>
        <v>6250</v>
      </c>
      <c r="D218" s="1">
        <f>E203</f>
        <v>70.524780519487848</v>
      </c>
      <c r="E218" s="1">
        <f>D203</f>
        <v>6400</v>
      </c>
      <c r="F218" s="1">
        <f>E204</f>
        <v>95.684185783057387</v>
      </c>
      <c r="G218" s="1">
        <f>D204</f>
        <v>6330</v>
      </c>
      <c r="H218" s="1">
        <f>E205</f>
        <v>123.14546695763887</v>
      </c>
      <c r="I218" s="1">
        <f>D205</f>
        <v>6190</v>
      </c>
      <c r="J218" s="1"/>
      <c r="K218" s="1"/>
      <c r="L218" s="1"/>
      <c r="M218" s="1"/>
    </row>
    <row r="219" spans="1:13" ht="22.5" customHeight="1">
      <c r="A219" s="1"/>
      <c r="B219" s="1">
        <f>E202</f>
        <v>49.246489254547519</v>
      </c>
      <c r="C219" s="1">
        <f>F202</f>
        <v>4469.0324295587452</v>
      </c>
      <c r="D219" s="1">
        <f>E203</f>
        <v>70.524780519487848</v>
      </c>
      <c r="E219" s="1">
        <f>F203</f>
        <v>4665.5762081784387</v>
      </c>
      <c r="F219" s="1">
        <f>E204</f>
        <v>95.684185783057387</v>
      </c>
      <c r="G219" s="1">
        <f>F204</f>
        <v>4809.637939826619</v>
      </c>
      <c r="H219" s="1">
        <f>E205</f>
        <v>123.14546695763887</v>
      </c>
      <c r="I219" s="1">
        <f>F205</f>
        <v>4939.5369127516788</v>
      </c>
      <c r="J219" s="1"/>
      <c r="K219" s="1"/>
      <c r="L219" s="1"/>
      <c r="M219" s="1"/>
    </row>
    <row r="220" spans="1:13" ht="22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</row>
    <row r="221" spans="1:13" ht="22.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</row>
    <row r="222" spans="1:13" ht="22.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</row>
    <row r="223" spans="1:13" ht="22.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</row>
    <row r="224" spans="1:13" ht="22.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</row>
    <row r="225" spans="1:13" ht="22.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</row>
    <row r="226" spans="1:13" ht="22.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</row>
    <row r="227" spans="1:13" ht="22.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</row>
    <row r="228" spans="1:13" ht="22.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</row>
    <row r="229" spans="1:13" ht="22.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</row>
    <row r="230" spans="1:13" ht="22.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</row>
    <row r="231" spans="1:13" ht="22.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</row>
    <row r="232" spans="1:13" ht="22.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</row>
    <row r="233" spans="1:13" ht="22.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</row>
    <row r="234" spans="1:13" ht="22.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</row>
    <row r="235" spans="1:13" ht="22.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</row>
    <row r="236" spans="1:13" ht="22.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</row>
    <row r="237" spans="1:13" ht="22.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</row>
    <row r="238" spans="1:13" ht="32" customHeight="1">
      <c r="A238" s="1"/>
      <c r="B238" s="27" t="str">
        <f>VLOOKUP("chart.wrc16GearPositions",Locale!$A$2:$D$73,4,FALSE)</f>
        <v>WRC16 · 挡位图</v>
      </c>
      <c r="C238" s="27"/>
      <c r="D238" s="27"/>
      <c r="E238" s="27"/>
      <c r="F238" s="27"/>
      <c r="G238" s="27"/>
      <c r="H238" s="1"/>
      <c r="I238" s="1"/>
      <c r="J238" s="1"/>
      <c r="K238" s="1"/>
      <c r="L238" s="1"/>
      <c r="M238" s="1"/>
    </row>
    <row r="239" spans="1:13" ht="32" customHeight="1">
      <c r="A239" s="1"/>
      <c r="B239" s="2" t="str">
        <f>VLOOKUP("label.gear",Locale!$A$2:$D$73,4,FALSE)</f>
        <v>挡位</v>
      </c>
      <c r="C239" s="2" t="str">
        <f>VLOOKUP("label.gearRatio",Locale!$A$2:$D$73,4,FALSE)</f>
        <v>齿比</v>
      </c>
      <c r="D239" s="2" t="str">
        <f>VLOOKUP("label.flashRpm",Locale!$A$2:$D$73,4,FALSE)</f>
        <v>闪烁 (rpm)</v>
      </c>
      <c r="E239" s="2" t="str">
        <f>VLOOKUP("label.shiftKmh",Locale!$A$2:$D$73,4,FALSE)</f>
        <v>换挡车速 (km/h)</v>
      </c>
      <c r="F239" s="2" t="str">
        <f>VLOOKUP("label.afterShiftRpm",Locale!$A$2:$D$73,4,FALSE)</f>
        <v>换挡后 (rpm)</v>
      </c>
      <c r="G239" s="2" t="str">
        <f>VLOOKUP("label.limitSpeedKmh",Locale!$A$2:$D$73,4,FALSE)</f>
        <v>限转车速 (km/h)</v>
      </c>
      <c r="H239" s="1"/>
      <c r="I239" s="1"/>
      <c r="J239" s="1"/>
      <c r="K239" s="1"/>
      <c r="L239" s="1"/>
      <c r="M239" s="1"/>
    </row>
    <row r="240" spans="1:13" ht="22.5" customHeight="1">
      <c r="A240" s="1"/>
      <c r="B240" s="1">
        <v>1</v>
      </c>
      <c r="C240" s="20">
        <f>IF('WRC16'!$D$53=1,'WRC16'!C15,'WRC16'!K15)</f>
        <v>3.7970000000000002</v>
      </c>
      <c r="D240" s="20">
        <f>IF('WRC16'!$D$53=1,'WRC16'!D15,'WRC16'!L15)</f>
        <v>6190</v>
      </c>
      <c r="E240" s="20">
        <f>IF('WRC16'!$D$53=1,'WRC16'!F15,'WRC16'!N15)</f>
        <v>48.324136362096894</v>
      </c>
      <c r="F240" s="20">
        <f>IF('WRC16'!$D$53=1,'WRC16'!E15,'WRC16'!M15)</f>
        <v>5037.4242823281529</v>
      </c>
      <c r="G240" s="20">
        <f>E240*'WRC16'!$O$7/D240</f>
        <v>59.722074825531706</v>
      </c>
      <c r="H240" s="1"/>
      <c r="I240" s="1"/>
      <c r="J240" s="1"/>
      <c r="K240" s="1"/>
      <c r="L240" s="1"/>
      <c r="M240" s="1"/>
    </row>
    <row r="241" spans="1:13" ht="22.5" customHeight="1">
      <c r="A241" s="1"/>
      <c r="B241" s="1">
        <v>2</v>
      </c>
      <c r="C241" s="20">
        <f>IF('WRC16'!$D$53=1,'WRC16'!C16,'WRC16'!K16)</f>
        <v>3.09</v>
      </c>
      <c r="D241" s="20">
        <f>IF('WRC16'!$D$53=1,'WRC16'!D16,'WRC16'!L16)</f>
        <v>6380</v>
      </c>
      <c r="E241" s="20">
        <f>IF('WRC16'!$D$53=1,'WRC16'!F16,'WRC16'!N16)</f>
        <v>61.203498595851272</v>
      </c>
      <c r="F241" s="20">
        <f>IF('WRC16'!$D$53=1,'WRC16'!E16,'WRC16'!M16)</f>
        <v>5118.4530744336571</v>
      </c>
      <c r="G241" s="20">
        <f>E241*'WRC16'!$O$7/D241</f>
        <v>73.386640165871825</v>
      </c>
      <c r="H241" s="1"/>
      <c r="I241" s="1"/>
      <c r="J241" s="1"/>
      <c r="K241" s="1"/>
      <c r="L241" s="1"/>
      <c r="M241" s="1"/>
    </row>
    <row r="242" spans="1:13" ht="22.5" customHeight="1">
      <c r="A242" s="1"/>
      <c r="B242" s="1">
        <v>3</v>
      </c>
      <c r="C242" s="20">
        <f>IF('WRC16'!$D$53=1,'WRC16'!C17,'WRC16'!K17)</f>
        <v>2.4790000000000001</v>
      </c>
      <c r="D242" s="20">
        <f>IF('WRC16'!$D$53=1,'WRC16'!D17,'WRC16'!L17)</f>
        <v>6450</v>
      </c>
      <c r="E242" s="20">
        <f>IF('WRC16'!$D$53=1,'WRC16'!F17,'WRC16'!N17)</f>
        <v>77.125365848336912</v>
      </c>
      <c r="F242" s="20">
        <f>IF('WRC16'!$D$53=1,'WRC16'!E17,'WRC16'!M17)</f>
        <v>5195.9056070996376</v>
      </c>
      <c r="G242" s="20">
        <f>E242*'WRC16'!$O$7/D242</f>
        <v>91.474271122446112</v>
      </c>
      <c r="H242" s="1"/>
      <c r="I242" s="1"/>
      <c r="J242" s="1"/>
      <c r="K242" s="1"/>
      <c r="L242" s="1"/>
      <c r="M242" s="1"/>
    </row>
    <row r="243" spans="1:13" ht="22.5" customHeight="1">
      <c r="A243" s="1"/>
      <c r="B243" s="1">
        <v>4</v>
      </c>
      <c r="C243" s="20">
        <f>IF('WRC16'!$D$53=1,'WRC16'!C18,'WRC16'!K18)</f>
        <v>1.9970000000000001</v>
      </c>
      <c r="D243" s="20">
        <f>IF('WRC16'!$D$53=1,'WRC16'!D18,'WRC16'!L18)</f>
        <v>6500</v>
      </c>
      <c r="E243" s="20">
        <f>IF('WRC16'!$D$53=1,'WRC16'!F18,'WRC16'!N18)</f>
        <v>96.48267615354635</v>
      </c>
      <c r="F243" s="20">
        <f>IF('WRC16'!$D$53=1,'WRC16'!E18,'WRC16'!M18)</f>
        <v>5243.6154231347018</v>
      </c>
      <c r="G243" s="20">
        <f>E243*'WRC16'!$O$7/D243</f>
        <v>113.55268808840455</v>
      </c>
      <c r="H243" s="1"/>
      <c r="I243" s="1"/>
      <c r="J243" s="1"/>
      <c r="K243" s="1"/>
      <c r="L243" s="1"/>
      <c r="M243" s="1"/>
    </row>
    <row r="244" spans="1:13" ht="22.5" customHeight="1">
      <c r="A244" s="1"/>
      <c r="B244" s="1">
        <v>5</v>
      </c>
      <c r="C244" s="20">
        <f>IF('WRC16'!$D$53=1,'WRC16'!C19,'WRC16'!K19)</f>
        <v>1.611</v>
      </c>
      <c r="D244" s="20">
        <f>IF('WRC16'!$D$53=1,'WRC16'!D19,'WRC16'!L19)</f>
        <v>6500</v>
      </c>
      <c r="E244" s="20">
        <f>IF('WRC16'!$D$53=1,'WRC16'!F19,'WRC16'!N19)</f>
        <v>119.60018887562514</v>
      </c>
      <c r="F244" s="20">
        <f>IF('WRC16'!$D$53=1,'WRC16'!E19,'WRC16'!M19)</f>
        <v>5309.745499689634</v>
      </c>
      <c r="G244" s="20">
        <f>E244*'WRC16'!$O$7/D244</f>
        <v>140.76022229208189</v>
      </c>
      <c r="H244" s="1"/>
      <c r="I244" s="1"/>
      <c r="J244" s="1"/>
      <c r="K244" s="1"/>
      <c r="L244" s="1"/>
      <c r="M244" s="1"/>
    </row>
    <row r="245" spans="1:13" ht="22.5" customHeight="1">
      <c r="A245" s="1"/>
      <c r="B245" s="1">
        <v>6</v>
      </c>
      <c r="C245" s="20">
        <f>IF('WRC16'!$D$53=1,'WRC16'!C20,'WRC16'!K20)</f>
        <v>1.3160000000000001</v>
      </c>
      <c r="D245" s="20">
        <f>IF('WRC16'!$D$53=1,'WRC16'!D20,'WRC16'!L20)</f>
        <v>7650</v>
      </c>
      <c r="E245" s="20">
        <f>IF('WRC16'!$D$53=1,'WRC16'!F20,'WRC16'!N20)</f>
        <v>172.31361558703946</v>
      </c>
      <c r="F245" s="20" t="str">
        <f>""</f>
        <v/>
      </c>
      <c r="G245" s="20">
        <f>E245*'WRC16'!$O$7/D245</f>
        <v>172.31361558703946</v>
      </c>
      <c r="H245" s="1"/>
      <c r="I245" s="1"/>
      <c r="J245" s="1"/>
      <c r="K245" s="1"/>
      <c r="L245" s="1"/>
      <c r="M245" s="1"/>
    </row>
    <row r="246" spans="1:13" ht="22.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</row>
    <row r="247" spans="1:13" ht="22.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</row>
    <row r="248" spans="1:13" ht="22.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</row>
    <row r="249" spans="1:13" ht="32" customHeight="1">
      <c r="A249" s="1"/>
      <c r="B249" s="2" t="s">
        <v>58</v>
      </c>
      <c r="C249" s="2" t="str">
        <f>VLOOKUP("label.gearOne",Locale!$A$2:$D$73,4,FALSE)</f>
        <v>1 挡</v>
      </c>
      <c r="D249" s="2" t="s">
        <v>58</v>
      </c>
      <c r="E249" s="2" t="str">
        <f>VLOOKUP("label.gearTwo",Locale!$A$2:$D$73,4,FALSE)</f>
        <v>2 挡</v>
      </c>
      <c r="F249" s="2" t="s">
        <v>58</v>
      </c>
      <c r="G249" s="2" t="str">
        <f>VLOOKUP("label.gearThree",Locale!$A$2:$D$73,4,FALSE)</f>
        <v>3 挡</v>
      </c>
      <c r="H249" s="2" t="s">
        <v>58</v>
      </c>
      <c r="I249" s="2" t="str">
        <f>VLOOKUP("label.gearFour",Locale!$A$2:$D$73,4,FALSE)</f>
        <v>4 挡</v>
      </c>
      <c r="J249" s="2" t="s">
        <v>58</v>
      </c>
      <c r="K249" s="2" t="str">
        <f>VLOOKUP("label.gearFive",Locale!$A$2:$D$73,4,FALSE)</f>
        <v>5 挡</v>
      </c>
      <c r="L249" s="2" t="s">
        <v>58</v>
      </c>
      <c r="M249" s="2" t="str">
        <f>VLOOKUP("label.gearSix",Locale!$A$2:$D$73,4,FALSE)</f>
        <v>6 挡</v>
      </c>
    </row>
    <row r="250" spans="1:13" ht="22.5" customHeight="1">
      <c r="A250" s="1"/>
      <c r="B250" s="1">
        <v>0</v>
      </c>
      <c r="C250" s="1">
        <v>0</v>
      </c>
      <c r="D250" s="1">
        <v>0</v>
      </c>
      <c r="E250" s="1">
        <v>0</v>
      </c>
      <c r="F250" s="1">
        <v>0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</row>
    <row r="251" spans="1:13" ht="22.5" customHeight="1">
      <c r="A251" s="1"/>
      <c r="B251" s="1">
        <f>G240</f>
        <v>59.722074825531706</v>
      </c>
      <c r="C251" s="1">
        <f>'WRC16'!$O$7</f>
        <v>7650</v>
      </c>
      <c r="D251" s="1">
        <f>G241</f>
        <v>73.386640165871825</v>
      </c>
      <c r="E251" s="1">
        <f>'WRC16'!$O$7</f>
        <v>7650</v>
      </c>
      <c r="F251" s="1">
        <f>G242</f>
        <v>91.474271122446112</v>
      </c>
      <c r="G251" s="1">
        <f>'WRC16'!$O$7</f>
        <v>7650</v>
      </c>
      <c r="H251" s="1">
        <f>G243</f>
        <v>113.55268808840455</v>
      </c>
      <c r="I251" s="1">
        <f>'WRC16'!$O$7</f>
        <v>7650</v>
      </c>
      <c r="J251" s="1">
        <f>G244</f>
        <v>140.76022229208189</v>
      </c>
      <c r="K251" s="1">
        <f>'WRC16'!$O$7</f>
        <v>7650</v>
      </c>
      <c r="L251" s="1">
        <f>G245</f>
        <v>172.31361558703946</v>
      </c>
      <c r="M251" s="1">
        <f>'WRC16'!$O$7</f>
        <v>7650</v>
      </c>
    </row>
    <row r="252" spans="1:13" ht="22.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</row>
    <row r="253" spans="1:13" ht="22.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</row>
    <row r="254" spans="1:13" ht="22.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</row>
    <row r="255" spans="1:13" ht="32" customHeight="1">
      <c r="A255" s="1"/>
      <c r="B255" s="2" t="s">
        <v>58</v>
      </c>
      <c r="C255" s="2" t="s">
        <v>64</v>
      </c>
      <c r="D255" s="2" t="s">
        <v>58</v>
      </c>
      <c r="E255" s="2" t="s">
        <v>65</v>
      </c>
      <c r="F255" s="2" t="s">
        <v>58</v>
      </c>
      <c r="G255" s="2" t="s">
        <v>66</v>
      </c>
      <c r="H255" s="2" t="s">
        <v>58</v>
      </c>
      <c r="I255" s="2" t="s">
        <v>67</v>
      </c>
      <c r="J255" s="2" t="s">
        <v>58</v>
      </c>
      <c r="K255" s="2" t="s">
        <v>70</v>
      </c>
      <c r="L255" s="1"/>
      <c r="M255" s="1"/>
    </row>
    <row r="256" spans="1:13" ht="22.5" customHeight="1">
      <c r="A256" s="1"/>
      <c r="B256" s="1">
        <f>E240</f>
        <v>48.324136362096894</v>
      </c>
      <c r="C256" s="1">
        <f>D240</f>
        <v>6190</v>
      </c>
      <c r="D256" s="1">
        <f>E241</f>
        <v>61.203498595851272</v>
      </c>
      <c r="E256" s="1">
        <f>D241</f>
        <v>6380</v>
      </c>
      <c r="F256" s="1">
        <f>E242</f>
        <v>77.125365848336912</v>
      </c>
      <c r="G256" s="1">
        <f>D242</f>
        <v>6450</v>
      </c>
      <c r="H256" s="1">
        <f>E243</f>
        <v>96.48267615354635</v>
      </c>
      <c r="I256" s="1">
        <f>D243</f>
        <v>6500</v>
      </c>
      <c r="J256" s="1">
        <f>E244</f>
        <v>119.60018887562514</v>
      </c>
      <c r="K256" s="1">
        <f>D244</f>
        <v>6500</v>
      </c>
      <c r="L256" s="1"/>
      <c r="M256" s="1"/>
    </row>
    <row r="257" spans="1:13" ht="22.5" customHeight="1">
      <c r="A257" s="1"/>
      <c r="B257" s="1">
        <f>E240</f>
        <v>48.324136362096894</v>
      </c>
      <c r="C257" s="1">
        <f>F240</f>
        <v>5037.4242823281529</v>
      </c>
      <c r="D257" s="1">
        <f>E241</f>
        <v>61.203498595851272</v>
      </c>
      <c r="E257" s="1">
        <f>F241</f>
        <v>5118.4530744336571</v>
      </c>
      <c r="F257" s="1">
        <f>E242</f>
        <v>77.125365848336912</v>
      </c>
      <c r="G257" s="1">
        <f>F242</f>
        <v>5195.9056070996376</v>
      </c>
      <c r="H257" s="1">
        <f>E243</f>
        <v>96.48267615354635</v>
      </c>
      <c r="I257" s="1">
        <f>F243</f>
        <v>5243.6154231347018</v>
      </c>
      <c r="J257" s="1">
        <f>E244</f>
        <v>119.60018887562514</v>
      </c>
      <c r="K257" s="1">
        <f>F244</f>
        <v>5309.745499689634</v>
      </c>
      <c r="L257" s="1"/>
      <c r="M257" s="1"/>
    </row>
    <row r="258" spans="1:13" ht="22.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</row>
    <row r="259" spans="1:13" ht="22.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</row>
    <row r="260" spans="1:13" ht="22.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</row>
    <row r="261" spans="1:13" ht="22.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</row>
    <row r="262" spans="1:13" ht="22.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</row>
    <row r="263" spans="1:13" ht="22.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</row>
    <row r="264" spans="1:13" ht="22.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</row>
    <row r="265" spans="1:13" ht="22.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</row>
    <row r="266" spans="1:13" ht="22.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</row>
    <row r="267" spans="1:13" ht="22.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</row>
    <row r="268" spans="1:13" ht="22.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</row>
    <row r="269" spans="1:13" ht="22.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</row>
    <row r="270" spans="1:13" ht="22.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</row>
    <row r="271" spans="1:13" ht="22.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</row>
    <row r="272" spans="1:13" ht="22.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</row>
    <row r="273" spans="1:13" ht="22.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</row>
    <row r="274" spans="1:13" ht="22.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</row>
    <row r="275" spans="1:13" ht="22.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</row>
    <row r="276" spans="1:13" ht="32" customHeight="1">
      <c r="A276" s="1"/>
      <c r="B276" s="27" t="str">
        <f>VLOOKUP("chart.wrc17GearPositions",Locale!$A$2:$D$73,4,FALSE)</f>
        <v>WRC17 · 挡位图</v>
      </c>
      <c r="C276" s="27"/>
      <c r="D276" s="27"/>
      <c r="E276" s="27"/>
      <c r="F276" s="27"/>
      <c r="G276" s="27"/>
      <c r="H276" s="1"/>
      <c r="I276" s="1"/>
      <c r="J276" s="1"/>
      <c r="K276" s="1"/>
      <c r="L276" s="1"/>
      <c r="M276" s="1"/>
    </row>
    <row r="277" spans="1:13" ht="32" customHeight="1">
      <c r="A277" s="1"/>
      <c r="B277" s="2" t="str">
        <f>VLOOKUP("label.gear",Locale!$A$2:$D$73,4,FALSE)</f>
        <v>挡位</v>
      </c>
      <c r="C277" s="2" t="str">
        <f>VLOOKUP("label.gearRatio",Locale!$A$2:$D$73,4,FALSE)</f>
        <v>齿比</v>
      </c>
      <c r="D277" s="2" t="str">
        <f>VLOOKUP("label.flashRpm",Locale!$A$2:$D$73,4,FALSE)</f>
        <v>闪烁 (rpm)</v>
      </c>
      <c r="E277" s="2" t="str">
        <f>VLOOKUP("label.shiftKmh",Locale!$A$2:$D$73,4,FALSE)</f>
        <v>换挡车速 (km/h)</v>
      </c>
      <c r="F277" s="2" t="str">
        <f>VLOOKUP("label.afterShiftRpm",Locale!$A$2:$D$73,4,FALSE)</f>
        <v>换挡后 (rpm)</v>
      </c>
      <c r="G277" s="2" t="str">
        <f>VLOOKUP("label.limitSpeedKmh",Locale!$A$2:$D$73,4,FALSE)</f>
        <v>限转车速 (km/h)</v>
      </c>
      <c r="H277" s="1"/>
      <c r="I277" s="1"/>
      <c r="J277" s="1"/>
      <c r="K277" s="1"/>
      <c r="L277" s="1"/>
      <c r="M277" s="1"/>
    </row>
    <row r="278" spans="1:13" ht="22.5" customHeight="1">
      <c r="A278" s="1"/>
      <c r="B278" s="1">
        <v>1</v>
      </c>
      <c r="C278" s="20">
        <f>IF('WRC17'!$D$53=1,'WRC17'!C15,'WRC17'!K15)</f>
        <v>3.5150000000000001</v>
      </c>
      <c r="D278" s="20">
        <f>IF('WRC17'!$D$53=1,'WRC17'!D15,'WRC17'!L15)</f>
        <v>7130</v>
      </c>
      <c r="E278" s="20">
        <f>IF('WRC17'!$D$53=1,'WRC17'!F15,'WRC17'!N15)</f>
        <v>55.641026890111483</v>
      </c>
      <c r="F278" s="20">
        <f>IF('WRC17'!$D$53=1,'WRC17'!E15,'WRC17'!M15)</f>
        <v>5801.3655761024174</v>
      </c>
      <c r="G278" s="20">
        <f>E278*'WRC17'!$O$7/D278</f>
        <v>66.332219995224065</v>
      </c>
      <c r="H278" s="1"/>
      <c r="I278" s="1"/>
      <c r="J278" s="1"/>
      <c r="K278" s="1"/>
      <c r="L278" s="1"/>
      <c r="M278" s="1"/>
    </row>
    <row r="279" spans="1:13" ht="22.5" customHeight="1">
      <c r="A279" s="1"/>
      <c r="B279" s="1">
        <v>2</v>
      </c>
      <c r="C279" s="20">
        <f>IF('WRC17'!$D$53=1,'WRC17'!C16,'WRC17'!K16)</f>
        <v>2.86</v>
      </c>
      <c r="D279" s="20">
        <f>IF('WRC17'!$D$53=1,'WRC17'!D16,'WRC17'!L16)</f>
        <v>7370</v>
      </c>
      <c r="E279" s="20">
        <f>IF('WRC17'!$D$53=1,'WRC17'!F16,'WRC17'!N16)</f>
        <v>70.685834705770347</v>
      </c>
      <c r="F279" s="20">
        <f>IF('WRC17'!$D$53=1,'WRC17'!E16,'WRC17'!M16)</f>
        <v>5914.038461538461</v>
      </c>
      <c r="G279" s="20">
        <f>E279*'WRC17'!$O$7/D279</f>
        <v>81.523689959165253</v>
      </c>
      <c r="H279" s="1"/>
      <c r="I279" s="1"/>
      <c r="J279" s="1"/>
      <c r="K279" s="1"/>
      <c r="L279" s="1"/>
      <c r="M279" s="1"/>
    </row>
    <row r="280" spans="1:13" ht="22.5" customHeight="1">
      <c r="A280" s="1"/>
      <c r="B280" s="1">
        <v>3</v>
      </c>
      <c r="C280" s="20">
        <f>IF('WRC17'!$D$53=1,'WRC17'!C17,'WRC17'!K17)</f>
        <v>2.2949999999999999</v>
      </c>
      <c r="D280" s="20">
        <f>IF('WRC17'!$D$53=1,'WRC17'!D17,'WRC17'!L17)</f>
        <v>7450</v>
      </c>
      <c r="E280" s="20">
        <f>IF('WRC17'!$D$53=1,'WRC17'!F17,'WRC17'!N17)</f>
        <v>89.043970880939852</v>
      </c>
      <c r="F280" s="20">
        <f>IF('WRC17'!$D$53=1,'WRC17'!E17,'WRC17'!M17)</f>
        <v>5998.9542483660134</v>
      </c>
      <c r="G280" s="20">
        <f>E280*'WRC17'!$O$7/D280</f>
        <v>101.59379228026695</v>
      </c>
      <c r="H280" s="1"/>
      <c r="I280" s="1"/>
      <c r="J280" s="1"/>
      <c r="K280" s="1"/>
      <c r="L280" s="1"/>
      <c r="M280" s="1"/>
    </row>
    <row r="281" spans="1:13" ht="22.5" customHeight="1">
      <c r="A281" s="1"/>
      <c r="B281" s="1">
        <v>4</v>
      </c>
      <c r="C281" s="20">
        <f>IF('WRC17'!$D$53=1,'WRC17'!C18,'WRC17'!K18)</f>
        <v>1.8480000000000001</v>
      </c>
      <c r="D281" s="20">
        <f>IF('WRC17'!$D$53=1,'WRC17'!D18,'WRC17'!L18)</f>
        <v>7510</v>
      </c>
      <c r="E281" s="20">
        <f>IF('WRC17'!$D$53=1,'WRC17'!F18,'WRC17'!N18)</f>
        <v>111.47279902959809</v>
      </c>
      <c r="F281" s="20">
        <f>IF('WRC17'!$D$53=1,'WRC17'!E18,'WRC17'!M18)</f>
        <v>6059.204545454546</v>
      </c>
      <c r="G281" s="20">
        <f>E281*'WRC17'!$O$7/D281</f>
        <v>126.16761541299385</v>
      </c>
      <c r="H281" s="1"/>
      <c r="I281" s="1"/>
      <c r="J281" s="1"/>
      <c r="K281" s="1"/>
      <c r="L281" s="1"/>
      <c r="M281" s="1"/>
    </row>
    <row r="282" spans="1:13" ht="22.5" customHeight="1">
      <c r="A282" s="1"/>
      <c r="B282" s="1">
        <v>5</v>
      </c>
      <c r="C282" s="20">
        <f>IF('WRC17'!$D$53=1,'WRC17'!C19,'WRC17'!K19)</f>
        <v>1.4910000000000001</v>
      </c>
      <c r="D282" s="20">
        <f>IF('WRC17'!$D$53=1,'WRC17'!D19,'WRC17'!L19)</f>
        <v>7500</v>
      </c>
      <c r="E282" s="20">
        <f>IF('WRC17'!$D$53=1,'WRC17'!F19,'WRC17'!N19)</f>
        <v>137.97949655770663</v>
      </c>
      <c r="F282" s="20">
        <f>IF('WRC17'!$D$53=1,'WRC17'!E19,'WRC17'!M19)</f>
        <v>6126.7605633802814</v>
      </c>
      <c r="G282" s="20">
        <f>E282*'WRC17'!$O$7/D282</f>
        <v>156.37676276540085</v>
      </c>
      <c r="H282" s="1"/>
      <c r="I282" s="1"/>
      <c r="J282" s="1"/>
      <c r="K282" s="1"/>
      <c r="L282" s="1"/>
      <c r="M282" s="1"/>
    </row>
    <row r="283" spans="1:13" ht="22.5" customHeight="1">
      <c r="A283" s="1"/>
      <c r="B283" s="1">
        <v>6</v>
      </c>
      <c r="C283" s="20">
        <f>IF('WRC17'!$D$53=1,'WRC17'!C20,'WRC17'!K20)</f>
        <v>1.218</v>
      </c>
      <c r="D283" s="20">
        <f>IF('WRC17'!$D$53=1,'WRC17'!D20,'WRC17'!L20)</f>
        <v>8500</v>
      </c>
      <c r="E283" s="20">
        <f>IF('WRC17'!$D$53=1,'WRC17'!F20,'WRC17'!N20)</f>
        <v>191.4267268335079</v>
      </c>
      <c r="F283" s="20" t="str">
        <f>""</f>
        <v/>
      </c>
      <c r="G283" s="20">
        <f>E283*'WRC17'!$O$7/D283</f>
        <v>191.4267268335079</v>
      </c>
      <c r="H283" s="1"/>
      <c r="I283" s="1"/>
      <c r="J283" s="1"/>
      <c r="K283" s="1"/>
      <c r="L283" s="1"/>
      <c r="M283" s="1"/>
    </row>
    <row r="284" spans="1:13" ht="22.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</row>
    <row r="285" spans="1:13" ht="22.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</row>
    <row r="286" spans="1:13" ht="22.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</row>
    <row r="287" spans="1:13" ht="32" customHeight="1">
      <c r="A287" s="1"/>
      <c r="B287" s="2" t="s">
        <v>58</v>
      </c>
      <c r="C287" s="2" t="str">
        <f>VLOOKUP("label.gearOne",Locale!$A$2:$D$73,4,FALSE)</f>
        <v>1 挡</v>
      </c>
      <c r="D287" s="2" t="s">
        <v>58</v>
      </c>
      <c r="E287" s="2" t="str">
        <f>VLOOKUP("label.gearTwo",Locale!$A$2:$D$73,4,FALSE)</f>
        <v>2 挡</v>
      </c>
      <c r="F287" s="2" t="s">
        <v>58</v>
      </c>
      <c r="G287" s="2" t="str">
        <f>VLOOKUP("label.gearThree",Locale!$A$2:$D$73,4,FALSE)</f>
        <v>3 挡</v>
      </c>
      <c r="H287" s="2" t="s">
        <v>58</v>
      </c>
      <c r="I287" s="2" t="str">
        <f>VLOOKUP("label.gearFour",Locale!$A$2:$D$73,4,FALSE)</f>
        <v>4 挡</v>
      </c>
      <c r="J287" s="2" t="s">
        <v>58</v>
      </c>
      <c r="K287" s="2" t="str">
        <f>VLOOKUP("label.gearFive",Locale!$A$2:$D$73,4,FALSE)</f>
        <v>5 挡</v>
      </c>
      <c r="L287" s="2" t="s">
        <v>58</v>
      </c>
      <c r="M287" s="2" t="str">
        <f>VLOOKUP("label.gearSix",Locale!$A$2:$D$73,4,FALSE)</f>
        <v>6 挡</v>
      </c>
    </row>
    <row r="288" spans="1:13" ht="22.5" customHeight="1">
      <c r="A288" s="1"/>
      <c r="B288" s="1">
        <v>0</v>
      </c>
      <c r="C288" s="1">
        <v>0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</row>
    <row r="289" spans="1:13" ht="22.5" customHeight="1">
      <c r="A289" s="1"/>
      <c r="B289" s="1">
        <f>G278</f>
        <v>66.332219995224065</v>
      </c>
      <c r="C289" s="1">
        <f>'WRC17'!$O$7</f>
        <v>8500</v>
      </c>
      <c r="D289" s="1">
        <f>G279</f>
        <v>81.523689959165253</v>
      </c>
      <c r="E289" s="1">
        <f>'WRC17'!$O$7</f>
        <v>8500</v>
      </c>
      <c r="F289" s="1">
        <f>G280</f>
        <v>101.59379228026695</v>
      </c>
      <c r="G289" s="1">
        <f>'WRC17'!$O$7</f>
        <v>8500</v>
      </c>
      <c r="H289" s="1">
        <f>G281</f>
        <v>126.16761541299385</v>
      </c>
      <c r="I289" s="1">
        <f>'WRC17'!$O$7</f>
        <v>8500</v>
      </c>
      <c r="J289" s="1">
        <f>G282</f>
        <v>156.37676276540085</v>
      </c>
      <c r="K289" s="1">
        <f>'WRC17'!$O$7</f>
        <v>8500</v>
      </c>
      <c r="L289" s="1">
        <f>G283</f>
        <v>191.4267268335079</v>
      </c>
      <c r="M289" s="1">
        <f>'WRC17'!$O$7</f>
        <v>8500</v>
      </c>
    </row>
    <row r="290" spans="1:13" ht="22.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</row>
    <row r="291" spans="1:13" ht="22.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</row>
    <row r="292" spans="1:13" ht="22.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</row>
    <row r="293" spans="1:13" ht="32" customHeight="1">
      <c r="A293" s="1"/>
      <c r="B293" s="2" t="s">
        <v>58</v>
      </c>
      <c r="C293" s="2" t="s">
        <v>64</v>
      </c>
      <c r="D293" s="2" t="s">
        <v>58</v>
      </c>
      <c r="E293" s="2" t="s">
        <v>65</v>
      </c>
      <c r="F293" s="2" t="s">
        <v>58</v>
      </c>
      <c r="G293" s="2" t="s">
        <v>66</v>
      </c>
      <c r="H293" s="2" t="s">
        <v>58</v>
      </c>
      <c r="I293" s="2" t="s">
        <v>67</v>
      </c>
      <c r="J293" s="2" t="s">
        <v>58</v>
      </c>
      <c r="K293" s="2" t="s">
        <v>70</v>
      </c>
      <c r="L293" s="1"/>
      <c r="M293" s="1"/>
    </row>
    <row r="294" spans="1:13" ht="22.5" customHeight="1">
      <c r="A294" s="1"/>
      <c r="B294" s="1">
        <f>E278</f>
        <v>55.641026890111483</v>
      </c>
      <c r="C294" s="1">
        <f>D278</f>
        <v>7130</v>
      </c>
      <c r="D294" s="1">
        <f>E279</f>
        <v>70.685834705770347</v>
      </c>
      <c r="E294" s="1">
        <f>D279</f>
        <v>7370</v>
      </c>
      <c r="F294" s="1">
        <f>E280</f>
        <v>89.043970880939852</v>
      </c>
      <c r="G294" s="1">
        <f>D280</f>
        <v>7450</v>
      </c>
      <c r="H294" s="1">
        <f>E281</f>
        <v>111.47279902959809</v>
      </c>
      <c r="I294" s="1">
        <f>D281</f>
        <v>7510</v>
      </c>
      <c r="J294" s="1">
        <f>E282</f>
        <v>137.97949655770663</v>
      </c>
      <c r="K294" s="1">
        <f>D282</f>
        <v>7500</v>
      </c>
      <c r="L294" s="1"/>
      <c r="M294" s="1"/>
    </row>
    <row r="295" spans="1:13" ht="22.5" customHeight="1">
      <c r="A295" s="1"/>
      <c r="B295" s="1">
        <f>E278</f>
        <v>55.641026890111483</v>
      </c>
      <c r="C295" s="1">
        <f>F278</f>
        <v>5801.3655761024174</v>
      </c>
      <c r="D295" s="1">
        <f>E279</f>
        <v>70.685834705770347</v>
      </c>
      <c r="E295" s="1">
        <f>F279</f>
        <v>5914.038461538461</v>
      </c>
      <c r="F295" s="1">
        <f>E280</f>
        <v>89.043970880939852</v>
      </c>
      <c r="G295" s="1">
        <f>F280</f>
        <v>5998.9542483660134</v>
      </c>
      <c r="H295" s="1">
        <f>E281</f>
        <v>111.47279902959809</v>
      </c>
      <c r="I295" s="1">
        <f>F281</f>
        <v>6059.204545454546</v>
      </c>
      <c r="J295" s="1">
        <f>E282</f>
        <v>137.97949655770663</v>
      </c>
      <c r="K295" s="1">
        <f>F282</f>
        <v>6126.7605633802814</v>
      </c>
      <c r="L295" s="1"/>
      <c r="M295" s="1"/>
    </row>
    <row r="296" spans="1:13" ht="22.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</row>
    <row r="297" spans="1:13" ht="22.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</row>
    <row r="298" spans="1:13" ht="22.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</row>
    <row r="299" spans="1:13" ht="22.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</row>
    <row r="300" spans="1:13" ht="22.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</row>
    <row r="301" spans="1:13" ht="22.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</row>
    <row r="302" spans="1:13" ht="22.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</row>
    <row r="303" spans="1:13" ht="22.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</row>
    <row r="304" spans="1:13" ht="22.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</row>
    <row r="305" spans="1:13" ht="22.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</row>
    <row r="306" spans="1:13" ht="22.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</row>
    <row r="307" spans="1:13" ht="22.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</row>
    <row r="308" spans="1:13" ht="22.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</row>
    <row r="309" spans="1:13" ht="22.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</row>
    <row r="310" spans="1:13" ht="22.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</row>
    <row r="311" spans="1:13" ht="22.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</row>
    <row r="312" spans="1:13" ht="22.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</row>
    <row r="313" spans="1:13" ht="22.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</row>
    <row r="314" spans="1:13" ht="32" customHeight="1">
      <c r="A314" s="1"/>
      <c r="B314" s="27" t="str">
        <f>VLOOKUP("chart.rally1GearPositions",Locale!$A$2:$D$73,4,FALSE)</f>
        <v>Rally1 · 挡位图</v>
      </c>
      <c r="C314" s="27"/>
      <c r="D314" s="27"/>
      <c r="E314" s="27"/>
      <c r="F314" s="27"/>
      <c r="G314" s="27"/>
      <c r="H314" s="1"/>
      <c r="I314" s="1"/>
      <c r="J314" s="1"/>
      <c r="K314" s="1"/>
      <c r="L314" s="1"/>
      <c r="M314" s="1"/>
    </row>
    <row r="315" spans="1:13" ht="32" customHeight="1">
      <c r="A315" s="1"/>
      <c r="B315" s="2" t="str">
        <f>VLOOKUP("label.gear",Locale!$A$2:$D$73,4,FALSE)</f>
        <v>挡位</v>
      </c>
      <c r="C315" s="2" t="str">
        <f>VLOOKUP("label.gearRatio",Locale!$A$2:$D$73,4,FALSE)</f>
        <v>齿比</v>
      </c>
      <c r="D315" s="2" t="str">
        <f>VLOOKUP("label.flashRpm",Locale!$A$2:$D$73,4,FALSE)</f>
        <v>闪烁 (rpm)</v>
      </c>
      <c r="E315" s="2" t="str">
        <f>VLOOKUP("label.shiftKmh",Locale!$A$2:$D$73,4,FALSE)</f>
        <v>换挡车速 (km/h)</v>
      </c>
      <c r="F315" s="2" t="str">
        <f>VLOOKUP("label.afterShiftRpm",Locale!$A$2:$D$73,4,FALSE)</f>
        <v>换挡后 (rpm)</v>
      </c>
      <c r="G315" s="2" t="str">
        <f>VLOOKUP("label.limitSpeedKmh",Locale!$A$2:$D$73,4,FALSE)</f>
        <v>限转车速 (km/h)</v>
      </c>
      <c r="H315" s="1"/>
      <c r="I315" s="1"/>
      <c r="J315" s="1"/>
      <c r="K315" s="1"/>
      <c r="L315" s="1"/>
      <c r="M315" s="1"/>
    </row>
    <row r="316" spans="1:13" ht="22.5" customHeight="1">
      <c r="A316" s="1"/>
      <c r="B316" s="1">
        <v>1</v>
      </c>
      <c r="C316" s="20">
        <f>IF(Rally1!$D$53=1,Rally1!C15,Rally1!K15)</f>
        <v>4.2530000000000001</v>
      </c>
      <c r="D316" s="20">
        <f>IF(Rally1!$D$53=1,Rally1!D15,Rally1!L15)</f>
        <v>7340</v>
      </c>
      <c r="E316" s="20">
        <f>IF(Rally1!$D$53=1,Rally1!F15,Rally1!N15)</f>
        <v>51.158137691228248</v>
      </c>
      <c r="F316" s="20">
        <f>IF(Rally1!$D$53=1,Rally1!E15,Rally1!M15)</f>
        <v>5244.8295320949919</v>
      </c>
      <c r="G316" s="20">
        <f>E316*Rally1!$O$7/D316</f>
        <v>59.243074983029985</v>
      </c>
      <c r="H316" s="1"/>
      <c r="I316" s="1"/>
      <c r="J316" s="1"/>
      <c r="K316" s="1"/>
      <c r="L316" s="1"/>
      <c r="M316" s="1"/>
    </row>
    <row r="317" spans="1:13" ht="22.5" customHeight="1">
      <c r="A317" s="1"/>
      <c r="B317" s="1">
        <v>2</v>
      </c>
      <c r="C317" s="20">
        <f>IF(Rally1!$D$53=1,Rally1!C16,Rally1!K16)</f>
        <v>3.0390000000000001</v>
      </c>
      <c r="D317" s="20">
        <f>IF(Rally1!$D$53=1,Rally1!D16,Rally1!L16)</f>
        <v>7520</v>
      </c>
      <c r="E317" s="20">
        <f>IF(Rally1!$D$53=1,Rally1!F16,Rally1!N16)</f>
        <v>73.350180989460753</v>
      </c>
      <c r="F317" s="20">
        <f>IF(Rally1!$D$53=1,Rally1!E16,Rally1!M16)</f>
        <v>5485.9624876604148</v>
      </c>
      <c r="G317" s="20">
        <f>E317*Rally1!$O$7/D317</f>
        <v>82.909114150321344</v>
      </c>
      <c r="H317" s="1"/>
      <c r="I317" s="1"/>
      <c r="J317" s="1"/>
      <c r="K317" s="1"/>
      <c r="L317" s="1"/>
      <c r="M317" s="1"/>
    </row>
    <row r="318" spans="1:13" ht="22.5" customHeight="1">
      <c r="A318" s="1"/>
      <c r="B318" s="1">
        <v>3</v>
      </c>
      <c r="C318" s="20">
        <f>IF(Rally1!$D$53=1,Rally1!C17,Rally1!K17)</f>
        <v>2.2170000000000001</v>
      </c>
      <c r="D318" s="20">
        <f>IF(Rally1!$D$53=1,Rally1!D17,Rally1!L17)</f>
        <v>7340</v>
      </c>
      <c r="E318" s="20">
        <f>IF(Rally1!$D$53=1,Rally1!F17,Rally1!N17)</f>
        <v>98.139629950741437</v>
      </c>
      <c r="F318" s="20">
        <f>IF(Rally1!$D$53=1,Rally1!E17,Rally1!M17)</f>
        <v>5820.351826792963</v>
      </c>
      <c r="G318" s="20">
        <f>E318*Rally1!$O$7/D318</f>
        <v>113.64943522906026</v>
      </c>
      <c r="H318" s="1"/>
      <c r="I318" s="1"/>
      <c r="J318" s="1"/>
      <c r="K318" s="1"/>
      <c r="L318" s="1"/>
      <c r="M318" s="1"/>
    </row>
    <row r="319" spans="1:13" ht="22.5" customHeight="1">
      <c r="A319" s="1"/>
      <c r="B319" s="1">
        <v>4</v>
      </c>
      <c r="C319" s="20">
        <f>IF(Rally1!$D$53=1,Rally1!C18,Rally1!K18)</f>
        <v>1.758</v>
      </c>
      <c r="D319" s="20">
        <f>IF(Rally1!$D$53=1,Rally1!D18,Rally1!L18)</f>
        <v>7520</v>
      </c>
      <c r="E319" s="20">
        <f>IF(Rally1!$D$53=1,Rally1!F18,Rally1!N18)</f>
        <v>126.7981797650576</v>
      </c>
      <c r="F319" s="20">
        <f>IF(Rally1!$D$53=1,Rally1!E18,Rally1!M18)</f>
        <v>5749.0784982935156</v>
      </c>
      <c r="G319" s="20">
        <f>E319*Rally1!$O$7/D319</f>
        <v>143.3224106386954</v>
      </c>
      <c r="H319" s="1"/>
      <c r="I319" s="1"/>
      <c r="J319" s="1"/>
      <c r="K319" s="1"/>
      <c r="L319" s="1"/>
      <c r="M319" s="1"/>
    </row>
    <row r="320" spans="1:13" ht="22.5" customHeight="1">
      <c r="A320" s="1"/>
      <c r="B320" s="1">
        <v>5</v>
      </c>
      <c r="C320" s="20">
        <f>IF(Rally1!$D$53=1,Rally1!C19,Rally1!K19)</f>
        <v>1.3440000000000001</v>
      </c>
      <c r="D320" s="20">
        <f>IF(Rally1!$D$53=1,Rally1!D19,Rally1!L19)</f>
        <v>8500</v>
      </c>
      <c r="E320" s="20">
        <f>IF(Rally1!$D$53=1,Rally1!F19,Rally1!N19)</f>
        <v>187.47083177293638</v>
      </c>
      <c r="F320" s="20" t="str">
        <f>""</f>
        <v/>
      </c>
      <c r="G320" s="20">
        <f>E320*Rally1!$O$7/D320</f>
        <v>187.47083177293638</v>
      </c>
      <c r="H320" s="1"/>
      <c r="I320" s="1"/>
      <c r="J320" s="1"/>
      <c r="K320" s="1"/>
      <c r="L320" s="1"/>
      <c r="M320" s="1"/>
    </row>
    <row r="321" spans="1:13" ht="22.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</row>
    <row r="322" spans="1:13" ht="22.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</row>
    <row r="323" spans="1:13" ht="22.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</row>
    <row r="324" spans="1:13" ht="22.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</row>
    <row r="325" spans="1:13" ht="32" customHeight="1">
      <c r="A325" s="1"/>
      <c r="B325" s="2" t="s">
        <v>58</v>
      </c>
      <c r="C325" s="2" t="str">
        <f>VLOOKUP("label.gearOne",Locale!$A$2:$D$73,4,FALSE)</f>
        <v>1 挡</v>
      </c>
      <c r="D325" s="2" t="s">
        <v>58</v>
      </c>
      <c r="E325" s="2" t="str">
        <f>VLOOKUP("label.gearTwo",Locale!$A$2:$D$73,4,FALSE)</f>
        <v>2 挡</v>
      </c>
      <c r="F325" s="2" t="s">
        <v>58</v>
      </c>
      <c r="G325" s="2" t="str">
        <f>VLOOKUP("label.gearThree",Locale!$A$2:$D$73,4,FALSE)</f>
        <v>3 挡</v>
      </c>
      <c r="H325" s="2" t="s">
        <v>58</v>
      </c>
      <c r="I325" s="2" t="str">
        <f>VLOOKUP("label.gearFour",Locale!$A$2:$D$73,4,FALSE)</f>
        <v>4 挡</v>
      </c>
      <c r="J325" s="2" t="s">
        <v>58</v>
      </c>
      <c r="K325" s="2" t="str">
        <f>VLOOKUP("label.gearFive",Locale!$A$2:$D$73,4,FALSE)</f>
        <v>5 挡</v>
      </c>
      <c r="L325" s="1"/>
      <c r="M325" s="1"/>
    </row>
    <row r="326" spans="1:13" ht="22.5" customHeight="1">
      <c r="A326" s="1"/>
      <c r="B326" s="1">
        <v>0</v>
      </c>
      <c r="C326" s="1">
        <v>0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/>
      <c r="M326" s="1"/>
    </row>
    <row r="327" spans="1:13" ht="22.5" customHeight="1">
      <c r="A327" s="1"/>
      <c r="B327" s="1">
        <f>G316</f>
        <v>59.243074983029985</v>
      </c>
      <c r="C327" s="1">
        <f>Rally1!$O$7</f>
        <v>8500</v>
      </c>
      <c r="D327" s="1">
        <f>G317</f>
        <v>82.909114150321344</v>
      </c>
      <c r="E327" s="1">
        <f>Rally1!$O$7</f>
        <v>8500</v>
      </c>
      <c r="F327" s="1">
        <f>G318</f>
        <v>113.64943522906026</v>
      </c>
      <c r="G327" s="1">
        <f>Rally1!$O$7</f>
        <v>8500</v>
      </c>
      <c r="H327" s="1">
        <f>G319</f>
        <v>143.3224106386954</v>
      </c>
      <c r="I327" s="1">
        <f>Rally1!$O$7</f>
        <v>8500</v>
      </c>
      <c r="J327" s="1">
        <f>G320</f>
        <v>187.47083177293638</v>
      </c>
      <c r="K327" s="1">
        <f>Rally1!$O$7</f>
        <v>8500</v>
      </c>
      <c r="L327" s="1"/>
      <c r="M327" s="1"/>
    </row>
    <row r="328" spans="1:13" ht="22.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</row>
    <row r="329" spans="1:13" ht="22.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</row>
    <row r="330" spans="1:13" ht="22.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</row>
    <row r="331" spans="1:13" ht="32" customHeight="1">
      <c r="A331" s="1"/>
      <c r="B331" s="2" t="s">
        <v>58</v>
      </c>
      <c r="C331" s="2" t="s">
        <v>64</v>
      </c>
      <c r="D331" s="2" t="s">
        <v>58</v>
      </c>
      <c r="E331" s="2" t="s">
        <v>65</v>
      </c>
      <c r="F331" s="2" t="s">
        <v>58</v>
      </c>
      <c r="G331" s="2" t="s">
        <v>66</v>
      </c>
      <c r="H331" s="2" t="s">
        <v>58</v>
      </c>
      <c r="I331" s="2" t="s">
        <v>67</v>
      </c>
      <c r="J331" s="1"/>
      <c r="K331" s="1"/>
      <c r="L331" s="1"/>
      <c r="M331" s="1"/>
    </row>
    <row r="332" spans="1:13" ht="22.5" customHeight="1">
      <c r="A332" s="1"/>
      <c r="B332" s="1">
        <f>E316</f>
        <v>51.158137691228248</v>
      </c>
      <c r="C332" s="1">
        <f>D316</f>
        <v>7340</v>
      </c>
      <c r="D332" s="1">
        <f>E317</f>
        <v>73.350180989460753</v>
      </c>
      <c r="E332" s="1">
        <f>D317</f>
        <v>7520</v>
      </c>
      <c r="F332" s="1">
        <f>E318</f>
        <v>98.139629950741437</v>
      </c>
      <c r="G332" s="1">
        <f>D318</f>
        <v>7340</v>
      </c>
      <c r="H332" s="1">
        <f>E319</f>
        <v>126.7981797650576</v>
      </c>
      <c r="I332" s="1">
        <f>D319</f>
        <v>7520</v>
      </c>
      <c r="J332" s="1"/>
      <c r="K332" s="1"/>
      <c r="L332" s="1"/>
      <c r="M332" s="1"/>
    </row>
    <row r="333" spans="1:13" ht="22.5" customHeight="1">
      <c r="A333" s="1"/>
      <c r="B333" s="1">
        <f>E316</f>
        <v>51.158137691228248</v>
      </c>
      <c r="C333" s="1">
        <f>F316</f>
        <v>5244.8295320949919</v>
      </c>
      <c r="D333" s="1">
        <f>E317</f>
        <v>73.350180989460753</v>
      </c>
      <c r="E333" s="1">
        <f>F317</f>
        <v>5485.9624876604148</v>
      </c>
      <c r="F333" s="1">
        <f>E318</f>
        <v>98.139629950741437</v>
      </c>
      <c r="G333" s="1">
        <f>F318</f>
        <v>5820.351826792963</v>
      </c>
      <c r="H333" s="1">
        <f>E319</f>
        <v>126.7981797650576</v>
      </c>
      <c r="I333" s="1">
        <f>F319</f>
        <v>5749.0784982935156</v>
      </c>
      <c r="J333" s="1"/>
      <c r="K333" s="1"/>
      <c r="L333" s="1"/>
      <c r="M333" s="1"/>
    </row>
    <row r="334" spans="1:13" ht="22.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</row>
    <row r="335" spans="1:13" ht="22.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</row>
    <row r="336" spans="1:13" ht="22.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</row>
    <row r="337" spans="1:13" ht="22.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</row>
    <row r="338" spans="1:13" ht="22.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</row>
    <row r="339" spans="1:13" ht="22.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</row>
    <row r="340" spans="1:13" ht="22.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</row>
    <row r="341" spans="1:13" ht="22.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</row>
    <row r="342" spans="1:13" ht="22.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</row>
    <row r="343" spans="1:13" ht="22.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</row>
    <row r="344" spans="1:13" ht="22.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</row>
    <row r="345" spans="1:13" ht="22.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</row>
    <row r="346" spans="1:13" ht="22.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</row>
    <row r="347" spans="1:13" ht="22.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</row>
    <row r="348" spans="1:13" ht="22.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</row>
    <row r="349" spans="1:13" ht="22.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</row>
    <row r="350" spans="1:13" ht="22.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</row>
    <row r="351" spans="1:13" ht="22.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</row>
    <row r="352" spans="1:13" ht="32" customHeight="1">
      <c r="A352" s="1"/>
      <c r="B352" s="27" t="str">
        <f>VLOOKUP("chart.rx1GearPositions",Locale!$A$2:$D$73,4,FALSE)</f>
        <v>RX1 · 挡位图</v>
      </c>
      <c r="C352" s="27"/>
      <c r="D352" s="27"/>
      <c r="E352" s="27"/>
      <c r="F352" s="27"/>
      <c r="G352" s="27"/>
      <c r="H352" s="1"/>
      <c r="I352" s="1"/>
      <c r="J352" s="1"/>
      <c r="K352" s="1"/>
      <c r="L352" s="1"/>
      <c r="M352" s="1"/>
    </row>
    <row r="353" spans="1:13" ht="32" customHeight="1">
      <c r="A353" s="1"/>
      <c r="B353" s="2" t="str">
        <f>VLOOKUP("label.gear",Locale!$A$2:$D$73,4,FALSE)</f>
        <v>挡位</v>
      </c>
      <c r="C353" s="2" t="str">
        <f>VLOOKUP("label.gearRatio",Locale!$A$2:$D$73,4,FALSE)</f>
        <v>齿比</v>
      </c>
      <c r="D353" s="2" t="str">
        <f>VLOOKUP("label.flashRpm",Locale!$A$2:$D$73,4,FALSE)</f>
        <v>闪烁 (rpm)</v>
      </c>
      <c r="E353" s="2" t="str">
        <f>VLOOKUP("label.shiftKmh",Locale!$A$2:$D$73,4,FALSE)</f>
        <v>换挡车速 (km/h)</v>
      </c>
      <c r="F353" s="2" t="str">
        <f>VLOOKUP("label.afterShiftRpm",Locale!$A$2:$D$73,4,FALSE)</f>
        <v>换挡后 (rpm)</v>
      </c>
      <c r="G353" s="2" t="str">
        <f>VLOOKUP("label.limitSpeedKmh",Locale!$A$2:$D$73,4,FALSE)</f>
        <v>限转车速 (km/h)</v>
      </c>
      <c r="H353" s="1"/>
      <c r="I353" s="1"/>
      <c r="J353" s="1"/>
      <c r="K353" s="1"/>
      <c r="L353" s="1"/>
      <c r="M353" s="1"/>
    </row>
    <row r="354" spans="1:13" ht="22.5" customHeight="1">
      <c r="A354" s="1"/>
      <c r="B354" s="1">
        <v>1</v>
      </c>
      <c r="C354" s="20">
        <f>'RX1'!C15</f>
        <v>3.24</v>
      </c>
      <c r="D354" s="20">
        <f>'RX1'!D15</f>
        <v>6000</v>
      </c>
      <c r="E354" s="20">
        <f>'RX1'!F15</f>
        <v>55.850536063818538</v>
      </c>
      <c r="F354" s="20">
        <f>'RX1'!E15</f>
        <v>4812.9629629629635</v>
      </c>
      <c r="G354" s="20">
        <f>E354*'RX1'!$O$7/D354</f>
        <v>79.121592757076257</v>
      </c>
      <c r="H354" s="1"/>
      <c r="I354" s="1"/>
      <c r="J354" s="1"/>
      <c r="K354" s="1"/>
      <c r="L354" s="1"/>
      <c r="M354" s="1"/>
    </row>
    <row r="355" spans="1:13" ht="22.5" customHeight="1">
      <c r="A355" s="1"/>
      <c r="B355" s="1">
        <v>2</v>
      </c>
      <c r="C355" s="20">
        <f>'RX1'!C16</f>
        <v>2.5990000000000002</v>
      </c>
      <c r="D355" s="20">
        <f>'RX1'!D16</f>
        <v>6170</v>
      </c>
      <c r="E355" s="20">
        <f>'RX1'!F16</f>
        <v>71.597851503436175</v>
      </c>
      <c r="F355" s="20">
        <f>'RX1'!E16</f>
        <v>4952.1431319738349</v>
      </c>
      <c r="G355" s="20">
        <f>E355*'RX1'!$O$7/D355</f>
        <v>98.635613902626829</v>
      </c>
      <c r="H355" s="1"/>
      <c r="I355" s="1"/>
      <c r="J355" s="1"/>
      <c r="K355" s="1"/>
      <c r="L355" s="1"/>
      <c r="M355" s="1"/>
    </row>
    <row r="356" spans="1:13" ht="22.5" customHeight="1">
      <c r="A356" s="1"/>
      <c r="B356" s="1">
        <v>3</v>
      </c>
      <c r="C356" s="20">
        <f>'RX1'!C17</f>
        <v>2.0859999999999999</v>
      </c>
      <c r="D356" s="20">
        <f>'RX1'!D17</f>
        <v>6220</v>
      </c>
      <c r="E356" s="20">
        <f>'RX1'!F17</f>
        <v>89.928466218194515</v>
      </c>
      <c r="F356" s="20">
        <f>'RX1'!E17</f>
        <v>5039.2138063278999</v>
      </c>
      <c r="G356" s="20">
        <f>E356*'RX1'!$O$7/D356</f>
        <v>122.89259852968704</v>
      </c>
      <c r="H356" s="1"/>
      <c r="I356" s="1"/>
      <c r="J356" s="1"/>
      <c r="K356" s="1"/>
      <c r="L356" s="1"/>
      <c r="M356" s="1"/>
    </row>
    <row r="357" spans="1:13" ht="22.5" customHeight="1">
      <c r="A357" s="1"/>
      <c r="B357" s="1">
        <v>4</v>
      </c>
      <c r="C357" s="20">
        <f>'RX1'!C18</f>
        <v>1.69</v>
      </c>
      <c r="D357" s="20">
        <f>'RX1'!D18</f>
        <v>6250</v>
      </c>
      <c r="E357" s="20">
        <f>'RX1'!F18</f>
        <v>111.53583385525893</v>
      </c>
      <c r="F357" s="20">
        <f>'RX1'!E18</f>
        <v>5110.9467455621307</v>
      </c>
      <c r="G357" s="20">
        <f>E357*'RX1'!$O$7/D357</f>
        <v>151.68873404315215</v>
      </c>
      <c r="H357" s="1"/>
      <c r="I357" s="1"/>
      <c r="J357" s="1"/>
      <c r="K357" s="1"/>
      <c r="L357" s="1"/>
      <c r="M357" s="1"/>
    </row>
    <row r="358" spans="1:13" ht="22.5" customHeight="1">
      <c r="A358" s="1"/>
      <c r="B358" s="1">
        <v>5</v>
      </c>
      <c r="C358" s="20">
        <f>'RX1'!C19</f>
        <v>1.3819999999999999</v>
      </c>
      <c r="D358" s="20">
        <f>'RX1'!D19</f>
        <v>6260</v>
      </c>
      <c r="E358" s="20">
        <f>'RX1'!F19</f>
        <v>136.61154277144155</v>
      </c>
      <c r="F358" s="20">
        <f>'RX1'!E19</f>
        <v>5163.820549927641</v>
      </c>
      <c r="G358" s="20">
        <f>E358*'RX1'!$O$7/D358</f>
        <v>185.49490631905005</v>
      </c>
      <c r="H358" s="1"/>
      <c r="I358" s="1"/>
      <c r="J358" s="1"/>
      <c r="K358" s="1"/>
      <c r="L358" s="1"/>
      <c r="M358" s="1"/>
    </row>
    <row r="359" spans="1:13" ht="22.5" customHeight="1">
      <c r="A359" s="1"/>
      <c r="B359" s="1">
        <v>6</v>
      </c>
      <c r="C359" s="20">
        <f>'RX1'!C20</f>
        <v>1.1399999999999999</v>
      </c>
      <c r="D359" s="20">
        <f>'RX1'!D20</f>
        <v>8500</v>
      </c>
      <c r="E359" s="20">
        <f>'RX1'!F20</f>
        <v>224.87189520432207</v>
      </c>
      <c r="F359" s="20" t="str">
        <f>""</f>
        <v/>
      </c>
      <c r="G359" s="20">
        <f>E359*'RX1'!$O$7/D359</f>
        <v>224.87189520432207</v>
      </c>
      <c r="H359" s="1"/>
      <c r="I359" s="1"/>
      <c r="J359" s="1"/>
      <c r="K359" s="1"/>
      <c r="L359" s="1"/>
      <c r="M359" s="1"/>
    </row>
    <row r="360" spans="1:13" ht="22.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</row>
    <row r="361" spans="1:13" ht="22.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</row>
    <row r="362" spans="1:13" ht="22.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</row>
    <row r="363" spans="1:13" ht="32" customHeight="1">
      <c r="A363" s="1"/>
      <c r="B363" s="2" t="s">
        <v>58</v>
      </c>
      <c r="C363" s="2" t="str">
        <f>VLOOKUP("label.gearOne",Locale!$A$2:$D$73,4,FALSE)</f>
        <v>1 挡</v>
      </c>
      <c r="D363" s="2" t="s">
        <v>58</v>
      </c>
      <c r="E363" s="2" t="str">
        <f>VLOOKUP("label.gearTwo",Locale!$A$2:$D$73,4,FALSE)</f>
        <v>2 挡</v>
      </c>
      <c r="F363" s="2" t="s">
        <v>58</v>
      </c>
      <c r="G363" s="2" t="str">
        <f>VLOOKUP("label.gearThree",Locale!$A$2:$D$73,4,FALSE)</f>
        <v>3 挡</v>
      </c>
      <c r="H363" s="2" t="s">
        <v>58</v>
      </c>
      <c r="I363" s="2" t="str">
        <f>VLOOKUP("label.gearFour",Locale!$A$2:$D$73,4,FALSE)</f>
        <v>4 挡</v>
      </c>
      <c r="J363" s="2" t="s">
        <v>58</v>
      </c>
      <c r="K363" s="2" t="str">
        <f>VLOOKUP("label.gearFive",Locale!$A$2:$D$73,4,FALSE)</f>
        <v>5 挡</v>
      </c>
      <c r="L363" s="2" t="s">
        <v>58</v>
      </c>
      <c r="M363" s="2" t="str">
        <f>VLOOKUP("label.gearSix",Locale!$A$2:$D$73,4,FALSE)</f>
        <v>6 挡</v>
      </c>
    </row>
    <row r="364" spans="1:13" ht="22.5" customHeight="1">
      <c r="A364" s="1"/>
      <c r="B364" s="1">
        <v>0</v>
      </c>
      <c r="C364" s="1">
        <v>0</v>
      </c>
      <c r="D364" s="1">
        <v>0</v>
      </c>
      <c r="E364" s="1">
        <v>0</v>
      </c>
      <c r="F364" s="1">
        <v>0</v>
      </c>
      <c r="G364" s="1">
        <v>0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</row>
    <row r="365" spans="1:13" ht="22.5" customHeight="1">
      <c r="A365" s="1"/>
      <c r="B365" s="1">
        <f>G354</f>
        <v>79.121592757076257</v>
      </c>
      <c r="C365" s="1">
        <f>'RX1'!$O$7</f>
        <v>8500</v>
      </c>
      <c r="D365" s="1">
        <f>G355</f>
        <v>98.635613902626829</v>
      </c>
      <c r="E365" s="1">
        <f>'RX1'!$O$7</f>
        <v>8500</v>
      </c>
      <c r="F365" s="1">
        <f>G356</f>
        <v>122.89259852968704</v>
      </c>
      <c r="G365" s="1">
        <f>'RX1'!$O$7</f>
        <v>8500</v>
      </c>
      <c r="H365" s="1">
        <f>G357</f>
        <v>151.68873404315215</v>
      </c>
      <c r="I365" s="1">
        <f>'RX1'!$O$7</f>
        <v>8500</v>
      </c>
      <c r="J365" s="1">
        <f>G358</f>
        <v>185.49490631905005</v>
      </c>
      <c r="K365" s="1">
        <f>'RX1'!$O$7</f>
        <v>8500</v>
      </c>
      <c r="L365" s="1">
        <f>G359</f>
        <v>224.87189520432207</v>
      </c>
      <c r="M365" s="1">
        <f>'RX1'!$O$7</f>
        <v>8500</v>
      </c>
    </row>
    <row r="366" spans="1:13" ht="22.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</row>
    <row r="367" spans="1:13" ht="22.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</row>
    <row r="368" spans="1:13" ht="22.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</row>
    <row r="369" spans="1:13" ht="32" customHeight="1">
      <c r="A369" s="1"/>
      <c r="B369" s="2" t="s">
        <v>58</v>
      </c>
      <c r="C369" s="2" t="s">
        <v>64</v>
      </c>
      <c r="D369" s="2" t="s">
        <v>58</v>
      </c>
      <c r="E369" s="2" t="s">
        <v>65</v>
      </c>
      <c r="F369" s="2" t="s">
        <v>58</v>
      </c>
      <c r="G369" s="2" t="s">
        <v>66</v>
      </c>
      <c r="H369" s="2" t="s">
        <v>58</v>
      </c>
      <c r="I369" s="2" t="s">
        <v>67</v>
      </c>
      <c r="J369" s="2" t="s">
        <v>58</v>
      </c>
      <c r="K369" s="2" t="s">
        <v>70</v>
      </c>
      <c r="L369" s="1"/>
      <c r="M369" s="1"/>
    </row>
    <row r="370" spans="1:13" ht="22.5" customHeight="1">
      <c r="A370" s="1"/>
      <c r="B370" s="1">
        <f>E354</f>
        <v>55.850536063818538</v>
      </c>
      <c r="C370" s="1">
        <f>D354</f>
        <v>6000</v>
      </c>
      <c r="D370" s="1">
        <f>E355</f>
        <v>71.597851503436175</v>
      </c>
      <c r="E370" s="1">
        <f>D355</f>
        <v>6170</v>
      </c>
      <c r="F370" s="1">
        <f>E356</f>
        <v>89.928466218194515</v>
      </c>
      <c r="G370" s="1">
        <f>D356</f>
        <v>6220</v>
      </c>
      <c r="H370" s="1">
        <f>E357</f>
        <v>111.53583385525893</v>
      </c>
      <c r="I370" s="1">
        <f>D357</f>
        <v>6250</v>
      </c>
      <c r="J370" s="1">
        <f>E358</f>
        <v>136.61154277144155</v>
      </c>
      <c r="K370" s="1">
        <f>D358</f>
        <v>6260</v>
      </c>
      <c r="L370" s="1"/>
      <c r="M370" s="1"/>
    </row>
    <row r="371" spans="1:13" ht="22.5" customHeight="1">
      <c r="A371" s="1"/>
      <c r="B371" s="1">
        <f>E354</f>
        <v>55.850536063818538</v>
      </c>
      <c r="C371" s="1">
        <f>F354</f>
        <v>4812.9629629629635</v>
      </c>
      <c r="D371" s="1">
        <f>E355</f>
        <v>71.597851503436175</v>
      </c>
      <c r="E371" s="1">
        <f>F355</f>
        <v>4952.1431319738349</v>
      </c>
      <c r="F371" s="1">
        <f>E356</f>
        <v>89.928466218194515</v>
      </c>
      <c r="G371" s="1">
        <f>F356</f>
        <v>5039.2138063278999</v>
      </c>
      <c r="H371" s="1">
        <f>E357</f>
        <v>111.53583385525893</v>
      </c>
      <c r="I371" s="1">
        <f>F357</f>
        <v>5110.9467455621307</v>
      </c>
      <c r="J371" s="1">
        <f>E358</f>
        <v>136.61154277144155</v>
      </c>
      <c r="K371" s="1">
        <f>F358</f>
        <v>5163.820549927641</v>
      </c>
      <c r="L371" s="1"/>
      <c r="M371" s="1"/>
    </row>
    <row r="372" spans="1:13" ht="22.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</row>
    <row r="373" spans="1:13" ht="22.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</row>
    <row r="374" spans="1:13" ht="22.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</row>
    <row r="375" spans="1:13" ht="22.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</row>
    <row r="376" spans="1:13" ht="22.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</row>
    <row r="377" spans="1:13" ht="22.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</row>
    <row r="378" spans="1:13" ht="22.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</row>
    <row r="379" spans="1:13" ht="22.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</row>
    <row r="380" spans="1:13" ht="22.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</row>
    <row r="381" spans="1:13" ht="22.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</row>
    <row r="382" spans="1:13" ht="22.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</row>
    <row r="383" spans="1:13" ht="22.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</row>
    <row r="384" spans="1:13" ht="22.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</row>
    <row r="385" spans="1:13" ht="22.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</row>
    <row r="386" spans="1:13" ht="22.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</row>
    <row r="387" spans="1:13" ht="22.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</row>
    <row r="388" spans="1:13" ht="22.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</row>
    <row r="389" spans="1:13" ht="22.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</row>
    <row r="390" spans="1:13" ht="32" customHeight="1">
      <c r="A390" s="1"/>
      <c r="B390" s="27" t="str">
        <f>VLOOKUP("chart.rx3GearPositions",Locale!$A$2:$D$73,4,FALSE)</f>
        <v>RX3 · 挡位图</v>
      </c>
      <c r="C390" s="27"/>
      <c r="D390" s="27"/>
      <c r="E390" s="27"/>
      <c r="F390" s="27"/>
      <c r="G390" s="27"/>
      <c r="H390" s="1"/>
      <c r="I390" s="1"/>
      <c r="J390" s="1"/>
      <c r="K390" s="1"/>
      <c r="L390" s="1"/>
      <c r="M390" s="1"/>
    </row>
    <row r="391" spans="1:13" ht="32" customHeight="1">
      <c r="A391" s="1"/>
      <c r="B391" s="2" t="str">
        <f>VLOOKUP("label.gear",Locale!$A$2:$D$73,4,FALSE)</f>
        <v>挡位</v>
      </c>
      <c r="C391" s="2" t="str">
        <f>VLOOKUP("label.gearRatio",Locale!$A$2:$D$73,4,FALSE)</f>
        <v>齿比</v>
      </c>
      <c r="D391" s="2" t="str">
        <f>VLOOKUP("label.flashRpm",Locale!$A$2:$D$73,4,FALSE)</f>
        <v>闪烁 (rpm)</v>
      </c>
      <c r="E391" s="2" t="str">
        <f>VLOOKUP("label.shiftKmh",Locale!$A$2:$D$73,4,FALSE)</f>
        <v>换挡车速 (km/h)</v>
      </c>
      <c r="F391" s="2" t="str">
        <f>VLOOKUP("label.afterShiftRpm",Locale!$A$2:$D$73,4,FALSE)</f>
        <v>换挡后 (rpm)</v>
      </c>
      <c r="G391" s="2" t="str">
        <f>VLOOKUP("label.limitSpeedKmh",Locale!$A$2:$D$73,4,FALSE)</f>
        <v>限转车速 (km/h)</v>
      </c>
      <c r="H391" s="1"/>
      <c r="I391" s="1"/>
      <c r="J391" s="1"/>
      <c r="K391" s="1"/>
      <c r="L391" s="1"/>
      <c r="M391" s="1"/>
    </row>
    <row r="392" spans="1:13" ht="22.5" customHeight="1">
      <c r="A392" s="1"/>
      <c r="B392" s="1">
        <v>1</v>
      </c>
      <c r="C392" s="20">
        <f>'RX3'!C15</f>
        <v>3.24</v>
      </c>
      <c r="D392" s="20">
        <f>'RX3'!D15</f>
        <v>6000</v>
      </c>
      <c r="E392" s="20">
        <f>'RX3'!F15</f>
        <v>55.850536063818538</v>
      </c>
      <c r="F392" s="20">
        <f>'RX3'!E15</f>
        <v>4812.9629629629635</v>
      </c>
      <c r="G392" s="20">
        <f>E392*'RX3'!$O$7/D392</f>
        <v>79.121592757076257</v>
      </c>
      <c r="H392" s="1"/>
      <c r="I392" s="1"/>
      <c r="J392" s="1"/>
      <c r="K392" s="1"/>
      <c r="L392" s="1"/>
      <c r="M392" s="1"/>
    </row>
    <row r="393" spans="1:13" ht="22.5" customHeight="1">
      <c r="A393" s="1"/>
      <c r="B393" s="1">
        <v>2</v>
      </c>
      <c r="C393" s="20">
        <f>'RX3'!C16</f>
        <v>2.5990000000000002</v>
      </c>
      <c r="D393" s="20">
        <f>'RX3'!D16</f>
        <v>6170</v>
      </c>
      <c r="E393" s="20">
        <f>'RX3'!F16</f>
        <v>71.597851503436175</v>
      </c>
      <c r="F393" s="20">
        <f>'RX3'!E16</f>
        <v>4952.1431319738349</v>
      </c>
      <c r="G393" s="20">
        <f>E393*'RX3'!$O$7/D393</f>
        <v>98.635613902626829</v>
      </c>
      <c r="H393" s="1"/>
      <c r="I393" s="1"/>
      <c r="J393" s="1"/>
      <c r="K393" s="1"/>
      <c r="L393" s="1"/>
      <c r="M393" s="1"/>
    </row>
    <row r="394" spans="1:13" ht="22.5" customHeight="1">
      <c r="A394" s="1"/>
      <c r="B394" s="1">
        <v>3</v>
      </c>
      <c r="C394" s="20">
        <f>'RX3'!C17</f>
        <v>2.0859999999999999</v>
      </c>
      <c r="D394" s="20">
        <f>'RX3'!D17</f>
        <v>6220</v>
      </c>
      <c r="E394" s="20">
        <f>'RX3'!F17</f>
        <v>89.928466218194515</v>
      </c>
      <c r="F394" s="20">
        <f>'RX3'!E17</f>
        <v>5039.2138063278999</v>
      </c>
      <c r="G394" s="20">
        <f>E394*'RX3'!$O$7/D394</f>
        <v>122.89259852968704</v>
      </c>
      <c r="H394" s="1"/>
      <c r="I394" s="1"/>
      <c r="J394" s="1"/>
      <c r="K394" s="1"/>
      <c r="L394" s="1"/>
      <c r="M394" s="1"/>
    </row>
    <row r="395" spans="1:13" ht="22.5" customHeight="1">
      <c r="A395" s="1"/>
      <c r="B395" s="1">
        <v>4</v>
      </c>
      <c r="C395" s="20">
        <f>'RX3'!C18</f>
        <v>1.69</v>
      </c>
      <c r="D395" s="20">
        <f>'RX3'!D18</f>
        <v>6250</v>
      </c>
      <c r="E395" s="20">
        <f>'RX3'!F18</f>
        <v>111.53583385525893</v>
      </c>
      <c r="F395" s="20">
        <f>'RX3'!E18</f>
        <v>5110.9467455621307</v>
      </c>
      <c r="G395" s="20">
        <f>E395*'RX3'!$O$7/D395</f>
        <v>151.68873404315215</v>
      </c>
      <c r="H395" s="1"/>
      <c r="I395" s="1"/>
      <c r="J395" s="1"/>
      <c r="K395" s="1"/>
      <c r="L395" s="1"/>
      <c r="M395" s="1"/>
    </row>
    <row r="396" spans="1:13" ht="22.5" customHeight="1">
      <c r="A396" s="1"/>
      <c r="B396" s="1">
        <v>5</v>
      </c>
      <c r="C396" s="20">
        <f>'RX3'!C19</f>
        <v>1.3819999999999999</v>
      </c>
      <c r="D396" s="20">
        <f>'RX3'!D19</f>
        <v>8500</v>
      </c>
      <c r="E396" s="20">
        <f>'RX3'!F19</f>
        <v>185.49490631905005</v>
      </c>
      <c r="F396" s="20" t="str">
        <f>""</f>
        <v/>
      </c>
      <c r="G396" s="20">
        <f>E396*'RX3'!$O$7/D396</f>
        <v>185.49490631905005</v>
      </c>
      <c r="H396" s="1"/>
      <c r="I396" s="1"/>
      <c r="J396" s="1"/>
      <c r="K396" s="1"/>
      <c r="L396" s="1"/>
      <c r="M396" s="1"/>
    </row>
    <row r="397" spans="1:13" ht="22.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</row>
    <row r="398" spans="1:13" ht="22.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</row>
    <row r="399" spans="1:13" ht="22.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</row>
    <row r="400" spans="1:13" ht="22.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</row>
    <row r="401" spans="1:13" ht="32" customHeight="1">
      <c r="A401" s="1"/>
      <c r="B401" s="2" t="s">
        <v>58</v>
      </c>
      <c r="C401" s="2" t="str">
        <f>VLOOKUP("label.gearOne",Locale!$A$2:$D$73,4,FALSE)</f>
        <v>1 挡</v>
      </c>
      <c r="D401" s="2" t="s">
        <v>58</v>
      </c>
      <c r="E401" s="2" t="str">
        <f>VLOOKUP("label.gearTwo",Locale!$A$2:$D$73,4,FALSE)</f>
        <v>2 挡</v>
      </c>
      <c r="F401" s="2" t="s">
        <v>58</v>
      </c>
      <c r="G401" s="2" t="str">
        <f>VLOOKUP("label.gearThree",Locale!$A$2:$D$73,4,FALSE)</f>
        <v>3 挡</v>
      </c>
      <c r="H401" s="2" t="s">
        <v>58</v>
      </c>
      <c r="I401" s="2" t="str">
        <f>VLOOKUP("label.gearFour",Locale!$A$2:$D$73,4,FALSE)</f>
        <v>4 挡</v>
      </c>
      <c r="J401" s="2" t="s">
        <v>58</v>
      </c>
      <c r="K401" s="2" t="str">
        <f>VLOOKUP("label.gearFive",Locale!$A$2:$D$73,4,FALSE)</f>
        <v>5 挡</v>
      </c>
      <c r="L401" s="1"/>
      <c r="M401" s="1"/>
    </row>
    <row r="402" spans="1:13" ht="22.5" customHeight="1">
      <c r="A402" s="1"/>
      <c r="B402" s="1">
        <v>0</v>
      </c>
      <c r="C402" s="1">
        <v>0</v>
      </c>
      <c r="D402" s="1">
        <v>0</v>
      </c>
      <c r="E402" s="1">
        <v>0</v>
      </c>
      <c r="F402" s="1">
        <v>0</v>
      </c>
      <c r="G402" s="1">
        <v>0</v>
      </c>
      <c r="H402" s="1">
        <v>0</v>
      </c>
      <c r="I402" s="1">
        <v>0</v>
      </c>
      <c r="J402" s="1">
        <v>0</v>
      </c>
      <c r="K402" s="1">
        <v>0</v>
      </c>
      <c r="L402" s="1"/>
      <c r="M402" s="1"/>
    </row>
    <row r="403" spans="1:13" ht="22.5" customHeight="1">
      <c r="A403" s="1"/>
      <c r="B403" s="1">
        <f>G392</f>
        <v>79.121592757076257</v>
      </c>
      <c r="C403" s="1">
        <f>'RX3'!$O$7</f>
        <v>8500</v>
      </c>
      <c r="D403" s="1">
        <f>G393</f>
        <v>98.635613902626829</v>
      </c>
      <c r="E403" s="1">
        <f>'RX3'!$O$7</f>
        <v>8500</v>
      </c>
      <c r="F403" s="1">
        <f>G394</f>
        <v>122.89259852968704</v>
      </c>
      <c r="G403" s="1">
        <f>'RX3'!$O$7</f>
        <v>8500</v>
      </c>
      <c r="H403" s="1">
        <f>G395</f>
        <v>151.68873404315215</v>
      </c>
      <c r="I403" s="1">
        <f>'RX3'!$O$7</f>
        <v>8500</v>
      </c>
      <c r="J403" s="1">
        <f>G396</f>
        <v>185.49490631905005</v>
      </c>
      <c r="K403" s="1">
        <f>'RX3'!$O$7</f>
        <v>8500</v>
      </c>
      <c r="L403" s="1"/>
      <c r="M403" s="1"/>
    </row>
    <row r="404" spans="1:13" ht="22.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</row>
    <row r="405" spans="1:13" ht="22.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</row>
    <row r="406" spans="1:13" ht="22.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</row>
    <row r="407" spans="1:13" ht="32" customHeight="1">
      <c r="A407" s="1"/>
      <c r="B407" s="2" t="s">
        <v>58</v>
      </c>
      <c r="C407" s="2" t="s">
        <v>64</v>
      </c>
      <c r="D407" s="2" t="s">
        <v>58</v>
      </c>
      <c r="E407" s="2" t="s">
        <v>65</v>
      </c>
      <c r="F407" s="2" t="s">
        <v>58</v>
      </c>
      <c r="G407" s="2" t="s">
        <v>66</v>
      </c>
      <c r="H407" s="2" t="s">
        <v>58</v>
      </c>
      <c r="I407" s="2" t="s">
        <v>67</v>
      </c>
      <c r="J407" s="1"/>
      <c r="K407" s="1"/>
      <c r="L407" s="1"/>
      <c r="M407" s="1"/>
    </row>
    <row r="408" spans="1:13" ht="22.5" customHeight="1">
      <c r="A408" s="1"/>
      <c r="B408" s="1">
        <f>E392</f>
        <v>55.850536063818538</v>
      </c>
      <c r="C408" s="1">
        <f>D392</f>
        <v>6000</v>
      </c>
      <c r="D408" s="1">
        <f>E393</f>
        <v>71.597851503436175</v>
      </c>
      <c r="E408" s="1">
        <f>D393</f>
        <v>6170</v>
      </c>
      <c r="F408" s="1">
        <f>E394</f>
        <v>89.928466218194515</v>
      </c>
      <c r="G408" s="1">
        <f>D394</f>
        <v>6220</v>
      </c>
      <c r="H408" s="1">
        <f>E395</f>
        <v>111.53583385525893</v>
      </c>
      <c r="I408" s="1">
        <f>D395</f>
        <v>6250</v>
      </c>
      <c r="J408" s="1"/>
      <c r="K408" s="1"/>
      <c r="L408" s="1"/>
      <c r="M408" s="1"/>
    </row>
    <row r="409" spans="1:13" ht="22.5" customHeight="1">
      <c r="A409" s="1"/>
      <c r="B409" s="1">
        <f>E392</f>
        <v>55.850536063818538</v>
      </c>
      <c r="C409" s="1">
        <f>F392</f>
        <v>4812.9629629629635</v>
      </c>
      <c r="D409" s="1">
        <f>E393</f>
        <v>71.597851503436175</v>
      </c>
      <c r="E409" s="1">
        <f>F393</f>
        <v>4952.1431319738349</v>
      </c>
      <c r="F409" s="1">
        <f>E394</f>
        <v>89.928466218194515</v>
      </c>
      <c r="G409" s="1">
        <f>F394</f>
        <v>5039.2138063278999</v>
      </c>
      <c r="H409" s="1">
        <f>E395</f>
        <v>111.53583385525893</v>
      </c>
      <c r="I409" s="1">
        <f>F395</f>
        <v>5110.9467455621307</v>
      </c>
      <c r="J409" s="1"/>
      <c r="K409" s="1"/>
      <c r="L409" s="1"/>
      <c r="M409" s="1"/>
    </row>
    <row r="410" spans="1:13" ht="22.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</row>
    <row r="411" spans="1:13" ht="22.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</row>
    <row r="412" spans="1:13" ht="22.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</row>
    <row r="413" spans="1:13" ht="22.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</row>
    <row r="414" spans="1:13" ht="22.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</row>
    <row r="415" spans="1:13" ht="22.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</row>
    <row r="416" spans="1:13" ht="22.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</row>
    <row r="417" spans="1:13" ht="22.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</row>
    <row r="418" spans="1:13" ht="22.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</row>
    <row r="419" spans="1:13" ht="22.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</row>
    <row r="420" spans="1:13" ht="22.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</row>
    <row r="421" spans="1:13" ht="22.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</row>
    <row r="422" spans="1:13" ht="22.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</row>
    <row r="423" spans="1:13" ht="22.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</row>
    <row r="424" spans="1:13" ht="22.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</row>
    <row r="425" spans="1:13" ht="22.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</row>
    <row r="426" spans="1:13" ht="22.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</row>
    <row r="427" spans="1:13" ht="22.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</row>
    <row r="428" spans="1:13" ht="22.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</row>
    <row r="429" spans="1:13" ht="22.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</row>
    <row r="430" spans="1:13" ht="22.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</row>
  </sheetData>
  <mergeCells count="14">
    <mergeCell ref="B1:E1"/>
    <mergeCell ref="B2:E2"/>
    <mergeCell ref="B5:E5"/>
    <mergeCell ref="B200:G200"/>
    <mergeCell ref="B35:E35"/>
    <mergeCell ref="B352:G352"/>
    <mergeCell ref="B155:E155"/>
    <mergeCell ref="B390:G390"/>
    <mergeCell ref="B238:G238"/>
    <mergeCell ref="B65:E65"/>
    <mergeCell ref="B276:G276"/>
    <mergeCell ref="B95:E95"/>
    <mergeCell ref="B314:G314"/>
    <mergeCell ref="B125:E125"/>
  </mergeCells>
  <phoneticPr fontId="9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Rally2</vt:lpstr>
      <vt:lpstr>WRC16</vt:lpstr>
      <vt:lpstr>WRC17</vt:lpstr>
      <vt:lpstr>Rally1</vt:lpstr>
      <vt:lpstr>RX1</vt:lpstr>
      <vt:lpstr>RX3</vt:lpstr>
      <vt:lpstr>Locale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cp:lastPrinted>2026-10-27T06:18:54Z</cp:lastPrinted>
  <dcterms:modified xsi:type="dcterms:W3CDTF">2026-10-27T06:18:57Z</dcterms:modified>
</cp:coreProperties>
</file>