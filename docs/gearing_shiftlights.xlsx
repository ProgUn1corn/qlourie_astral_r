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mods\unpacked\un1corn_qlourie_astral_r\docs\"/>
    </mc:Choice>
  </mc:AlternateContent>
  <xr:revisionPtr revIDLastSave="0" documentId="13_ncr:1_{8B3D652C-E938-4E1A-ACA5-C55C9BFEE275}" xr6:coauthVersionLast="47" xr6:coauthVersionMax="47" xr10:uidLastSave="{00000000-0000-0000-0000-000000000000}"/>
  <bookViews>
    <workbookView xWindow="-110" yWindow="-110" windowWidth="25820" windowHeight="15500" xr2:uid="{00000000-000D-0000-FFFF-FFFF00000000}"/>
  </bookViews>
  <sheets>
    <sheet name="Rally2" sheetId="1" r:id="rId1"/>
    <sheet name="WRC16" sheetId="2" r:id="rId2"/>
    <sheet name="WRC17" sheetId="3" r:id="rId3"/>
    <sheet name="25R1" sheetId="4" r:id="rId4"/>
    <sheet name="Rally1" sheetId="9" r:id="rId5"/>
    <sheet name="RX1" sheetId="5" r:id="rId6"/>
    <sheet name="RX3" sheetId="6" r:id="rId7"/>
    <sheet name="Locale" sheetId="8" r:id="rId8" state="hidden"/>
    <sheet name="Samples" sheetId="7" r:id="rId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7" i="7" l="1"/>
  <c r="I487" i="7"/>
  <c r="G487" i="7"/>
  <c r="E487" i="7"/>
  <c r="C487" i="7"/>
  <c r="F480" i="7"/>
  <c r="C480" i="7"/>
  <c r="D479" i="7"/>
  <c r="I492" i="7" s="1"/>
  <c r="C479" i="7"/>
  <c r="D478" i="7"/>
  <c r="G492" i="7" s="1"/>
  <c r="C478" i="7"/>
  <c r="D477" i="7"/>
  <c r="E492" i="7" s="1"/>
  <c r="C477" i="7"/>
  <c r="D476" i="7"/>
  <c r="C492" i="7" s="1"/>
  <c r="C476" i="7"/>
  <c r="D451" i="7"/>
  <c r="D450" i="7"/>
  <c r="D449" i="7"/>
  <c r="D448" i="7"/>
  <c r="D447" i="7"/>
  <c r="D446" i="7"/>
  <c r="D445" i="7"/>
  <c r="D444" i="7"/>
  <c r="D443" i="7"/>
  <c r="D442" i="7"/>
  <c r="D441" i="7"/>
  <c r="D440" i="7"/>
  <c r="D439" i="7"/>
  <c r="D438" i="7"/>
  <c r="D437" i="7"/>
  <c r="K403" i="7"/>
  <c r="I403" i="7"/>
  <c r="G403" i="7"/>
  <c r="E403" i="7"/>
  <c r="C403" i="7"/>
  <c r="F396" i="7"/>
  <c r="C396" i="7"/>
  <c r="D395" i="7"/>
  <c r="I408" i="7" s="1"/>
  <c r="C395" i="7"/>
  <c r="D394" i="7"/>
  <c r="G408" i="7" s="1"/>
  <c r="C394" i="7"/>
  <c r="D393" i="7"/>
  <c r="E408" i="7" s="1"/>
  <c r="C393" i="7"/>
  <c r="D392" i="7"/>
  <c r="C408" i="7" s="1"/>
  <c r="C392" i="7"/>
  <c r="M365" i="7"/>
  <c r="K365" i="7"/>
  <c r="I365" i="7"/>
  <c r="G365" i="7"/>
  <c r="E365" i="7"/>
  <c r="C365" i="7"/>
  <c r="F359" i="7"/>
  <c r="C359" i="7"/>
  <c r="D358" i="7"/>
  <c r="K370" i="7" s="1"/>
  <c r="C358" i="7"/>
  <c r="D357" i="7"/>
  <c r="I370" i="7" s="1"/>
  <c r="C357" i="7"/>
  <c r="D356" i="7"/>
  <c r="G370" i="7" s="1"/>
  <c r="C356" i="7"/>
  <c r="D355" i="7"/>
  <c r="E370" i="7" s="1"/>
  <c r="C355" i="7"/>
  <c r="D354" i="7"/>
  <c r="C370" i="7" s="1"/>
  <c r="C354" i="7"/>
  <c r="K327" i="7"/>
  <c r="I327" i="7"/>
  <c r="G327" i="7"/>
  <c r="E327" i="7"/>
  <c r="C327" i="7"/>
  <c r="F320" i="7"/>
  <c r="C320" i="7"/>
  <c r="D319" i="7"/>
  <c r="I332" i="7" s="1"/>
  <c r="C319" i="7"/>
  <c r="D318" i="7"/>
  <c r="G332" i="7" s="1"/>
  <c r="C318" i="7"/>
  <c r="D317" i="7"/>
  <c r="E332" i="7" s="1"/>
  <c r="C317" i="7"/>
  <c r="D316" i="7"/>
  <c r="C332" i="7" s="1"/>
  <c r="C316" i="7"/>
  <c r="M289" i="7"/>
  <c r="K289" i="7"/>
  <c r="I289" i="7"/>
  <c r="G289" i="7"/>
  <c r="E289" i="7"/>
  <c r="C289" i="7"/>
  <c r="F283" i="7"/>
  <c r="C283" i="7"/>
  <c r="D282" i="7"/>
  <c r="K294" i="7" s="1"/>
  <c r="C282" i="7"/>
  <c r="D281" i="7"/>
  <c r="I294" i="7" s="1"/>
  <c r="C281" i="7"/>
  <c r="D280" i="7"/>
  <c r="G294" i="7" s="1"/>
  <c r="C280" i="7"/>
  <c r="D279" i="7"/>
  <c r="E294" i="7" s="1"/>
  <c r="C279" i="7"/>
  <c r="D278" i="7"/>
  <c r="C294" i="7" s="1"/>
  <c r="C278" i="7"/>
  <c r="M251" i="7"/>
  <c r="K251" i="7"/>
  <c r="I251" i="7"/>
  <c r="G251" i="7"/>
  <c r="E251" i="7"/>
  <c r="C251" i="7"/>
  <c r="F245" i="7"/>
  <c r="C245" i="7"/>
  <c r="D244" i="7"/>
  <c r="K256" i="7" s="1"/>
  <c r="C244" i="7"/>
  <c r="D243" i="7"/>
  <c r="I256" i="7" s="1"/>
  <c r="C243" i="7"/>
  <c r="D242" i="7"/>
  <c r="G256" i="7" s="1"/>
  <c r="C242" i="7"/>
  <c r="D241" i="7"/>
  <c r="E256" i="7" s="1"/>
  <c r="C241" i="7"/>
  <c r="D240" i="7"/>
  <c r="C256" i="7" s="1"/>
  <c r="C240" i="7"/>
  <c r="K213" i="7"/>
  <c r="I213" i="7"/>
  <c r="G213" i="7"/>
  <c r="E213" i="7"/>
  <c r="C213" i="7"/>
  <c r="F206" i="7"/>
  <c r="C206" i="7"/>
  <c r="D205" i="7"/>
  <c r="I218" i="7" s="1"/>
  <c r="C205" i="7"/>
  <c r="D204" i="7"/>
  <c r="G218" i="7" s="1"/>
  <c r="C204" i="7"/>
  <c r="D203" i="7"/>
  <c r="E218" i="7" s="1"/>
  <c r="C203" i="7"/>
  <c r="D202" i="7"/>
  <c r="C218" i="7" s="1"/>
  <c r="C202" i="7"/>
  <c r="D171" i="7"/>
  <c r="D170" i="7"/>
  <c r="D169" i="7"/>
  <c r="D168" i="7"/>
  <c r="D167" i="7"/>
  <c r="D166" i="7"/>
  <c r="D165" i="7"/>
  <c r="D164" i="7"/>
  <c r="D163" i="7"/>
  <c r="D162" i="7"/>
  <c r="D161" i="7"/>
  <c r="D160" i="7"/>
  <c r="D159" i="7"/>
  <c r="D158" i="7"/>
  <c r="D157" i="7"/>
  <c r="D6" i="6" s="1"/>
  <c r="D7" i="6" s="1"/>
  <c r="D141" i="7"/>
  <c r="D140" i="7"/>
  <c r="D139" i="7"/>
  <c r="D138" i="7"/>
  <c r="D137" i="7"/>
  <c r="D136" i="7"/>
  <c r="D135" i="7"/>
  <c r="D134" i="7"/>
  <c r="D133" i="7"/>
  <c r="D132" i="7"/>
  <c r="D131" i="7"/>
  <c r="D130" i="7"/>
  <c r="D129" i="7"/>
  <c r="D128" i="7"/>
  <c r="D127" i="7"/>
  <c r="D6" i="5" s="1"/>
  <c r="D7" i="5" s="1"/>
  <c r="D111" i="7"/>
  <c r="D110" i="7"/>
  <c r="D109" i="7"/>
  <c r="D108" i="7"/>
  <c r="D107" i="7"/>
  <c r="D106" i="7"/>
  <c r="D105" i="7"/>
  <c r="D104" i="7"/>
  <c r="D103" i="7"/>
  <c r="D102" i="7"/>
  <c r="D101" i="7"/>
  <c r="D100" i="7"/>
  <c r="D99" i="7"/>
  <c r="D98" i="7"/>
  <c r="D97" i="7"/>
  <c r="D6" i="4" s="1"/>
  <c r="D7" i="4" s="1"/>
  <c r="D81" i="7"/>
  <c r="D80" i="7"/>
  <c r="D79" i="7"/>
  <c r="D78" i="7"/>
  <c r="D77" i="7"/>
  <c r="D76" i="7"/>
  <c r="D75" i="7"/>
  <c r="D74" i="7"/>
  <c r="D73" i="7"/>
  <c r="D72" i="7"/>
  <c r="D71" i="7"/>
  <c r="D70" i="7"/>
  <c r="D69" i="7"/>
  <c r="D68" i="7"/>
  <c r="D67" i="7"/>
  <c r="D6" i="3" s="1"/>
  <c r="D7" i="3" s="1"/>
  <c r="D50" i="7"/>
  <c r="D49" i="7"/>
  <c r="D48" i="7"/>
  <c r="D47" i="7"/>
  <c r="D46" i="7"/>
  <c r="D45" i="7"/>
  <c r="D44" i="7"/>
  <c r="D43" i="7"/>
  <c r="D42" i="7"/>
  <c r="D41" i="7"/>
  <c r="D40" i="7"/>
  <c r="D39" i="7"/>
  <c r="D38" i="7"/>
  <c r="D37" i="7"/>
  <c r="D6" i="2" s="1"/>
  <c r="D7" i="2" s="1"/>
  <c r="D19" i="7"/>
  <c r="D18" i="7"/>
  <c r="D17" i="7"/>
  <c r="D16" i="7"/>
  <c r="D15" i="7"/>
  <c r="D14" i="7"/>
  <c r="D13" i="7"/>
  <c r="D12" i="7"/>
  <c r="D11" i="7"/>
  <c r="D10" i="7"/>
  <c r="D9" i="7"/>
  <c r="D8" i="7"/>
  <c r="D7" i="7"/>
  <c r="D6" i="1" s="1"/>
  <c r="D7" i="1" s="1"/>
  <c r="D19" i="6"/>
  <c r="G18" i="6"/>
  <c r="F18" i="6"/>
  <c r="E395" i="7" s="1"/>
  <c r="E18" i="6"/>
  <c r="F395" i="7" s="1"/>
  <c r="I409" i="7" s="1"/>
  <c r="G17" i="6"/>
  <c r="F17" i="6"/>
  <c r="E394" i="7" s="1"/>
  <c r="E17" i="6"/>
  <c r="F394" i="7" s="1"/>
  <c r="G409" i="7" s="1"/>
  <c r="G16" i="6"/>
  <c r="F16" i="6"/>
  <c r="E393" i="7" s="1"/>
  <c r="E16" i="6"/>
  <c r="F393" i="7" s="1"/>
  <c r="E409" i="7" s="1"/>
  <c r="G15" i="6"/>
  <c r="F15" i="6"/>
  <c r="E392" i="7" s="1"/>
  <c r="E15" i="6"/>
  <c r="F392" i="7" s="1"/>
  <c r="C409" i="7" s="1"/>
  <c r="D8" i="6"/>
  <c r="D9" i="6" s="1"/>
  <c r="D20" i="5"/>
  <c r="G19" i="5"/>
  <c r="F19" i="5"/>
  <c r="E358" i="7" s="1"/>
  <c r="E19" i="5"/>
  <c r="F358" i="7" s="1"/>
  <c r="K371" i="7" s="1"/>
  <c r="G18" i="5"/>
  <c r="F18" i="5"/>
  <c r="E357" i="7" s="1"/>
  <c r="E18" i="5"/>
  <c r="F357" i="7" s="1"/>
  <c r="I371" i="7" s="1"/>
  <c r="G17" i="5"/>
  <c r="F17" i="5"/>
  <c r="E356" i="7" s="1"/>
  <c r="E17" i="5"/>
  <c r="F356" i="7" s="1"/>
  <c r="G371" i="7" s="1"/>
  <c r="G16" i="5"/>
  <c r="F16" i="5"/>
  <c r="E355" i="7" s="1"/>
  <c r="E16" i="5"/>
  <c r="F355" i="7" s="1"/>
  <c r="E371" i="7" s="1"/>
  <c r="G15" i="5"/>
  <c r="F15" i="5"/>
  <c r="E354" i="7" s="1"/>
  <c r="E15" i="5"/>
  <c r="F354" i="7" s="1"/>
  <c r="C371" i="7" s="1"/>
  <c r="D8" i="5"/>
  <c r="D9" i="5" s="1"/>
  <c r="P23" i="9"/>
  <c r="L23" i="9"/>
  <c r="L19" i="9"/>
  <c r="D19" i="9"/>
  <c r="D480" i="7" s="1"/>
  <c r="O18" i="9"/>
  <c r="N18" i="9"/>
  <c r="M18" i="9"/>
  <c r="G18" i="9"/>
  <c r="F18" i="9"/>
  <c r="E479" i="7" s="1"/>
  <c r="E18" i="9"/>
  <c r="F479" i="7" s="1"/>
  <c r="I493" i="7" s="1"/>
  <c r="O17" i="9"/>
  <c r="N17" i="9"/>
  <c r="M17" i="9"/>
  <c r="G17" i="9"/>
  <c r="F17" i="9"/>
  <c r="E478" i="7" s="1"/>
  <c r="E17" i="9"/>
  <c r="F478" i="7" s="1"/>
  <c r="G493" i="7" s="1"/>
  <c r="O16" i="9"/>
  <c r="N16" i="9"/>
  <c r="M16" i="9"/>
  <c r="G16" i="9"/>
  <c r="F16" i="9"/>
  <c r="E477" i="7" s="1"/>
  <c r="E16" i="9"/>
  <c r="F477" i="7" s="1"/>
  <c r="E493" i="7" s="1"/>
  <c r="O15" i="9"/>
  <c r="N15" i="9"/>
  <c r="M15" i="9"/>
  <c r="G15" i="9"/>
  <c r="F15" i="9"/>
  <c r="E476" i="7" s="1"/>
  <c r="E15" i="9"/>
  <c r="F476" i="7" s="1"/>
  <c r="C493" i="7" s="1"/>
  <c r="D8" i="9"/>
  <c r="D9" i="9" s="1"/>
  <c r="P23" i="4"/>
  <c r="L23" i="4"/>
  <c r="L19" i="4"/>
  <c r="D19" i="4"/>
  <c r="D320" i="7" s="1"/>
  <c r="O18" i="4"/>
  <c r="N18" i="4"/>
  <c r="M18" i="4"/>
  <c r="G18" i="4"/>
  <c r="F18" i="4"/>
  <c r="E319" i="7" s="1"/>
  <c r="E18" i="4"/>
  <c r="F319" i="7" s="1"/>
  <c r="I333" i="7" s="1"/>
  <c r="O17" i="4"/>
  <c r="N17" i="4"/>
  <c r="M17" i="4"/>
  <c r="G17" i="4"/>
  <c r="F17" i="4"/>
  <c r="E318" i="7" s="1"/>
  <c r="E17" i="4"/>
  <c r="F318" i="7" s="1"/>
  <c r="G333" i="7" s="1"/>
  <c r="O16" i="4"/>
  <c r="N16" i="4"/>
  <c r="M16" i="4"/>
  <c r="G16" i="4"/>
  <c r="F16" i="4"/>
  <c r="E317" i="7" s="1"/>
  <c r="E16" i="4"/>
  <c r="F317" i="7" s="1"/>
  <c r="E333" i="7" s="1"/>
  <c r="O15" i="4"/>
  <c r="N15" i="4"/>
  <c r="M15" i="4"/>
  <c r="G15" i="4"/>
  <c r="F15" i="4"/>
  <c r="E316" i="7" s="1"/>
  <c r="E15" i="4"/>
  <c r="F316" i="7" s="1"/>
  <c r="C333" i="7" s="1"/>
  <c r="D8" i="4"/>
  <c r="D9" i="4" s="1"/>
  <c r="P23" i="3"/>
  <c r="L23" i="3"/>
  <c r="L20" i="3"/>
  <c r="D20" i="3"/>
  <c r="O19" i="3"/>
  <c r="N19" i="3"/>
  <c r="M19" i="3"/>
  <c r="G19" i="3"/>
  <c r="F19" i="3"/>
  <c r="E282" i="7" s="1"/>
  <c r="E19" i="3"/>
  <c r="F282" i="7" s="1"/>
  <c r="K295" i="7" s="1"/>
  <c r="O18" i="3"/>
  <c r="N18" i="3"/>
  <c r="M18" i="3"/>
  <c r="G18" i="3"/>
  <c r="F18" i="3"/>
  <c r="E281" i="7" s="1"/>
  <c r="E18" i="3"/>
  <c r="F281" i="7" s="1"/>
  <c r="I295" i="7" s="1"/>
  <c r="O17" i="3"/>
  <c r="N17" i="3"/>
  <c r="M17" i="3"/>
  <c r="G17" i="3"/>
  <c r="F17" i="3"/>
  <c r="E280" i="7" s="1"/>
  <c r="E17" i="3"/>
  <c r="F280" i="7" s="1"/>
  <c r="G295" i="7" s="1"/>
  <c r="O16" i="3"/>
  <c r="N16" i="3"/>
  <c r="M16" i="3"/>
  <c r="G16" i="3"/>
  <c r="F16" i="3"/>
  <c r="E279" i="7" s="1"/>
  <c r="E16" i="3"/>
  <c r="F279" i="7" s="1"/>
  <c r="E295" i="7" s="1"/>
  <c r="O15" i="3"/>
  <c r="N15" i="3"/>
  <c r="M15" i="3"/>
  <c r="G15" i="3"/>
  <c r="F15" i="3"/>
  <c r="E278" i="7" s="1"/>
  <c r="E15" i="3"/>
  <c r="F278" i="7" s="1"/>
  <c r="C295" i="7" s="1"/>
  <c r="D8" i="3"/>
  <c r="D9" i="3" s="1"/>
  <c r="P23" i="2"/>
  <c r="L23" i="2"/>
  <c r="L20" i="2"/>
  <c r="D20" i="2"/>
  <c r="O19" i="2"/>
  <c r="N19" i="2"/>
  <c r="M19" i="2"/>
  <c r="G19" i="2"/>
  <c r="F19" i="2"/>
  <c r="E244" i="7" s="1"/>
  <c r="E19" i="2"/>
  <c r="F244" i="7" s="1"/>
  <c r="K257" i="7" s="1"/>
  <c r="O18" i="2"/>
  <c r="N18" i="2"/>
  <c r="M18" i="2"/>
  <c r="G18" i="2"/>
  <c r="F18" i="2"/>
  <c r="E243" i="7" s="1"/>
  <c r="E18" i="2"/>
  <c r="F243" i="7" s="1"/>
  <c r="I257" i="7" s="1"/>
  <c r="O17" i="2"/>
  <c r="N17" i="2"/>
  <c r="M17" i="2"/>
  <c r="G17" i="2"/>
  <c r="F17" i="2"/>
  <c r="E242" i="7" s="1"/>
  <c r="E17" i="2"/>
  <c r="F242" i="7" s="1"/>
  <c r="G257" i="7" s="1"/>
  <c r="O16" i="2"/>
  <c r="N16" i="2"/>
  <c r="M16" i="2"/>
  <c r="G16" i="2"/>
  <c r="F16" i="2"/>
  <c r="E241" i="7" s="1"/>
  <c r="E16" i="2"/>
  <c r="F241" i="7" s="1"/>
  <c r="E257" i="7" s="1"/>
  <c r="O15" i="2"/>
  <c r="N15" i="2"/>
  <c r="M15" i="2"/>
  <c r="G15" i="2"/>
  <c r="F15" i="2"/>
  <c r="E240" i="7" s="1"/>
  <c r="E15" i="2"/>
  <c r="F240" i="7" s="1"/>
  <c r="C257" i="7" s="1"/>
  <c r="D8" i="2"/>
  <c r="D9" i="2" s="1"/>
  <c r="P23" i="1"/>
  <c r="L23" i="1"/>
  <c r="L19" i="1"/>
  <c r="D19" i="1"/>
  <c r="O18" i="1"/>
  <c r="N18" i="1"/>
  <c r="M18" i="1"/>
  <c r="G18" i="1"/>
  <c r="F18" i="1"/>
  <c r="E205" i="7" s="1"/>
  <c r="E18" i="1"/>
  <c r="F205" i="7" s="1"/>
  <c r="I219" i="7" s="1"/>
  <c r="O17" i="1"/>
  <c r="N17" i="1"/>
  <c r="M17" i="1"/>
  <c r="G17" i="1"/>
  <c r="F17" i="1"/>
  <c r="E204" i="7" s="1"/>
  <c r="E17" i="1"/>
  <c r="F204" i="7" s="1"/>
  <c r="G219" i="7" s="1"/>
  <c r="O16" i="1"/>
  <c r="N16" i="1"/>
  <c r="M16" i="1"/>
  <c r="G16" i="1"/>
  <c r="F16" i="1"/>
  <c r="E203" i="7" s="1"/>
  <c r="E16" i="1"/>
  <c r="F203" i="7" s="1"/>
  <c r="E219" i="7" s="1"/>
  <c r="O15" i="1"/>
  <c r="N15" i="1"/>
  <c r="M15" i="1"/>
  <c r="G15" i="1"/>
  <c r="F15" i="1"/>
  <c r="E202" i="7" s="1"/>
  <c r="E15" i="1"/>
  <c r="F202" i="7" s="1"/>
  <c r="C219" i="7" s="1"/>
  <c r="D8" i="1"/>
  <c r="D9" i="1" s="1"/>
  <c r="D75" i="8"/>
  <c r="B314" i="7" s="1"/>
  <c r="D74" i="8"/>
  <c r="B2" i="4" s="1"/>
  <c r="D73" i="8"/>
  <c r="B2" i="3" s="1"/>
  <c r="D72" i="8"/>
  <c r="B2" i="2" s="1"/>
  <c r="D71" i="8"/>
  <c r="B2" i="6" s="1"/>
  <c r="D70" i="8"/>
  <c r="B2" i="5" s="1"/>
  <c r="D69" i="8"/>
  <c r="B2" i="1" s="1"/>
  <c r="D68" i="8"/>
  <c r="B2" i="9" s="1"/>
  <c r="D67" i="8"/>
  <c r="D66" i="8"/>
  <c r="B155" i="7" s="1"/>
  <c r="D65" i="8"/>
  <c r="B3" i="6" s="1"/>
  <c r="D64" i="8"/>
  <c r="B2" i="7" s="1"/>
  <c r="D63" i="8"/>
  <c r="B3" i="9" s="1"/>
  <c r="D62" i="8"/>
  <c r="D61" i="8"/>
  <c r="D60" i="8"/>
  <c r="D59" i="8"/>
  <c r="D58" i="8"/>
  <c r="D57" i="8"/>
  <c r="D56" i="8"/>
  <c r="D55" i="8"/>
  <c r="D54" i="8"/>
  <c r="D53" i="8"/>
  <c r="D52" i="8"/>
  <c r="K5" i="1" s="1"/>
  <c r="D51" i="8"/>
  <c r="E475" i="7" s="1"/>
  <c r="D50" i="8"/>
  <c r="D49" i="8"/>
  <c r="D48" i="8"/>
  <c r="D47" i="8"/>
  <c r="D46" i="8"/>
  <c r="D45" i="8"/>
  <c r="D44" i="8"/>
  <c r="D43" i="8"/>
  <c r="D42" i="8"/>
  <c r="D41" i="8"/>
  <c r="D40" i="8"/>
  <c r="D39" i="8"/>
  <c r="D38" i="8"/>
  <c r="G475" i="7" s="1"/>
  <c r="D37" i="8"/>
  <c r="D36" i="8"/>
  <c r="D35" i="8"/>
  <c r="D34" i="8"/>
  <c r="E53" i="6" s="1"/>
  <c r="D33" i="8"/>
  <c r="D32" i="8"/>
  <c r="D31" i="8"/>
  <c r="D30" i="8"/>
  <c r="F23" i="3" s="1"/>
  <c r="D29" i="8"/>
  <c r="E485" i="7" s="1"/>
  <c r="D28" i="8"/>
  <c r="G485" i="7" s="1"/>
  <c r="D27" i="8"/>
  <c r="D26" i="8"/>
  <c r="D25" i="8"/>
  <c r="C485" i="7" s="1"/>
  <c r="D24" i="8"/>
  <c r="D23" i="8"/>
  <c r="I485" i="7" s="1"/>
  <c r="D22" i="8"/>
  <c r="D21" i="8"/>
  <c r="B475" i="7" s="1"/>
  <c r="D20" i="8"/>
  <c r="D19" i="8"/>
  <c r="D475" i="7" s="1"/>
  <c r="D18" i="8"/>
  <c r="G14" i="6" s="1"/>
  <c r="D17" i="8"/>
  <c r="D16" i="8"/>
  <c r="D15" i="8"/>
  <c r="D14" i="8"/>
  <c r="B1" i="7" s="1"/>
  <c r="D13" i="8"/>
  <c r="D12" i="8"/>
  <c r="D11" i="8"/>
  <c r="F475" i="7" s="1"/>
  <c r="D10" i="8"/>
  <c r="B276" i="7" s="1"/>
  <c r="D9" i="8"/>
  <c r="B238" i="7" s="1"/>
  <c r="D8" i="8"/>
  <c r="D7" i="8"/>
  <c r="B390" i="7" s="1"/>
  <c r="D6" i="8"/>
  <c r="B352" i="7" s="1"/>
  <c r="D5" i="8"/>
  <c r="B200" i="7" s="1"/>
  <c r="D4" i="8"/>
  <c r="B474" i="7" s="1"/>
  <c r="D3" i="8"/>
  <c r="D2" i="8"/>
  <c r="D6" i="9" l="1"/>
  <c r="D7" i="9" s="1"/>
  <c r="C475" i="7"/>
  <c r="C239" i="7"/>
  <c r="K485" i="7"/>
  <c r="K325" i="7"/>
  <c r="G358" i="7"/>
  <c r="J365" i="7" s="1"/>
  <c r="J371" i="7"/>
  <c r="J370" i="7"/>
  <c r="D396" i="7"/>
  <c r="G19" i="6"/>
  <c r="F19" i="6"/>
  <c r="E396" i="7" s="1"/>
  <c r="G396" i="7" s="1"/>
  <c r="J403" i="7" s="1"/>
  <c r="G395" i="7"/>
  <c r="H403" i="7" s="1"/>
  <c r="H408" i="7"/>
  <c r="H409" i="7"/>
  <c r="G394" i="7"/>
  <c r="F403" i="7" s="1"/>
  <c r="F408" i="7"/>
  <c r="F409" i="7"/>
  <c r="G393" i="7"/>
  <c r="D403" i="7" s="1"/>
  <c r="D408" i="7"/>
  <c r="D409" i="7"/>
  <c r="G392" i="7"/>
  <c r="B403" i="7" s="1"/>
  <c r="B408" i="7"/>
  <c r="B409" i="7"/>
  <c r="F20" i="5"/>
  <c r="E359" i="7" s="1"/>
  <c r="G20" i="5"/>
  <c r="D359" i="7"/>
  <c r="G357" i="7"/>
  <c r="H365" i="7" s="1"/>
  <c r="H371" i="7"/>
  <c r="H370" i="7"/>
  <c r="G356" i="7"/>
  <c r="F365" i="7" s="1"/>
  <c r="F371" i="7"/>
  <c r="F370" i="7"/>
  <c r="G355" i="7"/>
  <c r="D365" i="7" s="1"/>
  <c r="D371" i="7"/>
  <c r="D370" i="7"/>
  <c r="B371" i="7"/>
  <c r="B370" i="7"/>
  <c r="G354" i="7"/>
  <c r="B365" i="7" s="1"/>
  <c r="N19" i="9"/>
  <c r="O19" i="9"/>
  <c r="F19" i="9"/>
  <c r="E480" i="7" s="1"/>
  <c r="G480" i="7" s="1"/>
  <c r="J487" i="7" s="1"/>
  <c r="G19" i="9"/>
  <c r="H492" i="7"/>
  <c r="H493" i="7"/>
  <c r="G479" i="7"/>
  <c r="H487" i="7" s="1"/>
  <c r="G478" i="7"/>
  <c r="F487" i="7" s="1"/>
  <c r="F492" i="7"/>
  <c r="F493" i="7"/>
  <c r="G477" i="7"/>
  <c r="D487" i="7" s="1"/>
  <c r="D492" i="7"/>
  <c r="D493" i="7"/>
  <c r="G476" i="7"/>
  <c r="B487" i="7" s="1"/>
  <c r="B492" i="7"/>
  <c r="B493" i="7"/>
  <c r="O19" i="4"/>
  <c r="N19" i="4"/>
  <c r="G19" i="4"/>
  <c r="F19" i="4"/>
  <c r="E320" i="7" s="1"/>
  <c r="G320" i="7" s="1"/>
  <c r="J327" i="7" s="1"/>
  <c r="G319" i="7"/>
  <c r="H327" i="7" s="1"/>
  <c r="H332" i="7"/>
  <c r="H333" i="7"/>
  <c r="G318" i="7"/>
  <c r="F327" i="7" s="1"/>
  <c r="F333" i="7"/>
  <c r="F332" i="7"/>
  <c r="G317" i="7"/>
  <c r="D327" i="7" s="1"/>
  <c r="D332" i="7"/>
  <c r="D333" i="7"/>
  <c r="G316" i="7"/>
  <c r="B327" i="7" s="1"/>
  <c r="B333" i="7"/>
  <c r="B332" i="7"/>
  <c r="N20" i="3"/>
  <c r="O20" i="3"/>
  <c r="D283" i="7"/>
  <c r="F20" i="3"/>
  <c r="E283" i="7" s="1"/>
  <c r="G283" i="7" s="1"/>
  <c r="L289" i="7" s="1"/>
  <c r="G20" i="3"/>
  <c r="G282" i="7"/>
  <c r="J289" i="7" s="1"/>
  <c r="J294" i="7"/>
  <c r="J295" i="7"/>
  <c r="G281" i="7"/>
  <c r="H289" i="7" s="1"/>
  <c r="H294" i="7"/>
  <c r="H295" i="7"/>
  <c r="G280" i="7"/>
  <c r="F289" i="7" s="1"/>
  <c r="F294" i="7"/>
  <c r="F295" i="7"/>
  <c r="G279" i="7"/>
  <c r="D289" i="7" s="1"/>
  <c r="D294" i="7"/>
  <c r="D295" i="7"/>
  <c r="B294" i="7"/>
  <c r="B295" i="7"/>
  <c r="G278" i="7"/>
  <c r="B289" i="7" s="1"/>
  <c r="N20" i="2"/>
  <c r="O20" i="2"/>
  <c r="D245" i="7"/>
  <c r="G20" i="2"/>
  <c r="F20" i="2"/>
  <c r="E245" i="7" s="1"/>
  <c r="G245" i="7" s="1"/>
  <c r="L251" i="7" s="1"/>
  <c r="G244" i="7"/>
  <c r="J251" i="7" s="1"/>
  <c r="J256" i="7"/>
  <c r="J257" i="7"/>
  <c r="G243" i="7"/>
  <c r="H251" i="7" s="1"/>
  <c r="H256" i="7"/>
  <c r="H257" i="7"/>
  <c r="G242" i="7"/>
  <c r="F251" i="7" s="1"/>
  <c r="F256" i="7"/>
  <c r="F257" i="7"/>
  <c r="D256" i="7"/>
  <c r="D257" i="7"/>
  <c r="G241" i="7"/>
  <c r="D251" i="7" s="1"/>
  <c r="B256" i="7"/>
  <c r="B257" i="7"/>
  <c r="G240" i="7"/>
  <c r="B251" i="7" s="1"/>
  <c r="O19" i="1"/>
  <c r="N19" i="1"/>
  <c r="F19" i="1"/>
  <c r="E206" i="7" s="1"/>
  <c r="G19" i="1"/>
  <c r="D206" i="7"/>
  <c r="G205" i="7"/>
  <c r="H213" i="7" s="1"/>
  <c r="H218" i="7"/>
  <c r="H219" i="7"/>
  <c r="F219" i="7"/>
  <c r="G204" i="7"/>
  <c r="F213" i="7" s="1"/>
  <c r="F218" i="7"/>
  <c r="G203" i="7"/>
  <c r="D213" i="7" s="1"/>
  <c r="D219" i="7"/>
  <c r="D218" i="7"/>
  <c r="G202" i="7"/>
  <c r="B213" i="7" s="1"/>
  <c r="B219" i="7"/>
  <c r="B218" i="7"/>
  <c r="B11" i="5"/>
  <c r="B11" i="3"/>
  <c r="B11" i="6"/>
  <c r="B11" i="9"/>
  <c r="B11" i="2"/>
  <c r="B11" i="1"/>
  <c r="B11" i="4"/>
  <c r="N22" i="2"/>
  <c r="F22" i="4"/>
  <c r="F22" i="5"/>
  <c r="F22" i="9"/>
  <c r="F22" i="6"/>
  <c r="F22" i="1"/>
  <c r="N22" i="4"/>
  <c r="N22" i="3"/>
  <c r="F22" i="2"/>
  <c r="N22" i="1"/>
  <c r="N22" i="9"/>
  <c r="F22" i="3"/>
  <c r="B22" i="5"/>
  <c r="B22" i="4"/>
  <c r="J22" i="4"/>
  <c r="B22" i="9"/>
  <c r="B22" i="3"/>
  <c r="B22" i="1"/>
  <c r="J22" i="2"/>
  <c r="J22" i="9"/>
  <c r="B22" i="6"/>
  <c r="B22" i="2"/>
  <c r="J22" i="3"/>
  <c r="J22" i="1"/>
  <c r="P14" i="4"/>
  <c r="P14" i="1"/>
  <c r="H14" i="3"/>
  <c r="H14" i="6"/>
  <c r="P14" i="9"/>
  <c r="H14" i="2"/>
  <c r="H14" i="9"/>
  <c r="P14" i="3"/>
  <c r="H14" i="5"/>
  <c r="P14" i="2"/>
  <c r="H14" i="1"/>
  <c r="H14" i="4"/>
  <c r="B9" i="3"/>
  <c r="B9" i="2"/>
  <c r="B9" i="1"/>
  <c r="B9" i="9"/>
  <c r="B9" i="5"/>
  <c r="B9" i="6"/>
  <c r="B9" i="4"/>
  <c r="C36" i="7"/>
  <c r="C66" i="7"/>
  <c r="C96" i="7"/>
  <c r="C126" i="7"/>
  <c r="C6" i="7"/>
  <c r="C436" i="7"/>
  <c r="C156" i="7"/>
  <c r="K7" i="4"/>
  <c r="K7" i="3"/>
  <c r="K7" i="1"/>
  <c r="K7" i="6"/>
  <c r="K7" i="2"/>
  <c r="K7" i="5"/>
  <c r="K7" i="9"/>
  <c r="F14" i="6"/>
  <c r="N14" i="2"/>
  <c r="F14" i="1"/>
  <c r="N14" i="1"/>
  <c r="F14" i="5"/>
  <c r="N14" i="4"/>
  <c r="F14" i="3"/>
  <c r="N14" i="3"/>
  <c r="N14" i="9"/>
  <c r="F14" i="4"/>
  <c r="F14" i="2"/>
  <c r="F14" i="9"/>
  <c r="K5" i="5"/>
  <c r="K5" i="9"/>
  <c r="K5" i="3"/>
  <c r="K5" i="6"/>
  <c r="K5" i="4"/>
  <c r="K5" i="2"/>
  <c r="E277" i="7"/>
  <c r="E391" i="7"/>
  <c r="E353" i="7"/>
  <c r="E315" i="7"/>
  <c r="E201" i="7"/>
  <c r="E239" i="7"/>
  <c r="P18" i="2"/>
  <c r="H18" i="1"/>
  <c r="P15" i="3"/>
  <c r="H15" i="9"/>
  <c r="P17" i="2"/>
  <c r="H18" i="2"/>
  <c r="H18" i="6"/>
  <c r="H17" i="6"/>
  <c r="H15" i="3"/>
  <c r="H18" i="3"/>
  <c r="P18" i="9"/>
  <c r="P17" i="1"/>
  <c r="H18" i="9"/>
  <c r="P15" i="9"/>
  <c r="H19" i="2"/>
  <c r="H15" i="5"/>
  <c r="H15" i="2"/>
  <c r="H16" i="5"/>
  <c r="P19" i="3"/>
  <c r="H16" i="6"/>
  <c r="H16" i="9"/>
  <c r="P16" i="9"/>
  <c r="H17" i="9"/>
  <c r="H17" i="5"/>
  <c r="H18" i="5"/>
  <c r="H19" i="5"/>
  <c r="H17" i="2"/>
  <c r="P16" i="1"/>
  <c r="H17" i="1"/>
  <c r="H19" i="3"/>
  <c r="H17" i="3"/>
  <c r="H16" i="1"/>
  <c r="P15" i="1"/>
  <c r="H15" i="1"/>
  <c r="P16" i="2"/>
  <c r="P19" i="2"/>
  <c r="P15" i="2"/>
  <c r="H15" i="6"/>
  <c r="P18" i="4"/>
  <c r="H18" i="4"/>
  <c r="P17" i="4"/>
  <c r="H17" i="4"/>
  <c r="P16" i="4"/>
  <c r="P17" i="3"/>
  <c r="P16" i="3"/>
  <c r="P17" i="9"/>
  <c r="H16" i="4"/>
  <c r="P15" i="4"/>
  <c r="H16" i="3"/>
  <c r="H16" i="2"/>
  <c r="H15" i="4"/>
  <c r="P18" i="3"/>
  <c r="P18" i="1"/>
  <c r="F6" i="1"/>
  <c r="F6" i="9"/>
  <c r="F6" i="2"/>
  <c r="F6" i="4"/>
  <c r="F6" i="3"/>
  <c r="F6" i="6"/>
  <c r="F6" i="5"/>
  <c r="K9" i="3"/>
  <c r="K9" i="5"/>
  <c r="K9" i="4"/>
  <c r="K9" i="2"/>
  <c r="K9" i="6"/>
  <c r="K9" i="1"/>
  <c r="K9" i="9"/>
  <c r="B7" i="9"/>
  <c r="B7" i="4"/>
  <c r="B7" i="1"/>
  <c r="B7" i="3"/>
  <c r="B7" i="2"/>
  <c r="B7" i="6"/>
  <c r="B7" i="5"/>
  <c r="D156" i="7"/>
  <c r="D126" i="7"/>
  <c r="D96" i="7"/>
  <c r="D436" i="7"/>
  <c r="D66" i="7"/>
  <c r="D36" i="7"/>
  <c r="D6" i="7"/>
  <c r="B8" i="1"/>
  <c r="B8" i="5"/>
  <c r="B8" i="3"/>
  <c r="B8" i="6"/>
  <c r="B8" i="9"/>
  <c r="B8" i="2"/>
  <c r="B8" i="4"/>
  <c r="B6" i="3"/>
  <c r="B6" i="9"/>
  <c r="B6" i="4"/>
  <c r="B6" i="2"/>
  <c r="B6" i="1"/>
  <c r="B6" i="6"/>
  <c r="B6" i="5"/>
  <c r="K6" i="1"/>
  <c r="K6" i="5"/>
  <c r="K6" i="6"/>
  <c r="K6" i="4"/>
  <c r="K6" i="3"/>
  <c r="K6" i="2"/>
  <c r="K6" i="9"/>
  <c r="H19" i="1"/>
  <c r="H19" i="6"/>
  <c r="P19" i="4"/>
  <c r="H20" i="5"/>
  <c r="P19" i="9"/>
  <c r="H19" i="4"/>
  <c r="H20" i="3"/>
  <c r="P20" i="3"/>
  <c r="P20" i="2"/>
  <c r="H20" i="2"/>
  <c r="H19" i="9"/>
  <c r="P19" i="1"/>
  <c r="G391" i="7"/>
  <c r="G239" i="7"/>
  <c r="G315" i="7"/>
  <c r="G353" i="7"/>
  <c r="G277" i="7"/>
  <c r="G201" i="7"/>
  <c r="K8" i="1"/>
  <c r="K8" i="9"/>
  <c r="K8" i="2"/>
  <c r="K8" i="4"/>
  <c r="K8" i="5"/>
  <c r="K8" i="6"/>
  <c r="K8" i="3"/>
  <c r="J13" i="3"/>
  <c r="J13" i="4"/>
  <c r="J13" i="1"/>
  <c r="J13" i="2"/>
  <c r="J13" i="9"/>
  <c r="B13" i="2"/>
  <c r="E53" i="3"/>
  <c r="B13" i="3"/>
  <c r="B13" i="1"/>
  <c r="B13" i="4"/>
  <c r="E53" i="2"/>
  <c r="E53" i="4"/>
  <c r="E53" i="1"/>
  <c r="E53" i="9"/>
  <c r="B13" i="9"/>
  <c r="E53" i="5"/>
  <c r="B13" i="5"/>
  <c r="B13" i="6"/>
  <c r="F9" i="2"/>
  <c r="F9" i="3"/>
  <c r="F9" i="1"/>
  <c r="F9" i="5"/>
  <c r="F9" i="9"/>
  <c r="F9" i="4"/>
  <c r="F9" i="6"/>
  <c r="J23" i="9"/>
  <c r="B23" i="5"/>
  <c r="J23" i="1"/>
  <c r="B23" i="4"/>
  <c r="J23" i="4"/>
  <c r="J23" i="2"/>
  <c r="B23" i="6"/>
  <c r="B23" i="2"/>
  <c r="J23" i="3"/>
  <c r="B23" i="9"/>
  <c r="B23" i="1"/>
  <c r="B23" i="3"/>
  <c r="F23" i="6"/>
  <c r="N23" i="2"/>
  <c r="F23" i="2"/>
  <c r="N23" i="4"/>
  <c r="F23" i="4"/>
  <c r="F23" i="9"/>
  <c r="F23" i="5"/>
  <c r="N23" i="3"/>
  <c r="N23" i="9"/>
  <c r="N23" i="1"/>
  <c r="F23" i="1"/>
  <c r="E325" i="7"/>
  <c r="E211" i="7"/>
  <c r="E363" i="7"/>
  <c r="E249" i="7"/>
  <c r="E401" i="7"/>
  <c r="E287" i="7"/>
  <c r="G249" i="7"/>
  <c r="G325" i="7"/>
  <c r="G363" i="7"/>
  <c r="G211" i="7"/>
  <c r="G287" i="7"/>
  <c r="G401" i="7"/>
  <c r="M287" i="7"/>
  <c r="M363" i="7"/>
  <c r="M249" i="7"/>
  <c r="C391" i="7"/>
  <c r="C14" i="4"/>
  <c r="C315" i="7"/>
  <c r="C353" i="7"/>
  <c r="C14" i="2"/>
  <c r="C14" i="5"/>
  <c r="K14" i="2"/>
  <c r="C14" i="6"/>
  <c r="C277" i="7"/>
  <c r="C14" i="1"/>
  <c r="C14" i="9"/>
  <c r="K14" i="9"/>
  <c r="K14" i="3"/>
  <c r="C201" i="7"/>
  <c r="K14" i="1"/>
  <c r="K14" i="4"/>
  <c r="C14" i="3"/>
  <c r="C325" i="7"/>
  <c r="C287" i="7"/>
  <c r="C249" i="7"/>
  <c r="C211" i="7"/>
  <c r="C363" i="7"/>
  <c r="C401" i="7"/>
  <c r="B53" i="2"/>
  <c r="B53" i="6"/>
  <c r="B53" i="9"/>
  <c r="B53" i="5"/>
  <c r="B53" i="1"/>
  <c r="B53" i="4"/>
  <c r="B53" i="3"/>
  <c r="I249" i="7"/>
  <c r="I325" i="7"/>
  <c r="I363" i="7"/>
  <c r="I211" i="7"/>
  <c r="I401" i="7"/>
  <c r="I287" i="7"/>
  <c r="K401" i="7"/>
  <c r="K211" i="7"/>
  <c r="K249" i="7"/>
  <c r="K363" i="7"/>
  <c r="K287" i="7"/>
  <c r="J14" i="4"/>
  <c r="B14" i="4"/>
  <c r="B14" i="3"/>
  <c r="B14" i="1"/>
  <c r="B315" i="7"/>
  <c r="B14" i="2"/>
  <c r="B14" i="6"/>
  <c r="B14" i="9"/>
  <c r="J14" i="9"/>
  <c r="B239" i="7"/>
  <c r="J14" i="1"/>
  <c r="J14" i="3"/>
  <c r="B14" i="5"/>
  <c r="J14" i="2"/>
  <c r="B201" i="7"/>
  <c r="B353" i="7"/>
  <c r="B277" i="7"/>
  <c r="B391" i="7"/>
  <c r="D14" i="1"/>
  <c r="D14" i="2"/>
  <c r="L14" i="9"/>
  <c r="L14" i="3"/>
  <c r="D14" i="9"/>
  <c r="D14" i="4"/>
  <c r="D14" i="3"/>
  <c r="D14" i="6"/>
  <c r="L14" i="2"/>
  <c r="L14" i="4"/>
  <c r="D14" i="5"/>
  <c r="L14" i="1"/>
  <c r="D239" i="7"/>
  <c r="D315" i="7"/>
  <c r="D353" i="7"/>
  <c r="D391" i="7"/>
  <c r="D201" i="7"/>
  <c r="D277" i="7"/>
  <c r="O14" i="4"/>
  <c r="O14" i="2"/>
  <c r="O14" i="3"/>
  <c r="G14" i="2"/>
  <c r="G14" i="9"/>
  <c r="G14" i="5"/>
  <c r="O14" i="9"/>
  <c r="G14" i="4"/>
  <c r="G14" i="1"/>
  <c r="G14" i="3"/>
  <c r="O14" i="1"/>
  <c r="F8" i="3"/>
  <c r="F8" i="5"/>
  <c r="F8" i="9"/>
  <c r="F8" i="1"/>
  <c r="F8" i="2"/>
  <c r="F8" i="4"/>
  <c r="F8" i="6"/>
  <c r="F7" i="3"/>
  <c r="F7" i="4"/>
  <c r="F7" i="2"/>
  <c r="F7" i="6"/>
  <c r="F7" i="5"/>
  <c r="F7" i="1"/>
  <c r="F7" i="9"/>
  <c r="F5" i="6"/>
  <c r="F5" i="9"/>
  <c r="F5" i="4"/>
  <c r="F5" i="5"/>
  <c r="F5" i="2"/>
  <c r="F5" i="3"/>
  <c r="F5" i="1"/>
  <c r="E14" i="9"/>
  <c r="M14" i="9"/>
  <c r="E14" i="2"/>
  <c r="M14" i="2"/>
  <c r="E14" i="1"/>
  <c r="M14" i="4"/>
  <c r="E14" i="4"/>
  <c r="M14" i="3"/>
  <c r="E14" i="5"/>
  <c r="E14" i="3"/>
  <c r="E14" i="6"/>
  <c r="M14" i="1"/>
  <c r="F353" i="7"/>
  <c r="F391" i="7"/>
  <c r="F277" i="7"/>
  <c r="F201" i="7"/>
  <c r="F315" i="7"/>
  <c r="F239" i="7"/>
  <c r="B5" i="6"/>
  <c r="B5" i="3"/>
  <c r="B5" i="1"/>
  <c r="B5" i="2"/>
  <c r="B5" i="5"/>
  <c r="B5" i="9"/>
  <c r="B5" i="4"/>
  <c r="G359" i="7" l="1"/>
  <c r="L365" i="7" s="1"/>
  <c r="G206" i="7"/>
  <c r="J21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tc={61577C78-3AE9-40FE-BEAD-1A1561E5C31C}</author>
  </authors>
  <commentList>
    <comment ref="B2" authorId="0" shapeId="0" xr:uid="{00000000-0006-0000-0600-000001000000}">
      <text>
        <t>[线程批注]
你的Excel版本可读取此线程批注; 但如果在更新版本的Excel中打开文件，则对批注所作的任何改动都将被删除。了解详细信息: https://go.microsoft.com/fwlink/?linkid=870924
注释:
    Source: docs/astral_engine_curve_*.json, current configured driveline. Game-exported torque is Nm and power is PS; displayed power is hp = PS * 735.49875 / 745.6998715822702. Samples retain 500 rpm spacing, peak points and the final point. Shift thresholds are recorded calibration inputs calculated from the full-resolution curves and configured rotational inertia; this workbook does not rerun that solver. 25R1 uses the 2025 game export. Rally1 uses the 2022 curve predicted from the game export and ECU delta, at measured running mass 1460 kg. RX3 remains an RX1 five-speed placeholder.</t>
      </text>
    </comment>
  </commentList>
</comments>
</file>

<file path=xl/sharedStrings.xml><?xml version="1.0" encoding="utf-8"?>
<sst xmlns="http://schemas.openxmlformats.org/spreadsheetml/2006/main" count="357" uniqueCount="243">
  <si>
    <t>Rally2 · Gearing &amp; shift lights</t>
  </si>
  <si>
    <t>Engine curve</t>
  </si>
  <si>
    <t>Calibration basis</t>
  </si>
  <si>
    <t>Shift lights</t>
  </si>
  <si>
    <t>Peak power (hp)</t>
  </si>
  <si>
    <t>Running mass (kg)</t>
  </si>
  <si>
    <t>Neutral flash (rpm)</t>
  </si>
  <si>
    <t>Power peak (rpm)</t>
  </si>
  <si>
    <t>Engine + flywheel I (kg m²)</t>
  </si>
  <si>
    <t>Top gear / limiter (rpm)</t>
  </si>
  <si>
    <t>Peak torque (Nm)</t>
  </si>
  <si>
    <t>Final drive</t>
  </si>
  <si>
    <t>Light range (rpm)</t>
  </si>
  <si>
    <t>Torque peak (rpm)</t>
  </si>
  <si>
    <t>Gearbox torque loss</t>
  </si>
  <si>
    <t>Rounding (rpm)</t>
  </si>
  <si>
    <t>黄色单元格为手动输入。</t>
  </si>
  <si>
    <t>Group 1 · Type-A / Tarmac</t>
  </si>
  <si>
    <t>Group 2 · Type-B / Gravel</t>
  </si>
  <si>
    <t>Gear</t>
  </si>
  <si>
    <t>Ratio</t>
  </si>
  <si>
    <t>Flash
(rpm)</t>
  </si>
  <si>
    <t>After shift
(rpm)</t>
  </si>
  <si>
    <t>Speed
(km/h)</t>
  </si>
  <si>
    <t>First light
(rpm)</t>
  </si>
  <si>
    <t>Trigger</t>
  </si>
  <si>
    <t>Shift</t>
  </si>
  <si>
    <t>—</t>
  </si>
  <si>
    <t>Limiter</t>
  </si>
  <si>
    <t>Tyre radius (m)</t>
  </si>
  <si>
    <t>Wheel I (kg m²)</t>
  </si>
  <si>
    <t>GB friction (Nm)</t>
  </si>
  <si>
    <t>GB dyn. (Nm s)</t>
  </si>
  <si>
    <t>Gear group</t>
  </si>
  <si>
    <t>WRC16 · Gearing &amp; shift lights</t>
  </si>
  <si>
    <t>WRC17 · Gearing &amp; shift lights</t>
  </si>
  <si>
    <t>Rally1 · Gearing &amp; shift lights</t>
  </si>
  <si>
    <t>RX1 · Gearing &amp; shift lights</t>
  </si>
  <si>
    <t>Group 1 · RX1</t>
  </si>
  <si>
    <t>RX3 · Gearing &amp; shift lights</t>
  </si>
  <si>
    <t>RX1 placeholder · five-speed</t>
  </si>
  <si>
    <t>Engine curve samples</t>
  </si>
  <si>
    <t>500 rpm spacing · peak points retained</t>
  </si>
  <si>
    <t>Rally2</t>
  </si>
  <si>
    <t>RPM</t>
  </si>
  <si>
    <t>Torque (Nm)</t>
  </si>
  <si>
    <t>Power (hp)</t>
  </si>
  <si>
    <t>WRC16</t>
  </si>
  <si>
    <t>WRC17</t>
  </si>
  <si>
    <t>Rally1</t>
  </si>
  <si>
    <t>RX1</t>
  </si>
  <si>
    <t>RX3 · RX1 placeholder</t>
  </si>
  <si>
    <t>Rally2 · gear position chart</t>
  </si>
  <si>
    <t>Flash (rpm)</t>
  </si>
  <si>
    <t>Shift (km/h)</t>
  </si>
  <si>
    <t>After (rpm)</t>
  </si>
  <si>
    <t>Limit (km/h)</t>
  </si>
  <si>
    <t>km/h</t>
  </si>
  <si>
    <t>Gear 1</t>
  </si>
  <si>
    <t>Gear 2</t>
  </si>
  <si>
    <t>Gear 3</t>
  </si>
  <si>
    <t>Gear 4</t>
  </si>
  <si>
    <t>Gear 5</t>
  </si>
  <si>
    <t>1 → 2</t>
  </si>
  <si>
    <t>2 → 3</t>
  </si>
  <si>
    <t>3 → 4</t>
  </si>
  <si>
    <t>4 → 5</t>
  </si>
  <si>
    <t>WRC16 · gear position chart</t>
  </si>
  <si>
    <t>Gear 6</t>
  </si>
  <si>
    <t>5 → 6</t>
  </si>
  <si>
    <t>WRC17 · gear position chart</t>
  </si>
  <si>
    <t>Rally1 · gear position chart</t>
  </si>
  <si>
    <t>RX1 · gear position chart</t>
  </si>
  <si>
    <t>RX3 · gear position chart</t>
  </si>
  <si>
    <t>Language / 语言</t>
  </si>
  <si>
    <t>简体中文</t>
  </si>
  <si>
    <t>key</t>
  </si>
  <si>
    <t>en-US</t>
  </si>
  <si>
    <t>zh-CN</t>
  </si>
  <si>
    <t>Active</t>
  </si>
  <si>
    <t>chart.engineCurve</t>
  </si>
  <si>
    <t>发动机曲线</t>
  </si>
  <si>
    <t>chart.gearPositions</t>
  </si>
  <si>
    <t>Gear positions</t>
  </si>
  <si>
    <t>挡位分布</t>
  </si>
  <si>
    <t>chart.rally1GearPositions</t>
  </si>
  <si>
    <t>Rally1 · 挡位图</t>
  </si>
  <si>
    <t>chart.rally2GearPositions</t>
  </si>
  <si>
    <t>Rally2 · 挡位图</t>
  </si>
  <si>
    <t>chart.rx1GearPositions</t>
  </si>
  <si>
    <t>RX1 · 挡位图</t>
  </si>
  <si>
    <t>chart.rx3GearPositions</t>
  </si>
  <si>
    <t>RX3 · 挡位图</t>
  </si>
  <si>
    <t>chart.torqueAndPower</t>
  </si>
  <si>
    <t>Torque and power</t>
  </si>
  <si>
    <t>扭矩与功率</t>
  </si>
  <si>
    <t>chart.wrc16GearPositions</t>
  </si>
  <si>
    <t>WRC16 · 挡位图</t>
  </si>
  <si>
    <t>chart.wrc17GearPositions</t>
  </si>
  <si>
    <t>WRC17 · 挡位图</t>
  </si>
  <si>
    <t>label.afterShiftRpm</t>
  </si>
  <si>
    <t>换挡后 (rpm)</t>
  </si>
  <si>
    <t>label.afterShiftRpmWrap</t>
  </si>
  <si>
    <t>换挡后
(rpm)</t>
  </si>
  <si>
    <t>label.calibrationBasis</t>
  </si>
  <si>
    <t>标定依据</t>
  </si>
  <si>
    <t>label.engineCurveSamples</t>
  </si>
  <si>
    <t>发动机曲线采样</t>
  </si>
  <si>
    <t>label.engineFlywheelInertia</t>
  </si>
  <si>
    <t>发动机 + 飞轮转动惯量 (kg m²)</t>
  </si>
  <si>
    <t>label.engineSpeedRpm</t>
  </si>
  <si>
    <t>Engine speed (rpm)</t>
  </si>
  <si>
    <t>发动机转速 (rpm)</t>
  </si>
  <si>
    <t>label.finalDrive</t>
  </si>
  <si>
    <t>主减速比</t>
  </si>
  <si>
    <t>label.firstLightRpm</t>
  </si>
  <si>
    <t>首灯亮起
(rpm)</t>
  </si>
  <si>
    <t>label.flashRpm</t>
  </si>
  <si>
    <t>闪烁 (rpm)</t>
  </si>
  <si>
    <t>label.flashRpmWrap</t>
  </si>
  <si>
    <t>闪烁
(rpm)</t>
  </si>
  <si>
    <t>label.gear</t>
  </si>
  <si>
    <t>挡位</t>
  </si>
  <si>
    <t>label.gearFive</t>
  </si>
  <si>
    <t>5 挡</t>
  </si>
  <si>
    <t>label.gearFour</t>
  </si>
  <si>
    <t>4 挡</t>
  </si>
  <si>
    <t>label.gearGroup</t>
  </si>
  <si>
    <t>齿轮组</t>
  </si>
  <si>
    <t>label.gearOne</t>
  </si>
  <si>
    <t>1 挡</t>
  </si>
  <si>
    <t>label.gearRatio</t>
  </si>
  <si>
    <t>齿比</t>
  </si>
  <si>
    <t>label.gearSix</t>
  </si>
  <si>
    <t>6 挡</t>
  </si>
  <si>
    <t>label.gearThree</t>
  </si>
  <si>
    <t>3 挡</t>
  </si>
  <si>
    <t>label.gearTwo</t>
  </si>
  <si>
    <t>2 挡</t>
  </si>
  <si>
    <t>label.gearboxDynamicLoss</t>
  </si>
  <si>
    <t>变速箱动态阻力 (Nm s)</t>
  </si>
  <si>
    <t>label.gearboxFriction</t>
  </si>
  <si>
    <t>变速箱摩擦阻力 (Nm)</t>
  </si>
  <si>
    <t>label.gearboxTorqueLoss</t>
  </si>
  <si>
    <t>变速箱扭矩损失</t>
  </si>
  <si>
    <t>label.groupOneRx1</t>
  </si>
  <si>
    <t>第 1 组 · RX1</t>
  </si>
  <si>
    <t>label.groupOneRx1Placeholder</t>
  </si>
  <si>
    <t>Group 1 · RX1 placeholder</t>
  </si>
  <si>
    <t>第 1 组 · RX1 占位</t>
  </si>
  <si>
    <t>label.groupOneTypeATarmac</t>
  </si>
  <si>
    <t>第 1 组 · Type-A / 柏油</t>
  </si>
  <si>
    <t>label.groupTwoTypeBGravel</t>
  </si>
  <si>
    <t>第 2 组 · Type-B / 砂石</t>
  </si>
  <si>
    <t>label.lightRangeRpm</t>
  </si>
  <si>
    <t>亮灯范围 (rpm)</t>
  </si>
  <si>
    <t>label.limitSpeedKmh</t>
  </si>
  <si>
    <t>限转车速 (km/h)</t>
  </si>
  <si>
    <t>label.limiter</t>
  </si>
  <si>
    <t>限转</t>
  </si>
  <si>
    <t>label.neutralFlashRpm</t>
  </si>
  <si>
    <t>空挡闪烁 (rpm)</t>
  </si>
  <si>
    <t>label.peakPowerHp</t>
  </si>
  <si>
    <t>峰值功率 (hp)</t>
  </si>
  <si>
    <t>label.peakTorqueNm</t>
  </si>
  <si>
    <t>峰值扭矩 (Nm)</t>
  </si>
  <si>
    <t>label.powerHp</t>
  </si>
  <si>
    <t>功率 (hp)</t>
  </si>
  <si>
    <t>label.powerPeakRpm</t>
  </si>
  <si>
    <t>功率峰值转速 (rpm)</t>
  </si>
  <si>
    <t>label.roadSpeedKmh</t>
  </si>
  <si>
    <t>Road speed (km/h)</t>
  </si>
  <si>
    <t>车速 (km/h)</t>
  </si>
  <si>
    <t>label.roundingRpm</t>
  </si>
  <si>
    <t>取整步长 (rpm)</t>
  </si>
  <si>
    <t>label.runningMassKg</t>
  </si>
  <si>
    <t>运行质量 (kg)</t>
  </si>
  <si>
    <t>label.shift</t>
  </si>
  <si>
    <t>换挡</t>
  </si>
  <si>
    <t>label.shiftFiveSix</t>
  </si>
  <si>
    <t>5 to 6</t>
  </si>
  <si>
    <t>5 升 6 挡</t>
  </si>
  <si>
    <t>label.shiftFourFive</t>
  </si>
  <si>
    <t>4 to 5</t>
  </si>
  <si>
    <t>4 升 5 挡</t>
  </si>
  <si>
    <t>label.shiftKmh</t>
  </si>
  <si>
    <t>换挡车速 (km/h)</t>
  </si>
  <si>
    <t>label.shiftLights</t>
  </si>
  <si>
    <t>换挡灯</t>
  </si>
  <si>
    <t>label.shiftOneTwo</t>
  </si>
  <si>
    <t>1 to 2</t>
  </si>
  <si>
    <t>1 升 2 挡</t>
  </si>
  <si>
    <t>label.shiftThreeFour</t>
  </si>
  <si>
    <t>3 to 4</t>
  </si>
  <si>
    <t>3 升 4 挡</t>
  </si>
  <si>
    <t>label.shiftTwoThree</t>
  </si>
  <si>
    <t>2 to 3</t>
  </si>
  <si>
    <t>2 升 3 挡</t>
  </si>
  <si>
    <t>label.speedKmhMultiline</t>
  </si>
  <si>
    <t>车速
(km/h)</t>
  </si>
  <si>
    <t>label.topGearLimiterRpm</t>
  </si>
  <si>
    <t>最高挡 / 限转 (rpm)</t>
  </si>
  <si>
    <t>label.torqueNm</t>
  </si>
  <si>
    <t>扭矩 (Nm)</t>
  </si>
  <si>
    <t>label.torquePeakRpm</t>
  </si>
  <si>
    <t>峰值扭矩转速 (rpm)</t>
  </si>
  <si>
    <t>label.trigger</t>
  </si>
  <si>
    <t>触发条件</t>
  </si>
  <si>
    <t>label.tyreRadiusM</t>
  </si>
  <si>
    <t>轮胎半径 (m)</t>
  </si>
  <si>
    <t>label.wheelInertia</t>
  </si>
  <si>
    <t>车轮转动惯量 I (kg m²)</t>
  </si>
  <si>
    <t>note.rally1Calibration</t>
  </si>
  <si>
    <t>note.rpmSampleSpacing</t>
  </si>
  <si>
    <t>500 rpm 间隔 · 保留峰值点</t>
  </si>
  <si>
    <t>note.rx1FiveSpeedPlaceholder</t>
  </si>
  <si>
    <t>RX1 占位 · 五挡</t>
  </si>
  <si>
    <t>note.rx3Rx1Placeholder</t>
  </si>
  <si>
    <t>RX3 · RX1 占位</t>
  </si>
  <si>
    <t>note.yellowInputs</t>
  </si>
  <si>
    <t>Yellow cells are manual inputs.</t>
  </si>
  <si>
    <t>title.rally1GearingShiftLights</t>
  </si>
  <si>
    <t>Rally1 · 齿比与换挡灯</t>
  </si>
  <si>
    <t>title.rally2GearingShiftLights</t>
  </si>
  <si>
    <t>Rally2 · 齿比与换挡灯</t>
  </si>
  <si>
    <t>title.rx1GearingShiftLights</t>
  </si>
  <si>
    <t>RX1 · 齿比与换挡灯</t>
  </si>
  <si>
    <t>title.rx3GearingShiftLights</t>
  </si>
  <si>
    <t>RX3 · 齿比与换挡灯</t>
  </si>
  <si>
    <t>title.wrc16GearingShiftLights</t>
  </si>
  <si>
    <t>WRC16 · 齿比与换挡灯</t>
  </si>
  <si>
    <t>title.wrc17GearingShiftLights</t>
  </si>
  <si>
    <t>WRC17 · 齿比与换挡灯</t>
  </si>
  <si>
    <t>简体中文</t>
    <phoneticPr fontId="9" type="noConversion"/>
  </si>
  <si>
    <t>2022 predicted curve</t>
  </si>
  <si>
    <t>2022 预测曲线</t>
  </si>
  <si>
    <t>title.25r1GearingShiftLights</t>
  </si>
  <si>
    <t>25R1 · Gearing &amp; shift lights</t>
  </si>
  <si>
    <t>25R1 · 齿比与换挡灯</t>
  </si>
  <si>
    <t>chart.25r1GearPositions</t>
  </si>
  <si>
    <t>25R1 · gear position chart</t>
  </si>
  <si>
    <t>25R1 · 档位图</t>
  </si>
  <si>
    <t>25R1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</si>
</sst>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000"/>
    <numFmt numFmtId="178" formatCode="0.0000"/>
    <numFmt numFmtId="179" formatCode="0.0%"/>
    <numFmt numFmtId="180" formatCode="0.000"/>
    <numFmt numFmtId="181" formatCode="0.00000"/>
  </numFmts>
  <fonts count="12">
    <font>
      <sz val="11"/>
      <name val="Carlito"/>
    </font>
    <font>
      <sz val="11"/>
      <color rgb="FF283C50"/>
      <name val="Arial"/>
      <family val="2"/>
    </font>
    <font>
      <b/>
      <sz val="16"/>
      <color rgb="FF283C50"/>
      <name val="Arial"/>
      <family val="2"/>
    </font>
    <font>
      <sz val="11"/>
      <color rgb="FF667B91"/>
      <name val="Arial"/>
      <family val="2"/>
    </font>
    <font>
      <b/>
      <sz val="12"/>
      <color rgb="FFFFFFFF"/>
      <name val="Arial"/>
      <family val="2"/>
    </font>
    <font>
      <sz val="11"/>
      <color rgb="FF195DB1"/>
      <name val="Arial"/>
      <family val="2"/>
    </font>
    <font>
      <b/>
      <sz val="20"/>
      <color rgb="FF283C50"/>
      <name val="Arial"/>
      <family val="2"/>
    </font>
    <font>
      <sz val="11"/>
      <color rgb="FF667B91"/>
      <name val="Microsoft YaHei"/>
      <family val="2"/>
      <charset val="134"/>
    </font>
    <font>
      <sz val="11"/>
      <name val="Carlito"/>
    </font>
    <font>
      <sz val="9"/>
      <name val="宋体"/>
      <family val="3"/>
      <charset val="134"/>
    </font>
    <font>
      <sz val="11"/>
      <color rgb="FF222222"/>
      <name val="Arial"/>
      <family val="2"/>
    </font>
    <font>
      <b/>
      <sz val="11"/>
      <color rgb="FFFFFFFF"/>
      <name val="Arial"/>
      <family val="2"/>
    </font>
  </fonts>
  <fills count="9">
    <fill>
      <patternFill patternType="none"/>
    </fill>
    <fill>
      <patternFill patternType="gray125"/>
    </fill>
    <fill>
      <patternFill patternType="solid">
        <fgColor rgb="FF31475E"/>
      </patternFill>
    </fill>
    <fill>
      <patternFill patternType="solid">
        <fgColor rgb="FFFFF2CC"/>
      </patternFill>
    </fill>
    <fill>
      <patternFill patternType="solid">
        <fgColor rgb="FFF5F7FA"/>
      </patternFill>
    </fill>
    <fill>
      <patternFill patternType="solid">
        <fgColor rgb="FFFFFFFF"/>
      </patternFill>
    </fill>
    <fill>
      <patternFill patternType="none"/>
    </fill>
    <fill>
      <patternFill patternType="solid">
        <fgColor rgb="FFFFF2CC"/>
      </patternFill>
    </fill>
    <fill>
      <patternFill patternType="solid">
        <fgColor rgb="FF17365D"/>
      </patternFill>
    </fill>
  </fills>
  <borders count="3">
    <border>
      <left/>
      <right/>
      <top/>
      <bottom/>
      <diagonal/>
    </border>
    <border>
      <left/>
      <right/>
      <top/>
      <bottom style="thin">
        <color rgb="FFDCE4EB"/>
      </bottom>
      <diagonal/>
    </border>
    <border>
      <left/>
      <right/>
      <top/>
      <bottom/>
      <diagonal/>
    </border>
  </borders>
  <cellStyleXfs count="2">
    <xf numFmtId="0" fontId="0" fillId="0" borderId="0"/>
    <xf numFmtId="0" fontId="8" fillId="0" borderId="0"/>
  </cellStyleXfs>
  <cellXfs count="38">
    <xf numFmtId="0" fontId="0" fillId="0" borderId="0" xfId="0"/>
    <xf numFmtId="0" fontId="1" fillId="0" borderId="0" xfId="1" applyFont="1" applyAlignment="1">
      <alignment vertical="center"/>
    </xf>
    <xf numFmtId="0" fontId="4" fillId="2" borderId="0" xfId="1" applyFont="1" applyFill="1" applyAlignment="1">
      <alignment horizontal="center" vertical="center" wrapText="1"/>
    </xf>
    <xf numFmtId="2" fontId="5" fillId="3" borderId="0" xfId="1" applyNumberFormat="1" applyFont="1" applyFill="1" applyAlignment="1">
      <alignment vertical="center"/>
    </xf>
    <xf numFmtId="176" fontId="1" fillId="0" borderId="0" xfId="1" applyNumberFormat="1" applyFont="1" applyAlignment="1">
      <alignment vertical="center"/>
    </xf>
    <xf numFmtId="0" fontId="1" fillId="0" borderId="1" xfId="1" applyFont="1" applyBorder="1" applyAlignment="1">
      <alignment vertical="center"/>
    </xf>
    <xf numFmtId="176" fontId="1" fillId="4" borderId="1" xfId="1" applyNumberFormat="1" applyFont="1" applyFill="1" applyBorder="1" applyAlignment="1">
      <alignment vertical="center"/>
    </xf>
    <xf numFmtId="2" fontId="1" fillId="4" borderId="1" xfId="1" applyNumberFormat="1" applyFont="1" applyFill="1" applyBorder="1" applyAlignment="1">
      <alignment vertical="center"/>
    </xf>
    <xf numFmtId="177" fontId="1" fillId="0" borderId="1" xfId="1" applyNumberFormat="1" applyFont="1" applyBorder="1" applyAlignment="1">
      <alignment vertical="center"/>
    </xf>
    <xf numFmtId="178" fontId="5" fillId="3" borderId="1" xfId="1" applyNumberFormat="1" applyFont="1" applyFill="1" applyBorder="1" applyAlignment="1">
      <alignment vertical="center"/>
    </xf>
    <xf numFmtId="179" fontId="1" fillId="0" borderId="1" xfId="1" applyNumberFormat="1" applyFont="1" applyBorder="1" applyAlignment="1">
      <alignment vertical="center"/>
    </xf>
    <xf numFmtId="0" fontId="1" fillId="4" borderId="1" xfId="1" applyFont="1" applyFill="1" applyBorder="1" applyAlignment="1">
      <alignment horizontal="center" vertical="center"/>
    </xf>
    <xf numFmtId="180" fontId="5" fillId="3" borderId="1" xfId="1" applyNumberFormat="1" applyFont="1" applyFill="1" applyBorder="1" applyAlignment="1">
      <alignment horizontal="center" vertical="center"/>
    </xf>
    <xf numFmtId="1" fontId="1" fillId="4" borderId="1" xfId="1" applyNumberFormat="1" applyFont="1" applyFill="1" applyBorder="1" applyAlignment="1">
      <alignment horizontal="center" vertical="center"/>
    </xf>
    <xf numFmtId="176" fontId="1" fillId="4" borderId="1" xfId="1" applyNumberFormat="1" applyFont="1" applyFill="1" applyBorder="1" applyAlignment="1">
      <alignment horizontal="center" vertical="center"/>
    </xf>
    <xf numFmtId="0" fontId="1" fillId="5" borderId="1" xfId="1" applyFont="1" applyFill="1" applyBorder="1" applyAlignment="1">
      <alignment horizontal="center" vertical="center"/>
    </xf>
    <xf numFmtId="1" fontId="1" fillId="5" borderId="1" xfId="1" applyNumberFormat="1" applyFont="1" applyFill="1" applyBorder="1" applyAlignment="1">
      <alignment horizontal="center" vertical="center"/>
    </xf>
    <xf numFmtId="176" fontId="1" fillId="5" borderId="1" xfId="1" applyNumberFormat="1" applyFont="1" applyFill="1" applyBorder="1" applyAlignment="1">
      <alignment horizontal="center" vertical="center"/>
    </xf>
    <xf numFmtId="180" fontId="5" fillId="3" borderId="0" xfId="1" applyNumberFormat="1" applyFont="1" applyFill="1" applyAlignment="1">
      <alignment vertical="center"/>
    </xf>
    <xf numFmtId="177" fontId="1" fillId="0" borderId="0" xfId="1" applyNumberFormat="1" applyFont="1" applyAlignment="1">
      <alignment vertical="center"/>
    </xf>
    <xf numFmtId="2" fontId="1" fillId="0" borderId="0" xfId="1" applyNumberFormat="1" applyFont="1" applyAlignment="1">
      <alignment vertical="center"/>
    </xf>
    <xf numFmtId="181" fontId="1" fillId="0" borderId="0" xfId="1" applyNumberFormat="1" applyFont="1" applyAlignment="1">
      <alignment vertical="center"/>
    </xf>
    <xf numFmtId="1" fontId="5" fillId="3" borderId="1" xfId="1" applyNumberFormat="1" applyFont="1" applyFill="1" applyBorder="1" applyAlignment="1">
      <alignment horizontal="center" vertical="center"/>
    </xf>
    <xf numFmtId="1" fontId="5" fillId="3" borderId="0" xfId="1" applyNumberFormat="1" applyFont="1" applyFill="1" applyAlignment="1">
      <alignment vertical="center"/>
    </xf>
    <xf numFmtId="0" fontId="10" fillId="6" borderId="2" xfId="0" applyFont="1" applyFill="1" applyBorder="1"/>
    <xf numFmtId="0" fontId="11" fillId="8" borderId="2" xfId="0" applyFont="1" applyFill="1" applyBorder="1"/>
    <xf numFmtId="0" fontId="10" fillId="6" borderId="2" xfId="0" applyFont="1" applyFill="1" applyBorder="1" applyAlignment="1">
      <alignment vertical="center"/>
    </xf>
    <xf numFmtId="0" fontId="10" fillId="7" borderId="2" xfId="0" applyFont="1" applyFill="1" applyBorder="1" applyAlignment="1">
      <alignment vertical="center"/>
    </xf>
    <xf numFmtId="0" fontId="6" fillId="0" borderId="0" xfId="1" applyFont="1" applyAlignment="1">
      <alignment vertical="center"/>
    </xf>
    <xf numFmtId="0" fontId="4" fillId="2" borderId="0" xfId="1" applyFont="1" applyFill="1" applyAlignment="1">
      <alignment horizontal="center" vertical="center" wrapText="1"/>
    </xf>
    <xf numFmtId="0" fontId="1" fillId="4" borderId="1" xfId="1" applyFont="1" applyFill="1" applyBorder="1" applyAlignment="1">
      <alignment vertical="center"/>
    </xf>
    <xf numFmtId="1" fontId="5" fillId="3" borderId="1" xfId="1" applyNumberFormat="1" applyFont="1" applyFill="1" applyBorder="1" applyAlignment="1">
      <alignment vertical="center"/>
    </xf>
    <xf numFmtId="0" fontId="1" fillId="0" borderId="1" xfId="1" applyFont="1" applyBorder="1" applyAlignment="1">
      <alignment vertical="center"/>
    </xf>
    <xf numFmtId="0" fontId="7" fillId="0" borderId="0" xfId="1" applyFont="1" applyAlignment="1">
      <alignment vertical="center"/>
    </xf>
    <xf numFmtId="0" fontId="1" fillId="0" borderId="0" xfId="1" applyFont="1" applyAlignment="1">
      <alignment vertical="center"/>
    </xf>
    <xf numFmtId="0" fontId="3" fillId="0" borderId="1" xfId="1" applyFont="1" applyBorder="1" applyAlignment="1">
      <alignment vertical="center"/>
    </xf>
    <xf numFmtId="0" fontId="2" fillId="0" borderId="0" xfId="1" applyFont="1" applyAlignment="1">
      <alignment vertical="center"/>
    </xf>
    <xf numFmtId="0" fontId="3" fillId="0" borderId="0" xfId="1" applyFont="1" applyAlignment="1">
      <alignment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Samples!$B$7:$B$19</c:f>
              <c:numCache>
                <c:formatCode>General</c:formatCode>
                <c:ptCount val="13"/>
                <c:pt idx="0">
                  <c:v>2500</c:v>
                </c:pt>
                <c:pt idx="1">
                  <c:v>3000</c:v>
                </c:pt>
                <c:pt idx="2">
                  <c:v>3500</c:v>
                </c:pt>
                <c:pt idx="3">
                  <c:v>4000</c:v>
                </c:pt>
                <c:pt idx="4">
                  <c:v>4157</c:v>
                </c:pt>
                <c:pt idx="5">
                  <c:v>4500</c:v>
                </c:pt>
                <c:pt idx="6">
                  <c:v>5000</c:v>
                </c:pt>
                <c:pt idx="7">
                  <c:v>5275</c:v>
                </c:pt>
                <c:pt idx="8">
                  <c:v>5500</c:v>
                </c:pt>
                <c:pt idx="9">
                  <c:v>6000</c:v>
                </c:pt>
                <c:pt idx="10">
                  <c:v>6500</c:v>
                </c:pt>
                <c:pt idx="11">
                  <c:v>7000</c:v>
                </c:pt>
                <c:pt idx="12">
                  <c:v>7499</c:v>
                </c:pt>
              </c:numCache>
            </c:numRef>
          </c:xVal>
          <c:yVal>
            <c:numRef>
              <c:f>Samples!$C$7:$C$19</c:f>
              <c:numCache>
                <c:formatCode>0.00</c:formatCode>
                <c:ptCount val="13"/>
                <c:pt idx="0">
                  <c:v>393.18990963689998</c:v>
                </c:pt>
                <c:pt idx="1">
                  <c:v>409.57588844470001</c:v>
                </c:pt>
                <c:pt idx="2">
                  <c:v>421.65444683919998</c:v>
                </c:pt>
                <c:pt idx="3">
                  <c:v>425.29867261765003</c:v>
                </c:pt>
                <c:pt idx="4">
                  <c:v>425.46588144156999</c:v>
                </c:pt>
                <c:pt idx="5">
                  <c:v>423.16781828923001</c:v>
                </c:pt>
                <c:pt idx="6">
                  <c:v>409.08667914096998</c:v>
                </c:pt>
                <c:pt idx="7">
                  <c:v>391.3253872784</c:v>
                </c:pt>
                <c:pt idx="8">
                  <c:v>374.92208099622002</c:v>
                </c:pt>
                <c:pt idx="9">
                  <c:v>341.53645220662997</c:v>
                </c:pt>
                <c:pt idx="10">
                  <c:v>312.76661205507997</c:v>
                </c:pt>
                <c:pt idx="11">
                  <c:v>286.00976855711002</c:v>
                </c:pt>
                <c:pt idx="12">
                  <c:v>259.39155855516998</c:v>
                </c:pt>
              </c:numCache>
            </c:numRef>
          </c:yVal>
          <c:smooth val="1"/>
          <c:extLst>
            <c:ext xmlns:c16="http://schemas.microsoft.com/office/drawing/2014/chart" uri="{C3380CC4-5D6E-409C-BE32-E72D297353CC}">
              <c16:uniqueId val="{00000000-89C6-4845-AE8D-DA4F1CBE8A17}"/>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Samples!$B$7:$B$19</c:f>
              <c:numCache>
                <c:formatCode>General</c:formatCode>
                <c:ptCount val="13"/>
                <c:pt idx="0">
                  <c:v>2500</c:v>
                </c:pt>
                <c:pt idx="1">
                  <c:v>3000</c:v>
                </c:pt>
                <c:pt idx="2">
                  <c:v>3500</c:v>
                </c:pt>
                <c:pt idx="3">
                  <c:v>4000</c:v>
                </c:pt>
                <c:pt idx="4">
                  <c:v>4157</c:v>
                </c:pt>
                <c:pt idx="5">
                  <c:v>4500</c:v>
                </c:pt>
                <c:pt idx="6">
                  <c:v>5000</c:v>
                </c:pt>
                <c:pt idx="7">
                  <c:v>5275</c:v>
                </c:pt>
                <c:pt idx="8">
                  <c:v>5500</c:v>
                </c:pt>
                <c:pt idx="9">
                  <c:v>6000</c:v>
                </c:pt>
                <c:pt idx="10">
                  <c:v>6500</c:v>
                </c:pt>
                <c:pt idx="11">
                  <c:v>7000</c:v>
                </c:pt>
                <c:pt idx="12">
                  <c:v>7499</c:v>
                </c:pt>
              </c:numCache>
            </c:numRef>
          </c:xVal>
          <c:yVal>
            <c:numRef>
              <c:f>Samples!$D$7:$D$19</c:f>
              <c:numCache>
                <c:formatCode>0.0</c:formatCode>
                <c:ptCount val="13"/>
                <c:pt idx="0">
                  <c:v>136.15517327513714</c:v>
                </c:pt>
                <c:pt idx="1">
                  <c:v>170.19524060117456</c:v>
                </c:pt>
                <c:pt idx="2">
                  <c:v>204.41676149445436</c:v>
                </c:pt>
                <c:pt idx="3">
                  <c:v>235.63825233426769</c:v>
                </c:pt>
                <c:pt idx="4">
                  <c:v>244.98333260988446</c:v>
                </c:pt>
                <c:pt idx="5">
                  <c:v>263.76485047215976</c:v>
                </c:pt>
                <c:pt idx="6">
                  <c:v>283.31992412738026</c:v>
                </c:pt>
                <c:pt idx="7">
                  <c:v>285.92508713620288</c:v>
                </c:pt>
                <c:pt idx="8">
                  <c:v>285.62451688977723</c:v>
                </c:pt>
                <c:pt idx="9">
                  <c:v>283.84424131075082</c:v>
                </c:pt>
                <c:pt idx="10">
                  <c:v>281.5953745500351</c:v>
                </c:pt>
                <c:pt idx="11">
                  <c:v>277.31328855885954</c:v>
                </c:pt>
                <c:pt idx="12">
                  <c:v>269.43311159829449</c:v>
                </c:pt>
              </c:numCache>
            </c:numRef>
          </c:yVal>
          <c:smooth val="1"/>
          <c:extLst>
            <c:ext xmlns:c16="http://schemas.microsoft.com/office/drawing/2014/chart" uri="{C3380CC4-5D6E-409C-BE32-E72D297353CC}">
              <c16:uniqueId val="{00000001-89C6-4845-AE8D-DA4F1CBE8A17}"/>
            </c:ext>
          </c:extLst>
        </c:ser>
        <c:dLbls>
          <c:showLegendKey val="0"/>
          <c:showVal val="0"/>
          <c:showCatName val="0"/>
          <c:showSerName val="0"/>
          <c:showPercent val="0"/>
          <c:showBubbleSize val="0"/>
        </c:dLbls>
        <c:axId val="1509429967"/>
        <c:axId val="1509420847"/>
      </c:scatterChart>
      <c:valAx>
        <c:axId val="48672768"/>
        <c:scaling>
          <c:orientation val="minMax"/>
          <c:max val="5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8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420847"/>
        <c:scaling>
          <c:orientation val="minMax"/>
          <c:max val="5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429967"/>
        <c:crosses val="max"/>
        <c:crossBetween val="midCat"/>
        <c:majorUnit val="100"/>
      </c:valAx>
      <c:valAx>
        <c:axId val="1509429967"/>
        <c:scaling>
          <c:orientation val="minMax"/>
          <c:max val="8000"/>
          <c:min val="2500"/>
        </c:scaling>
        <c:delete val="1"/>
        <c:axPos val="b"/>
        <c:numFmt formatCode="General" sourceLinked="1"/>
        <c:majorTickMark val="out"/>
        <c:minorTickMark val="none"/>
        <c:tickLblPos val="nextTo"/>
        <c:crossAx val="150942084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Samples!$B$212:$B$213</c:f>
              <c:numCache>
                <c:formatCode>General</c:formatCode>
                <c:ptCount val="2"/>
                <c:pt idx="0">
                  <c:v>0</c:v>
                </c:pt>
                <c:pt idx="1">
                  <c:v>59.095787105457021</c:v>
                </c:pt>
              </c:numCache>
            </c:numRef>
          </c:xVal>
          <c:yVal>
            <c:numRef>
              <c:f>Samples!$C$212:$C$213</c:f>
              <c:numCache>
                <c:formatCode>General</c:formatCode>
                <c:ptCount val="2"/>
                <c:pt idx="0">
                  <c:v>0</c:v>
                </c:pt>
                <c:pt idx="1">
                  <c:v>7500</c:v>
                </c:pt>
              </c:numCache>
            </c:numRef>
          </c:yVal>
          <c:smooth val="0"/>
          <c:extLst>
            <c:ext xmlns:c16="http://schemas.microsoft.com/office/drawing/2014/chart" uri="{C3380CC4-5D6E-409C-BE32-E72D297353CC}">
              <c16:uniqueId val="{00000000-1120-4D6F-A6A2-2D6F1E78B762}"/>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Samples!$D$212:$D$213</c:f>
              <c:numCache>
                <c:formatCode>General</c:formatCode>
                <c:ptCount val="2"/>
                <c:pt idx="0">
                  <c:v>0</c:v>
                </c:pt>
                <c:pt idx="1">
                  <c:v>82.646227171274816</c:v>
                </c:pt>
              </c:numCache>
            </c:numRef>
          </c:xVal>
          <c:yVal>
            <c:numRef>
              <c:f>Samples!$E$212:$E$213</c:f>
              <c:numCache>
                <c:formatCode>General</c:formatCode>
                <c:ptCount val="2"/>
                <c:pt idx="0">
                  <c:v>0</c:v>
                </c:pt>
                <c:pt idx="1">
                  <c:v>7500</c:v>
                </c:pt>
              </c:numCache>
            </c:numRef>
          </c:yVal>
          <c:smooth val="0"/>
          <c:extLst>
            <c:ext xmlns:c16="http://schemas.microsoft.com/office/drawing/2014/chart" uri="{C3380CC4-5D6E-409C-BE32-E72D297353CC}">
              <c16:uniqueId val="{00000001-1120-4D6F-A6A2-2D6F1E78B762}"/>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Samples!$F$212:$F$213</c:f>
              <c:numCache>
                <c:formatCode>General</c:formatCode>
                <c:ptCount val="2"/>
                <c:pt idx="0">
                  <c:v>0</c:v>
                </c:pt>
                <c:pt idx="1">
                  <c:v>113.3698883685514</c:v>
                </c:pt>
              </c:numCache>
            </c:numRef>
          </c:xVal>
          <c:yVal>
            <c:numRef>
              <c:f>Samples!$G$212:$G$213</c:f>
              <c:numCache>
                <c:formatCode>General</c:formatCode>
                <c:ptCount val="2"/>
                <c:pt idx="0">
                  <c:v>0</c:v>
                </c:pt>
                <c:pt idx="1">
                  <c:v>7500</c:v>
                </c:pt>
              </c:numCache>
            </c:numRef>
          </c:yVal>
          <c:smooth val="0"/>
          <c:extLst>
            <c:ext xmlns:c16="http://schemas.microsoft.com/office/drawing/2014/chart" uri="{C3380CC4-5D6E-409C-BE32-E72D297353CC}">
              <c16:uniqueId val="{00000002-1120-4D6F-A6A2-2D6F1E78B762}"/>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Samples!$H$212:$H$213</c:f>
              <c:numCache>
                <c:formatCode>General</c:formatCode>
                <c:ptCount val="2"/>
                <c:pt idx="0">
                  <c:v>0</c:v>
                </c:pt>
                <c:pt idx="1">
                  <c:v>149.20694704075794</c:v>
                </c:pt>
              </c:numCache>
            </c:numRef>
          </c:xVal>
          <c:yVal>
            <c:numRef>
              <c:f>Samples!$I$212:$I$213</c:f>
              <c:numCache>
                <c:formatCode>General</c:formatCode>
                <c:ptCount val="2"/>
                <c:pt idx="0">
                  <c:v>0</c:v>
                </c:pt>
                <c:pt idx="1">
                  <c:v>7500</c:v>
                </c:pt>
              </c:numCache>
            </c:numRef>
          </c:yVal>
          <c:smooth val="0"/>
          <c:extLst>
            <c:ext xmlns:c16="http://schemas.microsoft.com/office/drawing/2014/chart" uri="{C3380CC4-5D6E-409C-BE32-E72D297353CC}">
              <c16:uniqueId val="{00000003-1120-4D6F-A6A2-2D6F1E78B762}"/>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Samples!$J$212:$J$213</c:f>
              <c:numCache>
                <c:formatCode>General</c:formatCode>
                <c:ptCount val="2"/>
                <c:pt idx="0">
                  <c:v>0</c:v>
                </c:pt>
                <c:pt idx="1">
                  <c:v>186.97926921003307</c:v>
                </c:pt>
              </c:numCache>
            </c:numRef>
          </c:xVal>
          <c:yVal>
            <c:numRef>
              <c:f>Samples!$K$212:$K$213</c:f>
              <c:numCache>
                <c:formatCode>General</c:formatCode>
                <c:ptCount val="2"/>
                <c:pt idx="0">
                  <c:v>0</c:v>
                </c:pt>
                <c:pt idx="1">
                  <c:v>7500</c:v>
                </c:pt>
              </c:numCache>
            </c:numRef>
          </c:yVal>
          <c:smooth val="0"/>
          <c:extLst>
            <c:ext xmlns:c16="http://schemas.microsoft.com/office/drawing/2014/chart" uri="{C3380CC4-5D6E-409C-BE32-E72D297353CC}">
              <c16:uniqueId val="{00000004-1120-4D6F-A6A2-2D6F1E78B762}"/>
            </c:ext>
          </c:extLst>
        </c:ser>
        <c:ser>
          <c:idx val="5"/>
          <c:order val="5"/>
          <c:tx>
            <c:strRef>
              <c:f>Locale!$D$53</c:f>
              <c:strCache>
                <c:ptCount val="1"/>
                <c:pt idx="0">
                  <c:v>1 升 2 挡</c:v>
                </c:pt>
              </c:strCache>
            </c:strRef>
          </c:tx>
          <c:spPr>
            <a:ln w="12383">
              <a:solidFill>
                <a:srgbClr val="D73027"/>
              </a:solidFill>
              <a:prstDash val="solid"/>
            </a:ln>
          </c:spPr>
          <c:marker>
            <c:symbol val="none"/>
          </c:marker>
          <c:xVal>
            <c:numRef>
              <c:f>Samples!$B$218:$B$219</c:f>
              <c:numCache>
                <c:formatCode>General</c:formatCode>
                <c:ptCount val="2"/>
                <c:pt idx="0">
                  <c:v>48.616134192089312</c:v>
                </c:pt>
                <c:pt idx="1">
                  <c:v>48.616134192089312</c:v>
                </c:pt>
              </c:numCache>
            </c:numRef>
          </c:xVal>
          <c:yVal>
            <c:numRef>
              <c:f>Samples!$C$218:$C$219</c:f>
              <c:numCache>
                <c:formatCode>General</c:formatCode>
                <c:ptCount val="2"/>
                <c:pt idx="0">
                  <c:v>6170</c:v>
                </c:pt>
                <c:pt idx="1">
                  <c:v>4411.828814460393</c:v>
                </c:pt>
              </c:numCache>
            </c:numRef>
          </c:yVal>
          <c:smooth val="0"/>
          <c:extLst>
            <c:ext xmlns:c16="http://schemas.microsoft.com/office/drawing/2014/chart" uri="{C3380CC4-5D6E-409C-BE32-E72D297353CC}">
              <c16:uniqueId val="{00000005-1120-4D6F-A6A2-2D6F1E78B762}"/>
            </c:ext>
          </c:extLst>
        </c:ser>
        <c:ser>
          <c:idx val="6"/>
          <c:order val="6"/>
          <c:tx>
            <c:strRef>
              <c:f>Locale!$D$55</c:f>
              <c:strCache>
                <c:ptCount val="1"/>
                <c:pt idx="0">
                  <c:v>2 升 3 挡</c:v>
                </c:pt>
              </c:strCache>
            </c:strRef>
          </c:tx>
          <c:spPr>
            <a:ln w="12383">
              <a:solidFill>
                <a:srgbClr val="F46D43"/>
              </a:solidFill>
              <a:prstDash val="solid"/>
            </a:ln>
          </c:spPr>
          <c:marker>
            <c:symbol val="none"/>
          </c:marker>
          <c:xVal>
            <c:numRef>
              <c:f>Samples!$D$218:$D$219</c:f>
              <c:numCache>
                <c:formatCode>General</c:formatCode>
                <c:ptCount val="2"/>
                <c:pt idx="0">
                  <c:v>70.084000641241047</c:v>
                </c:pt>
                <c:pt idx="1">
                  <c:v>70.084000641241047</c:v>
                </c:pt>
              </c:numCache>
            </c:numRef>
          </c:xVal>
          <c:yVal>
            <c:numRef>
              <c:f>Samples!$E$218:$E$219</c:f>
              <c:numCache>
                <c:formatCode>General</c:formatCode>
                <c:ptCount val="2"/>
                <c:pt idx="0">
                  <c:v>6360</c:v>
                </c:pt>
                <c:pt idx="1">
                  <c:v>4636.4163568773238</c:v>
                </c:pt>
              </c:numCache>
            </c:numRef>
          </c:yVal>
          <c:smooth val="0"/>
          <c:extLst>
            <c:ext xmlns:c16="http://schemas.microsoft.com/office/drawing/2014/chart" uri="{C3380CC4-5D6E-409C-BE32-E72D297353CC}">
              <c16:uniqueId val="{00000006-1120-4D6F-A6A2-2D6F1E78B762}"/>
            </c:ext>
          </c:extLst>
        </c:ser>
        <c:ser>
          <c:idx val="7"/>
          <c:order val="7"/>
          <c:tx>
            <c:strRef>
              <c:f>Locale!$D$54</c:f>
              <c:strCache>
                <c:ptCount val="1"/>
                <c:pt idx="0">
                  <c:v>3 升 4 挡</c:v>
                </c:pt>
              </c:strCache>
            </c:strRef>
          </c:tx>
          <c:spPr>
            <a:ln w="12383">
              <a:solidFill>
                <a:srgbClr val="DBAA15"/>
              </a:solidFill>
              <a:prstDash val="solid"/>
            </a:ln>
          </c:spPr>
          <c:marker>
            <c:symbol val="none"/>
          </c:marker>
          <c:xVal>
            <c:numRef>
              <c:f>Samples!$F$218:$F$219</c:f>
              <c:numCache>
                <c:formatCode>General</c:formatCode>
                <c:ptCount val="2"/>
                <c:pt idx="0">
                  <c:v>95.079546378425107</c:v>
                </c:pt>
                <c:pt idx="1">
                  <c:v>95.079546378425107</c:v>
                </c:pt>
              </c:numCache>
            </c:numRef>
          </c:xVal>
          <c:yVal>
            <c:numRef>
              <c:f>Samples!$G$218:$G$219</c:f>
              <c:numCache>
                <c:formatCode>General</c:formatCode>
                <c:ptCount val="2"/>
                <c:pt idx="0">
                  <c:v>6290</c:v>
                </c:pt>
                <c:pt idx="1">
                  <c:v>4779.2452830188677</c:v>
                </c:pt>
              </c:numCache>
            </c:numRef>
          </c:yVal>
          <c:smooth val="0"/>
          <c:extLst>
            <c:ext xmlns:c16="http://schemas.microsoft.com/office/drawing/2014/chart" uri="{C3380CC4-5D6E-409C-BE32-E72D297353CC}">
              <c16:uniqueId val="{00000007-1120-4D6F-A6A2-2D6F1E78B762}"/>
            </c:ext>
          </c:extLst>
        </c:ser>
        <c:ser>
          <c:idx val="8"/>
          <c:order val="8"/>
          <c:tx>
            <c:strRef>
              <c:f>Locale!$D$50</c:f>
              <c:strCache>
                <c:ptCount val="1"/>
                <c:pt idx="0">
                  <c:v>4 升 5 挡</c:v>
                </c:pt>
              </c:strCache>
            </c:strRef>
          </c:tx>
          <c:spPr>
            <a:ln w="12383">
              <a:solidFill>
                <a:srgbClr val="C47C18"/>
              </a:solidFill>
              <a:prstDash val="solid"/>
            </a:ln>
          </c:spPr>
          <c:marker>
            <c:symbol val="none"/>
          </c:marker>
          <c:xVal>
            <c:numRef>
              <c:f>Samples!$H$218:$H$219</c:f>
              <c:numCache>
                <c:formatCode>General</c:formatCode>
                <c:ptCount val="2"/>
                <c:pt idx="0">
                  <c:v>121.75286878525847</c:v>
                </c:pt>
                <c:pt idx="1">
                  <c:v>121.75286878525847</c:v>
                </c:pt>
              </c:numCache>
            </c:numRef>
          </c:xVal>
          <c:yVal>
            <c:numRef>
              <c:f>Samples!$I$218:$I$219</c:f>
              <c:numCache>
                <c:formatCode>General</c:formatCode>
                <c:ptCount val="2"/>
                <c:pt idx="0">
                  <c:v>6120</c:v>
                </c:pt>
                <c:pt idx="1">
                  <c:v>4883.6778523489938</c:v>
                </c:pt>
              </c:numCache>
            </c:numRef>
          </c:yVal>
          <c:smooth val="0"/>
          <c:extLst>
            <c:ext xmlns:c16="http://schemas.microsoft.com/office/drawing/2014/chart" uri="{C3380CC4-5D6E-409C-BE32-E72D297353CC}">
              <c16:uniqueId val="{00000008-1120-4D6F-A6A2-2D6F1E78B762}"/>
            </c:ext>
          </c:extLst>
        </c:ser>
        <c:dLbls>
          <c:showLegendKey val="0"/>
          <c:showVal val="0"/>
          <c:showCatName val="0"/>
          <c:showSerName val="0"/>
          <c:showPercent val="0"/>
          <c:showBubbleSize val="0"/>
        </c:dLbls>
        <c:axId val="48650112"/>
        <c:axId val="48672768"/>
      </c:scatterChart>
      <c:valAx>
        <c:axId val="48672768"/>
        <c:scaling>
          <c:orientation val="minMax"/>
          <c:max val="8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5"/>
        <c:delete val="1"/>
      </c:legendEntry>
      <c:legendEntry>
        <c:idx val="6"/>
        <c:delete val="1"/>
      </c:legendEntry>
      <c:legendEntry>
        <c:idx val="7"/>
        <c:delete val="1"/>
      </c:legendEntry>
      <c:legendEntry>
        <c:idx val="8"/>
        <c:delete val="1"/>
      </c:legendEntry>
      <c:layout>
        <c:manualLayout>
          <c:xMode val="edge"/>
          <c:yMode val="edge"/>
          <c:x val="0.3399024496937883"/>
          <c:y val="5.9259259259259262E-2"/>
          <c:w val="0.32019510061242346"/>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Samples!$B$37:$B$50</c:f>
              <c:numCache>
                <c:formatCode>General</c:formatCode>
                <c:ptCount val="14"/>
                <c:pt idx="0">
                  <c:v>2500</c:v>
                </c:pt>
                <c:pt idx="1">
                  <c:v>3000</c:v>
                </c:pt>
                <c:pt idx="2">
                  <c:v>3500</c:v>
                </c:pt>
                <c:pt idx="3">
                  <c:v>4000</c:v>
                </c:pt>
                <c:pt idx="4">
                  <c:v>4500</c:v>
                </c:pt>
                <c:pt idx="5">
                  <c:v>4715</c:v>
                </c:pt>
                <c:pt idx="6">
                  <c:v>5000</c:v>
                </c:pt>
                <c:pt idx="7">
                  <c:v>5500</c:v>
                </c:pt>
                <c:pt idx="8">
                  <c:v>6000</c:v>
                </c:pt>
                <c:pt idx="9">
                  <c:v>6060</c:v>
                </c:pt>
                <c:pt idx="10">
                  <c:v>6500</c:v>
                </c:pt>
                <c:pt idx="11">
                  <c:v>7000</c:v>
                </c:pt>
                <c:pt idx="12">
                  <c:v>7500</c:v>
                </c:pt>
                <c:pt idx="13">
                  <c:v>7649</c:v>
                </c:pt>
              </c:numCache>
            </c:numRef>
          </c:xVal>
          <c:yVal>
            <c:numRef>
              <c:f>Samples!$C$37:$C$50</c:f>
              <c:numCache>
                <c:formatCode>0.00</c:formatCode>
                <c:ptCount val="14"/>
                <c:pt idx="0">
                  <c:v>375.5387979034</c:v>
                </c:pt>
                <c:pt idx="1">
                  <c:v>393.47429806315</c:v>
                </c:pt>
                <c:pt idx="2">
                  <c:v>403.52794593592</c:v>
                </c:pt>
                <c:pt idx="3">
                  <c:v>407.20471675444003</c:v>
                </c:pt>
                <c:pt idx="4">
                  <c:v>409.12826470105</c:v>
                </c:pt>
                <c:pt idx="5">
                  <c:v>409.34482245507002</c:v>
                </c:pt>
                <c:pt idx="6">
                  <c:v>407.45143542004001</c:v>
                </c:pt>
                <c:pt idx="7">
                  <c:v>392.98683843027999</c:v>
                </c:pt>
                <c:pt idx="8">
                  <c:v>367.25870170296997</c:v>
                </c:pt>
                <c:pt idx="9">
                  <c:v>363.72649618820998</c:v>
                </c:pt>
                <c:pt idx="10">
                  <c:v>335.54735400714998</c:v>
                </c:pt>
                <c:pt idx="11">
                  <c:v>303.45837406874</c:v>
                </c:pt>
                <c:pt idx="12">
                  <c:v>268.94344000078001</c:v>
                </c:pt>
                <c:pt idx="13">
                  <c:v>256.53470931065999</c:v>
                </c:pt>
              </c:numCache>
            </c:numRef>
          </c:yVal>
          <c:smooth val="1"/>
          <c:extLst>
            <c:ext xmlns:c16="http://schemas.microsoft.com/office/drawing/2014/chart" uri="{C3380CC4-5D6E-409C-BE32-E72D297353CC}">
              <c16:uniqueId val="{00000000-A6A1-48B0-ADA4-0C82CA69502F}"/>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Samples!$B$37:$B$50</c:f>
              <c:numCache>
                <c:formatCode>General</c:formatCode>
                <c:ptCount val="14"/>
                <c:pt idx="0">
                  <c:v>2500</c:v>
                </c:pt>
                <c:pt idx="1">
                  <c:v>3000</c:v>
                </c:pt>
                <c:pt idx="2">
                  <c:v>3500</c:v>
                </c:pt>
                <c:pt idx="3">
                  <c:v>4000</c:v>
                </c:pt>
                <c:pt idx="4">
                  <c:v>4500</c:v>
                </c:pt>
                <c:pt idx="5">
                  <c:v>4715</c:v>
                </c:pt>
                <c:pt idx="6">
                  <c:v>5000</c:v>
                </c:pt>
                <c:pt idx="7">
                  <c:v>5500</c:v>
                </c:pt>
                <c:pt idx="8">
                  <c:v>6000</c:v>
                </c:pt>
                <c:pt idx="9">
                  <c:v>6060</c:v>
                </c:pt>
                <c:pt idx="10">
                  <c:v>6500</c:v>
                </c:pt>
                <c:pt idx="11">
                  <c:v>7000</c:v>
                </c:pt>
                <c:pt idx="12">
                  <c:v>7500</c:v>
                </c:pt>
                <c:pt idx="13">
                  <c:v>7649</c:v>
                </c:pt>
              </c:numCache>
            </c:numRef>
          </c:xVal>
          <c:yVal>
            <c:numRef>
              <c:f>Samples!$D$37:$D$50</c:f>
              <c:numCache>
                <c:formatCode>0.0</c:formatCode>
                <c:ptCount val="14"/>
                <c:pt idx="0">
                  <c:v>130.04288474058632</c:v>
                </c:pt>
                <c:pt idx="1">
                  <c:v>163.50438274952646</c:v>
                </c:pt>
                <c:pt idx="2">
                  <c:v>195.62909035840747</c:v>
                </c:pt>
                <c:pt idx="3">
                  <c:v>225.61323130333525</c:v>
                </c:pt>
                <c:pt idx="4">
                  <c:v>255.01385242165637</c:v>
                </c:pt>
                <c:pt idx="5">
                  <c:v>267.33927943898806</c:v>
                </c:pt>
                <c:pt idx="6">
                  <c:v>282.18740832921816</c:v>
                </c:pt>
                <c:pt idx="7">
                  <c:v>299.38667675276599</c:v>
                </c:pt>
                <c:pt idx="8">
                  <c:v>305.22149795764545</c:v>
                </c:pt>
                <c:pt idx="9">
                  <c:v>305.30881080191813</c:v>
                </c:pt>
                <c:pt idx="10">
                  <c:v>302.10572097215004</c:v>
                </c:pt>
                <c:pt idx="11">
                  <c:v>294.23134768533191</c:v>
                </c:pt>
                <c:pt idx="12">
                  <c:v>279.39201726972254</c:v>
                </c:pt>
                <c:pt idx="13">
                  <c:v>271.79569218153762</c:v>
                </c:pt>
              </c:numCache>
            </c:numRef>
          </c:yVal>
          <c:smooth val="1"/>
          <c:extLst>
            <c:ext xmlns:c16="http://schemas.microsoft.com/office/drawing/2014/chart" uri="{C3380CC4-5D6E-409C-BE32-E72D297353CC}">
              <c16:uniqueId val="{00000001-A6A1-48B0-ADA4-0C82CA69502F}"/>
            </c:ext>
          </c:extLst>
        </c:ser>
        <c:dLbls>
          <c:showLegendKey val="0"/>
          <c:showVal val="0"/>
          <c:showCatName val="0"/>
          <c:showSerName val="0"/>
          <c:showPercent val="0"/>
          <c:showBubbleSize val="0"/>
        </c:dLbls>
        <c:axId val="1509359887"/>
        <c:axId val="1509345967"/>
      </c:scatterChart>
      <c:valAx>
        <c:axId val="48672768"/>
        <c:scaling>
          <c:orientation val="minMax"/>
          <c:max val="5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8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345967"/>
        <c:scaling>
          <c:orientation val="minMax"/>
          <c:max val="5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359887"/>
        <c:crosses val="max"/>
        <c:crossBetween val="midCat"/>
        <c:majorUnit val="100"/>
      </c:valAx>
      <c:valAx>
        <c:axId val="1509359887"/>
        <c:scaling>
          <c:orientation val="minMax"/>
          <c:max val="8000"/>
          <c:min val="2500"/>
        </c:scaling>
        <c:delete val="1"/>
        <c:axPos val="b"/>
        <c:numFmt formatCode="General" sourceLinked="1"/>
        <c:majorTickMark val="out"/>
        <c:minorTickMark val="none"/>
        <c:tickLblPos val="nextTo"/>
        <c:crossAx val="150934596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Samples!$B$250:$B$251</c:f>
              <c:numCache>
                <c:formatCode>General</c:formatCode>
                <c:ptCount val="2"/>
                <c:pt idx="0">
                  <c:v>0</c:v>
                </c:pt>
                <c:pt idx="1">
                  <c:v>59.722074825531699</c:v>
                </c:pt>
              </c:numCache>
            </c:numRef>
          </c:xVal>
          <c:yVal>
            <c:numRef>
              <c:f>Samples!$C$250:$C$251</c:f>
              <c:numCache>
                <c:formatCode>General</c:formatCode>
                <c:ptCount val="2"/>
                <c:pt idx="0">
                  <c:v>0</c:v>
                </c:pt>
                <c:pt idx="1">
                  <c:v>7650</c:v>
                </c:pt>
              </c:numCache>
            </c:numRef>
          </c:yVal>
          <c:smooth val="0"/>
          <c:extLst>
            <c:ext xmlns:c16="http://schemas.microsoft.com/office/drawing/2014/chart" uri="{C3380CC4-5D6E-409C-BE32-E72D297353CC}">
              <c16:uniqueId val="{00000000-BD94-431C-9351-72A97C76668E}"/>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Samples!$D$250:$D$251</c:f>
              <c:numCache>
                <c:formatCode>General</c:formatCode>
                <c:ptCount val="2"/>
                <c:pt idx="0">
                  <c:v>0</c:v>
                </c:pt>
                <c:pt idx="1">
                  <c:v>73.386640165871825</c:v>
                </c:pt>
              </c:numCache>
            </c:numRef>
          </c:xVal>
          <c:yVal>
            <c:numRef>
              <c:f>Samples!$E$250:$E$251</c:f>
              <c:numCache>
                <c:formatCode>General</c:formatCode>
                <c:ptCount val="2"/>
                <c:pt idx="0">
                  <c:v>0</c:v>
                </c:pt>
                <c:pt idx="1">
                  <c:v>7650</c:v>
                </c:pt>
              </c:numCache>
            </c:numRef>
          </c:yVal>
          <c:smooth val="0"/>
          <c:extLst>
            <c:ext xmlns:c16="http://schemas.microsoft.com/office/drawing/2014/chart" uri="{C3380CC4-5D6E-409C-BE32-E72D297353CC}">
              <c16:uniqueId val="{00000001-BD94-431C-9351-72A97C76668E}"/>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Samples!$F$250:$F$251</c:f>
              <c:numCache>
                <c:formatCode>General</c:formatCode>
                <c:ptCount val="2"/>
                <c:pt idx="0">
                  <c:v>0</c:v>
                </c:pt>
                <c:pt idx="1">
                  <c:v>91.474271122446098</c:v>
                </c:pt>
              </c:numCache>
            </c:numRef>
          </c:xVal>
          <c:yVal>
            <c:numRef>
              <c:f>Samples!$G$250:$G$251</c:f>
              <c:numCache>
                <c:formatCode>General</c:formatCode>
                <c:ptCount val="2"/>
                <c:pt idx="0">
                  <c:v>0</c:v>
                </c:pt>
                <c:pt idx="1">
                  <c:v>7650</c:v>
                </c:pt>
              </c:numCache>
            </c:numRef>
          </c:yVal>
          <c:smooth val="0"/>
          <c:extLst>
            <c:ext xmlns:c16="http://schemas.microsoft.com/office/drawing/2014/chart" uri="{C3380CC4-5D6E-409C-BE32-E72D297353CC}">
              <c16:uniqueId val="{00000002-BD94-431C-9351-72A97C76668E}"/>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Samples!$H$250:$H$251</c:f>
              <c:numCache>
                <c:formatCode>General</c:formatCode>
                <c:ptCount val="2"/>
                <c:pt idx="0">
                  <c:v>0</c:v>
                </c:pt>
                <c:pt idx="1">
                  <c:v>113.55268808840455</c:v>
                </c:pt>
              </c:numCache>
            </c:numRef>
          </c:xVal>
          <c:yVal>
            <c:numRef>
              <c:f>Samples!$I$250:$I$251</c:f>
              <c:numCache>
                <c:formatCode>General</c:formatCode>
                <c:ptCount val="2"/>
                <c:pt idx="0">
                  <c:v>0</c:v>
                </c:pt>
                <c:pt idx="1">
                  <c:v>7650</c:v>
                </c:pt>
              </c:numCache>
            </c:numRef>
          </c:yVal>
          <c:smooth val="0"/>
          <c:extLst>
            <c:ext xmlns:c16="http://schemas.microsoft.com/office/drawing/2014/chart" uri="{C3380CC4-5D6E-409C-BE32-E72D297353CC}">
              <c16:uniqueId val="{00000003-BD94-431C-9351-72A97C76668E}"/>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Samples!$J$250:$J$251</c:f>
              <c:numCache>
                <c:formatCode>General</c:formatCode>
                <c:ptCount val="2"/>
                <c:pt idx="0">
                  <c:v>0</c:v>
                </c:pt>
                <c:pt idx="1">
                  <c:v>140.76022229208189</c:v>
                </c:pt>
              </c:numCache>
            </c:numRef>
          </c:xVal>
          <c:yVal>
            <c:numRef>
              <c:f>Samples!$K$250:$K$251</c:f>
              <c:numCache>
                <c:formatCode>General</c:formatCode>
                <c:ptCount val="2"/>
                <c:pt idx="0">
                  <c:v>0</c:v>
                </c:pt>
                <c:pt idx="1">
                  <c:v>7650</c:v>
                </c:pt>
              </c:numCache>
            </c:numRef>
          </c:yVal>
          <c:smooth val="0"/>
          <c:extLst>
            <c:ext xmlns:c16="http://schemas.microsoft.com/office/drawing/2014/chart" uri="{C3380CC4-5D6E-409C-BE32-E72D297353CC}">
              <c16:uniqueId val="{00000004-BD94-431C-9351-72A97C76668E}"/>
            </c:ext>
          </c:extLst>
        </c:ser>
        <c:ser>
          <c:idx val="5"/>
          <c:order val="5"/>
          <c:tx>
            <c:strRef>
              <c:f>Locale!$D$27</c:f>
              <c:strCache>
                <c:ptCount val="1"/>
                <c:pt idx="0">
                  <c:v>6 挡</c:v>
                </c:pt>
              </c:strCache>
            </c:strRef>
          </c:tx>
          <c:spPr>
            <a:ln w="19050">
              <a:solidFill>
                <a:srgbClr val="2C7C50"/>
              </a:solidFill>
              <a:prstDash val="solid"/>
            </a:ln>
          </c:spPr>
          <c:marker>
            <c:symbol val="none"/>
          </c:marker>
          <c:xVal>
            <c:numRef>
              <c:f>Samples!$L$250:$L$251</c:f>
              <c:numCache>
                <c:formatCode>General</c:formatCode>
                <c:ptCount val="2"/>
                <c:pt idx="0">
                  <c:v>0</c:v>
                </c:pt>
                <c:pt idx="1">
                  <c:v>172.31361558703946</c:v>
                </c:pt>
              </c:numCache>
            </c:numRef>
          </c:xVal>
          <c:yVal>
            <c:numRef>
              <c:f>Samples!$M$250:$M$251</c:f>
              <c:numCache>
                <c:formatCode>General</c:formatCode>
                <c:ptCount val="2"/>
                <c:pt idx="0">
                  <c:v>0</c:v>
                </c:pt>
                <c:pt idx="1">
                  <c:v>7650</c:v>
                </c:pt>
              </c:numCache>
            </c:numRef>
          </c:yVal>
          <c:smooth val="0"/>
          <c:extLst>
            <c:ext xmlns:c16="http://schemas.microsoft.com/office/drawing/2014/chart" uri="{C3380CC4-5D6E-409C-BE32-E72D297353CC}">
              <c16:uniqueId val="{00000005-BD94-431C-9351-72A97C76668E}"/>
            </c:ext>
          </c:extLst>
        </c:ser>
        <c:ser>
          <c:idx val="6"/>
          <c:order val="6"/>
          <c:tx>
            <c:strRef>
              <c:f>Locale!$D$53</c:f>
              <c:strCache>
                <c:ptCount val="1"/>
                <c:pt idx="0">
                  <c:v>1 升 2 挡</c:v>
                </c:pt>
              </c:strCache>
            </c:strRef>
          </c:tx>
          <c:spPr>
            <a:ln w="12383">
              <a:solidFill>
                <a:srgbClr val="D73027"/>
              </a:solidFill>
              <a:prstDash val="solid"/>
            </a:ln>
          </c:spPr>
          <c:marker>
            <c:symbol val="none"/>
          </c:marker>
          <c:xVal>
            <c:numRef>
              <c:f>Samples!$B$256:$B$257</c:f>
              <c:numCache>
                <c:formatCode>General</c:formatCode>
                <c:ptCount val="2"/>
                <c:pt idx="0">
                  <c:v>48.792544792101062</c:v>
                </c:pt>
                <c:pt idx="1">
                  <c:v>48.792544792101062</c:v>
                </c:pt>
              </c:numCache>
            </c:numRef>
          </c:xVal>
          <c:yVal>
            <c:numRef>
              <c:f>Samples!$C$256:$C$257</c:f>
              <c:numCache>
                <c:formatCode>General</c:formatCode>
                <c:ptCount val="2"/>
                <c:pt idx="0">
                  <c:v>6250</c:v>
                </c:pt>
                <c:pt idx="1">
                  <c:v>5086.2523044508816</c:v>
                </c:pt>
              </c:numCache>
            </c:numRef>
          </c:yVal>
          <c:smooth val="0"/>
          <c:extLst>
            <c:ext xmlns:c16="http://schemas.microsoft.com/office/drawing/2014/chart" uri="{C3380CC4-5D6E-409C-BE32-E72D297353CC}">
              <c16:uniqueId val="{00000006-BD94-431C-9351-72A97C76668E}"/>
            </c:ext>
          </c:extLst>
        </c:ser>
        <c:ser>
          <c:idx val="7"/>
          <c:order val="7"/>
          <c:tx>
            <c:strRef>
              <c:f>Locale!$D$55</c:f>
              <c:strCache>
                <c:ptCount val="1"/>
                <c:pt idx="0">
                  <c:v>2 升 3 挡</c:v>
                </c:pt>
              </c:strCache>
            </c:strRef>
          </c:tx>
          <c:spPr>
            <a:ln w="12383">
              <a:solidFill>
                <a:srgbClr val="F46D43"/>
              </a:solidFill>
              <a:prstDash val="solid"/>
            </a:ln>
          </c:spPr>
          <c:marker>
            <c:symbol val="none"/>
          </c:marker>
          <c:xVal>
            <c:numRef>
              <c:f>Samples!$D$256:$D$257</c:f>
              <c:numCache>
                <c:formatCode>General</c:formatCode>
                <c:ptCount val="2"/>
                <c:pt idx="0">
                  <c:v>61.970940584513983</c:v>
                </c:pt>
                <c:pt idx="1">
                  <c:v>61.970940584513983</c:v>
                </c:pt>
              </c:numCache>
            </c:numRef>
          </c:xVal>
          <c:yVal>
            <c:numRef>
              <c:f>Samples!$E$256:$E$257</c:f>
              <c:numCache>
                <c:formatCode>General</c:formatCode>
                <c:ptCount val="2"/>
                <c:pt idx="0">
                  <c:v>6460</c:v>
                </c:pt>
                <c:pt idx="1">
                  <c:v>5182.6343042071203</c:v>
                </c:pt>
              </c:numCache>
            </c:numRef>
          </c:yVal>
          <c:smooth val="0"/>
          <c:extLst>
            <c:ext xmlns:c16="http://schemas.microsoft.com/office/drawing/2014/chart" uri="{C3380CC4-5D6E-409C-BE32-E72D297353CC}">
              <c16:uniqueId val="{00000007-BD94-431C-9351-72A97C76668E}"/>
            </c:ext>
          </c:extLst>
        </c:ser>
        <c:ser>
          <c:idx val="8"/>
          <c:order val="8"/>
          <c:tx>
            <c:strRef>
              <c:f>Locale!$D$54</c:f>
              <c:strCache>
                <c:ptCount val="1"/>
                <c:pt idx="0">
                  <c:v>3 升 4 挡</c:v>
                </c:pt>
              </c:strCache>
            </c:strRef>
          </c:tx>
          <c:spPr>
            <a:ln w="12383">
              <a:solidFill>
                <a:srgbClr val="DBAA15"/>
              </a:solidFill>
              <a:prstDash val="solid"/>
            </a:ln>
          </c:spPr>
          <c:marker>
            <c:symbol val="none"/>
          </c:marker>
          <c:xVal>
            <c:numRef>
              <c:f>Samples!$F$256:$F$257</c:f>
              <c:numCache>
                <c:formatCode>General</c:formatCode>
                <c:ptCount val="2"/>
                <c:pt idx="0">
                  <c:v>78.321107954512669</c:v>
                </c:pt>
                <c:pt idx="1">
                  <c:v>78.321107954512669</c:v>
                </c:pt>
              </c:numCache>
            </c:numRef>
          </c:xVal>
          <c:yVal>
            <c:numRef>
              <c:f>Samples!$G$256:$G$257</c:f>
              <c:numCache>
                <c:formatCode>General</c:formatCode>
                <c:ptCount val="2"/>
                <c:pt idx="0">
                  <c:v>6550</c:v>
                </c:pt>
                <c:pt idx="1">
                  <c:v>5276.462283178701</c:v>
                </c:pt>
              </c:numCache>
            </c:numRef>
          </c:yVal>
          <c:smooth val="0"/>
          <c:extLst>
            <c:ext xmlns:c16="http://schemas.microsoft.com/office/drawing/2014/chart" uri="{C3380CC4-5D6E-409C-BE32-E72D297353CC}">
              <c16:uniqueId val="{00000008-BD94-431C-9351-72A97C76668E}"/>
            </c:ext>
          </c:extLst>
        </c:ser>
        <c:ser>
          <c:idx val="9"/>
          <c:order val="9"/>
          <c:tx>
            <c:strRef>
              <c:f>Locale!$D$50</c:f>
              <c:strCache>
                <c:ptCount val="1"/>
                <c:pt idx="0">
                  <c:v>4 升 5 挡</c:v>
                </c:pt>
              </c:strCache>
            </c:strRef>
          </c:tx>
          <c:spPr>
            <a:ln w="12383">
              <a:solidFill>
                <a:srgbClr val="C47C18"/>
              </a:solidFill>
              <a:prstDash val="solid"/>
            </a:ln>
          </c:spPr>
          <c:marker>
            <c:symbol val="none"/>
          </c:marker>
          <c:xVal>
            <c:numRef>
              <c:f>Samples!$H$256:$H$257</c:f>
              <c:numCache>
                <c:formatCode>General</c:formatCode>
                <c:ptCount val="2"/>
                <c:pt idx="0">
                  <c:v>98.115459903837134</c:v>
                </c:pt>
                <c:pt idx="1">
                  <c:v>98.115459903837134</c:v>
                </c:pt>
              </c:numCache>
            </c:numRef>
          </c:xVal>
          <c:yVal>
            <c:numRef>
              <c:f>Samples!$I$256:$I$257</c:f>
              <c:numCache>
                <c:formatCode>General</c:formatCode>
                <c:ptCount val="2"/>
                <c:pt idx="0">
                  <c:v>6610</c:v>
                </c:pt>
                <c:pt idx="1">
                  <c:v>5332.3535302954424</c:v>
                </c:pt>
              </c:numCache>
            </c:numRef>
          </c:yVal>
          <c:smooth val="0"/>
          <c:extLst>
            <c:ext xmlns:c16="http://schemas.microsoft.com/office/drawing/2014/chart" uri="{C3380CC4-5D6E-409C-BE32-E72D297353CC}">
              <c16:uniqueId val="{00000009-BD94-431C-9351-72A97C76668E}"/>
            </c:ext>
          </c:extLst>
        </c:ser>
        <c:ser>
          <c:idx val="10"/>
          <c:order val="10"/>
          <c:tx>
            <c:strRef>
              <c:f>Locale!$D$49</c:f>
              <c:strCache>
                <c:ptCount val="1"/>
                <c:pt idx="0">
                  <c:v>5 升 6 挡</c:v>
                </c:pt>
              </c:strCache>
            </c:strRef>
          </c:tx>
          <c:spPr>
            <a:ln w="12383">
              <a:solidFill>
                <a:srgbClr val="505050"/>
              </a:solidFill>
              <a:prstDash val="solid"/>
            </a:ln>
          </c:spPr>
          <c:marker>
            <c:symbol val="none"/>
          </c:marker>
          <c:xVal>
            <c:numRef>
              <c:f>Samples!$J$256:$J$257</c:f>
              <c:numCache>
                <c:formatCode>General</c:formatCode>
                <c:ptCount val="2"/>
                <c:pt idx="0">
                  <c:v>121.62419207198188</c:v>
                </c:pt>
                <c:pt idx="1">
                  <c:v>121.62419207198188</c:v>
                </c:pt>
              </c:numCache>
            </c:numRef>
          </c:xVal>
          <c:yVal>
            <c:numRef>
              <c:f>Samples!$K$256:$K$257</c:f>
              <c:numCache>
                <c:formatCode>General</c:formatCode>
                <c:ptCount val="2"/>
                <c:pt idx="0">
                  <c:v>6610</c:v>
                </c:pt>
                <c:pt idx="1">
                  <c:v>5399.6027312228434</c:v>
                </c:pt>
              </c:numCache>
            </c:numRef>
          </c:yVal>
          <c:smooth val="0"/>
          <c:extLst>
            <c:ext xmlns:c16="http://schemas.microsoft.com/office/drawing/2014/chart" uri="{C3380CC4-5D6E-409C-BE32-E72D297353CC}">
              <c16:uniqueId val="{0000000A-BD94-431C-9351-72A97C76668E}"/>
            </c:ext>
          </c:extLst>
        </c:ser>
        <c:dLbls>
          <c:showLegendKey val="0"/>
          <c:showVal val="0"/>
          <c:showCatName val="0"/>
          <c:showSerName val="0"/>
          <c:showPercent val="0"/>
          <c:showBubbleSize val="0"/>
        </c:dLbls>
        <c:axId val="48650112"/>
        <c:axId val="48672768"/>
      </c:scatterChart>
      <c:valAx>
        <c:axId val="48672768"/>
        <c:scaling>
          <c:orientation val="minMax"/>
          <c:max val="8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ayout>
        <c:manualLayout>
          <c:xMode val="edge"/>
          <c:yMode val="edge"/>
          <c:x val="0.30788291046952465"/>
          <c:y val="5.9259259259259262E-2"/>
          <c:w val="0.38423410615339748"/>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Samples!$B$67:$B$81</c:f>
              <c:numCache>
                <c:formatCode>General</c:formatCode>
                <c:ptCount val="15"/>
                <c:pt idx="0">
                  <c:v>2500</c:v>
                </c:pt>
                <c:pt idx="1">
                  <c:v>3000</c:v>
                </c:pt>
                <c:pt idx="2">
                  <c:v>3500</c:v>
                </c:pt>
                <c:pt idx="3">
                  <c:v>4000</c:v>
                </c:pt>
                <c:pt idx="4">
                  <c:v>4500</c:v>
                </c:pt>
                <c:pt idx="5">
                  <c:v>5000</c:v>
                </c:pt>
                <c:pt idx="6">
                  <c:v>5242</c:v>
                </c:pt>
                <c:pt idx="7">
                  <c:v>5500</c:v>
                </c:pt>
                <c:pt idx="8">
                  <c:v>6000</c:v>
                </c:pt>
                <c:pt idx="9">
                  <c:v>6500</c:v>
                </c:pt>
                <c:pt idx="10">
                  <c:v>6589</c:v>
                </c:pt>
                <c:pt idx="11">
                  <c:v>7000</c:v>
                </c:pt>
                <c:pt idx="12">
                  <c:v>7500</c:v>
                </c:pt>
                <c:pt idx="13">
                  <c:v>8000</c:v>
                </c:pt>
                <c:pt idx="14">
                  <c:v>8499</c:v>
                </c:pt>
              </c:numCache>
            </c:numRef>
          </c:xVal>
          <c:yVal>
            <c:numRef>
              <c:f>Samples!$C$67:$C$81</c:f>
              <c:numCache>
                <c:formatCode>0.00</c:formatCode>
                <c:ptCount val="15"/>
                <c:pt idx="0">
                  <c:v>401.07451780446002</c:v>
                </c:pt>
                <c:pt idx="1">
                  <c:v>420.15432548965998</c:v>
                </c:pt>
                <c:pt idx="2">
                  <c:v>434.59303883507999</c:v>
                </c:pt>
                <c:pt idx="3">
                  <c:v>445.04598601673001</c:v>
                </c:pt>
                <c:pt idx="4">
                  <c:v>449.37292062704</c:v>
                </c:pt>
                <c:pt idx="5">
                  <c:v>450.29178004523999</c:v>
                </c:pt>
                <c:pt idx="6">
                  <c:v>450.42287057639999</c:v>
                </c:pt>
                <c:pt idx="7">
                  <c:v>450.06220861605999</c:v>
                </c:pt>
                <c:pt idx="8">
                  <c:v>446.99380766573</c:v>
                </c:pt>
                <c:pt idx="9">
                  <c:v>421.37375767764001</c:v>
                </c:pt>
                <c:pt idx="10">
                  <c:v>415.94463169600999</c:v>
                </c:pt>
                <c:pt idx="11">
                  <c:v>388.61552309927998</c:v>
                </c:pt>
                <c:pt idx="12">
                  <c:v>356.44475630423</c:v>
                </c:pt>
                <c:pt idx="13">
                  <c:v>323.93917964009</c:v>
                </c:pt>
                <c:pt idx="14">
                  <c:v>283.84920919076001</c:v>
                </c:pt>
              </c:numCache>
            </c:numRef>
          </c:yVal>
          <c:smooth val="1"/>
          <c:extLst>
            <c:ext xmlns:c16="http://schemas.microsoft.com/office/drawing/2014/chart" uri="{C3380CC4-5D6E-409C-BE32-E72D297353CC}">
              <c16:uniqueId val="{00000000-7D96-4CC9-AD8F-F5521A4681C4}"/>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Samples!$B$67:$B$81</c:f>
              <c:numCache>
                <c:formatCode>General</c:formatCode>
                <c:ptCount val="15"/>
                <c:pt idx="0">
                  <c:v>2500</c:v>
                </c:pt>
                <c:pt idx="1">
                  <c:v>3000</c:v>
                </c:pt>
                <c:pt idx="2">
                  <c:v>3500</c:v>
                </c:pt>
                <c:pt idx="3">
                  <c:v>4000</c:v>
                </c:pt>
                <c:pt idx="4">
                  <c:v>4500</c:v>
                </c:pt>
                <c:pt idx="5">
                  <c:v>5000</c:v>
                </c:pt>
                <c:pt idx="6">
                  <c:v>5242</c:v>
                </c:pt>
                <c:pt idx="7">
                  <c:v>5500</c:v>
                </c:pt>
                <c:pt idx="8">
                  <c:v>6000</c:v>
                </c:pt>
                <c:pt idx="9">
                  <c:v>6500</c:v>
                </c:pt>
                <c:pt idx="10">
                  <c:v>6589</c:v>
                </c:pt>
                <c:pt idx="11">
                  <c:v>7000</c:v>
                </c:pt>
                <c:pt idx="12">
                  <c:v>7500</c:v>
                </c:pt>
                <c:pt idx="13">
                  <c:v>8000</c:v>
                </c:pt>
                <c:pt idx="14">
                  <c:v>8499</c:v>
                </c:pt>
              </c:numCache>
            </c:numRef>
          </c:xVal>
          <c:yVal>
            <c:numRef>
              <c:f>Samples!$D$67:$D$81</c:f>
              <c:numCache>
                <c:formatCode>0.0</c:formatCode>
                <c:ptCount val="15"/>
                <c:pt idx="0">
                  <c:v>138.88548289129707</c:v>
                </c:pt>
                <c:pt idx="1">
                  <c:v>174.59100629160596</c:v>
                </c:pt>
                <c:pt idx="2">
                  <c:v>210.68935056335647</c:v>
                </c:pt>
                <c:pt idx="3">
                  <c:v>246.57932202775831</c:v>
                </c:pt>
                <c:pt idx="4">
                  <c:v>280.09876009619853</c:v>
                </c:pt>
                <c:pt idx="5">
                  <c:v>311.85721623958699</c:v>
                </c:pt>
                <c:pt idx="6">
                  <c:v>327.0462886645617</c:v>
                </c:pt>
                <c:pt idx="7">
                  <c:v>342.86804491412022</c:v>
                </c:pt>
                <c:pt idx="8">
                  <c:v>371.48777937974825</c:v>
                </c:pt>
                <c:pt idx="9">
                  <c:v>379.37841363288413</c:v>
                </c:pt>
                <c:pt idx="10">
                  <c:v>379.61800764077708</c:v>
                </c:pt>
                <c:pt idx="11">
                  <c:v>376.79918850102615</c:v>
                </c:pt>
                <c:pt idx="12">
                  <c:v>370.29280025853808</c:v>
                </c:pt>
                <c:pt idx="13">
                  <c:v>358.95932467021913</c:v>
                </c:pt>
                <c:pt idx="14">
                  <c:v>334.15448324885881</c:v>
                </c:pt>
              </c:numCache>
            </c:numRef>
          </c:yVal>
          <c:smooth val="1"/>
          <c:extLst>
            <c:ext xmlns:c16="http://schemas.microsoft.com/office/drawing/2014/chart" uri="{C3380CC4-5D6E-409C-BE32-E72D297353CC}">
              <c16:uniqueId val="{00000001-7D96-4CC9-AD8F-F5521A4681C4}"/>
            </c:ext>
          </c:extLst>
        </c:ser>
        <c:dLbls>
          <c:showLegendKey val="0"/>
          <c:showVal val="0"/>
          <c:showCatName val="0"/>
          <c:showSerName val="0"/>
          <c:showPercent val="0"/>
          <c:showBubbleSize val="0"/>
        </c:dLbls>
        <c:axId val="1509429007"/>
        <c:axId val="1509422287"/>
      </c:scatterChart>
      <c:valAx>
        <c:axId val="48672768"/>
        <c:scaling>
          <c:orientation val="minMax"/>
          <c:max val="5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9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422287"/>
        <c:scaling>
          <c:orientation val="minMax"/>
          <c:max val="5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429007"/>
        <c:crosses val="max"/>
        <c:crossBetween val="midCat"/>
        <c:majorUnit val="100"/>
      </c:valAx>
      <c:valAx>
        <c:axId val="1509429007"/>
        <c:scaling>
          <c:orientation val="minMax"/>
          <c:max val="9000"/>
          <c:min val="2500"/>
        </c:scaling>
        <c:delete val="1"/>
        <c:axPos val="b"/>
        <c:numFmt formatCode="General" sourceLinked="1"/>
        <c:majorTickMark val="out"/>
        <c:minorTickMark val="none"/>
        <c:tickLblPos val="nextTo"/>
        <c:crossAx val="150942228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Samples!$B$288:$B$289</c:f>
              <c:numCache>
                <c:formatCode>General</c:formatCode>
                <c:ptCount val="2"/>
                <c:pt idx="0">
                  <c:v>0</c:v>
                </c:pt>
                <c:pt idx="1">
                  <c:v>66.332219995224065</c:v>
                </c:pt>
              </c:numCache>
            </c:numRef>
          </c:xVal>
          <c:yVal>
            <c:numRef>
              <c:f>Samples!$C$288:$C$289</c:f>
              <c:numCache>
                <c:formatCode>General</c:formatCode>
                <c:ptCount val="2"/>
                <c:pt idx="0">
                  <c:v>0</c:v>
                </c:pt>
                <c:pt idx="1">
                  <c:v>8500</c:v>
                </c:pt>
              </c:numCache>
            </c:numRef>
          </c:yVal>
          <c:smooth val="0"/>
          <c:extLst>
            <c:ext xmlns:c16="http://schemas.microsoft.com/office/drawing/2014/chart" uri="{C3380CC4-5D6E-409C-BE32-E72D297353CC}">
              <c16:uniqueId val="{00000000-F9B9-4432-A168-B4DD6D31151B}"/>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Samples!$D$288:$D$289</c:f>
              <c:numCache>
                <c:formatCode>General</c:formatCode>
                <c:ptCount val="2"/>
                <c:pt idx="0">
                  <c:v>0</c:v>
                </c:pt>
                <c:pt idx="1">
                  <c:v>81.523689959165253</c:v>
                </c:pt>
              </c:numCache>
            </c:numRef>
          </c:xVal>
          <c:yVal>
            <c:numRef>
              <c:f>Samples!$E$288:$E$289</c:f>
              <c:numCache>
                <c:formatCode>General</c:formatCode>
                <c:ptCount val="2"/>
                <c:pt idx="0">
                  <c:v>0</c:v>
                </c:pt>
                <c:pt idx="1">
                  <c:v>8500</c:v>
                </c:pt>
              </c:numCache>
            </c:numRef>
          </c:yVal>
          <c:smooth val="0"/>
          <c:extLst>
            <c:ext xmlns:c16="http://schemas.microsoft.com/office/drawing/2014/chart" uri="{C3380CC4-5D6E-409C-BE32-E72D297353CC}">
              <c16:uniqueId val="{00000001-F9B9-4432-A168-B4DD6D31151B}"/>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Samples!$F$288:$F$289</c:f>
              <c:numCache>
                <c:formatCode>General</c:formatCode>
                <c:ptCount val="2"/>
                <c:pt idx="0">
                  <c:v>0</c:v>
                </c:pt>
                <c:pt idx="1">
                  <c:v>101.59379228026698</c:v>
                </c:pt>
              </c:numCache>
            </c:numRef>
          </c:xVal>
          <c:yVal>
            <c:numRef>
              <c:f>Samples!$G$288:$G$289</c:f>
              <c:numCache>
                <c:formatCode>General</c:formatCode>
                <c:ptCount val="2"/>
                <c:pt idx="0">
                  <c:v>0</c:v>
                </c:pt>
                <c:pt idx="1">
                  <c:v>8500</c:v>
                </c:pt>
              </c:numCache>
            </c:numRef>
          </c:yVal>
          <c:smooth val="0"/>
          <c:extLst>
            <c:ext xmlns:c16="http://schemas.microsoft.com/office/drawing/2014/chart" uri="{C3380CC4-5D6E-409C-BE32-E72D297353CC}">
              <c16:uniqueId val="{00000002-F9B9-4432-A168-B4DD6D31151B}"/>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Samples!$H$288:$H$289</c:f>
              <c:numCache>
                <c:formatCode>General</c:formatCode>
                <c:ptCount val="2"/>
                <c:pt idx="0">
                  <c:v>0</c:v>
                </c:pt>
                <c:pt idx="1">
                  <c:v>126.16761541299385</c:v>
                </c:pt>
              </c:numCache>
            </c:numRef>
          </c:xVal>
          <c:yVal>
            <c:numRef>
              <c:f>Samples!$I$288:$I$289</c:f>
              <c:numCache>
                <c:formatCode>General</c:formatCode>
                <c:ptCount val="2"/>
                <c:pt idx="0">
                  <c:v>0</c:v>
                </c:pt>
                <c:pt idx="1">
                  <c:v>8500</c:v>
                </c:pt>
              </c:numCache>
            </c:numRef>
          </c:yVal>
          <c:smooth val="0"/>
          <c:extLst>
            <c:ext xmlns:c16="http://schemas.microsoft.com/office/drawing/2014/chart" uri="{C3380CC4-5D6E-409C-BE32-E72D297353CC}">
              <c16:uniqueId val="{00000003-F9B9-4432-A168-B4DD6D31151B}"/>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Samples!$J$288:$J$289</c:f>
              <c:numCache>
                <c:formatCode>General</c:formatCode>
                <c:ptCount val="2"/>
                <c:pt idx="0">
                  <c:v>0</c:v>
                </c:pt>
                <c:pt idx="1">
                  <c:v>156.37676276540085</c:v>
                </c:pt>
              </c:numCache>
            </c:numRef>
          </c:xVal>
          <c:yVal>
            <c:numRef>
              <c:f>Samples!$K$288:$K$289</c:f>
              <c:numCache>
                <c:formatCode>General</c:formatCode>
                <c:ptCount val="2"/>
                <c:pt idx="0">
                  <c:v>0</c:v>
                </c:pt>
                <c:pt idx="1">
                  <c:v>8500</c:v>
                </c:pt>
              </c:numCache>
            </c:numRef>
          </c:yVal>
          <c:smooth val="0"/>
          <c:extLst>
            <c:ext xmlns:c16="http://schemas.microsoft.com/office/drawing/2014/chart" uri="{C3380CC4-5D6E-409C-BE32-E72D297353CC}">
              <c16:uniqueId val="{00000004-F9B9-4432-A168-B4DD6D31151B}"/>
            </c:ext>
          </c:extLst>
        </c:ser>
        <c:ser>
          <c:idx val="5"/>
          <c:order val="5"/>
          <c:tx>
            <c:strRef>
              <c:f>Locale!$D$27</c:f>
              <c:strCache>
                <c:ptCount val="1"/>
                <c:pt idx="0">
                  <c:v>6 挡</c:v>
                </c:pt>
              </c:strCache>
            </c:strRef>
          </c:tx>
          <c:spPr>
            <a:ln w="19050">
              <a:solidFill>
                <a:srgbClr val="2C7C50"/>
              </a:solidFill>
              <a:prstDash val="solid"/>
            </a:ln>
          </c:spPr>
          <c:marker>
            <c:symbol val="none"/>
          </c:marker>
          <c:xVal>
            <c:numRef>
              <c:f>Samples!$L$288:$L$289</c:f>
              <c:numCache>
                <c:formatCode>General</c:formatCode>
                <c:ptCount val="2"/>
                <c:pt idx="0">
                  <c:v>0</c:v>
                </c:pt>
                <c:pt idx="1">
                  <c:v>191.4267268335079</c:v>
                </c:pt>
              </c:numCache>
            </c:numRef>
          </c:xVal>
          <c:yVal>
            <c:numRef>
              <c:f>Samples!$M$288:$M$289</c:f>
              <c:numCache>
                <c:formatCode>General</c:formatCode>
                <c:ptCount val="2"/>
                <c:pt idx="0">
                  <c:v>0</c:v>
                </c:pt>
                <c:pt idx="1">
                  <c:v>8500</c:v>
                </c:pt>
              </c:numCache>
            </c:numRef>
          </c:yVal>
          <c:smooth val="0"/>
          <c:extLst>
            <c:ext xmlns:c16="http://schemas.microsoft.com/office/drawing/2014/chart" uri="{C3380CC4-5D6E-409C-BE32-E72D297353CC}">
              <c16:uniqueId val="{00000005-F9B9-4432-A168-B4DD6D31151B}"/>
            </c:ext>
          </c:extLst>
        </c:ser>
        <c:ser>
          <c:idx val="6"/>
          <c:order val="6"/>
          <c:tx>
            <c:strRef>
              <c:f>Locale!$D$53</c:f>
              <c:strCache>
                <c:ptCount val="1"/>
                <c:pt idx="0">
                  <c:v>1 升 2 挡</c:v>
                </c:pt>
              </c:strCache>
            </c:strRef>
          </c:tx>
          <c:spPr>
            <a:ln w="12383">
              <a:solidFill>
                <a:srgbClr val="D73027"/>
              </a:solidFill>
              <a:prstDash val="solid"/>
            </a:ln>
          </c:spPr>
          <c:marker>
            <c:symbol val="none"/>
          </c:marker>
          <c:xVal>
            <c:numRef>
              <c:f>Samples!$B$294:$B$295</c:f>
              <c:numCache>
                <c:formatCode>General</c:formatCode>
                <c:ptCount val="2"/>
                <c:pt idx="0">
                  <c:v>54.392420396083736</c:v>
                </c:pt>
                <c:pt idx="1">
                  <c:v>54.392420396083736</c:v>
                </c:pt>
              </c:numCache>
            </c:numRef>
          </c:xVal>
          <c:yVal>
            <c:numRef>
              <c:f>Samples!$C$294:$C$295</c:f>
              <c:numCache>
                <c:formatCode>General</c:formatCode>
                <c:ptCount val="2"/>
                <c:pt idx="0">
                  <c:v>6970</c:v>
                </c:pt>
                <c:pt idx="1">
                  <c:v>5671.1806543385492</c:v>
                </c:pt>
              </c:numCache>
            </c:numRef>
          </c:yVal>
          <c:smooth val="0"/>
          <c:extLst>
            <c:ext xmlns:c16="http://schemas.microsoft.com/office/drawing/2014/chart" uri="{C3380CC4-5D6E-409C-BE32-E72D297353CC}">
              <c16:uniqueId val="{00000006-F9B9-4432-A168-B4DD6D31151B}"/>
            </c:ext>
          </c:extLst>
        </c:ser>
        <c:ser>
          <c:idx val="7"/>
          <c:order val="7"/>
          <c:tx>
            <c:strRef>
              <c:f>Locale!$D$55</c:f>
              <c:strCache>
                <c:ptCount val="1"/>
                <c:pt idx="0">
                  <c:v>2 升 3 挡</c:v>
                </c:pt>
              </c:strCache>
            </c:strRef>
          </c:tx>
          <c:spPr>
            <a:ln w="12383">
              <a:solidFill>
                <a:srgbClr val="F46D43"/>
              </a:solidFill>
              <a:prstDash val="solid"/>
            </a:ln>
          </c:spPr>
          <c:marker>
            <c:symbol val="none"/>
          </c:marker>
          <c:xVal>
            <c:numRef>
              <c:f>Samples!$D$294:$D$295</c:f>
              <c:numCache>
                <c:formatCode>General</c:formatCode>
                <c:ptCount val="2"/>
                <c:pt idx="0">
                  <c:v>68.863540459624303</c:v>
                </c:pt>
                <c:pt idx="1">
                  <c:v>68.863540459624303</c:v>
                </c:pt>
              </c:numCache>
            </c:numRef>
          </c:xVal>
          <c:yVal>
            <c:numRef>
              <c:f>Samples!$E$294:$E$295</c:f>
              <c:numCache>
                <c:formatCode>General</c:formatCode>
                <c:ptCount val="2"/>
                <c:pt idx="0">
                  <c:v>7180</c:v>
                </c:pt>
                <c:pt idx="1">
                  <c:v>5761.5734265734263</c:v>
                </c:pt>
              </c:numCache>
            </c:numRef>
          </c:yVal>
          <c:smooth val="0"/>
          <c:extLst>
            <c:ext xmlns:c16="http://schemas.microsoft.com/office/drawing/2014/chart" uri="{C3380CC4-5D6E-409C-BE32-E72D297353CC}">
              <c16:uniqueId val="{00000007-F9B9-4432-A168-B4DD6D31151B}"/>
            </c:ext>
          </c:extLst>
        </c:ser>
        <c:ser>
          <c:idx val="8"/>
          <c:order val="8"/>
          <c:tx>
            <c:strRef>
              <c:f>Locale!$D$54</c:f>
              <c:strCache>
                <c:ptCount val="1"/>
                <c:pt idx="0">
                  <c:v>3 升 4 挡</c:v>
                </c:pt>
              </c:strCache>
            </c:strRef>
          </c:tx>
          <c:spPr>
            <a:ln w="12383">
              <a:solidFill>
                <a:srgbClr val="DBAA15"/>
              </a:solidFill>
              <a:prstDash val="solid"/>
            </a:ln>
          </c:spPr>
          <c:marker>
            <c:symbol val="none"/>
          </c:marker>
          <c:xVal>
            <c:numRef>
              <c:f>Samples!$F$294:$F$295</c:f>
              <c:numCache>
                <c:formatCode>General</c:formatCode>
                <c:ptCount val="2"/>
                <c:pt idx="0">
                  <c:v>86.653528709639474</c:v>
                </c:pt>
                <c:pt idx="1">
                  <c:v>86.653528709639474</c:v>
                </c:pt>
              </c:numCache>
            </c:numRef>
          </c:xVal>
          <c:yVal>
            <c:numRef>
              <c:f>Samples!$G$294:$G$295</c:f>
              <c:numCache>
                <c:formatCode>General</c:formatCode>
                <c:ptCount val="2"/>
                <c:pt idx="0">
                  <c:v>7250</c:v>
                </c:pt>
                <c:pt idx="1">
                  <c:v>5837.9084967320259</c:v>
                </c:pt>
              </c:numCache>
            </c:numRef>
          </c:yVal>
          <c:smooth val="0"/>
          <c:extLst>
            <c:ext xmlns:c16="http://schemas.microsoft.com/office/drawing/2014/chart" uri="{C3380CC4-5D6E-409C-BE32-E72D297353CC}">
              <c16:uniqueId val="{00000008-F9B9-4432-A168-B4DD6D31151B}"/>
            </c:ext>
          </c:extLst>
        </c:ser>
        <c:ser>
          <c:idx val="9"/>
          <c:order val="9"/>
          <c:tx>
            <c:strRef>
              <c:f>Locale!$D$50</c:f>
              <c:strCache>
                <c:ptCount val="1"/>
                <c:pt idx="0">
                  <c:v>4 升 5 挡</c:v>
                </c:pt>
              </c:strCache>
            </c:strRef>
          </c:tx>
          <c:spPr>
            <a:ln w="12383">
              <a:solidFill>
                <a:srgbClr val="C47C18"/>
              </a:solidFill>
              <a:prstDash val="solid"/>
            </a:ln>
          </c:spPr>
          <c:marker>
            <c:symbol val="none"/>
          </c:marker>
          <c:xVal>
            <c:numRef>
              <c:f>Samples!$H$294:$H$295</c:f>
              <c:numCache>
                <c:formatCode>General</c:formatCode>
                <c:ptCount val="2"/>
                <c:pt idx="0">
                  <c:v>108.20728427773237</c:v>
                </c:pt>
                <c:pt idx="1">
                  <c:v>108.20728427773237</c:v>
                </c:pt>
              </c:numCache>
            </c:numRef>
          </c:xVal>
          <c:yVal>
            <c:numRef>
              <c:f>Samples!$I$294:$I$295</c:f>
              <c:numCache>
                <c:formatCode>General</c:formatCode>
                <c:ptCount val="2"/>
                <c:pt idx="0">
                  <c:v>7290</c:v>
                </c:pt>
                <c:pt idx="1">
                  <c:v>5881.704545454546</c:v>
                </c:pt>
              </c:numCache>
            </c:numRef>
          </c:yVal>
          <c:smooth val="0"/>
          <c:extLst>
            <c:ext xmlns:c16="http://schemas.microsoft.com/office/drawing/2014/chart" uri="{C3380CC4-5D6E-409C-BE32-E72D297353CC}">
              <c16:uniqueId val="{00000009-F9B9-4432-A168-B4DD6D31151B}"/>
            </c:ext>
          </c:extLst>
        </c:ser>
        <c:ser>
          <c:idx val="10"/>
          <c:order val="10"/>
          <c:tx>
            <c:strRef>
              <c:f>Locale!$D$49</c:f>
              <c:strCache>
                <c:ptCount val="1"/>
                <c:pt idx="0">
                  <c:v>5 升 6 挡</c:v>
                </c:pt>
              </c:strCache>
            </c:strRef>
          </c:tx>
          <c:spPr>
            <a:ln w="12383">
              <a:solidFill>
                <a:srgbClr val="505050"/>
              </a:solidFill>
              <a:prstDash val="solid"/>
            </a:ln>
          </c:spPr>
          <c:marker>
            <c:symbol val="none"/>
          </c:marker>
          <c:xVal>
            <c:numRef>
              <c:f>Samples!$J$294:$J$295</c:f>
              <c:numCache>
                <c:formatCode>General</c:formatCode>
                <c:ptCount val="2"/>
                <c:pt idx="0">
                  <c:v>133.74812532993695</c:v>
                </c:pt>
                <c:pt idx="1">
                  <c:v>133.74812532993695</c:v>
                </c:pt>
              </c:numCache>
            </c:numRef>
          </c:xVal>
          <c:yVal>
            <c:numRef>
              <c:f>Samples!$K$294:$K$295</c:f>
              <c:numCache>
                <c:formatCode>General</c:formatCode>
                <c:ptCount val="2"/>
                <c:pt idx="0">
                  <c:v>7270</c:v>
                </c:pt>
                <c:pt idx="1">
                  <c:v>5938.8732394366198</c:v>
                </c:pt>
              </c:numCache>
            </c:numRef>
          </c:yVal>
          <c:smooth val="0"/>
          <c:extLst>
            <c:ext xmlns:c16="http://schemas.microsoft.com/office/drawing/2014/chart" uri="{C3380CC4-5D6E-409C-BE32-E72D297353CC}">
              <c16:uniqueId val="{0000000A-F9B9-4432-A168-B4DD6D31151B}"/>
            </c:ext>
          </c:extLst>
        </c:ser>
        <c:dLbls>
          <c:showLegendKey val="0"/>
          <c:showVal val="0"/>
          <c:showCatName val="0"/>
          <c:showSerName val="0"/>
          <c:showPercent val="0"/>
          <c:showBubbleSize val="0"/>
        </c:dLbls>
        <c:axId val="48650112"/>
        <c:axId val="48672768"/>
      </c:scatterChart>
      <c:valAx>
        <c:axId val="48672768"/>
        <c:scaling>
          <c:orientation val="minMax"/>
          <c:max val="9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ayout>
        <c:manualLayout>
          <c:xMode val="edge"/>
          <c:yMode val="edge"/>
          <c:x val="0.30788291046952465"/>
          <c:y val="5.9259259259259262E-2"/>
          <c:w val="0.38423410615339748"/>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Samples!$B$97:$B$111</c:f>
              <c:numCache>
                <c:formatCode>General</c:formatCode>
                <c:ptCount val="15"/>
                <c:pt idx="0">
                  <c:v>2500</c:v>
                </c:pt>
                <c:pt idx="1">
                  <c:v>3000</c:v>
                </c:pt>
                <c:pt idx="2">
                  <c:v>3500</c:v>
                </c:pt>
                <c:pt idx="3">
                  <c:v>4000</c:v>
                </c:pt>
                <c:pt idx="4">
                  <c:v>4500</c:v>
                </c:pt>
                <c:pt idx="5">
                  <c:v>4978</c:v>
                </c:pt>
                <c:pt idx="6">
                  <c:v>5000</c:v>
                </c:pt>
                <c:pt idx="7">
                  <c:v>5500</c:v>
                </c:pt>
                <c:pt idx="8">
                  <c:v>6000</c:v>
                </c:pt>
                <c:pt idx="9">
                  <c:v>6500</c:v>
                </c:pt>
                <c:pt idx="10">
                  <c:v>7000</c:v>
                </c:pt>
                <c:pt idx="11">
                  <c:v>7023</c:v>
                </c:pt>
                <c:pt idx="12">
                  <c:v>7500</c:v>
                </c:pt>
                <c:pt idx="13">
                  <c:v>8000</c:v>
                </c:pt>
                <c:pt idx="14">
                  <c:v>8499</c:v>
                </c:pt>
              </c:numCache>
            </c:numRef>
          </c:xVal>
          <c:yVal>
            <c:numRef>
              <c:f>Samples!$C$97:$C$111</c:f>
              <c:numCache>
                <c:formatCode>0.00</c:formatCode>
                <c:ptCount val="15"/>
                <c:pt idx="0">
                  <c:v>392.12322294939003</c:v>
                </c:pt>
                <c:pt idx="1">
                  <c:v>413.34434636400999</c:v>
                </c:pt>
                <c:pt idx="2">
                  <c:v>426.43653820907002</c:v>
                </c:pt>
                <c:pt idx="3">
                  <c:v>434.66000894194002</c:v>
                </c:pt>
                <c:pt idx="4">
                  <c:v>438.93000290914</c:v>
                </c:pt>
                <c:pt idx="5">
                  <c:v>440.45937290107003</c:v>
                </c:pt>
                <c:pt idx="6">
                  <c:v>440.45531734092998</c:v>
                </c:pt>
                <c:pt idx="7">
                  <c:v>438.54886894563998</c:v>
                </c:pt>
                <c:pt idx="8">
                  <c:v>430.32993219679997</c:v>
                </c:pt>
                <c:pt idx="9">
                  <c:v>407.30321335870002</c:v>
                </c:pt>
                <c:pt idx="10">
                  <c:v>381.20202297351</c:v>
                </c:pt>
                <c:pt idx="11">
                  <c:v>379.95765344646998</c:v>
                </c:pt>
                <c:pt idx="12">
                  <c:v>353.21169403024999</c:v>
                </c:pt>
                <c:pt idx="13">
                  <c:v>321.39007141308002</c:v>
                </c:pt>
                <c:pt idx="14">
                  <c:v>278.85280319881002</c:v>
                </c:pt>
              </c:numCache>
            </c:numRef>
          </c:yVal>
          <c:smooth val="1"/>
          <c:extLst>
            <c:ext xmlns:c16="http://schemas.microsoft.com/office/drawing/2014/chart" uri="{C3380CC4-5D6E-409C-BE32-E72D297353CC}">
              <c16:uniqueId val="{00000000-EBAA-4D41-AAD1-3DF92D63AEBB}"/>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Samples!$B$97:$B$111</c:f>
              <c:numCache>
                <c:formatCode>General</c:formatCode>
                <c:ptCount val="15"/>
                <c:pt idx="0">
                  <c:v>2500</c:v>
                </c:pt>
                <c:pt idx="1">
                  <c:v>3000</c:v>
                </c:pt>
                <c:pt idx="2">
                  <c:v>3500</c:v>
                </c:pt>
                <c:pt idx="3">
                  <c:v>4000</c:v>
                </c:pt>
                <c:pt idx="4">
                  <c:v>4500</c:v>
                </c:pt>
                <c:pt idx="5">
                  <c:v>4978</c:v>
                </c:pt>
                <c:pt idx="6">
                  <c:v>5000</c:v>
                </c:pt>
                <c:pt idx="7">
                  <c:v>5500</c:v>
                </c:pt>
                <c:pt idx="8">
                  <c:v>6000</c:v>
                </c:pt>
                <c:pt idx="9">
                  <c:v>6500</c:v>
                </c:pt>
                <c:pt idx="10">
                  <c:v>7000</c:v>
                </c:pt>
                <c:pt idx="11">
                  <c:v>7023</c:v>
                </c:pt>
                <c:pt idx="12">
                  <c:v>7500</c:v>
                </c:pt>
                <c:pt idx="13">
                  <c:v>8000</c:v>
                </c:pt>
                <c:pt idx="14">
                  <c:v>8499</c:v>
                </c:pt>
              </c:numCache>
            </c:numRef>
          </c:xVal>
          <c:yVal>
            <c:numRef>
              <c:f>Samples!$D$97:$D$111</c:f>
              <c:numCache>
                <c:formatCode>0.0</c:formatCode>
                <c:ptCount val="15"/>
                <c:pt idx="0">
                  <c:v>135.78579728859611</c:v>
                </c:pt>
                <c:pt idx="1">
                  <c:v>171.76118630347156</c:v>
                </c:pt>
                <c:pt idx="2">
                  <c:v>206.73510448437605</c:v>
                </c:pt>
                <c:pt idx="3">
                  <c:v>240.82493424275626</c:v>
                </c:pt>
                <c:pt idx="4">
                  <c:v>273.58958214998773</c:v>
                </c:pt>
                <c:pt idx="5">
                  <c:v>303.7054062516201</c:v>
                </c:pt>
                <c:pt idx="6">
                  <c:v>305.04480701394795</c:v>
                </c:pt>
                <c:pt idx="7">
                  <c:v>334.09691019617696</c:v>
                </c:pt>
                <c:pt idx="8">
                  <c:v>357.63875957757472</c:v>
                </c:pt>
                <c:pt idx="9">
                  <c:v>366.71018101183154</c:v>
                </c:pt>
                <c:pt idx="10">
                  <c:v>369.61110499610913</c:v>
                </c:pt>
                <c:pt idx="11">
                  <c:v>369.61504422565332</c:v>
                </c:pt>
                <c:pt idx="12">
                  <c:v>366.93413201704772</c:v>
                </c:pt>
                <c:pt idx="13">
                  <c:v>356.13463958985204</c:v>
                </c:pt>
                <c:pt idx="14">
                  <c:v>328.27258748067237</c:v>
                </c:pt>
              </c:numCache>
            </c:numRef>
          </c:yVal>
          <c:smooth val="1"/>
          <c:extLst>
            <c:ext xmlns:c16="http://schemas.microsoft.com/office/drawing/2014/chart" uri="{C3380CC4-5D6E-409C-BE32-E72D297353CC}">
              <c16:uniqueId val="{00000001-EBAA-4D41-AAD1-3DF92D63AEBB}"/>
            </c:ext>
          </c:extLst>
        </c:ser>
        <c:dLbls>
          <c:showLegendKey val="0"/>
          <c:showVal val="0"/>
          <c:showCatName val="0"/>
          <c:showSerName val="0"/>
          <c:showPercent val="0"/>
          <c:showBubbleSize val="0"/>
        </c:dLbls>
        <c:axId val="1509338767"/>
        <c:axId val="1509416047"/>
      </c:scatterChart>
      <c:valAx>
        <c:axId val="48672768"/>
        <c:scaling>
          <c:orientation val="minMax"/>
          <c:max val="5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9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416047"/>
        <c:scaling>
          <c:orientation val="minMax"/>
          <c:max val="5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338767"/>
        <c:crosses val="max"/>
        <c:crossBetween val="midCat"/>
        <c:majorUnit val="100"/>
      </c:valAx>
      <c:valAx>
        <c:axId val="1509338767"/>
        <c:scaling>
          <c:orientation val="minMax"/>
          <c:max val="9000"/>
          <c:min val="2500"/>
        </c:scaling>
        <c:delete val="1"/>
        <c:axPos val="b"/>
        <c:numFmt formatCode="General" sourceLinked="1"/>
        <c:majorTickMark val="out"/>
        <c:minorTickMark val="none"/>
        <c:tickLblPos val="nextTo"/>
        <c:crossAx val="150941604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Samples!$B$326:$B$327</c:f>
              <c:numCache>
                <c:formatCode>General</c:formatCode>
                <c:ptCount val="2"/>
                <c:pt idx="0">
                  <c:v>0</c:v>
                </c:pt>
                <c:pt idx="1">
                  <c:v>59.243074983029977</c:v>
                </c:pt>
              </c:numCache>
            </c:numRef>
          </c:xVal>
          <c:yVal>
            <c:numRef>
              <c:f>Samples!$C$326:$C$327</c:f>
              <c:numCache>
                <c:formatCode>General</c:formatCode>
                <c:ptCount val="2"/>
                <c:pt idx="0">
                  <c:v>0</c:v>
                </c:pt>
                <c:pt idx="1">
                  <c:v>8500</c:v>
                </c:pt>
              </c:numCache>
            </c:numRef>
          </c:yVal>
          <c:smooth val="0"/>
          <c:extLst>
            <c:ext xmlns:c16="http://schemas.microsoft.com/office/drawing/2014/chart" uri="{C3380CC4-5D6E-409C-BE32-E72D297353CC}">
              <c16:uniqueId val="{00000000-1050-4B30-9A38-AD6B8822F56C}"/>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Samples!$D$326:$D$327</c:f>
              <c:numCache>
                <c:formatCode>General</c:formatCode>
                <c:ptCount val="2"/>
                <c:pt idx="0">
                  <c:v>0</c:v>
                </c:pt>
                <c:pt idx="1">
                  <c:v>82.909114150321329</c:v>
                </c:pt>
              </c:numCache>
            </c:numRef>
          </c:xVal>
          <c:yVal>
            <c:numRef>
              <c:f>Samples!$E$326:$E$327</c:f>
              <c:numCache>
                <c:formatCode>General</c:formatCode>
                <c:ptCount val="2"/>
                <c:pt idx="0">
                  <c:v>0</c:v>
                </c:pt>
                <c:pt idx="1">
                  <c:v>8500</c:v>
                </c:pt>
              </c:numCache>
            </c:numRef>
          </c:yVal>
          <c:smooth val="0"/>
          <c:extLst>
            <c:ext xmlns:c16="http://schemas.microsoft.com/office/drawing/2014/chart" uri="{C3380CC4-5D6E-409C-BE32-E72D297353CC}">
              <c16:uniqueId val="{00000001-1050-4B30-9A38-AD6B8822F56C}"/>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Samples!$F$326:$F$327</c:f>
              <c:numCache>
                <c:formatCode>General</c:formatCode>
                <c:ptCount val="2"/>
                <c:pt idx="0">
                  <c:v>0</c:v>
                </c:pt>
                <c:pt idx="1">
                  <c:v>113.64943522906022</c:v>
                </c:pt>
              </c:numCache>
            </c:numRef>
          </c:xVal>
          <c:yVal>
            <c:numRef>
              <c:f>Samples!$G$326:$G$327</c:f>
              <c:numCache>
                <c:formatCode>General</c:formatCode>
                <c:ptCount val="2"/>
                <c:pt idx="0">
                  <c:v>0</c:v>
                </c:pt>
                <c:pt idx="1">
                  <c:v>8500</c:v>
                </c:pt>
              </c:numCache>
            </c:numRef>
          </c:yVal>
          <c:smooth val="0"/>
          <c:extLst>
            <c:ext xmlns:c16="http://schemas.microsoft.com/office/drawing/2014/chart" uri="{C3380CC4-5D6E-409C-BE32-E72D297353CC}">
              <c16:uniqueId val="{00000002-1050-4B30-9A38-AD6B8822F56C}"/>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Samples!$H$326:$H$327</c:f>
              <c:numCache>
                <c:formatCode>General</c:formatCode>
                <c:ptCount val="2"/>
                <c:pt idx="0">
                  <c:v>0</c:v>
                </c:pt>
                <c:pt idx="1">
                  <c:v>143.3224106386954</c:v>
                </c:pt>
              </c:numCache>
            </c:numRef>
          </c:xVal>
          <c:yVal>
            <c:numRef>
              <c:f>Samples!$I$326:$I$327</c:f>
              <c:numCache>
                <c:formatCode>General</c:formatCode>
                <c:ptCount val="2"/>
                <c:pt idx="0">
                  <c:v>0</c:v>
                </c:pt>
                <c:pt idx="1">
                  <c:v>8500</c:v>
                </c:pt>
              </c:numCache>
            </c:numRef>
          </c:yVal>
          <c:smooth val="0"/>
          <c:extLst>
            <c:ext xmlns:c16="http://schemas.microsoft.com/office/drawing/2014/chart" uri="{C3380CC4-5D6E-409C-BE32-E72D297353CC}">
              <c16:uniqueId val="{00000003-1050-4B30-9A38-AD6B8822F56C}"/>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Samples!$J$326:$J$327</c:f>
              <c:numCache>
                <c:formatCode>General</c:formatCode>
                <c:ptCount val="2"/>
                <c:pt idx="0">
                  <c:v>0</c:v>
                </c:pt>
                <c:pt idx="1">
                  <c:v>187.47083177293638</c:v>
                </c:pt>
              </c:numCache>
            </c:numRef>
          </c:xVal>
          <c:yVal>
            <c:numRef>
              <c:f>Samples!$K$326:$K$327</c:f>
              <c:numCache>
                <c:formatCode>General</c:formatCode>
                <c:ptCount val="2"/>
                <c:pt idx="0">
                  <c:v>0</c:v>
                </c:pt>
                <c:pt idx="1">
                  <c:v>8500</c:v>
                </c:pt>
              </c:numCache>
            </c:numRef>
          </c:yVal>
          <c:smooth val="0"/>
          <c:extLst>
            <c:ext xmlns:c16="http://schemas.microsoft.com/office/drawing/2014/chart" uri="{C3380CC4-5D6E-409C-BE32-E72D297353CC}">
              <c16:uniqueId val="{00000004-1050-4B30-9A38-AD6B8822F56C}"/>
            </c:ext>
          </c:extLst>
        </c:ser>
        <c:ser>
          <c:idx val="5"/>
          <c:order val="5"/>
          <c:tx>
            <c:strRef>
              <c:f>Locale!$D$53</c:f>
              <c:strCache>
                <c:ptCount val="1"/>
                <c:pt idx="0">
                  <c:v>1 升 2 挡</c:v>
                </c:pt>
              </c:strCache>
            </c:strRef>
          </c:tx>
          <c:spPr>
            <a:ln w="12383">
              <a:solidFill>
                <a:srgbClr val="D73027"/>
              </a:solidFill>
              <a:prstDash val="solid"/>
            </a:ln>
          </c:spPr>
          <c:marker>
            <c:symbol val="none"/>
          </c:marker>
          <c:xVal>
            <c:numRef>
              <c:f>Samples!$B$332:$B$333</c:f>
              <c:numCache>
                <c:formatCode>General</c:formatCode>
                <c:ptCount val="2"/>
                <c:pt idx="0">
                  <c:v>52.621790131985449</c:v>
                </c:pt>
                <c:pt idx="1">
                  <c:v>52.621790131985449</c:v>
                </c:pt>
              </c:numCache>
            </c:numRef>
          </c:xVal>
          <c:yVal>
            <c:numRef>
              <c:f>Samples!$C$332:$C$333</c:f>
              <c:numCache>
                <c:formatCode>General</c:formatCode>
                <c:ptCount val="2"/>
                <c:pt idx="0">
                  <c:v>7550</c:v>
                </c:pt>
                <c:pt idx="1">
                  <c:v>5394.885962849753</c:v>
                </c:pt>
              </c:numCache>
            </c:numRef>
          </c:yVal>
          <c:smooth val="0"/>
          <c:extLst>
            <c:ext xmlns:c16="http://schemas.microsoft.com/office/drawing/2014/chart" uri="{C3380CC4-5D6E-409C-BE32-E72D297353CC}">
              <c16:uniqueId val="{00000005-1050-4B30-9A38-AD6B8822F56C}"/>
            </c:ext>
          </c:extLst>
        </c:ser>
        <c:ser>
          <c:idx val="6"/>
          <c:order val="6"/>
          <c:tx>
            <c:strRef>
              <c:f>Locale!$D$55</c:f>
              <c:strCache>
                <c:ptCount val="1"/>
                <c:pt idx="0">
                  <c:v>2 升 3 挡</c:v>
                </c:pt>
              </c:strCache>
            </c:strRef>
          </c:tx>
          <c:spPr>
            <a:ln w="12383">
              <a:solidFill>
                <a:srgbClr val="F46D43"/>
              </a:solidFill>
              <a:prstDash val="solid"/>
            </a:ln>
          </c:spPr>
          <c:marker>
            <c:symbol val="none"/>
          </c:marker>
          <c:xVal>
            <c:numRef>
              <c:f>Samples!$D$332:$D$333</c:f>
              <c:numCache>
                <c:formatCode>General</c:formatCode>
                <c:ptCount val="2"/>
                <c:pt idx="0">
                  <c:v>75.788684346823146</c:v>
                </c:pt>
                <c:pt idx="1">
                  <c:v>75.788684346823146</c:v>
                </c:pt>
              </c:numCache>
            </c:numRef>
          </c:xVal>
          <c:yVal>
            <c:numRef>
              <c:f>Samples!$E$332:$E$333</c:f>
              <c:numCache>
                <c:formatCode>General</c:formatCode>
                <c:ptCount val="2"/>
                <c:pt idx="0">
                  <c:v>7770</c:v>
                </c:pt>
                <c:pt idx="1">
                  <c:v>5668.3415597235935</c:v>
                </c:pt>
              </c:numCache>
            </c:numRef>
          </c:yVal>
          <c:smooth val="0"/>
          <c:extLst>
            <c:ext xmlns:c16="http://schemas.microsoft.com/office/drawing/2014/chart" uri="{C3380CC4-5D6E-409C-BE32-E72D297353CC}">
              <c16:uniqueId val="{00000006-1050-4B30-9A38-AD6B8822F56C}"/>
            </c:ext>
          </c:extLst>
        </c:ser>
        <c:ser>
          <c:idx val="7"/>
          <c:order val="7"/>
          <c:tx>
            <c:strRef>
              <c:f>Locale!$D$54</c:f>
              <c:strCache>
                <c:ptCount val="1"/>
                <c:pt idx="0">
                  <c:v>3 升 4 挡</c:v>
                </c:pt>
              </c:strCache>
            </c:strRef>
          </c:tx>
          <c:spPr>
            <a:ln w="12383">
              <a:solidFill>
                <a:srgbClr val="DBAA15"/>
              </a:solidFill>
              <a:prstDash val="solid"/>
            </a:ln>
          </c:spPr>
          <c:marker>
            <c:symbol val="none"/>
          </c:marker>
          <c:xVal>
            <c:numRef>
              <c:f>Samples!$F$332:$F$333</c:f>
              <c:numCache>
                <c:formatCode>General</c:formatCode>
                <c:ptCount val="2"/>
                <c:pt idx="0">
                  <c:v>100.94743952698879</c:v>
                </c:pt>
                <c:pt idx="1">
                  <c:v>100.94743952698879</c:v>
                </c:pt>
              </c:numCache>
            </c:numRef>
          </c:xVal>
          <c:yVal>
            <c:numRef>
              <c:f>Samples!$G$332:$G$333</c:f>
              <c:numCache>
                <c:formatCode>General</c:formatCode>
                <c:ptCount val="2"/>
                <c:pt idx="0">
                  <c:v>7550</c:v>
                </c:pt>
                <c:pt idx="1">
                  <c:v>5986.8741542625166</c:v>
                </c:pt>
              </c:numCache>
            </c:numRef>
          </c:yVal>
          <c:smooth val="0"/>
          <c:extLst>
            <c:ext xmlns:c16="http://schemas.microsoft.com/office/drawing/2014/chart" uri="{C3380CC4-5D6E-409C-BE32-E72D297353CC}">
              <c16:uniqueId val="{00000007-1050-4B30-9A38-AD6B8822F56C}"/>
            </c:ext>
          </c:extLst>
        </c:ser>
        <c:ser>
          <c:idx val="8"/>
          <c:order val="8"/>
          <c:tx>
            <c:strRef>
              <c:f>Locale!$D$50</c:f>
              <c:strCache>
                <c:ptCount val="1"/>
                <c:pt idx="0">
                  <c:v>4 升 5 挡</c:v>
                </c:pt>
              </c:strCache>
            </c:strRef>
          </c:tx>
          <c:spPr>
            <a:ln w="12383">
              <a:solidFill>
                <a:srgbClr val="C47C18"/>
              </a:solidFill>
              <a:prstDash val="solid"/>
            </a:ln>
          </c:spPr>
          <c:marker>
            <c:symbol val="none"/>
          </c:marker>
          <c:xVal>
            <c:numRef>
              <c:f>Samples!$H$332:$H$333</c:f>
              <c:numCache>
                <c:formatCode>General</c:formatCode>
                <c:ptCount val="2"/>
                <c:pt idx="0">
                  <c:v>131.18215938459414</c:v>
                </c:pt>
                <c:pt idx="1">
                  <c:v>131.18215938459414</c:v>
                </c:pt>
              </c:numCache>
            </c:numRef>
          </c:xVal>
          <c:yVal>
            <c:numRef>
              <c:f>Samples!$I$332:$I$333</c:f>
              <c:numCache>
                <c:formatCode>General</c:formatCode>
                <c:ptCount val="2"/>
                <c:pt idx="0">
                  <c:v>7780</c:v>
                </c:pt>
                <c:pt idx="1">
                  <c:v>5947.8498293515368</c:v>
                </c:pt>
              </c:numCache>
            </c:numRef>
          </c:yVal>
          <c:smooth val="0"/>
          <c:extLst>
            <c:ext xmlns:c16="http://schemas.microsoft.com/office/drawing/2014/chart" uri="{C3380CC4-5D6E-409C-BE32-E72D297353CC}">
              <c16:uniqueId val="{00000008-1050-4B30-9A38-AD6B8822F56C}"/>
            </c:ext>
          </c:extLst>
        </c:ser>
        <c:dLbls>
          <c:showLegendKey val="0"/>
          <c:showVal val="0"/>
          <c:showCatName val="0"/>
          <c:showSerName val="0"/>
          <c:showPercent val="0"/>
          <c:showBubbleSize val="0"/>
        </c:dLbls>
        <c:axId val="48650112"/>
        <c:axId val="48672768"/>
      </c:scatterChart>
      <c:valAx>
        <c:axId val="48672768"/>
        <c:scaling>
          <c:orientation val="minMax"/>
          <c:max val="9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5"/>
        <c:delete val="1"/>
      </c:legendEntry>
      <c:legendEntry>
        <c:idx val="6"/>
        <c:delete val="1"/>
      </c:legendEntry>
      <c:legendEntry>
        <c:idx val="7"/>
        <c:delete val="1"/>
      </c:legendEntry>
      <c:legendEntry>
        <c:idx val="8"/>
        <c:delete val="1"/>
      </c:legendEntry>
      <c:layout>
        <c:manualLayout>
          <c:xMode val="edge"/>
          <c:yMode val="edge"/>
          <c:x val="0.3399024496937883"/>
          <c:y val="5.9259259259259262E-2"/>
          <c:w val="0.32019510061242346"/>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Samples!$B$437:$B$451</c:f>
              <c:numCache>
                <c:formatCode>General</c:formatCode>
                <c:ptCount val="15"/>
                <c:pt idx="0">
                  <c:v>2500</c:v>
                </c:pt>
                <c:pt idx="1">
                  <c:v>3000</c:v>
                </c:pt>
                <c:pt idx="2">
                  <c:v>3500</c:v>
                </c:pt>
                <c:pt idx="3">
                  <c:v>4000</c:v>
                </c:pt>
                <c:pt idx="4">
                  <c:v>4500</c:v>
                </c:pt>
                <c:pt idx="5">
                  <c:v>5000</c:v>
                </c:pt>
                <c:pt idx="6">
                  <c:v>5189</c:v>
                </c:pt>
                <c:pt idx="7">
                  <c:v>5500</c:v>
                </c:pt>
                <c:pt idx="8">
                  <c:v>6000</c:v>
                </c:pt>
                <c:pt idx="9">
                  <c:v>6500</c:v>
                </c:pt>
                <c:pt idx="10">
                  <c:v>6843</c:v>
                </c:pt>
                <c:pt idx="11">
                  <c:v>7000</c:v>
                </c:pt>
                <c:pt idx="12">
                  <c:v>7500</c:v>
                </c:pt>
                <c:pt idx="13">
                  <c:v>8000</c:v>
                </c:pt>
                <c:pt idx="14">
                  <c:v>8499</c:v>
                </c:pt>
              </c:numCache>
            </c:numRef>
          </c:xVal>
          <c:yVal>
            <c:numRef>
              <c:f>Samples!$C$437:$C$451</c:f>
              <c:numCache>
                <c:formatCode>0.00</c:formatCode>
                <c:ptCount val="15"/>
                <c:pt idx="0">
                  <c:v>392.12322294939003</c:v>
                </c:pt>
                <c:pt idx="1">
                  <c:v>413.34311991096001</c:v>
                </c:pt>
                <c:pt idx="2">
                  <c:v>427.69062033038</c:v>
                </c:pt>
                <c:pt idx="3">
                  <c:v>435.71238814309982</c:v>
                </c:pt>
                <c:pt idx="4">
                  <c:v>439.98714840701604</c:v>
                </c:pt>
                <c:pt idx="5">
                  <c:v>443.19385328835278</c:v>
                </c:pt>
                <c:pt idx="6">
                  <c:v>443.46248568368935</c:v>
                </c:pt>
                <c:pt idx="7">
                  <c:v>442.88615147652462</c:v>
                </c:pt>
                <c:pt idx="8">
                  <c:v>439.70678468527797</c:v>
                </c:pt>
                <c:pt idx="9">
                  <c:v>418.98807357322522</c:v>
                </c:pt>
                <c:pt idx="10">
                  <c:v>399.94118639818879</c:v>
                </c:pt>
                <c:pt idx="11">
                  <c:v>390.92736187569773</c:v>
                </c:pt>
                <c:pt idx="12">
                  <c:v>363.26933766308696</c:v>
                </c:pt>
                <c:pt idx="13">
                  <c:v>332.97769982606115</c:v>
                </c:pt>
                <c:pt idx="14">
                  <c:v>288.35790965028451</c:v>
                </c:pt>
              </c:numCache>
            </c:numRef>
          </c:yVal>
          <c:smooth val="1"/>
          <c:extLst>
            <c:ext xmlns:c16="http://schemas.microsoft.com/office/drawing/2014/chart" uri="{C3380CC4-5D6E-409C-BE32-E72D297353CC}">
              <c16:uniqueId val="{00000000-EBAA-4D41-AAD1-3DF92D63AEBB}"/>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Samples!$B$437:$B$451</c:f>
              <c:numCache>
                <c:formatCode>General</c:formatCode>
                <c:ptCount val="15"/>
                <c:pt idx="0">
                  <c:v>2500</c:v>
                </c:pt>
                <c:pt idx="1">
                  <c:v>3000</c:v>
                </c:pt>
                <c:pt idx="2">
                  <c:v>3500</c:v>
                </c:pt>
                <c:pt idx="3">
                  <c:v>4000</c:v>
                </c:pt>
                <c:pt idx="4">
                  <c:v>4500</c:v>
                </c:pt>
                <c:pt idx="5">
                  <c:v>5000</c:v>
                </c:pt>
                <c:pt idx="6">
                  <c:v>5189</c:v>
                </c:pt>
                <c:pt idx="7">
                  <c:v>5500</c:v>
                </c:pt>
                <c:pt idx="8">
                  <c:v>6000</c:v>
                </c:pt>
                <c:pt idx="9">
                  <c:v>6500</c:v>
                </c:pt>
                <c:pt idx="10">
                  <c:v>6843</c:v>
                </c:pt>
                <c:pt idx="11">
                  <c:v>7000</c:v>
                </c:pt>
                <c:pt idx="12">
                  <c:v>7500</c:v>
                </c:pt>
                <c:pt idx="13">
                  <c:v>8000</c:v>
                </c:pt>
                <c:pt idx="14">
                  <c:v>8499</c:v>
                </c:pt>
              </c:numCache>
            </c:numRef>
          </c:xVal>
          <c:yVal>
            <c:numRef>
              <c:f>Samples!$D$437:$D$451</c:f>
              <c:numCache>
                <c:formatCode>0.0</c:formatCode>
                <c:ptCount val="15"/>
                <c:pt idx="0">
                  <c:v>135.78579728860106</c:v>
                </c:pt>
                <c:pt idx="1">
                  <c:v>171.76067666294219</c:v>
                </c:pt>
                <c:pt idx="2">
                  <c:v>207.34307958770773</c:v>
                </c:pt>
                <c:pt idx="3">
                  <c:v>241.40800870717055</c:v>
                </c:pt>
                <c:pt idx="4">
                  <c:v>274.24851180418904</c:v>
                </c:pt>
                <c:pt idx="5">
                  <c:v>306.94142657260284</c:v>
                </c:pt>
                <c:pt idx="6">
                  <c:v>318.73689095861903</c:v>
                </c:pt>
                <c:pt idx="7">
                  <c:v>337.4011547053417</c:v>
                </c:pt>
                <c:pt idx="8">
                  <c:v>365.43167761979055</c:v>
                </c:pt>
                <c:pt idx="9">
                  <c:v>377.23049380050577</c:v>
                </c:pt>
                <c:pt idx="10">
                  <c:v>379.08311881213342</c:v>
                </c:pt>
                <c:pt idx="11">
                  <c:v>379.04073296623568</c:v>
                </c:pt>
                <c:pt idx="12">
                  <c:v>377.38251976561105</c:v>
                </c:pt>
                <c:pt idx="13">
                  <c:v>368.97497361265437</c:v>
                </c:pt>
                <c:pt idx="14">
                  <c:v>339.46223970331931</c:v>
                </c:pt>
              </c:numCache>
            </c:numRef>
          </c:yVal>
          <c:smooth val="1"/>
          <c:extLst>
            <c:ext xmlns:c16="http://schemas.microsoft.com/office/drawing/2014/chart" uri="{C3380CC4-5D6E-409C-BE32-E72D297353CC}">
              <c16:uniqueId val="{00000001-EBAA-4D41-AAD1-3DF92D63AEBB}"/>
            </c:ext>
          </c:extLst>
        </c:ser>
        <c:dLbls>
          <c:showLegendKey val="0"/>
          <c:showVal val="0"/>
          <c:showCatName val="0"/>
          <c:showSerName val="0"/>
          <c:showPercent val="0"/>
          <c:showBubbleSize val="0"/>
        </c:dLbls>
        <c:axId val="1509338767"/>
        <c:axId val="1509416047"/>
      </c:scatterChart>
      <c:valAx>
        <c:axId val="48672768"/>
        <c:scaling>
          <c:orientation val="minMax"/>
          <c:max val="5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9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416047"/>
        <c:scaling>
          <c:orientation val="minMax"/>
          <c:max val="5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338767"/>
        <c:crosses val="max"/>
        <c:crossBetween val="midCat"/>
        <c:majorUnit val="100"/>
      </c:valAx>
      <c:valAx>
        <c:axId val="1509338767"/>
        <c:scaling>
          <c:orientation val="minMax"/>
          <c:max val="9000"/>
          <c:min val="2500"/>
        </c:scaling>
        <c:delete val="1"/>
        <c:axPos val="b"/>
        <c:numFmt formatCode="General" sourceLinked="1"/>
        <c:majorTickMark val="out"/>
        <c:minorTickMark val="none"/>
        <c:tickLblPos val="nextTo"/>
        <c:crossAx val="150941604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Samples!$B$486:$B$487</c:f>
              <c:numCache>
                <c:formatCode>General</c:formatCode>
                <c:ptCount val="2"/>
                <c:pt idx="0">
                  <c:v>0</c:v>
                </c:pt>
                <c:pt idx="1">
                  <c:v>59.243074983029992</c:v>
                </c:pt>
              </c:numCache>
            </c:numRef>
          </c:xVal>
          <c:yVal>
            <c:numRef>
              <c:f>Samples!$C$486:$C$487</c:f>
              <c:numCache>
                <c:formatCode>General</c:formatCode>
                <c:ptCount val="2"/>
                <c:pt idx="0">
                  <c:v>0</c:v>
                </c:pt>
                <c:pt idx="1">
                  <c:v>8500</c:v>
                </c:pt>
              </c:numCache>
            </c:numRef>
          </c:yVal>
          <c:smooth val="0"/>
          <c:extLst>
            <c:ext xmlns:c16="http://schemas.microsoft.com/office/drawing/2014/chart" uri="{C3380CC4-5D6E-409C-BE32-E72D297353CC}">
              <c16:uniqueId val="{00000000-1050-4B30-9A38-AD6B8822F56C}"/>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Samples!$D$486:$D$487</c:f>
              <c:numCache>
                <c:formatCode>General</c:formatCode>
                <c:ptCount val="2"/>
                <c:pt idx="0">
                  <c:v>0</c:v>
                </c:pt>
                <c:pt idx="1">
                  <c:v>82.909114150321315</c:v>
                </c:pt>
              </c:numCache>
            </c:numRef>
          </c:xVal>
          <c:yVal>
            <c:numRef>
              <c:f>Samples!$E$486:$E$487</c:f>
              <c:numCache>
                <c:formatCode>General</c:formatCode>
                <c:ptCount val="2"/>
                <c:pt idx="0">
                  <c:v>0</c:v>
                </c:pt>
                <c:pt idx="1">
                  <c:v>8500</c:v>
                </c:pt>
              </c:numCache>
            </c:numRef>
          </c:yVal>
          <c:smooth val="0"/>
          <c:extLst>
            <c:ext xmlns:c16="http://schemas.microsoft.com/office/drawing/2014/chart" uri="{C3380CC4-5D6E-409C-BE32-E72D297353CC}">
              <c16:uniqueId val="{00000001-1050-4B30-9A38-AD6B8822F56C}"/>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Samples!$F$486:$F$487</c:f>
              <c:numCache>
                <c:formatCode>General</c:formatCode>
                <c:ptCount val="2"/>
                <c:pt idx="0">
                  <c:v>0</c:v>
                </c:pt>
                <c:pt idx="1">
                  <c:v>113.64943522906022</c:v>
                </c:pt>
              </c:numCache>
            </c:numRef>
          </c:xVal>
          <c:yVal>
            <c:numRef>
              <c:f>Samples!$G$486:$G$487</c:f>
              <c:numCache>
                <c:formatCode>General</c:formatCode>
                <c:ptCount val="2"/>
                <c:pt idx="0">
                  <c:v>0</c:v>
                </c:pt>
                <c:pt idx="1">
                  <c:v>8500</c:v>
                </c:pt>
              </c:numCache>
            </c:numRef>
          </c:yVal>
          <c:smooth val="0"/>
          <c:extLst>
            <c:ext xmlns:c16="http://schemas.microsoft.com/office/drawing/2014/chart" uri="{C3380CC4-5D6E-409C-BE32-E72D297353CC}">
              <c16:uniqueId val="{00000002-1050-4B30-9A38-AD6B8822F56C}"/>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Samples!$H$486:$H$487</c:f>
              <c:numCache>
                <c:formatCode>General</c:formatCode>
                <c:ptCount val="2"/>
                <c:pt idx="0">
                  <c:v>0</c:v>
                </c:pt>
                <c:pt idx="1">
                  <c:v>143.32241063869537</c:v>
                </c:pt>
              </c:numCache>
            </c:numRef>
          </c:xVal>
          <c:yVal>
            <c:numRef>
              <c:f>Samples!$I$486:$I$487</c:f>
              <c:numCache>
                <c:formatCode>General</c:formatCode>
                <c:ptCount val="2"/>
                <c:pt idx="0">
                  <c:v>0</c:v>
                </c:pt>
                <c:pt idx="1">
                  <c:v>8500</c:v>
                </c:pt>
              </c:numCache>
            </c:numRef>
          </c:yVal>
          <c:smooth val="0"/>
          <c:extLst>
            <c:ext xmlns:c16="http://schemas.microsoft.com/office/drawing/2014/chart" uri="{C3380CC4-5D6E-409C-BE32-E72D297353CC}">
              <c16:uniqueId val="{00000003-1050-4B30-9A38-AD6B8822F56C}"/>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Samples!$J$486:$J$487</c:f>
              <c:numCache>
                <c:formatCode>General</c:formatCode>
                <c:ptCount val="2"/>
                <c:pt idx="0">
                  <c:v>0</c:v>
                </c:pt>
                <c:pt idx="1">
                  <c:v>187.47083177293638</c:v>
                </c:pt>
              </c:numCache>
            </c:numRef>
          </c:xVal>
          <c:yVal>
            <c:numRef>
              <c:f>Samples!$K$486:$K$487</c:f>
              <c:numCache>
                <c:formatCode>General</c:formatCode>
                <c:ptCount val="2"/>
                <c:pt idx="0">
                  <c:v>0</c:v>
                </c:pt>
                <c:pt idx="1">
                  <c:v>8500</c:v>
                </c:pt>
              </c:numCache>
            </c:numRef>
          </c:yVal>
          <c:smooth val="0"/>
          <c:extLst>
            <c:ext xmlns:c16="http://schemas.microsoft.com/office/drawing/2014/chart" uri="{C3380CC4-5D6E-409C-BE32-E72D297353CC}">
              <c16:uniqueId val="{00000004-1050-4B30-9A38-AD6B8822F56C}"/>
            </c:ext>
          </c:extLst>
        </c:ser>
        <c:ser>
          <c:idx val="5"/>
          <c:order val="5"/>
          <c:tx>
            <c:strRef>
              <c:f>Locale!$D$53</c:f>
              <c:strCache>
                <c:ptCount val="1"/>
                <c:pt idx="0">
                  <c:v>1 升 2 挡</c:v>
                </c:pt>
              </c:strCache>
            </c:strRef>
          </c:tx>
          <c:spPr>
            <a:ln w="12383">
              <a:solidFill>
                <a:srgbClr val="D73027"/>
              </a:solidFill>
              <a:prstDash val="solid"/>
            </a:ln>
          </c:spPr>
          <c:marker>
            <c:symbol val="none"/>
          </c:marker>
          <c:xVal>
            <c:numRef>
              <c:f>Samples!$B$492:$B$493</c:f>
              <c:numCache>
                <c:formatCode>General</c:formatCode>
                <c:ptCount val="2"/>
                <c:pt idx="0">
                  <c:v>53.736953896371908</c:v>
                </c:pt>
                <c:pt idx="1">
                  <c:v>53.736953896371908</c:v>
                </c:pt>
              </c:numCache>
            </c:numRef>
          </c:xVal>
          <c:yVal>
            <c:numRef>
              <c:f>Samples!$C$492:$C$493</c:f>
              <c:numCache>
                <c:formatCode>General</c:formatCode>
                <c:ptCount val="2"/>
                <c:pt idx="0">
                  <c:v>7710</c:v>
                </c:pt>
                <c:pt idx="1">
                  <c:v>5509.2146719962384</c:v>
                </c:pt>
              </c:numCache>
            </c:numRef>
          </c:yVal>
          <c:smooth val="0"/>
          <c:extLst>
            <c:ext xmlns:c16="http://schemas.microsoft.com/office/drawing/2014/chart" uri="{C3380CC4-5D6E-409C-BE32-E72D297353CC}">
              <c16:uniqueId val="{00000005-1050-4B30-9A38-AD6B8822F56C}"/>
            </c:ext>
          </c:extLst>
        </c:ser>
        <c:ser>
          <c:idx val="6"/>
          <c:order val="6"/>
          <c:tx>
            <c:strRef>
              <c:f>Locale!$D$55</c:f>
              <c:strCache>
                <c:ptCount val="1"/>
                <c:pt idx="0">
                  <c:v>2 升 3 挡</c:v>
                </c:pt>
              </c:strCache>
            </c:strRef>
          </c:tx>
          <c:spPr>
            <a:ln w="12383">
              <a:solidFill>
                <a:srgbClr val="F46D43"/>
              </a:solidFill>
              <a:prstDash val="solid"/>
            </a:ln>
          </c:spPr>
          <c:marker>
            <c:symbol val="none"/>
          </c:marker>
          <c:xVal>
            <c:numRef>
              <c:f>Samples!$D$492:$D$493</c:f>
              <c:numCache>
                <c:formatCode>General</c:formatCode>
                <c:ptCount val="2"/>
                <c:pt idx="0">
                  <c:v>76.95916595835709</c:v>
                </c:pt>
                <c:pt idx="1">
                  <c:v>76.95916595835709</c:v>
                </c:pt>
              </c:numCache>
            </c:numRef>
          </c:xVal>
          <c:yVal>
            <c:numRef>
              <c:f>Samples!$E$492:$E$493</c:f>
              <c:numCache>
                <c:formatCode>General</c:formatCode>
                <c:ptCount val="2"/>
                <c:pt idx="0">
                  <c:v>7890</c:v>
                </c:pt>
                <c:pt idx="1">
                  <c:v>5755.8835143139195</c:v>
                </c:pt>
              </c:numCache>
            </c:numRef>
          </c:yVal>
          <c:smooth val="0"/>
          <c:extLst>
            <c:ext xmlns:c16="http://schemas.microsoft.com/office/drawing/2014/chart" uri="{C3380CC4-5D6E-409C-BE32-E72D297353CC}">
              <c16:uniqueId val="{00000006-1050-4B30-9A38-AD6B8822F56C}"/>
            </c:ext>
          </c:extLst>
        </c:ser>
        <c:ser>
          <c:idx val="7"/>
          <c:order val="7"/>
          <c:tx>
            <c:strRef>
              <c:f>Locale!$D$54</c:f>
              <c:strCache>
                <c:ptCount val="1"/>
                <c:pt idx="0">
                  <c:v>3 升 4 挡</c:v>
                </c:pt>
              </c:strCache>
            </c:strRef>
          </c:tx>
          <c:spPr>
            <a:ln w="12383">
              <a:solidFill>
                <a:srgbClr val="DBAA15"/>
              </a:solidFill>
              <a:prstDash val="solid"/>
            </a:ln>
          </c:spPr>
          <c:marker>
            <c:symbol val="none"/>
          </c:marker>
          <c:xVal>
            <c:numRef>
              <c:f>Samples!$F$492:$F$493</c:f>
              <c:numCache>
                <c:formatCode>General</c:formatCode>
                <c:ptCount val="2"/>
                <c:pt idx="0">
                  <c:v>102.01708127032111</c:v>
                </c:pt>
                <c:pt idx="1">
                  <c:v>102.01708127032111</c:v>
                </c:pt>
              </c:numCache>
            </c:numRef>
          </c:xVal>
          <c:yVal>
            <c:numRef>
              <c:f>Samples!$G$492:$G$493</c:f>
              <c:numCache>
                <c:formatCode>General</c:formatCode>
                <c:ptCount val="2"/>
                <c:pt idx="0">
                  <c:v>7630</c:v>
                </c:pt>
                <c:pt idx="1">
                  <c:v>6050.3112313937754</c:v>
                </c:pt>
              </c:numCache>
            </c:numRef>
          </c:yVal>
          <c:smooth val="0"/>
          <c:extLst>
            <c:ext xmlns:c16="http://schemas.microsoft.com/office/drawing/2014/chart" uri="{C3380CC4-5D6E-409C-BE32-E72D297353CC}">
              <c16:uniqueId val="{00000007-1050-4B30-9A38-AD6B8822F56C}"/>
            </c:ext>
          </c:extLst>
        </c:ser>
        <c:ser>
          <c:idx val="8"/>
          <c:order val="8"/>
          <c:tx>
            <c:strRef>
              <c:f>Locale!$D$50</c:f>
              <c:strCache>
                <c:ptCount val="1"/>
                <c:pt idx="0">
                  <c:v>4 升 5 挡</c:v>
                </c:pt>
              </c:strCache>
            </c:strRef>
          </c:tx>
          <c:spPr>
            <a:ln w="12383">
              <a:solidFill>
                <a:srgbClr val="C47C18"/>
              </a:solidFill>
              <a:prstDash val="solid"/>
            </a:ln>
          </c:spPr>
          <c:marker>
            <c:symbol val="none"/>
          </c:marker>
          <c:xVal>
            <c:numRef>
              <c:f>Samples!$H$492:$H$493</c:f>
              <c:numCache>
                <c:formatCode>General</c:formatCode>
                <c:ptCount val="2"/>
                <c:pt idx="0">
                  <c:v>132.6996907913568</c:v>
                </c:pt>
                <c:pt idx="1">
                  <c:v>132.6996907913568</c:v>
                </c:pt>
              </c:numCache>
            </c:numRef>
          </c:xVal>
          <c:yVal>
            <c:numRef>
              <c:f>Samples!$I$492:$I$493</c:f>
              <c:numCache>
                <c:formatCode>General</c:formatCode>
                <c:ptCount val="2"/>
                <c:pt idx="0">
                  <c:v>7870</c:v>
                </c:pt>
                <c:pt idx="1">
                  <c:v>6016.6552901023897</c:v>
                </c:pt>
              </c:numCache>
            </c:numRef>
          </c:yVal>
          <c:smooth val="0"/>
          <c:extLst>
            <c:ext xmlns:c16="http://schemas.microsoft.com/office/drawing/2014/chart" uri="{C3380CC4-5D6E-409C-BE32-E72D297353CC}">
              <c16:uniqueId val="{00000008-1050-4B30-9A38-AD6B8822F56C}"/>
            </c:ext>
          </c:extLst>
        </c:ser>
        <c:dLbls>
          <c:showLegendKey val="0"/>
          <c:showVal val="0"/>
          <c:showCatName val="0"/>
          <c:showSerName val="0"/>
          <c:showPercent val="0"/>
          <c:showBubbleSize val="0"/>
        </c:dLbls>
        <c:axId val="48650112"/>
        <c:axId val="48672768"/>
      </c:scatterChart>
      <c:valAx>
        <c:axId val="48672768"/>
        <c:scaling>
          <c:orientation val="minMax"/>
          <c:max val="9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5"/>
        <c:delete val="1"/>
      </c:legendEntry>
      <c:legendEntry>
        <c:idx val="6"/>
        <c:delete val="1"/>
      </c:legendEntry>
      <c:legendEntry>
        <c:idx val="7"/>
        <c:delete val="1"/>
      </c:legendEntry>
      <c:legendEntry>
        <c:idx val="8"/>
        <c:delete val="1"/>
      </c:legendEntry>
      <c:layout>
        <c:manualLayout>
          <c:xMode val="edge"/>
          <c:yMode val="edge"/>
          <c:x val="0.3399024496937883"/>
          <c:y val="5.9259259259259262E-2"/>
          <c:w val="0.32019510061242346"/>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Samples!$B$127:$B$141</c:f>
              <c:numCache>
                <c:formatCode>General</c:formatCode>
                <c:ptCount val="15"/>
                <c:pt idx="0">
                  <c:v>2500</c:v>
                </c:pt>
                <c:pt idx="1">
                  <c:v>3000</c:v>
                </c:pt>
                <c:pt idx="2">
                  <c:v>3500</c:v>
                </c:pt>
                <c:pt idx="3">
                  <c:v>4000</c:v>
                </c:pt>
                <c:pt idx="4">
                  <c:v>4141</c:v>
                </c:pt>
                <c:pt idx="5">
                  <c:v>4500</c:v>
                </c:pt>
                <c:pt idx="6">
                  <c:v>5000</c:v>
                </c:pt>
                <c:pt idx="7">
                  <c:v>5500</c:v>
                </c:pt>
                <c:pt idx="8">
                  <c:v>5690</c:v>
                </c:pt>
                <c:pt idx="9">
                  <c:v>6000</c:v>
                </c:pt>
                <c:pt idx="10">
                  <c:v>6500</c:v>
                </c:pt>
                <c:pt idx="11">
                  <c:v>7000</c:v>
                </c:pt>
                <c:pt idx="12">
                  <c:v>7500</c:v>
                </c:pt>
                <c:pt idx="13">
                  <c:v>8000</c:v>
                </c:pt>
                <c:pt idx="14">
                  <c:v>8499</c:v>
                </c:pt>
              </c:numCache>
            </c:numRef>
          </c:xVal>
          <c:yVal>
            <c:numRef>
              <c:f>Samples!$C$127:$C$141</c:f>
              <c:numCache>
                <c:formatCode>0.00</c:formatCode>
                <c:ptCount val="15"/>
                <c:pt idx="0">
                  <c:v>781.33066149713</c:v>
                </c:pt>
                <c:pt idx="1">
                  <c:v>815.57037906490996</c:v>
                </c:pt>
                <c:pt idx="2">
                  <c:v>839.31014412132004</c:v>
                </c:pt>
                <c:pt idx="3">
                  <c:v>849.15980634939001</c:v>
                </c:pt>
                <c:pt idx="4">
                  <c:v>849.65874099113</c:v>
                </c:pt>
                <c:pt idx="5">
                  <c:v>846.29453700936006</c:v>
                </c:pt>
                <c:pt idx="6">
                  <c:v>830.31349066587995</c:v>
                </c:pt>
                <c:pt idx="7">
                  <c:v>778.94554556110995</c:v>
                </c:pt>
                <c:pt idx="8">
                  <c:v>754.97659059928003</c:v>
                </c:pt>
                <c:pt idx="9">
                  <c:v>713.52169310327997</c:v>
                </c:pt>
                <c:pt idx="10">
                  <c:v>650.00523948523005</c:v>
                </c:pt>
                <c:pt idx="11">
                  <c:v>590.16354933322998</c:v>
                </c:pt>
                <c:pt idx="12">
                  <c:v>529.20441413318997</c:v>
                </c:pt>
                <c:pt idx="13">
                  <c:v>466.5003138289</c:v>
                </c:pt>
                <c:pt idx="14">
                  <c:v>397.788442868</c:v>
                </c:pt>
              </c:numCache>
            </c:numRef>
          </c:yVal>
          <c:smooth val="1"/>
          <c:extLst>
            <c:ext xmlns:c16="http://schemas.microsoft.com/office/drawing/2014/chart" uri="{C3380CC4-5D6E-409C-BE32-E72D297353CC}">
              <c16:uniqueId val="{00000000-5EC4-4B96-9E3C-EEF59820EF0B}"/>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Samples!$B$127:$B$141</c:f>
              <c:numCache>
                <c:formatCode>General</c:formatCode>
                <c:ptCount val="15"/>
                <c:pt idx="0">
                  <c:v>2500</c:v>
                </c:pt>
                <c:pt idx="1">
                  <c:v>3000</c:v>
                </c:pt>
                <c:pt idx="2">
                  <c:v>3500</c:v>
                </c:pt>
                <c:pt idx="3">
                  <c:v>4000</c:v>
                </c:pt>
                <c:pt idx="4">
                  <c:v>4141</c:v>
                </c:pt>
                <c:pt idx="5">
                  <c:v>4500</c:v>
                </c:pt>
                <c:pt idx="6">
                  <c:v>5000</c:v>
                </c:pt>
                <c:pt idx="7">
                  <c:v>5500</c:v>
                </c:pt>
                <c:pt idx="8">
                  <c:v>5690</c:v>
                </c:pt>
                <c:pt idx="9">
                  <c:v>6000</c:v>
                </c:pt>
                <c:pt idx="10">
                  <c:v>6500</c:v>
                </c:pt>
                <c:pt idx="11">
                  <c:v>7000</c:v>
                </c:pt>
                <c:pt idx="12">
                  <c:v>7500</c:v>
                </c:pt>
                <c:pt idx="13">
                  <c:v>8000</c:v>
                </c:pt>
                <c:pt idx="14">
                  <c:v>8499</c:v>
                </c:pt>
              </c:numCache>
            </c:numRef>
          </c:xVal>
          <c:yVal>
            <c:numRef>
              <c:f>Samples!$D$127:$D$141</c:f>
              <c:numCache>
                <c:formatCode>0.0</c:formatCode>
                <c:ptCount val="15"/>
                <c:pt idx="0">
                  <c:v>270.56190658493745</c:v>
                </c:pt>
                <c:pt idx="1">
                  <c:v>338.90226648653652</c:v>
                </c:pt>
                <c:pt idx="2">
                  <c:v>406.89494166808578</c:v>
                </c:pt>
                <c:pt idx="3">
                  <c:v>470.48003110172607</c:v>
                </c:pt>
                <c:pt idx="4">
                  <c:v>487.35063311023652</c:v>
                </c:pt>
                <c:pt idx="5">
                  <c:v>527.5040831604706</c:v>
                </c:pt>
                <c:pt idx="6">
                  <c:v>575.04770302318877</c:v>
                </c:pt>
                <c:pt idx="7">
                  <c:v>593.4191567035989</c:v>
                </c:pt>
                <c:pt idx="8">
                  <c:v>595.02816984475828</c:v>
                </c:pt>
                <c:pt idx="9">
                  <c:v>592.99387321365498</c:v>
                </c:pt>
                <c:pt idx="10">
                  <c:v>585.22381167748551</c:v>
                </c:pt>
                <c:pt idx="11">
                  <c:v>572.21889825237974</c:v>
                </c:pt>
                <c:pt idx="12">
                  <c:v>549.764250848752</c:v>
                </c:pt>
                <c:pt idx="13">
                  <c:v>516.93233833745376</c:v>
                </c:pt>
                <c:pt idx="14">
                  <c:v>468.28663693613572</c:v>
                </c:pt>
              </c:numCache>
            </c:numRef>
          </c:yVal>
          <c:smooth val="1"/>
          <c:extLst>
            <c:ext xmlns:c16="http://schemas.microsoft.com/office/drawing/2014/chart" uri="{C3380CC4-5D6E-409C-BE32-E72D297353CC}">
              <c16:uniqueId val="{00000001-5EC4-4B96-9E3C-EEF59820EF0B}"/>
            </c:ext>
          </c:extLst>
        </c:ser>
        <c:dLbls>
          <c:showLegendKey val="0"/>
          <c:showVal val="0"/>
          <c:showCatName val="0"/>
          <c:showSerName val="0"/>
          <c:showPercent val="0"/>
          <c:showBubbleSize val="0"/>
        </c:dLbls>
        <c:axId val="1728180719"/>
        <c:axId val="1728185999"/>
      </c:scatterChart>
      <c:valAx>
        <c:axId val="48672768"/>
        <c:scaling>
          <c:orientation val="minMax"/>
          <c:max val="9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9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728185999"/>
        <c:scaling>
          <c:orientation val="minMax"/>
          <c:max val="9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728180719"/>
        <c:crosses val="max"/>
        <c:crossBetween val="midCat"/>
        <c:majorUnit val="100"/>
      </c:valAx>
      <c:valAx>
        <c:axId val="1728180719"/>
        <c:scaling>
          <c:orientation val="minMax"/>
          <c:max val="9000"/>
          <c:min val="2500"/>
        </c:scaling>
        <c:delete val="1"/>
        <c:axPos val="b"/>
        <c:numFmt formatCode="General" sourceLinked="1"/>
        <c:majorTickMark val="out"/>
        <c:minorTickMark val="none"/>
        <c:tickLblPos val="nextTo"/>
        <c:crossAx val="1728185999"/>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Samples!$B$364:$B$365</c:f>
              <c:numCache>
                <c:formatCode>General</c:formatCode>
                <c:ptCount val="2"/>
                <c:pt idx="0">
                  <c:v>0</c:v>
                </c:pt>
                <c:pt idx="1">
                  <c:v>79.121592757076257</c:v>
                </c:pt>
              </c:numCache>
            </c:numRef>
          </c:xVal>
          <c:yVal>
            <c:numRef>
              <c:f>Samples!$C$364:$C$365</c:f>
              <c:numCache>
                <c:formatCode>General</c:formatCode>
                <c:ptCount val="2"/>
                <c:pt idx="0">
                  <c:v>0</c:v>
                </c:pt>
                <c:pt idx="1">
                  <c:v>8500</c:v>
                </c:pt>
              </c:numCache>
            </c:numRef>
          </c:yVal>
          <c:smooth val="0"/>
          <c:extLst>
            <c:ext xmlns:c16="http://schemas.microsoft.com/office/drawing/2014/chart" uri="{C3380CC4-5D6E-409C-BE32-E72D297353CC}">
              <c16:uniqueId val="{00000000-9E96-425E-83E7-17290CFC3DED}"/>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Samples!$D$364:$D$365</c:f>
              <c:numCache>
                <c:formatCode>General</c:formatCode>
                <c:ptCount val="2"/>
                <c:pt idx="0">
                  <c:v>0</c:v>
                </c:pt>
                <c:pt idx="1">
                  <c:v>98.635613902626829</c:v>
                </c:pt>
              </c:numCache>
            </c:numRef>
          </c:xVal>
          <c:yVal>
            <c:numRef>
              <c:f>Samples!$E$364:$E$365</c:f>
              <c:numCache>
                <c:formatCode>General</c:formatCode>
                <c:ptCount val="2"/>
                <c:pt idx="0">
                  <c:v>0</c:v>
                </c:pt>
                <c:pt idx="1">
                  <c:v>8500</c:v>
                </c:pt>
              </c:numCache>
            </c:numRef>
          </c:yVal>
          <c:smooth val="0"/>
          <c:extLst>
            <c:ext xmlns:c16="http://schemas.microsoft.com/office/drawing/2014/chart" uri="{C3380CC4-5D6E-409C-BE32-E72D297353CC}">
              <c16:uniqueId val="{00000001-9E96-425E-83E7-17290CFC3DED}"/>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Samples!$F$364:$F$365</c:f>
              <c:numCache>
                <c:formatCode>General</c:formatCode>
                <c:ptCount val="2"/>
                <c:pt idx="0">
                  <c:v>0</c:v>
                </c:pt>
                <c:pt idx="1">
                  <c:v>122.89259852968704</c:v>
                </c:pt>
              </c:numCache>
            </c:numRef>
          </c:xVal>
          <c:yVal>
            <c:numRef>
              <c:f>Samples!$G$364:$G$365</c:f>
              <c:numCache>
                <c:formatCode>General</c:formatCode>
                <c:ptCount val="2"/>
                <c:pt idx="0">
                  <c:v>0</c:v>
                </c:pt>
                <c:pt idx="1">
                  <c:v>8500</c:v>
                </c:pt>
              </c:numCache>
            </c:numRef>
          </c:yVal>
          <c:smooth val="0"/>
          <c:extLst>
            <c:ext xmlns:c16="http://schemas.microsoft.com/office/drawing/2014/chart" uri="{C3380CC4-5D6E-409C-BE32-E72D297353CC}">
              <c16:uniqueId val="{00000002-9E96-425E-83E7-17290CFC3DED}"/>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Samples!$H$364:$H$365</c:f>
              <c:numCache>
                <c:formatCode>General</c:formatCode>
                <c:ptCount val="2"/>
                <c:pt idx="0">
                  <c:v>0</c:v>
                </c:pt>
                <c:pt idx="1">
                  <c:v>151.68873404315215</c:v>
                </c:pt>
              </c:numCache>
            </c:numRef>
          </c:xVal>
          <c:yVal>
            <c:numRef>
              <c:f>Samples!$I$364:$I$365</c:f>
              <c:numCache>
                <c:formatCode>General</c:formatCode>
                <c:ptCount val="2"/>
                <c:pt idx="0">
                  <c:v>0</c:v>
                </c:pt>
                <c:pt idx="1">
                  <c:v>8500</c:v>
                </c:pt>
              </c:numCache>
            </c:numRef>
          </c:yVal>
          <c:smooth val="0"/>
          <c:extLst>
            <c:ext xmlns:c16="http://schemas.microsoft.com/office/drawing/2014/chart" uri="{C3380CC4-5D6E-409C-BE32-E72D297353CC}">
              <c16:uniqueId val="{00000003-9E96-425E-83E7-17290CFC3DED}"/>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Samples!$J$364:$J$365</c:f>
              <c:numCache>
                <c:formatCode>General</c:formatCode>
                <c:ptCount val="2"/>
                <c:pt idx="0">
                  <c:v>0</c:v>
                </c:pt>
                <c:pt idx="1">
                  <c:v>185.49490631905005</c:v>
                </c:pt>
              </c:numCache>
            </c:numRef>
          </c:xVal>
          <c:yVal>
            <c:numRef>
              <c:f>Samples!$K$364:$K$365</c:f>
              <c:numCache>
                <c:formatCode>General</c:formatCode>
                <c:ptCount val="2"/>
                <c:pt idx="0">
                  <c:v>0</c:v>
                </c:pt>
                <c:pt idx="1">
                  <c:v>8500</c:v>
                </c:pt>
              </c:numCache>
            </c:numRef>
          </c:yVal>
          <c:smooth val="0"/>
          <c:extLst>
            <c:ext xmlns:c16="http://schemas.microsoft.com/office/drawing/2014/chart" uri="{C3380CC4-5D6E-409C-BE32-E72D297353CC}">
              <c16:uniqueId val="{00000004-9E96-425E-83E7-17290CFC3DED}"/>
            </c:ext>
          </c:extLst>
        </c:ser>
        <c:ser>
          <c:idx val="5"/>
          <c:order val="5"/>
          <c:tx>
            <c:strRef>
              <c:f>Locale!$D$27</c:f>
              <c:strCache>
                <c:ptCount val="1"/>
                <c:pt idx="0">
                  <c:v>6 挡</c:v>
                </c:pt>
              </c:strCache>
            </c:strRef>
          </c:tx>
          <c:spPr>
            <a:ln w="19050">
              <a:solidFill>
                <a:srgbClr val="2C7C50"/>
              </a:solidFill>
              <a:prstDash val="solid"/>
            </a:ln>
          </c:spPr>
          <c:marker>
            <c:symbol val="none"/>
          </c:marker>
          <c:xVal>
            <c:numRef>
              <c:f>Samples!$L$364:$L$365</c:f>
              <c:numCache>
                <c:formatCode>General</c:formatCode>
                <c:ptCount val="2"/>
                <c:pt idx="0">
                  <c:v>0</c:v>
                </c:pt>
                <c:pt idx="1">
                  <c:v>224.87189520432207</c:v>
                </c:pt>
              </c:numCache>
            </c:numRef>
          </c:xVal>
          <c:yVal>
            <c:numRef>
              <c:f>Samples!$M$364:$M$365</c:f>
              <c:numCache>
                <c:formatCode>General</c:formatCode>
                <c:ptCount val="2"/>
                <c:pt idx="0">
                  <c:v>0</c:v>
                </c:pt>
                <c:pt idx="1">
                  <c:v>8500</c:v>
                </c:pt>
              </c:numCache>
            </c:numRef>
          </c:yVal>
          <c:smooth val="0"/>
          <c:extLst>
            <c:ext xmlns:c16="http://schemas.microsoft.com/office/drawing/2014/chart" uri="{C3380CC4-5D6E-409C-BE32-E72D297353CC}">
              <c16:uniqueId val="{00000005-9E96-425E-83E7-17290CFC3DED}"/>
            </c:ext>
          </c:extLst>
        </c:ser>
        <c:ser>
          <c:idx val="6"/>
          <c:order val="6"/>
          <c:tx>
            <c:strRef>
              <c:f>Locale!$D$53</c:f>
              <c:strCache>
                <c:ptCount val="1"/>
                <c:pt idx="0">
                  <c:v>1 升 2 挡</c:v>
                </c:pt>
              </c:strCache>
            </c:strRef>
          </c:tx>
          <c:spPr>
            <a:ln w="12383">
              <a:solidFill>
                <a:srgbClr val="D73027"/>
              </a:solidFill>
              <a:prstDash val="solid"/>
            </a:ln>
          </c:spPr>
          <c:marker>
            <c:symbol val="none"/>
          </c:marker>
          <c:xVal>
            <c:numRef>
              <c:f>Samples!$B$370:$B$371</c:f>
              <c:numCache>
                <c:formatCode>General</c:formatCode>
                <c:ptCount val="2"/>
                <c:pt idx="0">
                  <c:v>55.850536063818538</c:v>
                </c:pt>
                <c:pt idx="1">
                  <c:v>55.850536063818538</c:v>
                </c:pt>
              </c:numCache>
            </c:numRef>
          </c:xVal>
          <c:yVal>
            <c:numRef>
              <c:f>Samples!$C$370:$C$371</c:f>
              <c:numCache>
                <c:formatCode>General</c:formatCode>
                <c:ptCount val="2"/>
                <c:pt idx="0">
                  <c:v>6000</c:v>
                </c:pt>
                <c:pt idx="1">
                  <c:v>4812.9629629629635</c:v>
                </c:pt>
              </c:numCache>
            </c:numRef>
          </c:yVal>
          <c:smooth val="0"/>
          <c:extLst>
            <c:ext xmlns:c16="http://schemas.microsoft.com/office/drawing/2014/chart" uri="{C3380CC4-5D6E-409C-BE32-E72D297353CC}">
              <c16:uniqueId val="{00000006-9E96-425E-83E7-17290CFC3DED}"/>
            </c:ext>
          </c:extLst>
        </c:ser>
        <c:ser>
          <c:idx val="7"/>
          <c:order val="7"/>
          <c:tx>
            <c:strRef>
              <c:f>Locale!$D$55</c:f>
              <c:strCache>
                <c:ptCount val="1"/>
                <c:pt idx="0">
                  <c:v>2 升 3 挡</c:v>
                </c:pt>
              </c:strCache>
            </c:strRef>
          </c:tx>
          <c:spPr>
            <a:ln w="12383">
              <a:solidFill>
                <a:srgbClr val="F46D43"/>
              </a:solidFill>
              <a:prstDash val="solid"/>
            </a:ln>
          </c:spPr>
          <c:marker>
            <c:symbol val="none"/>
          </c:marker>
          <c:xVal>
            <c:numRef>
              <c:f>Samples!$D$370:$D$371</c:f>
              <c:numCache>
                <c:formatCode>General</c:formatCode>
                <c:ptCount val="2"/>
                <c:pt idx="0">
                  <c:v>71.597851503436175</c:v>
                </c:pt>
                <c:pt idx="1">
                  <c:v>71.597851503436175</c:v>
                </c:pt>
              </c:numCache>
            </c:numRef>
          </c:xVal>
          <c:yVal>
            <c:numRef>
              <c:f>Samples!$E$370:$E$371</c:f>
              <c:numCache>
                <c:formatCode>General</c:formatCode>
                <c:ptCount val="2"/>
                <c:pt idx="0">
                  <c:v>6170</c:v>
                </c:pt>
                <c:pt idx="1">
                  <c:v>4952.1431319738349</c:v>
                </c:pt>
              </c:numCache>
            </c:numRef>
          </c:yVal>
          <c:smooth val="0"/>
          <c:extLst>
            <c:ext xmlns:c16="http://schemas.microsoft.com/office/drawing/2014/chart" uri="{C3380CC4-5D6E-409C-BE32-E72D297353CC}">
              <c16:uniqueId val="{00000007-9E96-425E-83E7-17290CFC3DED}"/>
            </c:ext>
          </c:extLst>
        </c:ser>
        <c:ser>
          <c:idx val="8"/>
          <c:order val="8"/>
          <c:tx>
            <c:strRef>
              <c:f>Locale!$D$54</c:f>
              <c:strCache>
                <c:ptCount val="1"/>
                <c:pt idx="0">
                  <c:v>3 升 4 挡</c:v>
                </c:pt>
              </c:strCache>
            </c:strRef>
          </c:tx>
          <c:spPr>
            <a:ln w="12383">
              <a:solidFill>
                <a:srgbClr val="DBAA15"/>
              </a:solidFill>
              <a:prstDash val="solid"/>
            </a:ln>
          </c:spPr>
          <c:marker>
            <c:symbol val="none"/>
          </c:marker>
          <c:xVal>
            <c:numRef>
              <c:f>Samples!$F$370:$F$371</c:f>
              <c:numCache>
                <c:formatCode>General</c:formatCode>
                <c:ptCount val="2"/>
                <c:pt idx="0">
                  <c:v>89.928466218194515</c:v>
                </c:pt>
                <c:pt idx="1">
                  <c:v>89.928466218194515</c:v>
                </c:pt>
              </c:numCache>
            </c:numRef>
          </c:xVal>
          <c:yVal>
            <c:numRef>
              <c:f>Samples!$G$370:$G$371</c:f>
              <c:numCache>
                <c:formatCode>General</c:formatCode>
                <c:ptCount val="2"/>
                <c:pt idx="0">
                  <c:v>6220</c:v>
                </c:pt>
                <c:pt idx="1">
                  <c:v>5039.2138063278999</c:v>
                </c:pt>
              </c:numCache>
            </c:numRef>
          </c:yVal>
          <c:smooth val="0"/>
          <c:extLst>
            <c:ext xmlns:c16="http://schemas.microsoft.com/office/drawing/2014/chart" uri="{C3380CC4-5D6E-409C-BE32-E72D297353CC}">
              <c16:uniqueId val="{00000008-9E96-425E-83E7-17290CFC3DED}"/>
            </c:ext>
          </c:extLst>
        </c:ser>
        <c:ser>
          <c:idx val="9"/>
          <c:order val="9"/>
          <c:tx>
            <c:strRef>
              <c:f>Locale!$D$50</c:f>
              <c:strCache>
                <c:ptCount val="1"/>
                <c:pt idx="0">
                  <c:v>4 升 5 挡</c:v>
                </c:pt>
              </c:strCache>
            </c:strRef>
          </c:tx>
          <c:spPr>
            <a:ln w="12383">
              <a:solidFill>
                <a:srgbClr val="C47C18"/>
              </a:solidFill>
              <a:prstDash val="solid"/>
            </a:ln>
          </c:spPr>
          <c:marker>
            <c:symbol val="none"/>
          </c:marker>
          <c:xVal>
            <c:numRef>
              <c:f>Samples!$H$370:$H$371</c:f>
              <c:numCache>
                <c:formatCode>General</c:formatCode>
                <c:ptCount val="2"/>
                <c:pt idx="0">
                  <c:v>111.53583385525893</c:v>
                </c:pt>
                <c:pt idx="1">
                  <c:v>111.53583385525893</c:v>
                </c:pt>
              </c:numCache>
            </c:numRef>
          </c:xVal>
          <c:yVal>
            <c:numRef>
              <c:f>Samples!$I$370:$I$371</c:f>
              <c:numCache>
                <c:formatCode>General</c:formatCode>
                <c:ptCount val="2"/>
                <c:pt idx="0">
                  <c:v>6250</c:v>
                </c:pt>
                <c:pt idx="1">
                  <c:v>5110.9467455621307</c:v>
                </c:pt>
              </c:numCache>
            </c:numRef>
          </c:yVal>
          <c:smooth val="0"/>
          <c:extLst>
            <c:ext xmlns:c16="http://schemas.microsoft.com/office/drawing/2014/chart" uri="{C3380CC4-5D6E-409C-BE32-E72D297353CC}">
              <c16:uniqueId val="{00000009-9E96-425E-83E7-17290CFC3DED}"/>
            </c:ext>
          </c:extLst>
        </c:ser>
        <c:ser>
          <c:idx val="10"/>
          <c:order val="10"/>
          <c:tx>
            <c:strRef>
              <c:f>Locale!$D$49</c:f>
              <c:strCache>
                <c:ptCount val="1"/>
                <c:pt idx="0">
                  <c:v>5 升 6 挡</c:v>
                </c:pt>
              </c:strCache>
            </c:strRef>
          </c:tx>
          <c:spPr>
            <a:ln w="12383">
              <a:solidFill>
                <a:srgbClr val="505050"/>
              </a:solidFill>
              <a:prstDash val="solid"/>
            </a:ln>
          </c:spPr>
          <c:marker>
            <c:symbol val="none"/>
          </c:marker>
          <c:xVal>
            <c:numRef>
              <c:f>Samples!$J$370:$J$371</c:f>
              <c:numCache>
                <c:formatCode>General</c:formatCode>
                <c:ptCount val="2"/>
                <c:pt idx="0">
                  <c:v>136.61154277144155</c:v>
                </c:pt>
                <c:pt idx="1">
                  <c:v>136.61154277144155</c:v>
                </c:pt>
              </c:numCache>
            </c:numRef>
          </c:xVal>
          <c:yVal>
            <c:numRef>
              <c:f>Samples!$K$370:$K$371</c:f>
              <c:numCache>
                <c:formatCode>General</c:formatCode>
                <c:ptCount val="2"/>
                <c:pt idx="0">
                  <c:v>6260</c:v>
                </c:pt>
                <c:pt idx="1">
                  <c:v>5163.820549927641</c:v>
                </c:pt>
              </c:numCache>
            </c:numRef>
          </c:yVal>
          <c:smooth val="0"/>
          <c:extLst>
            <c:ext xmlns:c16="http://schemas.microsoft.com/office/drawing/2014/chart" uri="{C3380CC4-5D6E-409C-BE32-E72D297353CC}">
              <c16:uniqueId val="{0000000A-9E96-425E-83E7-17290CFC3DED}"/>
            </c:ext>
          </c:extLst>
        </c:ser>
        <c:dLbls>
          <c:showLegendKey val="0"/>
          <c:showVal val="0"/>
          <c:showCatName val="0"/>
          <c:showSerName val="0"/>
          <c:showPercent val="0"/>
          <c:showBubbleSize val="0"/>
        </c:dLbls>
        <c:axId val="48650112"/>
        <c:axId val="48672768"/>
      </c:scatterChart>
      <c:valAx>
        <c:axId val="48672768"/>
        <c:scaling>
          <c:orientation val="minMax"/>
          <c:max val="9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ayout>
        <c:manualLayout>
          <c:xMode val="edge"/>
          <c:yMode val="edge"/>
          <c:x val="0.30788291046952465"/>
          <c:y val="5.9259259259259262E-2"/>
          <c:w val="0.38423410615339748"/>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Locale!$D$8</c:f>
          <c:strCache>
            <c:ptCount val="1"/>
            <c:pt idx="0">
              <c:v>扭矩与功率</c:v>
            </c:pt>
          </c:strCache>
        </c:strRef>
      </c:tx>
      <c:overlay val="0"/>
      <c:txPr>
        <a:bodyPr/>
        <a:lstStyle/>
        <a:p>
          <a:pPr>
            <a:defRPr lang="en-US" sz="1350">
              <a:latin typeface="Arial"/>
              <a:ea typeface="Microsoft YaHei"/>
              <a:cs typeface="Arial"/>
            </a:defRPr>
          </a:pPr>
          <a:endParaRPr lang="en-US"/>
        </a:p>
      </c:txPr>
    </c:title>
    <c:autoTitleDeleted val="0"/>
    <c:plotArea>
      <c:layout/>
      <c:scatterChart>
        <c:scatterStyle val="smoothMarker"/>
        <c:varyColors val="0"/>
        <c:ser>
          <c:idx val="0"/>
          <c:order val="0"/>
          <c:tx>
            <c:strRef>
              <c:f>Locale!$D$58</c:f>
              <c:strCache>
                <c:ptCount val="1"/>
                <c:pt idx="0">
                  <c:v>扭矩 (Nm)</c:v>
                </c:pt>
              </c:strCache>
            </c:strRef>
          </c:tx>
          <c:spPr>
            <a:ln w="19050">
              <a:solidFill>
                <a:srgbClr val="426F9B"/>
              </a:solidFill>
              <a:prstDash val="solid"/>
            </a:ln>
          </c:spPr>
          <c:marker>
            <c:symbol val="none"/>
          </c:marker>
          <c:xVal>
            <c:numRef>
              <c:f>Samples!$B$157:$B$171</c:f>
              <c:numCache>
                <c:formatCode>General</c:formatCode>
                <c:ptCount val="15"/>
                <c:pt idx="0">
                  <c:v>2500</c:v>
                </c:pt>
                <c:pt idx="1">
                  <c:v>3000</c:v>
                </c:pt>
                <c:pt idx="2">
                  <c:v>3500</c:v>
                </c:pt>
                <c:pt idx="3">
                  <c:v>4000</c:v>
                </c:pt>
                <c:pt idx="4">
                  <c:v>4141</c:v>
                </c:pt>
                <c:pt idx="5">
                  <c:v>4500</c:v>
                </c:pt>
                <c:pt idx="6">
                  <c:v>5000</c:v>
                </c:pt>
                <c:pt idx="7">
                  <c:v>5500</c:v>
                </c:pt>
                <c:pt idx="8">
                  <c:v>5690</c:v>
                </c:pt>
                <c:pt idx="9">
                  <c:v>6000</c:v>
                </c:pt>
                <c:pt idx="10">
                  <c:v>6500</c:v>
                </c:pt>
                <c:pt idx="11">
                  <c:v>7000</c:v>
                </c:pt>
                <c:pt idx="12">
                  <c:v>7500</c:v>
                </c:pt>
                <c:pt idx="13">
                  <c:v>8000</c:v>
                </c:pt>
                <c:pt idx="14">
                  <c:v>8499</c:v>
                </c:pt>
              </c:numCache>
            </c:numRef>
          </c:xVal>
          <c:yVal>
            <c:numRef>
              <c:f>Samples!$C$157:$C$171</c:f>
              <c:numCache>
                <c:formatCode>0.00</c:formatCode>
                <c:ptCount val="15"/>
                <c:pt idx="0">
                  <c:v>781.33066149713</c:v>
                </c:pt>
                <c:pt idx="1">
                  <c:v>815.57037906490996</c:v>
                </c:pt>
                <c:pt idx="2">
                  <c:v>839.31014412132004</c:v>
                </c:pt>
                <c:pt idx="3">
                  <c:v>849.15980634939001</c:v>
                </c:pt>
                <c:pt idx="4">
                  <c:v>849.65874099113</c:v>
                </c:pt>
                <c:pt idx="5">
                  <c:v>846.29453700936006</c:v>
                </c:pt>
                <c:pt idx="6">
                  <c:v>830.31349066587995</c:v>
                </c:pt>
                <c:pt idx="7">
                  <c:v>778.94554556110995</c:v>
                </c:pt>
                <c:pt idx="8">
                  <c:v>754.97659059928003</c:v>
                </c:pt>
                <c:pt idx="9">
                  <c:v>713.52169310327997</c:v>
                </c:pt>
                <c:pt idx="10">
                  <c:v>650.00523948523005</c:v>
                </c:pt>
                <c:pt idx="11">
                  <c:v>590.16354933322998</c:v>
                </c:pt>
                <c:pt idx="12">
                  <c:v>529.20441413318997</c:v>
                </c:pt>
                <c:pt idx="13">
                  <c:v>466.5003138289</c:v>
                </c:pt>
                <c:pt idx="14">
                  <c:v>397.788442868</c:v>
                </c:pt>
              </c:numCache>
            </c:numRef>
          </c:yVal>
          <c:smooth val="1"/>
          <c:extLst>
            <c:ext xmlns:c16="http://schemas.microsoft.com/office/drawing/2014/chart" uri="{C3380CC4-5D6E-409C-BE32-E72D297353CC}">
              <c16:uniqueId val="{00000000-8790-4E85-A109-50CDC6BF17FD}"/>
            </c:ext>
          </c:extLst>
        </c:ser>
        <c:dLbls>
          <c:showLegendKey val="0"/>
          <c:showVal val="0"/>
          <c:showCatName val="0"/>
          <c:showSerName val="0"/>
          <c:showPercent val="0"/>
          <c:showBubbleSize val="0"/>
        </c:dLbls>
        <c:axId val="48650112"/>
        <c:axId val="48672768"/>
      </c:scatterChart>
      <c:scatterChart>
        <c:scatterStyle val="smoothMarker"/>
        <c:varyColors val="0"/>
        <c:ser>
          <c:idx val="1"/>
          <c:order val="1"/>
          <c:tx>
            <c:strRef>
              <c:f>Locale!$D$43</c:f>
              <c:strCache>
                <c:ptCount val="1"/>
                <c:pt idx="0">
                  <c:v>功率 (hp)</c:v>
                </c:pt>
              </c:strCache>
            </c:strRef>
          </c:tx>
          <c:spPr>
            <a:ln w="19050">
              <a:solidFill>
                <a:srgbClr val="C95745"/>
              </a:solidFill>
              <a:prstDash val="solid"/>
            </a:ln>
          </c:spPr>
          <c:marker>
            <c:symbol val="none"/>
          </c:marker>
          <c:xVal>
            <c:numRef>
              <c:f>Samples!$B$157:$B$171</c:f>
              <c:numCache>
                <c:formatCode>General</c:formatCode>
                <c:ptCount val="15"/>
                <c:pt idx="0">
                  <c:v>2500</c:v>
                </c:pt>
                <c:pt idx="1">
                  <c:v>3000</c:v>
                </c:pt>
                <c:pt idx="2">
                  <c:v>3500</c:v>
                </c:pt>
                <c:pt idx="3">
                  <c:v>4000</c:v>
                </c:pt>
                <c:pt idx="4">
                  <c:v>4141</c:v>
                </c:pt>
                <c:pt idx="5">
                  <c:v>4500</c:v>
                </c:pt>
                <c:pt idx="6">
                  <c:v>5000</c:v>
                </c:pt>
                <c:pt idx="7">
                  <c:v>5500</c:v>
                </c:pt>
                <c:pt idx="8">
                  <c:v>5690</c:v>
                </c:pt>
                <c:pt idx="9">
                  <c:v>6000</c:v>
                </c:pt>
                <c:pt idx="10">
                  <c:v>6500</c:v>
                </c:pt>
                <c:pt idx="11">
                  <c:v>7000</c:v>
                </c:pt>
                <c:pt idx="12">
                  <c:v>7500</c:v>
                </c:pt>
                <c:pt idx="13">
                  <c:v>8000</c:v>
                </c:pt>
                <c:pt idx="14">
                  <c:v>8499</c:v>
                </c:pt>
              </c:numCache>
            </c:numRef>
          </c:xVal>
          <c:yVal>
            <c:numRef>
              <c:f>Samples!$D$157:$D$171</c:f>
              <c:numCache>
                <c:formatCode>0.0</c:formatCode>
                <c:ptCount val="15"/>
                <c:pt idx="0">
                  <c:v>270.56190658493745</c:v>
                </c:pt>
                <c:pt idx="1">
                  <c:v>338.90226648653652</c:v>
                </c:pt>
                <c:pt idx="2">
                  <c:v>406.89494166808578</c:v>
                </c:pt>
                <c:pt idx="3">
                  <c:v>470.48003110172607</c:v>
                </c:pt>
                <c:pt idx="4">
                  <c:v>487.35063311023652</c:v>
                </c:pt>
                <c:pt idx="5">
                  <c:v>527.5040831604706</c:v>
                </c:pt>
                <c:pt idx="6">
                  <c:v>575.04770302318877</c:v>
                </c:pt>
                <c:pt idx="7">
                  <c:v>593.4191567035989</c:v>
                </c:pt>
                <c:pt idx="8">
                  <c:v>595.02816984475828</c:v>
                </c:pt>
                <c:pt idx="9">
                  <c:v>592.99387321365498</c:v>
                </c:pt>
                <c:pt idx="10">
                  <c:v>585.22381167748551</c:v>
                </c:pt>
                <c:pt idx="11">
                  <c:v>572.21889825237974</c:v>
                </c:pt>
                <c:pt idx="12">
                  <c:v>549.764250848752</c:v>
                </c:pt>
                <c:pt idx="13">
                  <c:v>516.93233833745376</c:v>
                </c:pt>
                <c:pt idx="14">
                  <c:v>468.28663693613572</c:v>
                </c:pt>
              </c:numCache>
            </c:numRef>
          </c:yVal>
          <c:smooth val="1"/>
          <c:extLst>
            <c:ext xmlns:c16="http://schemas.microsoft.com/office/drawing/2014/chart" uri="{C3380CC4-5D6E-409C-BE32-E72D297353CC}">
              <c16:uniqueId val="{00000001-8790-4E85-A109-50CDC6BF17FD}"/>
            </c:ext>
          </c:extLst>
        </c:ser>
        <c:dLbls>
          <c:showLegendKey val="0"/>
          <c:showVal val="0"/>
          <c:showCatName val="0"/>
          <c:showSerName val="0"/>
          <c:showPercent val="0"/>
          <c:showBubbleSize val="0"/>
        </c:dLbls>
        <c:axId val="1509353647"/>
        <c:axId val="1509330127"/>
      </c:scatterChart>
      <c:valAx>
        <c:axId val="48672768"/>
        <c:scaling>
          <c:orientation val="minMax"/>
          <c:max val="900"/>
          <c:min val="0"/>
        </c:scaling>
        <c:delete val="0"/>
        <c:axPos val="l"/>
        <c:majorGridlines>
          <c:spPr>
            <a:ln w="9525">
              <a:solidFill>
                <a:srgbClr val="CCCCCC"/>
              </a:solidFill>
              <a:prstDash val="dash"/>
            </a:ln>
          </c:spPr>
        </c:majorGridlines>
        <c:title>
          <c:tx>
            <c:strRef>
              <c:f>Locale!$D$58</c:f>
              <c:strCache>
                <c:ptCount val="1"/>
                <c:pt idx="0">
                  <c:v>扭矩 (Nm)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
      </c:valAx>
      <c:valAx>
        <c:axId val="48650112"/>
        <c:scaling>
          <c:orientation val="minMax"/>
          <c:max val="9000"/>
          <c:min val="2500"/>
        </c:scaling>
        <c:delete val="0"/>
        <c:axPos val="b"/>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500"/>
      </c:valAx>
      <c:valAx>
        <c:axId val="1509330127"/>
        <c:scaling>
          <c:orientation val="minMax"/>
          <c:max val="900"/>
          <c:min val="0"/>
        </c:scaling>
        <c:delete val="0"/>
        <c:axPos val="r"/>
        <c:title>
          <c:tx>
            <c:strRef>
              <c:f>Locale!$D$43</c:f>
              <c:strCache>
                <c:ptCount val="1"/>
                <c:pt idx="0">
                  <c:v>功率 (hp)</c:v>
                </c:pt>
              </c:strCache>
            </c:strRef>
          </c:tx>
          <c:overlay val="0"/>
          <c:txPr>
            <a:bodyPr/>
            <a:lstStyle/>
            <a:p>
              <a:pPr>
                <a:defRPr altLang="zh-CN" sz="1100">
                  <a:latin typeface="Arial"/>
                  <a:ea typeface="Microsoft YaHei"/>
                  <a:cs typeface="Arial"/>
                </a:defRPr>
              </a:pPr>
              <a:endParaRPr lang="en-US"/>
            </a:p>
          </c:txPr>
        </c:title>
        <c:numFmt formatCode="0" sourceLinked="0"/>
        <c:majorTickMark val="out"/>
        <c:minorTickMark val="none"/>
        <c:tickLblPos val="nextTo"/>
        <c:txPr>
          <a:bodyPr/>
          <a:lstStyle/>
          <a:p>
            <a:pPr>
              <a:defRPr sz="1000">
                <a:latin typeface="Arial"/>
                <a:ea typeface="Microsoft YaHei"/>
                <a:cs typeface="Arial"/>
              </a:defRPr>
            </a:pPr>
            <a:endParaRPr lang="zh-CN"/>
          </a:p>
        </c:txPr>
        <c:crossAx val="1509353647"/>
        <c:crosses val="max"/>
        <c:crossBetween val="midCat"/>
        <c:majorUnit val="100"/>
      </c:valAx>
      <c:valAx>
        <c:axId val="1509353647"/>
        <c:scaling>
          <c:orientation val="minMax"/>
          <c:max val="9000"/>
          <c:min val="2500"/>
        </c:scaling>
        <c:delete val="1"/>
        <c:axPos val="b"/>
        <c:numFmt formatCode="General" sourceLinked="1"/>
        <c:majorTickMark val="out"/>
        <c:minorTickMark val="none"/>
        <c:tickLblPos val="nextTo"/>
        <c:crossAx val="1509330127"/>
        <c:crosses val="autoZero"/>
        <c:crossBetween val="midCat"/>
        <c:majorUnit val="500"/>
      </c:valAx>
    </c:plotArea>
    <c:legend>
      <c:legendPos val="t"/>
      <c:overlay val="0"/>
      <c:txPr>
        <a:bodyPr anchorCtr="1"/>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strRef>
          <c:f>Locale!$D$3</c:f>
          <c:strCache>
            <c:ptCount val="1"/>
            <c:pt idx="0">
              <c:v>挡位分布</c:v>
            </c:pt>
          </c:strCache>
        </c:strRef>
      </c:tx>
      <c:layout>
        <c:manualLayout>
          <c:xMode val="edge"/>
          <c:yMode val="edge"/>
          <c:x val="0.45346296296296296"/>
          <c:y val="1.4814814814814815E-2"/>
        </c:manualLayout>
      </c:layout>
      <c:overlay val="1"/>
      <c:txPr>
        <a:bodyPr anchorCtr="1"/>
        <a:lstStyle/>
        <a:p>
          <a:pPr>
            <a:defRPr altLang="zh-CN" sz="1350">
              <a:latin typeface="Arial"/>
              <a:ea typeface="Microsoft YaHei"/>
              <a:cs typeface="Arial"/>
            </a:defRPr>
          </a:pPr>
          <a:endParaRPr lang="en-US"/>
        </a:p>
      </c:txPr>
    </c:title>
    <c:autoTitleDeleted val="0"/>
    <c:plotArea>
      <c:layout>
        <c:manualLayout>
          <c:xMode val="edge"/>
          <c:yMode val="edge"/>
          <c:x val="3.2129629629629633E-2"/>
          <c:y val="0.11481481481481481"/>
          <c:w val="0.95768518518518519"/>
          <c:h val="0.80555555555555558"/>
        </c:manualLayout>
      </c:layout>
      <c:scatterChart>
        <c:scatterStyle val="lineMarker"/>
        <c:varyColors val="0"/>
        <c:ser>
          <c:idx val="0"/>
          <c:order val="0"/>
          <c:tx>
            <c:strRef>
              <c:f>Locale!$D$25</c:f>
              <c:strCache>
                <c:ptCount val="1"/>
                <c:pt idx="0">
                  <c:v>1 挡</c:v>
                </c:pt>
              </c:strCache>
            </c:strRef>
          </c:tx>
          <c:spPr>
            <a:ln w="19050">
              <a:solidFill>
                <a:srgbClr val="D73027"/>
              </a:solidFill>
              <a:prstDash val="solid"/>
            </a:ln>
          </c:spPr>
          <c:marker>
            <c:symbol val="none"/>
          </c:marker>
          <c:xVal>
            <c:numRef>
              <c:f>Samples!$B$402:$B$403</c:f>
              <c:numCache>
                <c:formatCode>General</c:formatCode>
                <c:ptCount val="2"/>
                <c:pt idx="0">
                  <c:v>0</c:v>
                </c:pt>
                <c:pt idx="1">
                  <c:v>79.121592757076257</c:v>
                </c:pt>
              </c:numCache>
            </c:numRef>
          </c:xVal>
          <c:yVal>
            <c:numRef>
              <c:f>Samples!$C$402:$C$403</c:f>
              <c:numCache>
                <c:formatCode>General</c:formatCode>
                <c:ptCount val="2"/>
                <c:pt idx="0">
                  <c:v>0</c:v>
                </c:pt>
                <c:pt idx="1">
                  <c:v>8500</c:v>
                </c:pt>
              </c:numCache>
            </c:numRef>
          </c:yVal>
          <c:smooth val="0"/>
          <c:extLst>
            <c:ext xmlns:c16="http://schemas.microsoft.com/office/drawing/2014/chart" uri="{C3380CC4-5D6E-409C-BE32-E72D297353CC}">
              <c16:uniqueId val="{00000000-883F-448D-A34D-D4571362035B}"/>
            </c:ext>
          </c:extLst>
        </c:ser>
        <c:ser>
          <c:idx val="1"/>
          <c:order val="1"/>
          <c:tx>
            <c:strRef>
              <c:f>Locale!$D$29</c:f>
              <c:strCache>
                <c:ptCount val="1"/>
                <c:pt idx="0">
                  <c:v>2 挡</c:v>
                </c:pt>
              </c:strCache>
            </c:strRef>
          </c:tx>
          <c:spPr>
            <a:ln w="19050">
              <a:solidFill>
                <a:srgbClr val="F46D43"/>
              </a:solidFill>
              <a:prstDash val="solid"/>
            </a:ln>
          </c:spPr>
          <c:marker>
            <c:symbol val="none"/>
          </c:marker>
          <c:xVal>
            <c:numRef>
              <c:f>Samples!$D$402:$D$403</c:f>
              <c:numCache>
                <c:formatCode>General</c:formatCode>
                <c:ptCount val="2"/>
                <c:pt idx="0">
                  <c:v>0</c:v>
                </c:pt>
                <c:pt idx="1">
                  <c:v>98.635613902626829</c:v>
                </c:pt>
              </c:numCache>
            </c:numRef>
          </c:xVal>
          <c:yVal>
            <c:numRef>
              <c:f>Samples!$E$402:$E$403</c:f>
              <c:numCache>
                <c:formatCode>General</c:formatCode>
                <c:ptCount val="2"/>
                <c:pt idx="0">
                  <c:v>0</c:v>
                </c:pt>
                <c:pt idx="1">
                  <c:v>8500</c:v>
                </c:pt>
              </c:numCache>
            </c:numRef>
          </c:yVal>
          <c:smooth val="0"/>
          <c:extLst>
            <c:ext xmlns:c16="http://schemas.microsoft.com/office/drawing/2014/chart" uri="{C3380CC4-5D6E-409C-BE32-E72D297353CC}">
              <c16:uniqueId val="{00000001-883F-448D-A34D-D4571362035B}"/>
            </c:ext>
          </c:extLst>
        </c:ser>
        <c:ser>
          <c:idx val="2"/>
          <c:order val="2"/>
          <c:tx>
            <c:strRef>
              <c:f>Locale!$D$28</c:f>
              <c:strCache>
                <c:ptCount val="1"/>
                <c:pt idx="0">
                  <c:v>3 挡</c:v>
                </c:pt>
              </c:strCache>
            </c:strRef>
          </c:tx>
          <c:spPr>
            <a:ln w="19050">
              <a:solidFill>
                <a:srgbClr val="DBAA15"/>
              </a:solidFill>
              <a:prstDash val="solid"/>
            </a:ln>
          </c:spPr>
          <c:marker>
            <c:symbol val="none"/>
          </c:marker>
          <c:xVal>
            <c:numRef>
              <c:f>Samples!$F$402:$F$403</c:f>
              <c:numCache>
                <c:formatCode>General</c:formatCode>
                <c:ptCount val="2"/>
                <c:pt idx="0">
                  <c:v>0</c:v>
                </c:pt>
                <c:pt idx="1">
                  <c:v>122.89259852968704</c:v>
                </c:pt>
              </c:numCache>
            </c:numRef>
          </c:xVal>
          <c:yVal>
            <c:numRef>
              <c:f>Samples!$G$402:$G$403</c:f>
              <c:numCache>
                <c:formatCode>General</c:formatCode>
                <c:ptCount val="2"/>
                <c:pt idx="0">
                  <c:v>0</c:v>
                </c:pt>
                <c:pt idx="1">
                  <c:v>8500</c:v>
                </c:pt>
              </c:numCache>
            </c:numRef>
          </c:yVal>
          <c:smooth val="0"/>
          <c:extLst>
            <c:ext xmlns:c16="http://schemas.microsoft.com/office/drawing/2014/chart" uri="{C3380CC4-5D6E-409C-BE32-E72D297353CC}">
              <c16:uniqueId val="{00000002-883F-448D-A34D-D4571362035B}"/>
            </c:ext>
          </c:extLst>
        </c:ser>
        <c:ser>
          <c:idx val="3"/>
          <c:order val="3"/>
          <c:tx>
            <c:strRef>
              <c:f>Locale!$D$23</c:f>
              <c:strCache>
                <c:ptCount val="1"/>
                <c:pt idx="0">
                  <c:v>4 挡</c:v>
                </c:pt>
              </c:strCache>
            </c:strRef>
          </c:tx>
          <c:spPr>
            <a:ln w="19050">
              <a:solidFill>
                <a:srgbClr val="C47C18"/>
              </a:solidFill>
              <a:prstDash val="solid"/>
            </a:ln>
          </c:spPr>
          <c:marker>
            <c:symbol val="none"/>
          </c:marker>
          <c:xVal>
            <c:numRef>
              <c:f>Samples!$H$402:$H$403</c:f>
              <c:numCache>
                <c:formatCode>General</c:formatCode>
                <c:ptCount val="2"/>
                <c:pt idx="0">
                  <c:v>0</c:v>
                </c:pt>
                <c:pt idx="1">
                  <c:v>151.68873404315215</c:v>
                </c:pt>
              </c:numCache>
            </c:numRef>
          </c:xVal>
          <c:yVal>
            <c:numRef>
              <c:f>Samples!$I$402:$I$403</c:f>
              <c:numCache>
                <c:formatCode>General</c:formatCode>
                <c:ptCount val="2"/>
                <c:pt idx="0">
                  <c:v>0</c:v>
                </c:pt>
                <c:pt idx="1">
                  <c:v>8500</c:v>
                </c:pt>
              </c:numCache>
            </c:numRef>
          </c:yVal>
          <c:smooth val="0"/>
          <c:extLst>
            <c:ext xmlns:c16="http://schemas.microsoft.com/office/drawing/2014/chart" uri="{C3380CC4-5D6E-409C-BE32-E72D297353CC}">
              <c16:uniqueId val="{00000003-883F-448D-A34D-D4571362035B}"/>
            </c:ext>
          </c:extLst>
        </c:ser>
        <c:ser>
          <c:idx val="4"/>
          <c:order val="4"/>
          <c:tx>
            <c:strRef>
              <c:f>Locale!$D$22</c:f>
              <c:strCache>
                <c:ptCount val="1"/>
                <c:pt idx="0">
                  <c:v>5 挡</c:v>
                </c:pt>
              </c:strCache>
            </c:strRef>
          </c:tx>
          <c:spPr>
            <a:ln w="19050">
              <a:solidFill>
                <a:srgbClr val="505050"/>
              </a:solidFill>
              <a:prstDash val="solid"/>
            </a:ln>
          </c:spPr>
          <c:marker>
            <c:symbol val="none"/>
          </c:marker>
          <c:xVal>
            <c:numRef>
              <c:f>Samples!$J$402:$J$403</c:f>
              <c:numCache>
                <c:formatCode>General</c:formatCode>
                <c:ptCount val="2"/>
                <c:pt idx="0">
                  <c:v>0</c:v>
                </c:pt>
                <c:pt idx="1">
                  <c:v>185.49490631905005</c:v>
                </c:pt>
              </c:numCache>
            </c:numRef>
          </c:xVal>
          <c:yVal>
            <c:numRef>
              <c:f>Samples!$K$402:$K$403</c:f>
              <c:numCache>
                <c:formatCode>General</c:formatCode>
                <c:ptCount val="2"/>
                <c:pt idx="0">
                  <c:v>0</c:v>
                </c:pt>
                <c:pt idx="1">
                  <c:v>8500</c:v>
                </c:pt>
              </c:numCache>
            </c:numRef>
          </c:yVal>
          <c:smooth val="0"/>
          <c:extLst>
            <c:ext xmlns:c16="http://schemas.microsoft.com/office/drawing/2014/chart" uri="{C3380CC4-5D6E-409C-BE32-E72D297353CC}">
              <c16:uniqueId val="{00000004-883F-448D-A34D-D4571362035B}"/>
            </c:ext>
          </c:extLst>
        </c:ser>
        <c:ser>
          <c:idx val="5"/>
          <c:order val="5"/>
          <c:tx>
            <c:strRef>
              <c:f>Locale!$D$53</c:f>
              <c:strCache>
                <c:ptCount val="1"/>
                <c:pt idx="0">
                  <c:v>1 升 2 挡</c:v>
                </c:pt>
              </c:strCache>
            </c:strRef>
          </c:tx>
          <c:spPr>
            <a:ln w="12383">
              <a:solidFill>
                <a:srgbClr val="D73027"/>
              </a:solidFill>
              <a:prstDash val="solid"/>
            </a:ln>
          </c:spPr>
          <c:marker>
            <c:symbol val="none"/>
          </c:marker>
          <c:xVal>
            <c:numRef>
              <c:f>Samples!$B$408:$B$409</c:f>
              <c:numCache>
                <c:formatCode>General</c:formatCode>
                <c:ptCount val="2"/>
                <c:pt idx="0">
                  <c:v>55.850536063818538</c:v>
                </c:pt>
                <c:pt idx="1">
                  <c:v>55.850536063818538</c:v>
                </c:pt>
              </c:numCache>
            </c:numRef>
          </c:xVal>
          <c:yVal>
            <c:numRef>
              <c:f>Samples!$C$408:$C$409</c:f>
              <c:numCache>
                <c:formatCode>General</c:formatCode>
                <c:ptCount val="2"/>
                <c:pt idx="0">
                  <c:v>6000</c:v>
                </c:pt>
                <c:pt idx="1">
                  <c:v>4812.9629629629635</c:v>
                </c:pt>
              </c:numCache>
            </c:numRef>
          </c:yVal>
          <c:smooth val="0"/>
          <c:extLst>
            <c:ext xmlns:c16="http://schemas.microsoft.com/office/drawing/2014/chart" uri="{C3380CC4-5D6E-409C-BE32-E72D297353CC}">
              <c16:uniqueId val="{00000005-883F-448D-A34D-D4571362035B}"/>
            </c:ext>
          </c:extLst>
        </c:ser>
        <c:ser>
          <c:idx val="6"/>
          <c:order val="6"/>
          <c:tx>
            <c:strRef>
              <c:f>Locale!$D$55</c:f>
              <c:strCache>
                <c:ptCount val="1"/>
                <c:pt idx="0">
                  <c:v>2 升 3 挡</c:v>
                </c:pt>
              </c:strCache>
            </c:strRef>
          </c:tx>
          <c:spPr>
            <a:ln w="12383">
              <a:solidFill>
                <a:srgbClr val="F46D43"/>
              </a:solidFill>
              <a:prstDash val="solid"/>
            </a:ln>
          </c:spPr>
          <c:marker>
            <c:symbol val="none"/>
          </c:marker>
          <c:xVal>
            <c:numRef>
              <c:f>Samples!$D$408:$D$409</c:f>
              <c:numCache>
                <c:formatCode>General</c:formatCode>
                <c:ptCount val="2"/>
                <c:pt idx="0">
                  <c:v>71.597851503436175</c:v>
                </c:pt>
                <c:pt idx="1">
                  <c:v>71.597851503436175</c:v>
                </c:pt>
              </c:numCache>
            </c:numRef>
          </c:xVal>
          <c:yVal>
            <c:numRef>
              <c:f>Samples!$E$408:$E$409</c:f>
              <c:numCache>
                <c:formatCode>General</c:formatCode>
                <c:ptCount val="2"/>
                <c:pt idx="0">
                  <c:v>6170</c:v>
                </c:pt>
                <c:pt idx="1">
                  <c:v>4952.1431319738349</c:v>
                </c:pt>
              </c:numCache>
            </c:numRef>
          </c:yVal>
          <c:smooth val="0"/>
          <c:extLst>
            <c:ext xmlns:c16="http://schemas.microsoft.com/office/drawing/2014/chart" uri="{C3380CC4-5D6E-409C-BE32-E72D297353CC}">
              <c16:uniqueId val="{00000006-883F-448D-A34D-D4571362035B}"/>
            </c:ext>
          </c:extLst>
        </c:ser>
        <c:ser>
          <c:idx val="7"/>
          <c:order val="7"/>
          <c:tx>
            <c:strRef>
              <c:f>Locale!$D$54</c:f>
              <c:strCache>
                <c:ptCount val="1"/>
                <c:pt idx="0">
                  <c:v>3 升 4 挡</c:v>
                </c:pt>
              </c:strCache>
            </c:strRef>
          </c:tx>
          <c:spPr>
            <a:ln w="12383">
              <a:solidFill>
                <a:srgbClr val="DBAA15"/>
              </a:solidFill>
              <a:prstDash val="solid"/>
            </a:ln>
          </c:spPr>
          <c:marker>
            <c:symbol val="none"/>
          </c:marker>
          <c:xVal>
            <c:numRef>
              <c:f>Samples!$F$408:$F$409</c:f>
              <c:numCache>
                <c:formatCode>General</c:formatCode>
                <c:ptCount val="2"/>
                <c:pt idx="0">
                  <c:v>89.928466218194515</c:v>
                </c:pt>
                <c:pt idx="1">
                  <c:v>89.928466218194515</c:v>
                </c:pt>
              </c:numCache>
            </c:numRef>
          </c:xVal>
          <c:yVal>
            <c:numRef>
              <c:f>Samples!$G$408:$G$409</c:f>
              <c:numCache>
                <c:formatCode>General</c:formatCode>
                <c:ptCount val="2"/>
                <c:pt idx="0">
                  <c:v>6220</c:v>
                </c:pt>
                <c:pt idx="1">
                  <c:v>5039.2138063278999</c:v>
                </c:pt>
              </c:numCache>
            </c:numRef>
          </c:yVal>
          <c:smooth val="0"/>
          <c:extLst>
            <c:ext xmlns:c16="http://schemas.microsoft.com/office/drawing/2014/chart" uri="{C3380CC4-5D6E-409C-BE32-E72D297353CC}">
              <c16:uniqueId val="{00000007-883F-448D-A34D-D4571362035B}"/>
            </c:ext>
          </c:extLst>
        </c:ser>
        <c:ser>
          <c:idx val="8"/>
          <c:order val="8"/>
          <c:tx>
            <c:strRef>
              <c:f>Locale!$D$50</c:f>
              <c:strCache>
                <c:ptCount val="1"/>
                <c:pt idx="0">
                  <c:v>4 升 5 挡</c:v>
                </c:pt>
              </c:strCache>
            </c:strRef>
          </c:tx>
          <c:spPr>
            <a:ln w="12383">
              <a:solidFill>
                <a:srgbClr val="C47C18"/>
              </a:solidFill>
              <a:prstDash val="solid"/>
            </a:ln>
          </c:spPr>
          <c:marker>
            <c:symbol val="none"/>
          </c:marker>
          <c:xVal>
            <c:numRef>
              <c:f>Samples!$H$408:$H$409</c:f>
              <c:numCache>
                <c:formatCode>General</c:formatCode>
                <c:ptCount val="2"/>
                <c:pt idx="0">
                  <c:v>111.53583385525893</c:v>
                </c:pt>
                <c:pt idx="1">
                  <c:v>111.53583385525893</c:v>
                </c:pt>
              </c:numCache>
            </c:numRef>
          </c:xVal>
          <c:yVal>
            <c:numRef>
              <c:f>Samples!$I$408:$I$409</c:f>
              <c:numCache>
                <c:formatCode>General</c:formatCode>
                <c:ptCount val="2"/>
                <c:pt idx="0">
                  <c:v>6250</c:v>
                </c:pt>
                <c:pt idx="1">
                  <c:v>5110.9467455621307</c:v>
                </c:pt>
              </c:numCache>
            </c:numRef>
          </c:yVal>
          <c:smooth val="0"/>
          <c:extLst>
            <c:ext xmlns:c16="http://schemas.microsoft.com/office/drawing/2014/chart" uri="{C3380CC4-5D6E-409C-BE32-E72D297353CC}">
              <c16:uniqueId val="{00000008-883F-448D-A34D-D4571362035B}"/>
            </c:ext>
          </c:extLst>
        </c:ser>
        <c:dLbls>
          <c:showLegendKey val="0"/>
          <c:showVal val="0"/>
          <c:showCatName val="0"/>
          <c:showSerName val="0"/>
          <c:showPercent val="0"/>
          <c:showBubbleSize val="0"/>
        </c:dLbls>
        <c:axId val="48650112"/>
        <c:axId val="48672768"/>
      </c:scatterChart>
      <c:valAx>
        <c:axId val="48672768"/>
        <c:scaling>
          <c:orientation val="minMax"/>
          <c:max val="9000"/>
          <c:min val="0"/>
        </c:scaling>
        <c:delete val="0"/>
        <c:axPos val="l"/>
        <c:majorGridlines>
          <c:spPr>
            <a:ln w="9525">
              <a:solidFill>
                <a:srgbClr val="CCCCCC"/>
              </a:solidFill>
              <a:prstDash val="dash"/>
            </a:ln>
          </c:spPr>
        </c:majorGridlines>
        <c:title>
          <c:tx>
            <c:strRef>
              <c:f>Locale!$D$16</c:f>
              <c:strCache>
                <c:ptCount val="1"/>
                <c:pt idx="0">
                  <c:v>发动机转速 (rpm)</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50112"/>
        <c:crosses val="autoZero"/>
        <c:crossBetween val="midCat"/>
        <c:majorUnit val="1000"/>
      </c:valAx>
      <c:valAx>
        <c:axId val="48650112"/>
        <c:scaling>
          <c:orientation val="minMax"/>
          <c:min val="0"/>
        </c:scaling>
        <c:delete val="0"/>
        <c:axPos val="b"/>
        <c:majorGridlines>
          <c:spPr>
            <a:ln w="9525">
              <a:solidFill>
                <a:srgbClr val="CCCCCC"/>
              </a:solidFill>
              <a:prstDash val="dash"/>
            </a:ln>
          </c:spPr>
        </c:majorGridlines>
        <c:title>
          <c:tx>
            <c:strRef>
              <c:f>Locale!$D$45</c:f>
              <c:strCache>
                <c:ptCount val="1"/>
                <c:pt idx="0">
                  <c:v>车速 (km/h)</c:v>
                </c:pt>
              </c:strCache>
            </c:strRef>
          </c:tx>
          <c:overlay val="0"/>
          <c:txPr>
            <a:bodyPr/>
            <a:lstStyle/>
            <a:p>
              <a:pPr>
                <a:defRPr lang="en-US"/>
              </a:pPr>
              <a:endParaRPr lang="en-US"/>
            </a:p>
          </c:txPr>
        </c:title>
        <c:numFmt formatCode="0" sourceLinked="0"/>
        <c:majorTickMark val="none"/>
        <c:minorTickMark val="none"/>
        <c:tickLblPos val="nextTo"/>
        <c:txPr>
          <a:bodyPr anchorCtr="1"/>
          <a:lstStyle/>
          <a:p>
            <a:pPr>
              <a:defRPr sz="1000">
                <a:latin typeface="Arial"/>
                <a:ea typeface="Microsoft YaHei"/>
                <a:cs typeface="Arial"/>
              </a:defRPr>
            </a:pPr>
            <a:endParaRPr lang="zh-CN"/>
          </a:p>
        </c:txPr>
        <c:crossAx val="48672768"/>
        <c:crosses val="autoZero"/>
        <c:crossBetween val="midCat"/>
        <c:majorUnit val="25"/>
      </c:valAx>
    </c:plotArea>
    <c:legend>
      <c:legendPos val="t"/>
      <c:legendEntry>
        <c:idx val="5"/>
        <c:delete val="1"/>
      </c:legendEntry>
      <c:legendEntry>
        <c:idx val="6"/>
        <c:delete val="1"/>
      </c:legendEntry>
      <c:legendEntry>
        <c:idx val="7"/>
        <c:delete val="1"/>
      </c:legendEntry>
      <c:legendEntry>
        <c:idx val="8"/>
        <c:delete val="1"/>
      </c:legendEntry>
      <c:layout>
        <c:manualLayout>
          <c:xMode val="edge"/>
          <c:yMode val="edge"/>
          <c:x val="0.3399024496937883"/>
          <c:y val="5.9259259259259262E-2"/>
          <c:w val="0.32019510061242346"/>
          <c:h val="3.364260717410323E-2"/>
        </c:manualLayout>
      </c:layout>
      <c:overlay val="0"/>
      <c:txPr>
        <a:bodyPr/>
        <a:lstStyle/>
        <a:p>
          <a:pPr>
            <a:defRPr sz="1100">
              <a:latin typeface="Arial"/>
              <a:ea typeface="Microsoft YaHei"/>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25</xdr:row>
      <xdr:rowOff>0</xdr:rowOff>
    </xdr:from>
    <xdr:ext cx="13716000" cy="6858000"/>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54</xdr:row>
      <xdr:rowOff>0</xdr:rowOff>
    </xdr:from>
    <xdr:ext cx="13716000" cy="6858000"/>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203200</xdr:colOff>
      <xdr:row>21</xdr:row>
      <xdr:rowOff>107950</xdr:rowOff>
    </xdr:to>
    <xdr:sp macro="" textlink="">
      <xdr:nvSpPr>
        <xdr:cNvPr id="7170" name="Text Box 2" hidden="1">
          <a:extLst>
            <a:ext uri="{FF2B5EF4-FFF2-40B4-BE49-F238E27FC236}">
              <a16:creationId xmlns:a16="http://schemas.microsoft.com/office/drawing/2014/main" id="{00000000-0008-0000-0800-0000021C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203200</xdr:colOff>
      <xdr:row>21</xdr:row>
      <xdr:rowOff>107950</xdr:rowOff>
    </xdr:to>
    <xdr:sp macro="" textlink="">
      <xdr:nvSpPr>
        <xdr:cNvPr id="2" name="AutoShape 2">
          <a:extLst>
            <a:ext uri="{FF2B5EF4-FFF2-40B4-BE49-F238E27FC236}">
              <a16:creationId xmlns:a16="http://schemas.microsoft.com/office/drawing/2014/main" id="{00000000-0008-0000-0800-0000020000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203200</xdr:colOff>
      <xdr:row>21</xdr:row>
      <xdr:rowOff>107950</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203200</xdr:colOff>
      <xdr:row>21</xdr:row>
      <xdr:rowOff>107950</xdr:rowOff>
    </xdr:to>
    <xdr:sp macro="" textlink="">
      <xdr:nvSpPr>
        <xdr:cNvPr id="4" name="AutoShape 2">
          <a:extLst>
            <a:ext uri="{FF2B5EF4-FFF2-40B4-BE49-F238E27FC236}">
              <a16:creationId xmlns:a16="http://schemas.microsoft.com/office/drawing/2014/main" id="{00000000-0008-0000-0800-0000040000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203200</xdr:colOff>
      <xdr:row>21</xdr:row>
      <xdr:rowOff>107950</xdr:rowOff>
    </xdr:to>
    <xdr:sp macro="" textlink="">
      <xdr:nvSpPr>
        <xdr:cNvPr id="5" name="AutoShape 2">
          <a:extLst>
            <a:ext uri="{FF2B5EF4-FFF2-40B4-BE49-F238E27FC236}">
              <a16:creationId xmlns:a16="http://schemas.microsoft.com/office/drawing/2014/main" id="{00000000-0008-0000-0800-0000050000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Codex" id="{4B51B63F-135D-471B-AFAA-1BEB5D1B10EA}"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6-10-27T03:19:09.83" personId="{4B51B63F-135D-471B-AFAA-1BEB5D1B10EA}" id="{61577C78-3AE9-40FE-BEAD-1A1561E5C31C}">
    <text>Source: docs/astral_engine_curve_*.json, current configured driveline. Game-exported torque is Nm and power is PS; displayed power is hp = PS * 735.49875 / 745.6998715822702. Samples retain 500 rpm spacing, peak points and the final point. Shift thresholds are recorded calibration inputs calculated from the full-resolution curves and configured rotational inertia; this workbook does not rerun that solver. 25R1 uses the 2025 game export. Rally1 uses the 2022 curve predicted from the game export and ECU delta, at measured running mass 1460 kg. RX3 remains an RX1 five-speed placeholder.</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BBAB-F827-46A1-A2DC-0F218A4D3EB8}">
  <sheetPr>
    <tabColor rgb="FF31475E"/>
  </sheetPr>
  <dimension ref="A1:Q80"/>
  <sheetViews>
    <sheetView showGridLines="0" tabSelected="1" workbookViewId="0">
      <selection activeCell="H19" sqref="H19"/>
    </sheetView>
  </sheetViews>
  <sheetFormatPr defaultRowHeight="14"/>
  <cols>
    <col min="1" max="1" width="3" customWidth="1"/>
    <col min="2" max="16" width="12" customWidth="1"/>
    <col min="17" max="17" width="3" customWidth="1"/>
  </cols>
  <sheetData>
    <row r="1" spans="1:17" ht="22" customHeight="1">
      <c r="A1" s="1"/>
      <c r="B1" s="26" t="s">
        <v>74</v>
      </c>
      <c r="C1" s="26" t="s">
        <v>74</v>
      </c>
      <c r="D1" s="26" t="s">
        <v>74</v>
      </c>
      <c r="E1" s="27" t="s">
        <v>233</v>
      </c>
      <c r="F1" s="27" t="s">
        <v>75</v>
      </c>
      <c r="G1" s="27" t="s">
        <v>75</v>
      </c>
      <c r="H1" s="1"/>
      <c r="I1" s="1"/>
      <c r="J1" s="1"/>
      <c r="K1" s="1"/>
      <c r="L1" s="1"/>
      <c r="M1" s="1"/>
      <c r="N1" s="1"/>
      <c r="O1" s="1"/>
      <c r="P1" s="1"/>
      <c r="Q1" s="1"/>
    </row>
    <row r="2" spans="1:17" ht="34" customHeight="1">
      <c r="A2" s="1"/>
      <c r="B2" s="28" t="str">
        <f>VLOOKUP("title.rally2GearingShiftLights",Locale!$A$2:$D$73,4,FALSE)</f>
        <v>Rally2 · 齿比与换挡灯</v>
      </c>
      <c r="C2" s="28"/>
      <c r="D2" s="28"/>
      <c r="E2" s="28"/>
      <c r="F2" s="28"/>
      <c r="G2" s="28"/>
      <c r="H2" s="28"/>
      <c r="I2" s="28"/>
      <c r="J2" s="28"/>
      <c r="K2" s="28"/>
      <c r="L2" s="28"/>
      <c r="M2" s="28"/>
      <c r="N2" s="28"/>
      <c r="O2" s="28"/>
      <c r="P2" s="28"/>
      <c r="Q2" s="1"/>
    </row>
    <row r="3" spans="1:17" ht="22.5" customHeight="1">
      <c r="A3" s="1"/>
      <c r="B3" s="5"/>
      <c r="C3" s="5"/>
      <c r="D3" s="5"/>
      <c r="E3" s="5"/>
      <c r="F3" s="5"/>
      <c r="G3" s="5"/>
      <c r="H3" s="5"/>
      <c r="I3" s="5"/>
      <c r="J3" s="5"/>
      <c r="K3" s="5"/>
      <c r="L3" s="5"/>
      <c r="M3" s="5"/>
      <c r="N3" s="5"/>
      <c r="O3" s="5"/>
      <c r="P3" s="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MAX(Samples!$D$7:$D$19)</f>
        <v>285.92508713620288</v>
      </c>
      <c r="E6" s="1"/>
      <c r="F6" s="30" t="str">
        <f>VLOOKUP("label.runningMassKg",Locale!$A$2:$D$73,4,FALSE)</f>
        <v>运行质量 (kg)</v>
      </c>
      <c r="G6" s="30"/>
      <c r="H6" s="30"/>
      <c r="I6" s="7">
        <v>1420.59</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INDEX(Samples!$B$7:$B$19,MATCH(D6,Samples!$D$7:$D$19,0))</f>
        <v>5275</v>
      </c>
      <c r="E7" s="1"/>
      <c r="F7" s="32" t="str">
        <f>VLOOKUP("label.engineFlywheelInertia",Locale!$A$2:$D$73,4,FALSE)</f>
        <v>发动机 + 飞轮转动惯量 (kg m²)</v>
      </c>
      <c r="G7" s="32"/>
      <c r="H7" s="32"/>
      <c r="I7" s="8">
        <v>0.12343999999999999</v>
      </c>
      <c r="J7" s="1"/>
      <c r="K7" s="32" t="str">
        <f>VLOOKUP("label.topGearLimiterRpm",Locale!$A$2:$D$73,4,FALSE)</f>
        <v>最高挡 / 限转 (rpm)</v>
      </c>
      <c r="L7" s="32"/>
      <c r="M7" s="32"/>
      <c r="N7" s="32"/>
      <c r="O7" s="32">
        <v>7500</v>
      </c>
      <c r="P7" s="32"/>
      <c r="Q7" s="1"/>
    </row>
    <row r="8" spans="1:17" ht="22.5" customHeight="1">
      <c r="A8" s="1"/>
      <c r="B8" s="30" t="str">
        <f>VLOOKUP("label.peakTorqueNm",Locale!$A$2:$D$73,4,FALSE)</f>
        <v>峰值扭矩 (Nm)</v>
      </c>
      <c r="C8" s="30"/>
      <c r="D8" s="6">
        <f>MAX(Samples!$C$7:$C$19)</f>
        <v>425.46588144156999</v>
      </c>
      <c r="E8" s="1"/>
      <c r="F8" s="30" t="str">
        <f>VLOOKUP("label.finalDrive",Locale!$A$2:$D$73,4,FALSE)</f>
        <v>主减速比</v>
      </c>
      <c r="G8" s="30"/>
      <c r="H8" s="30"/>
      <c r="I8" s="9">
        <v>4.1333333333333337</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INDEX(Samples!$B$7:$B$19,MATCH(D8,Samples!$C$7:$C$19,0))</f>
        <v>4157</v>
      </c>
      <c r="E9" s="1"/>
      <c r="F9" s="32" t="str">
        <f>VLOOKUP("label.gearboxTorqueLoss",Locale!$A$2:$D$73,4,FALSE)</f>
        <v>变速箱扭矩损失</v>
      </c>
      <c r="G9" s="32"/>
      <c r="H9" s="32"/>
      <c r="I9" s="10">
        <v>1.0999999999999999E-2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VLOOKUP("label.groupOneTypeATarmac",Locale!$A$2:$D$73,4,FALSE)</f>
        <v>第 1 组 · Type-A / 柏油</v>
      </c>
      <c r="C13" s="29"/>
      <c r="D13" s="29"/>
      <c r="E13" s="29"/>
      <c r="F13" s="29"/>
      <c r="G13" s="29"/>
      <c r="H13" s="29"/>
      <c r="I13" s="1"/>
      <c r="J13" s="29" t="str">
        <f>VLOOKUP("label.groupTwoTypeBGravel",Locale!$A$2:$D$73,4,FALSE)</f>
        <v>第 2 组 · Type-B / 砂石</v>
      </c>
      <c r="K13" s="29"/>
      <c r="L13" s="29"/>
      <c r="M13" s="29"/>
      <c r="N13" s="29"/>
      <c r="O13" s="29"/>
      <c r="P13" s="29"/>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2" t="str">
        <f>VLOOKUP("label.gear",Locale!$A$2:$D$73,4,FALSE)</f>
        <v>挡位</v>
      </c>
      <c r="K14" s="2" t="str">
        <f>VLOOKUP("label.gearRatio",Locale!$A$2:$D$73,4,FALSE)</f>
        <v>齿比</v>
      </c>
      <c r="L14" s="2" t="str">
        <f>VLOOKUP("label.flashRpmWrap",Locale!$A$2:$D$73,4,FALSE)</f>
        <v>闪烁
(rpm)</v>
      </c>
      <c r="M14" s="2" t="str">
        <f>VLOOKUP("label.afterShiftRpmWrap",Locale!$A$2:$D$73,4,FALSE)</f>
        <v>换挡后
(rpm)</v>
      </c>
      <c r="N14" s="2" t="str">
        <f>VLOOKUP("label.speedKmhMultiline",Locale!$A$2:$D$73,4,FALSE)</f>
        <v>车速
(km/h)</v>
      </c>
      <c r="O14" s="2" t="str">
        <f>VLOOKUP("label.firstLightRpm",Locale!$A$2:$D$73,4,FALSE)</f>
        <v>首灯亮起
(rpm)</v>
      </c>
      <c r="P14" s="2" t="str">
        <f>VLOOKUP("label.trigger",Locale!$A$2:$D$73,4,FALSE)</f>
        <v>触发条件</v>
      </c>
      <c r="Q14" s="1"/>
    </row>
    <row r="15" spans="1:17" ht="22.5" customHeight="1">
      <c r="A15" s="1"/>
      <c r="B15" s="11">
        <v>1</v>
      </c>
      <c r="C15" s="12">
        <v>3.762</v>
      </c>
      <c r="D15" s="22">
        <v>6170</v>
      </c>
      <c r="E15" s="13">
        <f>D15*C16/C15</f>
        <v>4411.828814460393</v>
      </c>
      <c r="F15" s="14">
        <f>D15*2*PI()/60*$D$22/(C15*$I$8)*3.6</f>
        <v>48.616134192089312</v>
      </c>
      <c r="G15" s="13">
        <f>MAX(0,D15-$O$8)</f>
        <v>5370</v>
      </c>
      <c r="H15" s="11" t="str">
        <f>VLOOKUP("label.shift",Locale!$A$2:$D$73,4,FALSE)</f>
        <v>换挡</v>
      </c>
      <c r="I15" s="1"/>
      <c r="J15" s="11">
        <v>1</v>
      </c>
      <c r="K15" s="12">
        <v>3.3650000000000002</v>
      </c>
      <c r="L15" s="22">
        <v>6460</v>
      </c>
      <c r="M15" s="13">
        <f>L15*K16/K15</f>
        <v>4423.1322436849914</v>
      </c>
      <c r="N15" s="14">
        <f>L15*2*PI()/60*$L$22/(K15*$I$8)*3.6</f>
        <v>56.73135386955493</v>
      </c>
      <c r="O15" s="13">
        <f>MAX(0,L15-$O$8)</f>
        <v>5660</v>
      </c>
      <c r="P15" s="11" t="str">
        <f>VLOOKUP("label.shift",Locale!$A$2:$D$73,4,FALSE)</f>
        <v>换挡</v>
      </c>
      <c r="Q15" s="1"/>
    </row>
    <row r="16" spans="1:17" ht="22.5" customHeight="1">
      <c r="A16" s="1"/>
      <c r="B16" s="15">
        <v>2</v>
      </c>
      <c r="C16" s="12">
        <v>2.69</v>
      </c>
      <c r="D16" s="22">
        <v>6360</v>
      </c>
      <c r="E16" s="16">
        <f>D16*C17/C16</f>
        <v>4636.4163568773238</v>
      </c>
      <c r="F16" s="17">
        <f>D16*2*PI()/60*$D$22/(C16*$I$8)*3.6</f>
        <v>70.084000641241047</v>
      </c>
      <c r="G16" s="16">
        <f>MAX(0,D16-$O$8)</f>
        <v>5560</v>
      </c>
      <c r="H16" s="15" t="str">
        <f>VLOOKUP("label.shift",Locale!$A$2:$D$73,4,FALSE)</f>
        <v>换挡</v>
      </c>
      <c r="I16" s="1"/>
      <c r="J16" s="15">
        <v>2</v>
      </c>
      <c r="K16" s="12">
        <v>2.3039999999999998</v>
      </c>
      <c r="L16" s="22">
        <v>6210</v>
      </c>
      <c r="M16" s="16">
        <f>L16*K17/K16</f>
        <v>4738.3593750000009</v>
      </c>
      <c r="N16" s="17">
        <f>L16*2*PI()/60*$L$22/(K16*$I$8)*3.6</f>
        <v>79.649824631159362</v>
      </c>
      <c r="O16" s="16">
        <f>MAX(0,L16-$O$8)</f>
        <v>5410</v>
      </c>
      <c r="P16" s="15" t="str">
        <f>VLOOKUP("label.shift",Locale!$A$2:$D$73,4,FALSE)</f>
        <v>换挡</v>
      </c>
      <c r="Q16" s="1"/>
    </row>
    <row r="17" spans="1:17" ht="22.5" customHeight="1">
      <c r="A17" s="1"/>
      <c r="B17" s="11">
        <v>3</v>
      </c>
      <c r="C17" s="12">
        <v>1.9610000000000001</v>
      </c>
      <c r="D17" s="22">
        <v>6290</v>
      </c>
      <c r="E17" s="13">
        <f>D17*C18/C17</f>
        <v>4779.2452830188677</v>
      </c>
      <c r="F17" s="14">
        <f>D17*2*PI()/60*$D$22/(C17*$I$8)*3.6</f>
        <v>95.079546378425107</v>
      </c>
      <c r="G17" s="13">
        <f>MAX(0,D17-$O$8)</f>
        <v>5490</v>
      </c>
      <c r="H17" s="11" t="str">
        <f>VLOOKUP("label.shift",Locale!$A$2:$D$73,4,FALSE)</f>
        <v>换挡</v>
      </c>
      <c r="I17" s="1"/>
      <c r="J17" s="11">
        <v>3</v>
      </c>
      <c r="K17" s="12">
        <v>1.758</v>
      </c>
      <c r="L17" s="22">
        <v>6150</v>
      </c>
      <c r="M17" s="13">
        <f>L17*K18/K17</f>
        <v>4838.1399317406149</v>
      </c>
      <c r="N17" s="14">
        <f>L17*2*PI()/60*$L$22/(K17*$I$8)*3.6</f>
        <v>103.37890875607764</v>
      </c>
      <c r="O17" s="13">
        <f>MAX(0,L17-$O$8)</f>
        <v>5350</v>
      </c>
      <c r="P17" s="11" t="str">
        <f>VLOOKUP("label.shift",Locale!$A$2:$D$73,4,FALSE)</f>
        <v>换挡</v>
      </c>
      <c r="Q17" s="1"/>
    </row>
    <row r="18" spans="1:17" ht="22.5" customHeight="1">
      <c r="A18" s="1"/>
      <c r="B18" s="15">
        <v>4</v>
      </c>
      <c r="C18" s="12">
        <v>1.49</v>
      </c>
      <c r="D18" s="22">
        <v>6120</v>
      </c>
      <c r="E18" s="16">
        <f>D18*C19/C18</f>
        <v>4883.6778523489938</v>
      </c>
      <c r="F18" s="17">
        <f>D18*2*PI()/60*$D$22/(C18*$I$8)*3.6</f>
        <v>121.75286878525847</v>
      </c>
      <c r="G18" s="16">
        <f>MAX(0,D18-$O$8)</f>
        <v>5320</v>
      </c>
      <c r="H18" s="15" t="str">
        <f>VLOOKUP("label.shift",Locale!$A$2:$D$73,4,FALSE)</f>
        <v>换挡</v>
      </c>
      <c r="I18" s="1"/>
      <c r="J18" s="15">
        <v>4</v>
      </c>
      <c r="K18" s="12">
        <v>1.383</v>
      </c>
      <c r="L18" s="22">
        <v>6080</v>
      </c>
      <c r="M18" s="16">
        <f>L18*K19/K18</f>
        <v>4897.4114244396242</v>
      </c>
      <c r="N18" s="17">
        <f>L18*2*PI()/60*$L$22/(K18*$I$8)*3.6</f>
        <v>129.91434189684989</v>
      </c>
      <c r="O18" s="16">
        <f>MAX(0,L18-$O$8)</f>
        <v>5280</v>
      </c>
      <c r="P18" s="15" t="str">
        <f>VLOOKUP("label.shift",Locale!$A$2:$D$73,4,FALSE)</f>
        <v>换挡</v>
      </c>
      <c r="Q18" s="1"/>
    </row>
    <row r="19" spans="1:17" ht="22.5" customHeight="1">
      <c r="A19" s="1"/>
      <c r="B19" s="11">
        <v>5</v>
      </c>
      <c r="C19" s="12">
        <v>1.1890000000000001</v>
      </c>
      <c r="D19" s="13">
        <f>$O$7</f>
        <v>7500</v>
      </c>
      <c r="E19" s="13" t="s">
        <v>27</v>
      </c>
      <c r="F19" s="14">
        <f>D19*2*PI()/60*$D$22/(C19*$I$8)*3.6</f>
        <v>186.97926921003307</v>
      </c>
      <c r="G19" s="13">
        <f>MAX(0,D19-$O$8)</f>
        <v>6700</v>
      </c>
      <c r="H19" s="11" t="str">
        <f>VLOOKUP("label.limiter",Locale!$A$2:$D$73,4,FALSE)</f>
        <v>限转</v>
      </c>
      <c r="I19" s="1"/>
      <c r="J19" s="11">
        <v>5</v>
      </c>
      <c r="K19" s="12">
        <v>1.1140000000000001</v>
      </c>
      <c r="L19" s="13">
        <f>$O$7</f>
        <v>7500</v>
      </c>
      <c r="M19" s="13" t="s">
        <v>27</v>
      </c>
      <c r="N19" s="14">
        <f>L19*2*PI()/60*$L$22/(K19*$I$8)*3.6</f>
        <v>198.95358584006709</v>
      </c>
      <c r="O19" s="13">
        <f>MAX(0,L19-$O$8)</f>
        <v>6700</v>
      </c>
      <c r="P19" s="11" t="str">
        <f>VLOOKUP("label.limiter",Locale!$A$2:$D$73,4,FALSE)</f>
        <v>限转</v>
      </c>
      <c r="Q19" s="1"/>
    </row>
    <row r="20" spans="1:17" ht="22.5" customHeight="1">
      <c r="A20" s="1"/>
      <c r="B20" s="1"/>
      <c r="C20" s="1"/>
      <c r="D20" s="1"/>
      <c r="E20" s="1"/>
      <c r="F20" s="1"/>
      <c r="G20" s="1"/>
      <c r="H20" s="1"/>
      <c r="I20" s="1"/>
      <c r="J20" s="1"/>
      <c r="K20" s="1"/>
      <c r="L20" s="1"/>
      <c r="M20" s="1"/>
      <c r="N20" s="1"/>
      <c r="O20" s="1"/>
      <c r="P20" s="1"/>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0.32500000000000001</v>
      </c>
      <c r="E22" s="1"/>
      <c r="F22" s="34" t="str">
        <f>VLOOKUP("label.wheelInertia",Locale!$A$2:$D$73,4,FALSE)</f>
        <v>车轮转动惯量 I (kg m²)</v>
      </c>
      <c r="G22" s="34"/>
      <c r="H22" s="19">
        <v>5.4748128000000005</v>
      </c>
      <c r="I22" s="1"/>
      <c r="J22" s="34" t="str">
        <f>VLOOKUP("label.tyreRadiusM",Locale!$A$2:$D$73,4,FALSE)</f>
        <v>轮胎半径 (m)</v>
      </c>
      <c r="K22" s="34"/>
      <c r="L22" s="18">
        <v>0.32400000000000001</v>
      </c>
      <c r="M22" s="1"/>
      <c r="N22" s="34" t="str">
        <f>VLOOKUP("label.wheelInertia",Locale!$A$2:$D$73,4,FALSE)</f>
        <v>车轮转动惯量 I (kg m²)</v>
      </c>
      <c r="O22" s="34"/>
      <c r="P22" s="19">
        <v>5.7898434559999998</v>
      </c>
      <c r="Q22" s="1"/>
    </row>
    <row r="23" spans="1:17" ht="22.5" customHeight="1">
      <c r="A23" s="1"/>
      <c r="B23" s="34" t="str">
        <f>VLOOKUP("label.gearboxFriction",Locale!$A$2:$D$73,4,FALSE)</f>
        <v>变速箱摩擦阻力 (Nm)</v>
      </c>
      <c r="C23" s="34"/>
      <c r="D23" s="20">
        <v>1.65</v>
      </c>
      <c r="E23" s="1"/>
      <c r="F23" s="34" t="str">
        <f>VLOOKUP("label.gearboxDynamicLoss",Locale!$A$2:$D$73,4,FALSE)</f>
        <v>变速箱动态阻力 (Nm s)</v>
      </c>
      <c r="G23" s="34"/>
      <c r="H23" s="21">
        <v>7.7999999999999999E-4</v>
      </c>
      <c r="I23" s="1"/>
      <c r="J23" s="34" t="str">
        <f>VLOOKUP("label.gearboxFriction",Locale!$A$2:$D$73,4,FALSE)</f>
        <v>变速箱摩擦阻力 (Nm)</v>
      </c>
      <c r="K23" s="34"/>
      <c r="L23" s="20">
        <f>$D$23</f>
        <v>1.65</v>
      </c>
      <c r="M23" s="1"/>
      <c r="N23" s="34" t="str">
        <f>VLOOKUP("label.gearboxDynamicLoss",Locale!$A$2:$D$73,4,FALSE)</f>
        <v>变速箱动态阻力 (Nm s)</v>
      </c>
      <c r="O23" s="34"/>
      <c r="P23" s="21">
        <f>$H$23</f>
        <v>7.7999999999999999E-4</v>
      </c>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IF(D53=1,VLOOKUP("label.groupOneTypeATarmac",Locale!$A$2:$D$73,4,FALSE),VLOOKUP("label.groupTwoTypeBGravel",Locale!$A$2:$D$73,4,FALSE))</f>
        <v>第 1 组 · Type-A / 柏油</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35">
    <mergeCell ref="B11:P11"/>
    <mergeCell ref="B53:C53"/>
    <mergeCell ref="E53:P53"/>
    <mergeCell ref="J13:P13"/>
    <mergeCell ref="J22:K22"/>
    <mergeCell ref="N22:O22"/>
    <mergeCell ref="J23:K23"/>
    <mergeCell ref="N23:O23"/>
    <mergeCell ref="B13:H13"/>
    <mergeCell ref="B22:C22"/>
    <mergeCell ref="F22:G22"/>
    <mergeCell ref="B23:C23"/>
    <mergeCell ref="F23:G23"/>
    <mergeCell ref="B8:C8"/>
    <mergeCell ref="F8:H8"/>
    <mergeCell ref="K8:N8"/>
    <mergeCell ref="O8:P8"/>
    <mergeCell ref="B9:C9"/>
    <mergeCell ref="F9:H9"/>
    <mergeCell ref="K9:N9"/>
    <mergeCell ref="O9:P9"/>
    <mergeCell ref="B6:C6"/>
    <mergeCell ref="F6:H6"/>
    <mergeCell ref="K6:N6"/>
    <mergeCell ref="O6:P6"/>
    <mergeCell ref="B7:C7"/>
    <mergeCell ref="F7:H7"/>
    <mergeCell ref="K7:N7"/>
    <mergeCell ref="O7:P7"/>
    <mergeCell ref="B1:D1"/>
    <mergeCell ref="E1:G1"/>
    <mergeCell ref="B2:P2"/>
    <mergeCell ref="B5:D5"/>
    <mergeCell ref="F5:I5"/>
    <mergeCell ref="K5:P5"/>
  </mergeCells>
  <phoneticPr fontId="9" type="noConversion"/>
  <dataValidations count="5">
    <dataValidation type="decimal" operator="greaterThan" sqref="I6:I8" xr:uid="{00000000-0002-0000-0000-000000000000}">
      <formula1>0</formula1>
    </dataValidation>
    <dataValidation type="decimal" sqref="I9" xr:uid="{00000000-0002-0000-0000-000003000000}">
      <formula1>0</formula1>
      <formula2>0.9</formula2>
    </dataValidation>
    <dataValidation type="decimal" sqref="K15:K19 C15:C19" xr:uid="{00000000-0002-0000-0000-000004000000}">
      <formula1>0.1</formula1>
      <formula2>8</formula2>
    </dataValidation>
    <dataValidation type="whole" sqref="D53" xr:uid="{00000000-0002-0000-0000-00000E000000}">
      <formula1>1</formula1>
      <formula2>2</formula2>
    </dataValidation>
    <dataValidation type="list" sqref="E1:G1" xr:uid="{00000000-0002-0000-0000-000004000000}">
      <formula1>"English,简体中文"</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99C0-B479-48D7-B5E7-2698F503D623}">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VLOOKUP("title.wrc16GearingShiftLights",Locale!$A$2:$D$73,4,FALSE)</f>
        <v>WRC16 · 齿比与换挡灯</v>
      </c>
      <c r="C2" s="28"/>
      <c r="D2" s="28"/>
      <c r="E2" s="28"/>
      <c r="F2" s="28"/>
      <c r="G2" s="28"/>
      <c r="H2" s="28"/>
      <c r="I2" s="28"/>
      <c r="J2" s="28"/>
      <c r="K2" s="28"/>
      <c r="L2" s="28"/>
      <c r="M2" s="28"/>
      <c r="N2" s="28"/>
      <c r="O2" s="28"/>
      <c r="P2" s="28"/>
      <c r="Q2" s="1"/>
    </row>
    <row r="3" spans="1:17" ht="22.5" customHeight="1">
      <c r="A3" s="1"/>
      <c r="B3" s="5"/>
      <c r="C3" s="5"/>
      <c r="D3" s="5"/>
      <c r="E3" s="5"/>
      <c r="F3" s="5"/>
      <c r="G3" s="5"/>
      <c r="H3" s="5"/>
      <c r="I3" s="5"/>
      <c r="J3" s="5"/>
      <c r="K3" s="5"/>
      <c r="L3" s="5"/>
      <c r="M3" s="5"/>
      <c r="N3" s="5"/>
      <c r="O3" s="5"/>
      <c r="P3" s="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MAX(Samples!$D$37:$D$50)</f>
        <v>305.30881080191813</v>
      </c>
      <c r="E6" s="1"/>
      <c r="F6" s="30" t="str">
        <f>VLOOKUP("label.runningMassKg",Locale!$A$2:$D$73,4,FALSE)</f>
        <v>运行质量 (kg)</v>
      </c>
      <c r="G6" s="30"/>
      <c r="H6" s="30"/>
      <c r="I6" s="7">
        <v>1390</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INDEX(Samples!$B$37:$B$50,MATCH(D6,Samples!$D$37:$D$50,0))</f>
        <v>6060</v>
      </c>
      <c r="E7" s="1"/>
      <c r="F7" s="32" t="str">
        <f>VLOOKUP("label.engineFlywheelInertia",Locale!$A$2:$D$73,4,FALSE)</f>
        <v>发动机 + 飞轮转动惯量 (kg m²)</v>
      </c>
      <c r="G7" s="32"/>
      <c r="H7" s="32"/>
      <c r="I7" s="8">
        <v>0.12171599999999999</v>
      </c>
      <c r="J7" s="1"/>
      <c r="K7" s="32" t="str">
        <f>VLOOKUP("label.topGearLimiterRpm",Locale!$A$2:$D$73,4,FALSE)</f>
        <v>最高挡 / 限转 (rpm)</v>
      </c>
      <c r="L7" s="32"/>
      <c r="M7" s="32"/>
      <c r="N7" s="32"/>
      <c r="O7" s="32">
        <v>7650</v>
      </c>
      <c r="P7" s="32"/>
      <c r="Q7" s="1"/>
    </row>
    <row r="8" spans="1:17" ht="22.5" customHeight="1">
      <c r="A8" s="1"/>
      <c r="B8" s="30" t="str">
        <f>VLOOKUP("label.peakTorqueNm",Locale!$A$2:$D$73,4,FALSE)</f>
        <v>峰值扭矩 (Nm)</v>
      </c>
      <c r="C8" s="30"/>
      <c r="D8" s="6">
        <f>MAX(Samples!$C$37:$C$50)</f>
        <v>409.34482245507002</v>
      </c>
      <c r="E8" s="1"/>
      <c r="F8" s="30" t="str">
        <f>VLOOKUP("label.finalDrive",Locale!$A$2:$D$73,4,FALSE)</f>
        <v>主减速比</v>
      </c>
      <c r="G8" s="30"/>
      <c r="H8" s="30"/>
      <c r="I8" s="9">
        <v>4.1333333333333337</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INDEX(Samples!$B$37:$B$50,MATCH(D8,Samples!$C$37:$C$50,0))</f>
        <v>4715</v>
      </c>
      <c r="E9" s="1"/>
      <c r="F9" s="32" t="str">
        <f>VLOOKUP("label.gearboxTorqueLoss",Locale!$A$2:$D$73,4,FALSE)</f>
        <v>变速箱扭矩损失</v>
      </c>
      <c r="G9" s="32"/>
      <c r="H9" s="32"/>
      <c r="I9" s="10">
        <v>1.2E-2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VLOOKUP("label.groupOneTypeATarmac",Locale!$A$2:$D$73,4,FALSE)</f>
        <v>第 1 组 · Type-A / 柏油</v>
      </c>
      <c r="C13" s="29"/>
      <c r="D13" s="29"/>
      <c r="E13" s="29"/>
      <c r="F13" s="29"/>
      <c r="G13" s="29"/>
      <c r="H13" s="29"/>
      <c r="I13" s="1"/>
      <c r="J13" s="29" t="str">
        <f>VLOOKUP("label.groupTwoTypeBGravel",Locale!$A$2:$D$73,4,FALSE)</f>
        <v>第 2 组 · Type-B / 砂石</v>
      </c>
      <c r="K13" s="29"/>
      <c r="L13" s="29"/>
      <c r="M13" s="29"/>
      <c r="N13" s="29"/>
      <c r="O13" s="29"/>
      <c r="P13" s="29"/>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2" t="str">
        <f>VLOOKUP("label.gear",Locale!$A$2:$D$73,4,FALSE)</f>
        <v>挡位</v>
      </c>
      <c r="K14" s="2" t="str">
        <f>VLOOKUP("label.gearRatio",Locale!$A$2:$D$73,4,FALSE)</f>
        <v>齿比</v>
      </c>
      <c r="L14" s="2" t="str">
        <f>VLOOKUP("label.flashRpmWrap",Locale!$A$2:$D$73,4,FALSE)</f>
        <v>闪烁
(rpm)</v>
      </c>
      <c r="M14" s="2" t="str">
        <f>VLOOKUP("label.afterShiftRpmWrap",Locale!$A$2:$D$73,4,FALSE)</f>
        <v>换挡后
(rpm)</v>
      </c>
      <c r="N14" s="2" t="str">
        <f>VLOOKUP("label.speedKmhMultiline",Locale!$A$2:$D$73,4,FALSE)</f>
        <v>车速
(km/h)</v>
      </c>
      <c r="O14" s="2" t="str">
        <f>VLOOKUP("label.firstLightRpm",Locale!$A$2:$D$73,4,FALSE)</f>
        <v>首灯亮起
(rpm)</v>
      </c>
      <c r="P14" s="2" t="str">
        <f>VLOOKUP("label.trigger",Locale!$A$2:$D$73,4,FALSE)</f>
        <v>触发条件</v>
      </c>
      <c r="Q14" s="1"/>
    </row>
    <row r="15" spans="1:17" ht="22.5" customHeight="1">
      <c r="A15" s="1"/>
      <c r="B15" s="11">
        <v>1</v>
      </c>
      <c r="C15" s="12">
        <v>3.7970000000000002</v>
      </c>
      <c r="D15" s="22">
        <v>6250</v>
      </c>
      <c r="E15" s="13">
        <f>D15*C16/C15</f>
        <v>5086.2523044508816</v>
      </c>
      <c r="F15" s="14">
        <f t="shared" ref="F15:F20" si="0">D15*2*PI()/60*$D$22/(C15*$I$8)*3.6</f>
        <v>48.792544792101062</v>
      </c>
      <c r="G15" s="13">
        <f t="shared" ref="G15:G20" si="1">MAX(0,D15-$O$8)</f>
        <v>5450</v>
      </c>
      <c r="H15" s="11" t="str">
        <f>VLOOKUP("label.shift",Locale!$A$2:$D$73,4,FALSE)</f>
        <v>换挡</v>
      </c>
      <c r="I15" s="1"/>
      <c r="J15" s="11">
        <v>1</v>
      </c>
      <c r="K15" s="12">
        <v>3.4910000000000001</v>
      </c>
      <c r="L15" s="22">
        <v>6350</v>
      </c>
      <c r="M15" s="13">
        <f>L15*K16/K15</f>
        <v>5091.2775708965901</v>
      </c>
      <c r="N15" s="14">
        <f t="shared" ref="N15:N20" si="2">L15*2*PI()/60*$L$22/(K15*$I$8)*3.6</f>
        <v>53.752612274383672</v>
      </c>
      <c r="O15" s="13">
        <f t="shared" ref="O15:O20" si="3">MAX(0,L15-$O$8)</f>
        <v>5550</v>
      </c>
      <c r="P15" s="11" t="str">
        <f>VLOOKUP("label.shift",Locale!$A$2:$D$73,4,FALSE)</f>
        <v>换挡</v>
      </c>
      <c r="Q15" s="1"/>
    </row>
    <row r="16" spans="1:17" ht="22.5" customHeight="1">
      <c r="A16" s="1"/>
      <c r="B16" s="15">
        <v>2</v>
      </c>
      <c r="C16" s="12">
        <v>3.09</v>
      </c>
      <c r="D16" s="22">
        <v>6460</v>
      </c>
      <c r="E16" s="16">
        <f>D16*C17/C16</f>
        <v>5182.6343042071203</v>
      </c>
      <c r="F16" s="17">
        <f t="shared" si="0"/>
        <v>61.970940584513983</v>
      </c>
      <c r="G16" s="16">
        <f t="shared" si="1"/>
        <v>5660</v>
      </c>
      <c r="H16" s="15" t="str">
        <f>VLOOKUP("label.shift",Locale!$A$2:$D$73,4,FALSE)</f>
        <v>换挡</v>
      </c>
      <c r="I16" s="1"/>
      <c r="J16" s="15">
        <v>2</v>
      </c>
      <c r="K16" s="12">
        <v>2.7989999999999999</v>
      </c>
      <c r="L16" s="22">
        <v>6510</v>
      </c>
      <c r="M16" s="16">
        <f>L16*K17/K16</f>
        <v>5221.4898177920686</v>
      </c>
      <c r="N16" s="17">
        <f t="shared" si="2"/>
        <v>68.731178183359987</v>
      </c>
      <c r="O16" s="16">
        <f t="shared" si="3"/>
        <v>5710</v>
      </c>
      <c r="P16" s="15" t="str">
        <f>VLOOKUP("label.shift",Locale!$A$2:$D$73,4,FALSE)</f>
        <v>换挡</v>
      </c>
      <c r="Q16" s="1"/>
    </row>
    <row r="17" spans="1:17" ht="22.5" customHeight="1">
      <c r="A17" s="1"/>
      <c r="B17" s="11">
        <v>3</v>
      </c>
      <c r="C17" s="12">
        <v>2.4790000000000001</v>
      </c>
      <c r="D17" s="22">
        <v>6550</v>
      </c>
      <c r="E17" s="13">
        <f>D17*C18/C17</f>
        <v>5276.462283178701</v>
      </c>
      <c r="F17" s="14">
        <f t="shared" si="0"/>
        <v>78.321107954512669</v>
      </c>
      <c r="G17" s="13">
        <f t="shared" si="1"/>
        <v>5750</v>
      </c>
      <c r="H17" s="11" t="str">
        <f>VLOOKUP("label.shift",Locale!$A$2:$D$73,4,FALSE)</f>
        <v>换挡</v>
      </c>
      <c r="I17" s="1"/>
      <c r="J17" s="11">
        <v>3</v>
      </c>
      <c r="K17" s="12">
        <v>2.2450000000000001</v>
      </c>
      <c r="L17" s="22">
        <v>6560</v>
      </c>
      <c r="M17" s="13">
        <f>L17*K18/K17</f>
        <v>5315.2071269487742</v>
      </c>
      <c r="N17" s="14">
        <f t="shared" si="2"/>
        <v>86.350169131134436</v>
      </c>
      <c r="O17" s="13">
        <f t="shared" si="3"/>
        <v>5760</v>
      </c>
      <c r="P17" s="11" t="str">
        <f>VLOOKUP("label.shift",Locale!$A$2:$D$73,4,FALSE)</f>
        <v>换挡</v>
      </c>
      <c r="Q17" s="1"/>
    </row>
    <row r="18" spans="1:17" ht="22.5" customHeight="1">
      <c r="A18" s="1"/>
      <c r="B18" s="15">
        <v>4</v>
      </c>
      <c r="C18" s="12">
        <v>1.9970000000000001</v>
      </c>
      <c r="D18" s="22">
        <v>6610</v>
      </c>
      <c r="E18" s="16">
        <f>D18*C19/C18</f>
        <v>5332.3535302954424</v>
      </c>
      <c r="F18" s="17">
        <f t="shared" si="0"/>
        <v>98.115459903837134</v>
      </c>
      <c r="G18" s="16">
        <f t="shared" si="1"/>
        <v>5810</v>
      </c>
      <c r="H18" s="15" t="str">
        <f>VLOOKUP("label.shift",Locale!$A$2:$D$73,4,FALSE)</f>
        <v>换挡</v>
      </c>
      <c r="I18" s="1"/>
      <c r="J18" s="15">
        <v>4</v>
      </c>
      <c r="K18" s="12">
        <v>1.819</v>
      </c>
      <c r="L18" s="22">
        <v>6580</v>
      </c>
      <c r="M18" s="16">
        <f>L18*K19/K18</f>
        <v>5382.6498075865857</v>
      </c>
      <c r="N18" s="17">
        <f t="shared" si="2"/>
        <v>106.89783094286183</v>
      </c>
      <c r="O18" s="16">
        <f t="shared" si="3"/>
        <v>5780</v>
      </c>
      <c r="P18" s="15" t="str">
        <f>VLOOKUP("label.shift",Locale!$A$2:$D$73,4,FALSE)</f>
        <v>换挡</v>
      </c>
      <c r="Q18" s="1"/>
    </row>
    <row r="19" spans="1:17" ht="22.5" customHeight="1">
      <c r="A19" s="1"/>
      <c r="B19" s="11">
        <v>5</v>
      </c>
      <c r="C19" s="12">
        <v>1.611</v>
      </c>
      <c r="D19" s="22">
        <v>6610</v>
      </c>
      <c r="E19" s="13">
        <f>D19*C20/C19</f>
        <v>5399.6027312228434</v>
      </c>
      <c r="F19" s="14">
        <f t="shared" si="0"/>
        <v>121.62419207198188</v>
      </c>
      <c r="G19" s="13">
        <f t="shared" si="1"/>
        <v>5810</v>
      </c>
      <c r="H19" s="11" t="str">
        <f>VLOOKUP("label.shift",Locale!$A$2:$D$73,4,FALSE)</f>
        <v>换挡</v>
      </c>
      <c r="I19" s="1"/>
      <c r="J19" s="11">
        <v>5</v>
      </c>
      <c r="K19" s="12">
        <v>1.488</v>
      </c>
      <c r="L19" s="22">
        <v>6590</v>
      </c>
      <c r="M19" s="13">
        <f>L19*K20/K19</f>
        <v>5434.0927419354839</v>
      </c>
      <c r="N19" s="14">
        <f t="shared" si="2"/>
        <v>130.87544817063178</v>
      </c>
      <c r="O19" s="13">
        <f t="shared" si="3"/>
        <v>5790</v>
      </c>
      <c r="P19" s="11" t="str">
        <f>VLOOKUP("label.shift",Locale!$A$2:$D$73,4,FALSE)</f>
        <v>换挡</v>
      </c>
      <c r="Q19" s="1"/>
    </row>
    <row r="20" spans="1:17" ht="22.5" customHeight="1">
      <c r="A20" s="1"/>
      <c r="B20" s="15">
        <v>6</v>
      </c>
      <c r="C20" s="12">
        <v>1.3160000000000001</v>
      </c>
      <c r="D20" s="16">
        <f>$O$7</f>
        <v>7650</v>
      </c>
      <c r="E20" s="16" t="s">
        <v>27</v>
      </c>
      <c r="F20" s="17">
        <f t="shared" si="0"/>
        <v>172.31361558703946</v>
      </c>
      <c r="G20" s="16">
        <f t="shared" si="1"/>
        <v>6850</v>
      </c>
      <c r="H20" s="15" t="str">
        <f>VLOOKUP("label.limiter",Locale!$A$2:$D$73,4,FALSE)</f>
        <v>限转</v>
      </c>
      <c r="I20" s="1"/>
      <c r="J20" s="15">
        <v>6</v>
      </c>
      <c r="K20" s="12">
        <v>1.2270000000000001</v>
      </c>
      <c r="L20" s="16">
        <f>$O$7</f>
        <v>7650</v>
      </c>
      <c r="M20" s="16" t="s">
        <v>27</v>
      </c>
      <c r="N20" s="17">
        <f t="shared" si="2"/>
        <v>184.24366790411688</v>
      </c>
      <c r="O20" s="16">
        <f t="shared" si="3"/>
        <v>6850</v>
      </c>
      <c r="P20" s="15" t="str">
        <f>VLOOKUP("label.limiter",Locale!$A$2:$D$73,4,FALSE)</f>
        <v>限转</v>
      </c>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0.32500000000000001</v>
      </c>
      <c r="E22" s="1"/>
      <c r="F22" s="34" t="str">
        <f>VLOOKUP("label.wheelInertia",Locale!$A$2:$D$73,4,FALSE)</f>
        <v>车轮转动惯量 I (kg m²)</v>
      </c>
      <c r="G22" s="34"/>
      <c r="H22" s="19">
        <v>5.4748128000000005</v>
      </c>
      <c r="I22" s="1"/>
      <c r="J22" s="34" t="str">
        <f>VLOOKUP("label.tyreRadiusM",Locale!$A$2:$D$73,4,FALSE)</f>
        <v>轮胎半径 (m)</v>
      </c>
      <c r="K22" s="34"/>
      <c r="L22" s="18">
        <v>0.32400000000000001</v>
      </c>
      <c r="M22" s="1"/>
      <c r="N22" s="34" t="str">
        <f>VLOOKUP("label.wheelInertia",Locale!$A$2:$D$73,4,FALSE)</f>
        <v>车轮转动惯量 I (kg m²)</v>
      </c>
      <c r="O22" s="34"/>
      <c r="P22" s="19">
        <v>5.7898434559999998</v>
      </c>
      <c r="Q22" s="1"/>
    </row>
    <row r="23" spans="1:17" ht="22.5" customHeight="1">
      <c r="A23" s="1"/>
      <c r="B23" s="34" t="str">
        <f>VLOOKUP("label.gearboxFriction",Locale!$A$2:$D$73,4,FALSE)</f>
        <v>变速箱摩擦阻力 (Nm)</v>
      </c>
      <c r="C23" s="34"/>
      <c r="D23" s="20">
        <v>1.85</v>
      </c>
      <c r="E23" s="1"/>
      <c r="F23" s="34" t="str">
        <f>VLOOKUP("label.gearboxDynamicLoss",Locale!$A$2:$D$73,4,FALSE)</f>
        <v>变速箱动态阻力 (Nm s)</v>
      </c>
      <c r="G23" s="34"/>
      <c r="H23" s="21">
        <v>9.7999999999999997E-4</v>
      </c>
      <c r="I23" s="1"/>
      <c r="J23" s="34" t="str">
        <f>VLOOKUP("label.gearboxFriction",Locale!$A$2:$D$73,4,FALSE)</f>
        <v>变速箱摩擦阻力 (Nm)</v>
      </c>
      <c r="K23" s="34"/>
      <c r="L23" s="20">
        <f>$D$23</f>
        <v>1.85</v>
      </c>
      <c r="M23" s="1"/>
      <c r="N23" s="34" t="str">
        <f>VLOOKUP("label.gearboxDynamicLoss",Locale!$A$2:$D$73,4,FALSE)</f>
        <v>变速箱动态阻力 (Nm s)</v>
      </c>
      <c r="O23" s="34"/>
      <c r="P23" s="21">
        <f>$H$23</f>
        <v>9.7999999999999997E-4</v>
      </c>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IF(D53=1,VLOOKUP("label.groupOneTypeATarmac",Locale!$A$2:$D$73,4,FALSE),VLOOKUP("label.groupTwoTypeBGravel",Locale!$A$2:$D$73,4,FALSE))</f>
        <v>第 1 组 · Type-A / 柏油</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33">
    <mergeCell ref="B53:C53"/>
    <mergeCell ref="E53:P53"/>
    <mergeCell ref="J13:P13"/>
    <mergeCell ref="J22:K22"/>
    <mergeCell ref="N22:O22"/>
    <mergeCell ref="J23:K23"/>
    <mergeCell ref="N23:O23"/>
    <mergeCell ref="B13:H13"/>
    <mergeCell ref="B22:C22"/>
    <mergeCell ref="F22:G22"/>
    <mergeCell ref="B23:C23"/>
    <mergeCell ref="F23:G23"/>
    <mergeCell ref="B9:C9"/>
    <mergeCell ref="F9:H9"/>
    <mergeCell ref="K9:N9"/>
    <mergeCell ref="O9:P9"/>
    <mergeCell ref="B11:P11"/>
    <mergeCell ref="B7:C7"/>
    <mergeCell ref="F7:H7"/>
    <mergeCell ref="K7:N7"/>
    <mergeCell ref="O7:P7"/>
    <mergeCell ref="B8:C8"/>
    <mergeCell ref="F8:H8"/>
    <mergeCell ref="K8:N8"/>
    <mergeCell ref="O8:P8"/>
    <mergeCell ref="B2:P2"/>
    <mergeCell ref="B5:D5"/>
    <mergeCell ref="F5:I5"/>
    <mergeCell ref="K5:P5"/>
    <mergeCell ref="B6:C6"/>
    <mergeCell ref="F6:H6"/>
    <mergeCell ref="K6:N6"/>
    <mergeCell ref="O6:P6"/>
  </mergeCells>
  <phoneticPr fontId="9" type="noConversion"/>
  <dataValidations count="4">
    <dataValidation type="decimal" operator="greaterThan" sqref="I6:I8" xr:uid="{00000000-0002-0000-0100-000000000000}">
      <formula1>0</formula1>
    </dataValidation>
    <dataValidation type="decimal" sqref="I9" xr:uid="{00000000-0002-0000-0100-000003000000}">
      <formula1>0</formula1>
      <formula2>0.9</formula2>
    </dataValidation>
    <dataValidation type="decimal" sqref="K15:K20 C15:C20" xr:uid="{00000000-0002-0000-0100-000004000000}">
      <formula1>0.1</formula1>
      <formula2>8</formula2>
    </dataValidation>
    <dataValidation type="whole" sqref="D53" xr:uid="{00000000-0002-0000-0100-000010000000}">
      <formula1>1</formula1>
      <formula2>2</formula2>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BFFE-CAD7-4563-AC67-24B45A4F06FB}">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VLOOKUP("title.wrc17GearingShiftLights",Locale!$A$2:$D$73,4,FALSE)</f>
        <v>WRC17 · 齿比与换挡灯</v>
      </c>
      <c r="C2" s="28"/>
      <c r="D2" s="28"/>
      <c r="E2" s="28"/>
      <c r="F2" s="28"/>
      <c r="G2" s="28"/>
      <c r="H2" s="28"/>
      <c r="I2" s="28"/>
      <c r="J2" s="28"/>
      <c r="K2" s="28"/>
      <c r="L2" s="28"/>
      <c r="M2" s="28"/>
      <c r="N2" s="28"/>
      <c r="O2" s="28"/>
      <c r="P2" s="28"/>
      <c r="Q2" s="1"/>
    </row>
    <row r="3" spans="1:17" ht="22.5" customHeight="1">
      <c r="A3" s="1"/>
      <c r="B3" s="5"/>
      <c r="C3" s="5"/>
      <c r="D3" s="5"/>
      <c r="E3" s="5"/>
      <c r="F3" s="5"/>
      <c r="G3" s="5"/>
      <c r="H3" s="5"/>
      <c r="I3" s="5"/>
      <c r="J3" s="5"/>
      <c r="K3" s="5"/>
      <c r="L3" s="5"/>
      <c r="M3" s="5"/>
      <c r="N3" s="5"/>
      <c r="O3" s="5"/>
      <c r="P3" s="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MAX(Samples!$D$67:$D$81)</f>
        <v>379.61800764077708</v>
      </c>
      <c r="E6" s="1"/>
      <c r="F6" s="30" t="str">
        <f>VLOOKUP("label.runningMassKg",Locale!$A$2:$D$73,4,FALSE)</f>
        <v>运行质量 (kg)</v>
      </c>
      <c r="G6" s="30"/>
      <c r="H6" s="30"/>
      <c r="I6" s="7">
        <v>1391.01</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INDEX(Samples!$B$67:$B$81,MATCH(D6,Samples!$D$67:$D$81,0))</f>
        <v>6589</v>
      </c>
      <c r="E7" s="1"/>
      <c r="F7" s="32" t="str">
        <f>VLOOKUP("label.engineFlywheelInertia",Locale!$A$2:$D$73,4,FALSE)</f>
        <v>发动机 + 飞轮转动惯量 (kg m²)</v>
      </c>
      <c r="G7" s="32"/>
      <c r="H7" s="32"/>
      <c r="I7" s="8">
        <v>0.12171599999999999</v>
      </c>
      <c r="J7" s="1"/>
      <c r="K7" s="32" t="str">
        <f>VLOOKUP("label.topGearLimiterRpm",Locale!$A$2:$D$73,4,FALSE)</f>
        <v>最高挡 / 限转 (rpm)</v>
      </c>
      <c r="L7" s="32"/>
      <c r="M7" s="32"/>
      <c r="N7" s="32"/>
      <c r="O7" s="32">
        <v>8500</v>
      </c>
      <c r="P7" s="32"/>
      <c r="Q7" s="1"/>
    </row>
    <row r="8" spans="1:17" ht="22.5" customHeight="1">
      <c r="A8" s="1"/>
      <c r="B8" s="30" t="str">
        <f>VLOOKUP("label.peakTorqueNm",Locale!$A$2:$D$73,4,FALSE)</f>
        <v>峰值扭矩 (Nm)</v>
      </c>
      <c r="C8" s="30"/>
      <c r="D8" s="6">
        <f>MAX(Samples!$C$67:$C$81)</f>
        <v>450.42287057639999</v>
      </c>
      <c r="E8" s="1"/>
      <c r="F8" s="30" t="str">
        <f>VLOOKUP("label.finalDrive",Locale!$A$2:$D$73,4,FALSE)</f>
        <v>主减速比</v>
      </c>
      <c r="G8" s="30"/>
      <c r="H8" s="30"/>
      <c r="I8" s="9">
        <v>4.4666666666666668</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INDEX(Samples!$B$67:$B$81,MATCH(D8,Samples!$C$67:$C$81,0))</f>
        <v>5242</v>
      </c>
      <c r="E9" s="1"/>
      <c r="F9" s="32" t="str">
        <f>VLOOKUP("label.gearboxTorqueLoss",Locale!$A$2:$D$73,4,FALSE)</f>
        <v>变速箱扭矩损失</v>
      </c>
      <c r="G9" s="32"/>
      <c r="H9" s="32"/>
      <c r="I9" s="10">
        <v>1.2E-2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VLOOKUP("label.groupOneTypeATarmac",Locale!$A$2:$D$73,4,FALSE)</f>
        <v>第 1 组 · Type-A / 柏油</v>
      </c>
      <c r="C13" s="29"/>
      <c r="D13" s="29"/>
      <c r="E13" s="29"/>
      <c r="F13" s="29"/>
      <c r="G13" s="29"/>
      <c r="H13" s="29"/>
      <c r="I13" s="1"/>
      <c r="J13" s="29" t="str">
        <f>VLOOKUP("label.groupTwoTypeBGravel",Locale!$A$2:$D$73,4,FALSE)</f>
        <v>第 2 组 · Type-B / 砂石</v>
      </c>
      <c r="K13" s="29"/>
      <c r="L13" s="29"/>
      <c r="M13" s="29"/>
      <c r="N13" s="29"/>
      <c r="O13" s="29"/>
      <c r="P13" s="29"/>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2" t="str">
        <f>VLOOKUP("label.gear",Locale!$A$2:$D$73,4,FALSE)</f>
        <v>挡位</v>
      </c>
      <c r="K14" s="2" t="str">
        <f>VLOOKUP("label.gearRatio",Locale!$A$2:$D$73,4,FALSE)</f>
        <v>齿比</v>
      </c>
      <c r="L14" s="2" t="str">
        <f>VLOOKUP("label.flashRpmWrap",Locale!$A$2:$D$73,4,FALSE)</f>
        <v>闪烁
(rpm)</v>
      </c>
      <c r="M14" s="2" t="str">
        <f>VLOOKUP("label.afterShiftRpmWrap",Locale!$A$2:$D$73,4,FALSE)</f>
        <v>换挡后
(rpm)</v>
      </c>
      <c r="N14" s="2" t="str">
        <f>VLOOKUP("label.speedKmhMultiline",Locale!$A$2:$D$73,4,FALSE)</f>
        <v>车速
(km/h)</v>
      </c>
      <c r="O14" s="2" t="str">
        <f>VLOOKUP("label.firstLightRpm",Locale!$A$2:$D$73,4,FALSE)</f>
        <v>首灯亮起
(rpm)</v>
      </c>
      <c r="P14" s="2" t="str">
        <f>VLOOKUP("label.trigger",Locale!$A$2:$D$73,4,FALSE)</f>
        <v>触发条件</v>
      </c>
      <c r="Q14" s="1"/>
    </row>
    <row r="15" spans="1:17" ht="22.5" customHeight="1">
      <c r="A15" s="1"/>
      <c r="B15" s="11">
        <v>1</v>
      </c>
      <c r="C15" s="12">
        <v>3.5150000000000001</v>
      </c>
      <c r="D15" s="22">
        <v>6970</v>
      </c>
      <c r="E15" s="13">
        <f>D15*C16/C15</f>
        <v>5671.1806543385492</v>
      </c>
      <c r="F15" s="14">
        <f t="shared" ref="F15:F20" si="0">D15*2*PI()/60*$D$22/(C15*$I$8)*3.6</f>
        <v>54.392420396083736</v>
      </c>
      <c r="G15" s="13">
        <f t="shared" ref="G15:G20" si="1">MAX(0,D15-$O$8)</f>
        <v>6170</v>
      </c>
      <c r="H15" s="11" t="str">
        <f>VLOOKUP("label.shift",Locale!$A$2:$D$73,4,FALSE)</f>
        <v>换挡</v>
      </c>
      <c r="I15" s="1"/>
      <c r="J15" s="11">
        <v>1</v>
      </c>
      <c r="K15" s="12">
        <v>3.2349999999999999</v>
      </c>
      <c r="L15" s="22">
        <v>7080</v>
      </c>
      <c r="M15" s="13">
        <f>L15*K16/K15</f>
        <v>5679.3199381761988</v>
      </c>
      <c r="N15" s="14">
        <f t="shared" ref="N15:N20" si="2">L15*2*PI()/60*$L$22/(K15*$I$8)*3.6</f>
        <v>59.848264070040173</v>
      </c>
      <c r="O15" s="13">
        <f t="shared" ref="O15:O20" si="3">MAX(0,L15-$O$8)</f>
        <v>6280</v>
      </c>
      <c r="P15" s="11" t="str">
        <f>VLOOKUP("label.shift",Locale!$A$2:$D$73,4,FALSE)</f>
        <v>换挡</v>
      </c>
      <c r="Q15" s="1"/>
    </row>
    <row r="16" spans="1:17" ht="22.5" customHeight="1">
      <c r="A16" s="1"/>
      <c r="B16" s="15">
        <v>2</v>
      </c>
      <c r="C16" s="12">
        <v>2.86</v>
      </c>
      <c r="D16" s="22">
        <v>7180</v>
      </c>
      <c r="E16" s="16">
        <f>D16*C17/C16</f>
        <v>5761.5734265734263</v>
      </c>
      <c r="F16" s="17">
        <f t="shared" si="0"/>
        <v>68.863540459624303</v>
      </c>
      <c r="G16" s="16">
        <f t="shared" si="1"/>
        <v>6380</v>
      </c>
      <c r="H16" s="15" t="str">
        <f>VLOOKUP("label.shift",Locale!$A$2:$D$73,4,FALSE)</f>
        <v>换挡</v>
      </c>
      <c r="I16" s="1"/>
      <c r="J16" s="15">
        <v>2</v>
      </c>
      <c r="K16" s="12">
        <v>2.5950000000000002</v>
      </c>
      <c r="L16" s="22">
        <v>7220</v>
      </c>
      <c r="M16" s="16">
        <f>L16*K17/K16</f>
        <v>5795.4759152215802</v>
      </c>
      <c r="N16" s="17">
        <f t="shared" si="2"/>
        <v>76.083839489495617</v>
      </c>
      <c r="O16" s="16">
        <f t="shared" si="3"/>
        <v>6420</v>
      </c>
      <c r="P16" s="15" t="str">
        <f>VLOOKUP("label.shift",Locale!$A$2:$D$73,4,FALSE)</f>
        <v>换挡</v>
      </c>
      <c r="Q16" s="1"/>
    </row>
    <row r="17" spans="1:17" ht="22.5" customHeight="1">
      <c r="A17" s="1"/>
      <c r="B17" s="11">
        <v>3</v>
      </c>
      <c r="C17" s="12">
        <v>2.2949999999999999</v>
      </c>
      <c r="D17" s="22">
        <v>7250</v>
      </c>
      <c r="E17" s="13">
        <f>D17*C18/C17</f>
        <v>5837.9084967320259</v>
      </c>
      <c r="F17" s="14">
        <f t="shared" si="0"/>
        <v>86.653528709639474</v>
      </c>
      <c r="G17" s="13">
        <f t="shared" si="1"/>
        <v>6450</v>
      </c>
      <c r="H17" s="11" t="str">
        <f>VLOOKUP("label.shift",Locale!$A$2:$D$73,4,FALSE)</f>
        <v>换挡</v>
      </c>
      <c r="I17" s="1"/>
      <c r="J17" s="11">
        <v>3</v>
      </c>
      <c r="K17" s="12">
        <v>2.0830000000000002</v>
      </c>
      <c r="L17" s="22">
        <v>7240</v>
      </c>
      <c r="M17" s="13">
        <f>L17*K18/K17</f>
        <v>5863.6005760921744</v>
      </c>
      <c r="N17" s="14">
        <f t="shared" si="2"/>
        <v>95.047758969573351</v>
      </c>
      <c r="O17" s="13">
        <f t="shared" si="3"/>
        <v>6440</v>
      </c>
      <c r="P17" s="11" t="str">
        <f>VLOOKUP("label.shift",Locale!$A$2:$D$73,4,FALSE)</f>
        <v>换挡</v>
      </c>
      <c r="Q17" s="1"/>
    </row>
    <row r="18" spans="1:17" ht="22.5" customHeight="1">
      <c r="A18" s="1"/>
      <c r="B18" s="15">
        <v>4</v>
      </c>
      <c r="C18" s="12">
        <v>1.8480000000000001</v>
      </c>
      <c r="D18" s="22">
        <v>7290</v>
      </c>
      <c r="E18" s="16">
        <f>D18*C19/C18</f>
        <v>5881.704545454546</v>
      </c>
      <c r="F18" s="17">
        <f t="shared" si="0"/>
        <v>108.20728427773237</v>
      </c>
      <c r="G18" s="16">
        <f t="shared" si="1"/>
        <v>6490</v>
      </c>
      <c r="H18" s="15" t="str">
        <f>VLOOKUP("label.shift",Locale!$A$2:$D$73,4,FALSE)</f>
        <v>换挡</v>
      </c>
      <c r="I18" s="1"/>
      <c r="J18" s="15">
        <v>4</v>
      </c>
      <c r="K18" s="12">
        <v>1.6870000000000001</v>
      </c>
      <c r="L18" s="22">
        <v>7240</v>
      </c>
      <c r="M18" s="16">
        <f>L18*K19/K18</f>
        <v>5922.4659158269105</v>
      </c>
      <c r="N18" s="17">
        <f t="shared" si="2"/>
        <v>117.35891045265043</v>
      </c>
      <c r="O18" s="16">
        <f t="shared" si="3"/>
        <v>6440</v>
      </c>
      <c r="P18" s="15" t="str">
        <f>VLOOKUP("label.shift",Locale!$A$2:$D$73,4,FALSE)</f>
        <v>换挡</v>
      </c>
      <c r="Q18" s="1"/>
    </row>
    <row r="19" spans="1:17" ht="22.5" customHeight="1">
      <c r="A19" s="1"/>
      <c r="B19" s="11">
        <v>5</v>
      </c>
      <c r="C19" s="12">
        <v>1.4910000000000001</v>
      </c>
      <c r="D19" s="22">
        <v>7270</v>
      </c>
      <c r="E19" s="13">
        <f>D19*C20/C19</f>
        <v>5938.8732394366198</v>
      </c>
      <c r="F19" s="14">
        <f t="shared" si="0"/>
        <v>133.74812532993695</v>
      </c>
      <c r="G19" s="13">
        <f t="shared" si="1"/>
        <v>6470</v>
      </c>
      <c r="H19" s="11" t="str">
        <f>VLOOKUP("label.shift",Locale!$A$2:$D$73,4,FALSE)</f>
        <v>换挡</v>
      </c>
      <c r="I19" s="1"/>
      <c r="J19" s="11">
        <v>5</v>
      </c>
      <c r="K19" s="12">
        <v>1.38</v>
      </c>
      <c r="L19" s="22">
        <v>7240</v>
      </c>
      <c r="M19" s="13">
        <f>L19*K20/K19</f>
        <v>5970.376811594203</v>
      </c>
      <c r="N19" s="14">
        <f t="shared" si="2"/>
        <v>143.4670158939285</v>
      </c>
      <c r="O19" s="13">
        <f t="shared" si="3"/>
        <v>6440</v>
      </c>
      <c r="P19" s="11" t="str">
        <f>VLOOKUP("label.shift",Locale!$A$2:$D$73,4,FALSE)</f>
        <v>换挡</v>
      </c>
      <c r="Q19" s="1"/>
    </row>
    <row r="20" spans="1:17" ht="22.5" customHeight="1">
      <c r="A20" s="1"/>
      <c r="B20" s="15">
        <v>6</v>
      </c>
      <c r="C20" s="12">
        <v>1.218</v>
      </c>
      <c r="D20" s="16">
        <f>$O$7</f>
        <v>8500</v>
      </c>
      <c r="E20" s="16" t="s">
        <v>27</v>
      </c>
      <c r="F20" s="17">
        <f t="shared" si="0"/>
        <v>191.4267268335079</v>
      </c>
      <c r="G20" s="16">
        <f t="shared" si="1"/>
        <v>7700</v>
      </c>
      <c r="H20" s="15" t="str">
        <f>VLOOKUP("label.limiter",Locale!$A$2:$D$73,4,FALSE)</f>
        <v>限转</v>
      </c>
      <c r="I20" s="1"/>
      <c r="J20" s="15">
        <v>6</v>
      </c>
      <c r="K20" s="12">
        <v>1.1379999999999999</v>
      </c>
      <c r="L20" s="16">
        <f>$O$7</f>
        <v>8500</v>
      </c>
      <c r="M20" s="16" t="s">
        <v>27</v>
      </c>
      <c r="N20" s="17">
        <f t="shared" si="2"/>
        <v>204.25337856904392</v>
      </c>
      <c r="O20" s="16">
        <f t="shared" si="3"/>
        <v>7700</v>
      </c>
      <c r="P20" s="15" t="str">
        <f>VLOOKUP("label.limiter",Locale!$A$2:$D$73,4,FALSE)</f>
        <v>限转</v>
      </c>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0.32500000000000001</v>
      </c>
      <c r="E22" s="1"/>
      <c r="F22" s="34" t="str">
        <f>VLOOKUP("label.wheelInertia",Locale!$A$2:$D$73,4,FALSE)</f>
        <v>车轮转动惯量 I (kg m²)</v>
      </c>
      <c r="G22" s="34"/>
      <c r="H22" s="19">
        <v>5.4748128000000005</v>
      </c>
      <c r="I22" s="1"/>
      <c r="J22" s="34" t="str">
        <f>VLOOKUP("label.tyreRadiusM",Locale!$A$2:$D$73,4,FALSE)</f>
        <v>轮胎半径 (m)</v>
      </c>
      <c r="K22" s="34"/>
      <c r="L22" s="18">
        <v>0.32400000000000001</v>
      </c>
      <c r="M22" s="1"/>
      <c r="N22" s="34" t="str">
        <f>VLOOKUP("label.wheelInertia",Locale!$A$2:$D$73,4,FALSE)</f>
        <v>车轮转动惯量 I (kg m²)</v>
      </c>
      <c r="O22" s="34"/>
      <c r="P22" s="19">
        <v>5.7898434559999998</v>
      </c>
      <c r="Q22" s="1"/>
    </row>
    <row r="23" spans="1:17" ht="22.5" customHeight="1">
      <c r="A23" s="1"/>
      <c r="B23" s="34" t="str">
        <f>VLOOKUP("label.gearboxFriction",Locale!$A$2:$D$73,4,FALSE)</f>
        <v>变速箱摩擦阻力 (Nm)</v>
      </c>
      <c r="C23" s="34"/>
      <c r="D23" s="20">
        <v>1.85</v>
      </c>
      <c r="E23" s="1"/>
      <c r="F23" s="34" t="str">
        <f>VLOOKUP("label.gearboxDynamicLoss",Locale!$A$2:$D$73,4,FALSE)</f>
        <v>变速箱动态阻力 (Nm s)</v>
      </c>
      <c r="G23" s="34"/>
      <c r="H23" s="21">
        <v>9.7999999999999997E-4</v>
      </c>
      <c r="I23" s="1"/>
      <c r="J23" s="34" t="str">
        <f>VLOOKUP("label.gearboxFriction",Locale!$A$2:$D$73,4,FALSE)</f>
        <v>变速箱摩擦阻力 (Nm)</v>
      </c>
      <c r="K23" s="34"/>
      <c r="L23" s="20">
        <f>$D$23</f>
        <v>1.85</v>
      </c>
      <c r="M23" s="1"/>
      <c r="N23" s="34" t="str">
        <f>VLOOKUP("label.gearboxDynamicLoss",Locale!$A$2:$D$73,4,FALSE)</f>
        <v>变速箱动态阻力 (Nm s)</v>
      </c>
      <c r="O23" s="34"/>
      <c r="P23" s="21">
        <f>$H$23</f>
        <v>9.7999999999999997E-4</v>
      </c>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IF(D53=1,VLOOKUP("label.groupOneTypeATarmac",Locale!$A$2:$D$73,4,FALSE),VLOOKUP("label.groupTwoTypeBGravel",Locale!$A$2:$D$73,4,FALSE))</f>
        <v>第 1 组 · Type-A / 柏油</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33">
    <mergeCell ref="B53:C53"/>
    <mergeCell ref="E53:P53"/>
    <mergeCell ref="J13:P13"/>
    <mergeCell ref="J22:K22"/>
    <mergeCell ref="N22:O22"/>
    <mergeCell ref="J23:K23"/>
    <mergeCell ref="N23:O23"/>
    <mergeCell ref="B13:H13"/>
    <mergeCell ref="B22:C22"/>
    <mergeCell ref="F22:G22"/>
    <mergeCell ref="B23:C23"/>
    <mergeCell ref="F23:G23"/>
    <mergeCell ref="B9:C9"/>
    <mergeCell ref="F9:H9"/>
    <mergeCell ref="K9:N9"/>
    <mergeCell ref="O9:P9"/>
    <mergeCell ref="B11:P11"/>
    <mergeCell ref="B7:C7"/>
    <mergeCell ref="F7:H7"/>
    <mergeCell ref="K7:N7"/>
    <mergeCell ref="O7:P7"/>
    <mergeCell ref="B8:C8"/>
    <mergeCell ref="F8:H8"/>
    <mergeCell ref="K8:N8"/>
    <mergeCell ref="O8:P8"/>
    <mergeCell ref="B2:P2"/>
    <mergeCell ref="B5:D5"/>
    <mergeCell ref="F5:I5"/>
    <mergeCell ref="K5:P5"/>
    <mergeCell ref="B6:C6"/>
    <mergeCell ref="F6:H6"/>
    <mergeCell ref="K6:N6"/>
    <mergeCell ref="O6:P6"/>
  </mergeCells>
  <phoneticPr fontId="9" type="noConversion"/>
  <dataValidations count="4">
    <dataValidation type="decimal" operator="greaterThan" sqref="I6:I8" xr:uid="{00000000-0002-0000-0200-000000000000}">
      <formula1>0</formula1>
    </dataValidation>
    <dataValidation type="decimal" sqref="I9" xr:uid="{00000000-0002-0000-0200-000003000000}">
      <formula1>0</formula1>
      <formula2>0.9</formula2>
    </dataValidation>
    <dataValidation type="decimal" sqref="K15:K20 C15:C20" xr:uid="{00000000-0002-0000-0200-000004000000}">
      <formula1>0.1</formula1>
      <formula2>8</formula2>
    </dataValidation>
    <dataValidation type="whole" sqref="D53" xr:uid="{00000000-0002-0000-0200-000010000000}">
      <formula1>1</formula1>
      <formula2>2</formula2>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8AE1-5BEF-476B-8C6E-6D44DF383639}">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VLOOKUP("title.25r1GearingShiftLights",Locale!$A$2:$D$75,4,FALSE)</f>
        <v>25R1 · 齿比与换挡灯</v>
      </c>
      <c r="C2" s="28"/>
      <c r="D2" s="28"/>
      <c r="E2" s="28"/>
      <c r="F2" s="28"/>
      <c r="G2" s="28"/>
      <c r="H2" s="28"/>
      <c r="I2" s="28"/>
      <c r="J2" s="28"/>
      <c r="K2" s="28"/>
      <c r="L2" s="28"/>
      <c r="M2" s="28"/>
      <c r="N2" s="28"/>
      <c r="O2" s="28"/>
      <c r="P2" s="28"/>
      <c r="Q2" s="1"/>
    </row>
    <row r="3" spans="1:17" ht="22.5" customHeight="1">
      <c r="A3" s="1"/>
      <c r="B3" s="35"/>
      <c r="C3" s="35"/>
      <c r="D3" s="35"/>
      <c r="E3" s="35"/>
      <c r="F3" s="35"/>
      <c r="G3" s="35"/>
      <c r="H3" s="35"/>
      <c r="I3" s="35"/>
      <c r="J3" s="35"/>
      <c r="K3" s="35"/>
      <c r="L3" s="35"/>
      <c r="M3" s="35"/>
      <c r="N3" s="35"/>
      <c r="O3" s="35"/>
      <c r="P3" s="3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MAX(Samples!$D$97:$D$111)</f>
        <v>369.61504422565332</v>
      </c>
      <c r="E6" s="1"/>
      <c r="F6" s="30" t="str">
        <f>VLOOKUP("label.runningMassKg",Locale!$A$2:$D$73,4,FALSE)</f>
        <v>运行质量 (kg)</v>
      </c>
      <c r="G6" s="30"/>
      <c r="H6" s="30"/>
      <c r="I6" s="7">
        <v>1380</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INDEX(Samples!$B$97:$B$111,MATCH(D6,Samples!$D$97:$D$111,0))</f>
        <v>7023</v>
      </c>
      <c r="E7" s="1"/>
      <c r="F7" s="32" t="str">
        <f>VLOOKUP("label.engineFlywheelInertia",Locale!$A$2:$D$73,4,FALSE)</f>
        <v>发动机 + 飞轮转动惯量 (kg m²)</v>
      </c>
      <c r="G7" s="32"/>
      <c r="H7" s="32"/>
      <c r="I7" s="8">
        <v>0.12171599999999999</v>
      </c>
      <c r="J7" s="1"/>
      <c r="K7" s="32" t="str">
        <f>VLOOKUP("label.topGearLimiterRpm",Locale!$A$2:$D$73,4,FALSE)</f>
        <v>最高挡 / 限转 (rpm)</v>
      </c>
      <c r="L7" s="32"/>
      <c r="M7" s="32"/>
      <c r="N7" s="32"/>
      <c r="O7" s="32">
        <v>8500</v>
      </c>
      <c r="P7" s="32"/>
      <c r="Q7" s="1"/>
    </row>
    <row r="8" spans="1:17" ht="22.5" customHeight="1">
      <c r="A8" s="1"/>
      <c r="B8" s="30" t="str">
        <f>VLOOKUP("label.peakTorqueNm",Locale!$A$2:$D$73,4,FALSE)</f>
        <v>峰值扭矩 (Nm)</v>
      </c>
      <c r="C8" s="30"/>
      <c r="D8" s="6">
        <f>MAX(Samples!$C$97:$C$111)</f>
        <v>440.45937290107003</v>
      </c>
      <c r="E8" s="1"/>
      <c r="F8" s="30" t="str">
        <f>VLOOKUP("label.finalDrive",Locale!$A$2:$D$73,4,FALSE)</f>
        <v>主减速比</v>
      </c>
      <c r="G8" s="30"/>
      <c r="H8" s="30"/>
      <c r="I8" s="9">
        <v>4.1333333333333337</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INDEX(Samples!$B$97:$B$111,MATCH(D8,Samples!$C$97:$C$111,0))</f>
        <v>4978</v>
      </c>
      <c r="E9" s="1"/>
      <c r="F9" s="32" t="str">
        <f>VLOOKUP("label.gearboxTorqueLoss",Locale!$A$2:$D$73,4,FALSE)</f>
        <v>变速箱扭矩损失</v>
      </c>
      <c r="G9" s="32"/>
      <c r="H9" s="32"/>
      <c r="I9" s="10">
        <v>1.0999999999999999E-2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VLOOKUP("label.groupOneTypeATarmac",Locale!$A$2:$D$73,4,FALSE)</f>
        <v>第 1 组 · Type-A / 柏油</v>
      </c>
      <c r="C13" s="29"/>
      <c r="D13" s="29"/>
      <c r="E13" s="29"/>
      <c r="F13" s="29"/>
      <c r="G13" s="29"/>
      <c r="H13" s="29"/>
      <c r="I13" s="1"/>
      <c r="J13" s="29" t="str">
        <f>VLOOKUP("label.groupTwoTypeBGravel",Locale!$A$2:$D$73,4,FALSE)</f>
        <v>第 2 组 · Type-B / 砂石</v>
      </c>
      <c r="K13" s="29"/>
      <c r="L13" s="29"/>
      <c r="M13" s="29"/>
      <c r="N13" s="29"/>
      <c r="O13" s="29"/>
      <c r="P13" s="29"/>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2" t="str">
        <f>VLOOKUP("label.gear",Locale!$A$2:$D$73,4,FALSE)</f>
        <v>挡位</v>
      </c>
      <c r="K14" s="2" t="str">
        <f>VLOOKUP("label.gearRatio",Locale!$A$2:$D$73,4,FALSE)</f>
        <v>齿比</v>
      </c>
      <c r="L14" s="2" t="str">
        <f>VLOOKUP("label.flashRpmWrap",Locale!$A$2:$D$73,4,FALSE)</f>
        <v>闪烁
(rpm)</v>
      </c>
      <c r="M14" s="2" t="str">
        <f>VLOOKUP("label.afterShiftRpmWrap",Locale!$A$2:$D$73,4,FALSE)</f>
        <v>换挡后
(rpm)</v>
      </c>
      <c r="N14" s="2" t="str">
        <f>VLOOKUP("label.speedKmhMultiline",Locale!$A$2:$D$73,4,FALSE)</f>
        <v>车速
(km/h)</v>
      </c>
      <c r="O14" s="2" t="str">
        <f>VLOOKUP("label.firstLightRpm",Locale!$A$2:$D$73,4,FALSE)</f>
        <v>首灯亮起
(rpm)</v>
      </c>
      <c r="P14" s="2" t="str">
        <f>VLOOKUP("label.trigger",Locale!$A$2:$D$73,4,FALSE)</f>
        <v>触发条件</v>
      </c>
      <c r="Q14" s="1"/>
    </row>
    <row r="15" spans="1:17" ht="22.5" customHeight="1">
      <c r="A15" s="1"/>
      <c r="B15" s="11">
        <v>1</v>
      </c>
      <c r="C15" s="12">
        <v>4.2530000000000001</v>
      </c>
      <c r="D15" s="22">
        <v>7550</v>
      </c>
      <c r="E15" s="13">
        <f>D15*C16/C15</f>
        <v>5394.885962849753</v>
      </c>
      <c r="F15" s="14">
        <f>D15*2*PI()/60*$D$22/(C15*$I$8)*3.6</f>
        <v>52.621790131985449</v>
      </c>
      <c r="G15" s="13">
        <f>MAX(0,D15-$O$8)</f>
        <v>6750</v>
      </c>
      <c r="H15" s="11" t="str">
        <f>VLOOKUP("label.shift",Locale!$A$2:$D$73,4,FALSE)</f>
        <v>换挡</v>
      </c>
      <c r="I15" s="1"/>
      <c r="J15" s="11">
        <v>1</v>
      </c>
      <c r="K15" s="12">
        <v>3.6890000000000001</v>
      </c>
      <c r="L15" s="22">
        <v>7860</v>
      </c>
      <c r="M15" s="13">
        <f>L15*K16/K15</f>
        <v>5382.043914339929</v>
      </c>
      <c r="N15" s="14">
        <f>L15*2*PI()/60*$L$22/(K15*$I$8)*3.6</f>
        <v>62.96360552124554</v>
      </c>
      <c r="O15" s="13">
        <f>MAX(0,L15-$O$8)</f>
        <v>7060</v>
      </c>
      <c r="P15" s="11" t="str">
        <f>VLOOKUP("label.shift",Locale!$A$2:$D$73,4,FALSE)</f>
        <v>换挡</v>
      </c>
      <c r="Q15" s="1"/>
    </row>
    <row r="16" spans="1:17" ht="22.5" customHeight="1">
      <c r="A16" s="1"/>
      <c r="B16" s="15">
        <v>2</v>
      </c>
      <c r="C16" s="12">
        <v>3.0390000000000001</v>
      </c>
      <c r="D16" s="22">
        <v>7770</v>
      </c>
      <c r="E16" s="16">
        <f>D16*C17/C16</f>
        <v>5668.3415597235935</v>
      </c>
      <c r="F16" s="17">
        <f>D16*2*PI()/60*$D$22/(C16*$I$8)*3.6</f>
        <v>75.788684346823146</v>
      </c>
      <c r="G16" s="16">
        <f>MAX(0,D16-$O$8)</f>
        <v>6970</v>
      </c>
      <c r="H16" s="15" t="str">
        <f>VLOOKUP("label.shift",Locale!$A$2:$D$73,4,FALSE)</f>
        <v>换挡</v>
      </c>
      <c r="I16" s="1"/>
      <c r="J16" s="15">
        <v>2</v>
      </c>
      <c r="K16" s="12">
        <v>2.5259999999999998</v>
      </c>
      <c r="L16" s="22">
        <v>7750</v>
      </c>
      <c r="M16" s="16">
        <f>L16*K17/K16</f>
        <v>5807.8978622327795</v>
      </c>
      <c r="N16" s="17">
        <f>L16*2*PI()/60*$L$22/(K16*$I$8)*3.6</f>
        <v>90.665916249681686</v>
      </c>
      <c r="O16" s="16">
        <f>MAX(0,L16-$O$8)</f>
        <v>6950</v>
      </c>
      <c r="P16" s="15" t="str">
        <f>VLOOKUP("label.shift",Locale!$A$2:$D$73,4,FALSE)</f>
        <v>换挡</v>
      </c>
      <c r="Q16" s="1"/>
    </row>
    <row r="17" spans="1:17" ht="22.5" customHeight="1">
      <c r="A17" s="1"/>
      <c r="B17" s="11">
        <v>3</v>
      </c>
      <c r="C17" s="12">
        <v>2.2170000000000001</v>
      </c>
      <c r="D17" s="22">
        <v>7550</v>
      </c>
      <c r="E17" s="13">
        <f>D17*C18/C17</f>
        <v>5986.8741542625166</v>
      </c>
      <c r="F17" s="14">
        <f>D17*2*PI()/60*$D$22/(C17*$I$8)*3.6</f>
        <v>100.94743952698879</v>
      </c>
      <c r="G17" s="13">
        <f>MAX(0,D17-$O$8)</f>
        <v>6750</v>
      </c>
      <c r="H17" s="11" t="str">
        <f>VLOOKUP("label.shift",Locale!$A$2:$D$73,4,FALSE)</f>
        <v>换挡</v>
      </c>
      <c r="I17" s="1"/>
      <c r="J17" s="11">
        <v>3</v>
      </c>
      <c r="K17" s="12">
        <v>1.893</v>
      </c>
      <c r="L17" s="22">
        <v>7560</v>
      </c>
      <c r="M17" s="13">
        <f>L17*K18/K17</f>
        <v>6054.3898573692559</v>
      </c>
      <c r="N17" s="14">
        <f>L17*2*PI()/60*$L$22/(K17*$I$8)*3.6</f>
        <v>118.01762756621311</v>
      </c>
      <c r="O17" s="13">
        <f>MAX(0,L17-$O$8)</f>
        <v>6760</v>
      </c>
      <c r="P17" s="11" t="str">
        <f>VLOOKUP("label.shift",Locale!$A$2:$D$73,4,FALSE)</f>
        <v>换挡</v>
      </c>
      <c r="Q17" s="1"/>
    </row>
    <row r="18" spans="1:17" ht="22.5" customHeight="1">
      <c r="A18" s="1"/>
      <c r="B18" s="15">
        <v>4</v>
      </c>
      <c r="C18" s="12">
        <v>1.758</v>
      </c>
      <c r="D18" s="22">
        <v>7780</v>
      </c>
      <c r="E18" s="16">
        <f>D18*C19/C18</f>
        <v>5947.8498293515368</v>
      </c>
      <c r="F18" s="17">
        <f>D18*2*PI()/60*$D$22/(C18*$I$8)*3.6</f>
        <v>131.18215938459414</v>
      </c>
      <c r="G18" s="16">
        <f>MAX(0,D18-$O$8)</f>
        <v>6980</v>
      </c>
      <c r="H18" s="15" t="str">
        <f>VLOOKUP("label.shift",Locale!$A$2:$D$73,4,FALSE)</f>
        <v>换挡</v>
      </c>
      <c r="I18" s="1"/>
      <c r="J18" s="15">
        <v>4</v>
      </c>
      <c r="K18" s="12">
        <v>1.516</v>
      </c>
      <c r="L18" s="22">
        <v>7600</v>
      </c>
      <c r="M18" s="16">
        <f>L18*K19/K18</f>
        <v>6126.1213720316618</v>
      </c>
      <c r="N18" s="17">
        <f>L18*2*PI()/60*$L$22/(K18*$I$8)*3.6</f>
        <v>148.14605445526337</v>
      </c>
      <c r="O18" s="16">
        <f>MAX(0,L18-$O$8)</f>
        <v>6800</v>
      </c>
      <c r="P18" s="15" t="str">
        <f>VLOOKUP("label.shift",Locale!$A$2:$D$73,4,FALSE)</f>
        <v>换挡</v>
      </c>
      <c r="Q18" s="1"/>
    </row>
    <row r="19" spans="1:17" ht="22.5" customHeight="1">
      <c r="A19" s="1"/>
      <c r="B19" s="11">
        <v>5</v>
      </c>
      <c r="C19" s="12">
        <v>1.3440000000000001</v>
      </c>
      <c r="D19" s="13">
        <f>$O$7</f>
        <v>8500</v>
      </c>
      <c r="E19" s="13" t="s">
        <v>27</v>
      </c>
      <c r="F19" s="14">
        <f>D19*2*PI()/60*$D$22/(C19*$I$8)*3.6</f>
        <v>187.47083177293638</v>
      </c>
      <c r="G19" s="13">
        <f>MAX(0,D19-$O$8)</f>
        <v>7700</v>
      </c>
      <c r="H19" s="11" t="str">
        <f>VLOOKUP("label.limiter",Locale!$A$2:$D$73,4,FALSE)</f>
        <v>限转</v>
      </c>
      <c r="I19" s="1"/>
      <c r="J19" s="11">
        <v>5</v>
      </c>
      <c r="K19" s="12">
        <v>1.222</v>
      </c>
      <c r="L19" s="13">
        <f>$O$7</f>
        <v>8500</v>
      </c>
      <c r="M19" s="13" t="s">
        <v>27</v>
      </c>
      <c r="N19" s="14">
        <f>L19*2*PI()/60*$L$22/(K19*$I$8)*3.6</f>
        <v>205.55281007306004</v>
      </c>
      <c r="O19" s="13">
        <f>MAX(0,L19-$O$8)</f>
        <v>7700</v>
      </c>
      <c r="P19" s="11" t="str">
        <f>VLOOKUP("label.limiter",Locale!$A$2:$D$73,4,FALSE)</f>
        <v>限转</v>
      </c>
      <c r="Q19" s="1"/>
    </row>
    <row r="20" spans="1:17" ht="22.5" customHeight="1">
      <c r="A20" s="1"/>
      <c r="B20" s="1"/>
      <c r="C20" s="1"/>
      <c r="D20" s="1"/>
      <c r="E20" s="1"/>
      <c r="F20" s="1"/>
      <c r="G20" s="1"/>
      <c r="H20" s="1"/>
      <c r="I20" s="1"/>
      <c r="J20" s="1"/>
      <c r="K20" s="1"/>
      <c r="L20" s="1"/>
      <c r="M20" s="1"/>
      <c r="N20" s="1"/>
      <c r="O20" s="1"/>
      <c r="P20" s="1"/>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0.32500000000000001</v>
      </c>
      <c r="E22" s="1"/>
      <c r="F22" s="34" t="str">
        <f>VLOOKUP("label.wheelInertia",Locale!$A$2:$D$73,4,FALSE)</f>
        <v>车轮转动惯量 I (kg m²)</v>
      </c>
      <c r="G22" s="34"/>
      <c r="H22" s="19">
        <v>5.4748128000000005</v>
      </c>
      <c r="I22" s="1"/>
      <c r="J22" s="34" t="str">
        <f>VLOOKUP("label.tyreRadiusM",Locale!$A$2:$D$73,4,FALSE)</f>
        <v>轮胎半径 (m)</v>
      </c>
      <c r="K22" s="34"/>
      <c r="L22" s="18">
        <v>0.32400000000000001</v>
      </c>
      <c r="M22" s="1"/>
      <c r="N22" s="34" t="str">
        <f>VLOOKUP("label.wheelInertia",Locale!$A$2:$D$73,4,FALSE)</f>
        <v>车轮转动惯量 I (kg m²)</v>
      </c>
      <c r="O22" s="34"/>
      <c r="P22" s="19">
        <v>5.7898434559999998</v>
      </c>
      <c r="Q22" s="1"/>
    </row>
    <row r="23" spans="1:17" ht="22.5" customHeight="1">
      <c r="A23" s="1"/>
      <c r="B23" s="34" t="str">
        <f>VLOOKUP("label.gearboxFriction",Locale!$A$2:$D$73,4,FALSE)</f>
        <v>变速箱摩擦阻力 (Nm)</v>
      </c>
      <c r="C23" s="34"/>
      <c r="D23" s="20">
        <v>1.65</v>
      </c>
      <c r="E23" s="1"/>
      <c r="F23" s="34" t="str">
        <f>VLOOKUP("label.gearboxDynamicLoss",Locale!$A$2:$D$73,4,FALSE)</f>
        <v>变速箱动态阻力 (Nm s)</v>
      </c>
      <c r="G23" s="34"/>
      <c r="H23" s="21">
        <v>7.7999999999999999E-4</v>
      </c>
      <c r="I23" s="1"/>
      <c r="J23" s="34" t="str">
        <f>VLOOKUP("label.gearboxFriction",Locale!$A$2:$D$73,4,FALSE)</f>
        <v>变速箱摩擦阻力 (Nm)</v>
      </c>
      <c r="K23" s="34"/>
      <c r="L23" s="20">
        <f>$D$23</f>
        <v>1.65</v>
      </c>
      <c r="M23" s="1"/>
      <c r="N23" s="34" t="str">
        <f>VLOOKUP("label.gearboxDynamicLoss",Locale!$A$2:$D$73,4,FALSE)</f>
        <v>变速箱动态阻力 (Nm s)</v>
      </c>
      <c r="O23" s="34"/>
      <c r="P23" s="21">
        <f>$H$23</f>
        <v>7.7999999999999999E-4</v>
      </c>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IF(D53=1,VLOOKUP("label.groupOneTypeATarmac",Locale!$A$2:$D$73,4,FALSE),VLOOKUP("label.groupTwoTypeBGravel",Locale!$A$2:$D$73,4,FALSE))</f>
        <v>第 1 组 · Type-A / 柏油</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34">
    <mergeCell ref="B53:C53"/>
    <mergeCell ref="E53:P53"/>
    <mergeCell ref="B11:P11"/>
    <mergeCell ref="B13:H13"/>
    <mergeCell ref="B22:C22"/>
    <mergeCell ref="F22:G22"/>
    <mergeCell ref="B23:C23"/>
    <mergeCell ref="F23:G23"/>
    <mergeCell ref="J13:P13"/>
    <mergeCell ref="J22:K22"/>
    <mergeCell ref="N22:O22"/>
    <mergeCell ref="J23:K23"/>
    <mergeCell ref="N23:O23"/>
    <mergeCell ref="B8:C8"/>
    <mergeCell ref="F8:H8"/>
    <mergeCell ref="K8:N8"/>
    <mergeCell ref="O8:P8"/>
    <mergeCell ref="B9:C9"/>
    <mergeCell ref="F9:H9"/>
    <mergeCell ref="K9:N9"/>
    <mergeCell ref="O9:P9"/>
    <mergeCell ref="B6:C6"/>
    <mergeCell ref="F6:H6"/>
    <mergeCell ref="K6:N6"/>
    <mergeCell ref="O6:P6"/>
    <mergeCell ref="B7:C7"/>
    <mergeCell ref="F7:H7"/>
    <mergeCell ref="K7:N7"/>
    <mergeCell ref="O7:P7"/>
    <mergeCell ref="B2:P2"/>
    <mergeCell ref="B3:P3"/>
    <mergeCell ref="B5:D5"/>
    <mergeCell ref="F5:I5"/>
    <mergeCell ref="K5:P5"/>
  </mergeCells>
  <phoneticPr fontId="9" type="noConversion"/>
  <dataValidations count="4">
    <dataValidation type="decimal" operator="greaterThan" sqref="I6:I8" xr:uid="{00000000-0002-0000-0300-000000000000}">
      <formula1>0</formula1>
    </dataValidation>
    <dataValidation type="decimal" sqref="I9" xr:uid="{00000000-0002-0000-0300-000003000000}">
      <formula1>0</formula1>
      <formula2>0.9</formula2>
    </dataValidation>
    <dataValidation type="decimal" sqref="K15:K19 C15:C19" xr:uid="{00000000-0002-0000-0300-000004000000}">
      <formula1>0.1</formula1>
      <formula2>8</formula2>
    </dataValidation>
    <dataValidation type="whole" sqref="D53" xr:uid="{00000000-0002-0000-0300-00000E000000}">
      <formula1>1</formula1>
      <formula2>2</formula2>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E0A9-327D-430E-9C6C-51AA135484A5}">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VLOOKUP("title.rally1GearingShiftLights",Locale!$A$2:$D$73,4,FALSE)</f>
        <v>Rally1 · 齿比与换挡灯</v>
      </c>
      <c r="C2" s="28"/>
      <c r="D2" s="28"/>
      <c r="E2" s="28"/>
      <c r="F2" s="28"/>
      <c r="G2" s="28"/>
      <c r="H2" s="28"/>
      <c r="I2" s="28"/>
      <c r="J2" s="28"/>
      <c r="K2" s="28"/>
      <c r="L2" s="28"/>
      <c r="M2" s="28"/>
      <c r="N2" s="28"/>
      <c r="O2" s="28"/>
      <c r="P2" s="28"/>
      <c r="Q2" s="1"/>
    </row>
    <row r="3" spans="1:17" ht="22.5" customHeight="1">
      <c r="A3" s="1"/>
      <c r="B3" s="35" t="str">
        <f>VLOOKUP("note.rally1Calibration",Locale!$A$2:$D$73,4,FALSE)</f>
        <v>2022 预测曲线</v>
      </c>
      <c r="C3" s="35"/>
      <c r="D3" s="35"/>
      <c r="E3" s="35"/>
      <c r="F3" s="35"/>
      <c r="G3" s="35"/>
      <c r="H3" s="35"/>
      <c r="I3" s="35"/>
      <c r="J3" s="35"/>
      <c r="K3" s="35"/>
      <c r="L3" s="35"/>
      <c r="M3" s="35"/>
      <c r="N3" s="35"/>
      <c r="O3" s="35"/>
      <c r="P3" s="3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MAX(Samples!$D$437:$D$451)</f>
        <v>379.08311881213342</v>
      </c>
      <c r="E6" s="1"/>
      <c r="F6" s="30" t="str">
        <f>VLOOKUP("label.runningMassKg",Locale!$A$2:$D$73,4,FALSE)</f>
        <v>运行质量 (kg)</v>
      </c>
      <c r="G6" s="30"/>
      <c r="H6" s="30"/>
      <c r="I6" s="7">
        <v>1460</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INDEX(Samples!$B$437:$B$451,MATCH(D6,Samples!$D$437:$D$451,0))</f>
        <v>6843</v>
      </c>
      <c r="E7" s="1"/>
      <c r="F7" s="32" t="str">
        <f>VLOOKUP("label.engineFlywheelInertia",Locale!$A$2:$D$73,4,FALSE)</f>
        <v>发动机 + 飞轮转动惯量 (kg m²)</v>
      </c>
      <c r="G7" s="32"/>
      <c r="H7" s="32"/>
      <c r="I7" s="8">
        <v>0.12171599999999999</v>
      </c>
      <c r="J7" s="1"/>
      <c r="K7" s="32" t="str">
        <f>VLOOKUP("label.topGearLimiterRpm",Locale!$A$2:$D$73,4,FALSE)</f>
        <v>最高挡 / 限转 (rpm)</v>
      </c>
      <c r="L7" s="32"/>
      <c r="M7" s="32"/>
      <c r="N7" s="32"/>
      <c r="O7" s="32">
        <v>8500</v>
      </c>
      <c r="P7" s="32"/>
      <c r="Q7" s="1"/>
    </row>
    <row r="8" spans="1:17" ht="22.5" customHeight="1">
      <c r="A8" s="1"/>
      <c r="B8" s="30" t="str">
        <f>VLOOKUP("label.peakTorqueNm",Locale!$A$2:$D$73,4,FALSE)</f>
        <v>峰值扭矩 (Nm)</v>
      </c>
      <c r="C8" s="30"/>
      <c r="D8" s="6">
        <f>MAX(Samples!$C$437:$C$451)</f>
        <v>443.46248568368935</v>
      </c>
      <c r="E8" s="1"/>
      <c r="F8" s="30" t="str">
        <f>VLOOKUP("label.finalDrive",Locale!$A$2:$D$73,4,FALSE)</f>
        <v>主减速比</v>
      </c>
      <c r="G8" s="30"/>
      <c r="H8" s="30"/>
      <c r="I8" s="9">
        <v>4.1333333333333337</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INDEX(Samples!$B$437:$B$451,MATCH(D8,Samples!$C$437:$C$451,0))</f>
        <v>5189</v>
      </c>
      <c r="E9" s="1"/>
      <c r="F9" s="32" t="str">
        <f>VLOOKUP("label.gearboxTorqueLoss",Locale!$A$2:$D$73,4,FALSE)</f>
        <v>变速箱扭矩损失</v>
      </c>
      <c r="G9" s="32"/>
      <c r="H9" s="32"/>
      <c r="I9" s="10">
        <v>1.0999999999999999E-2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VLOOKUP("label.groupOneTypeATarmac",Locale!$A$2:$D$73,4,FALSE)</f>
        <v>第 1 组 · Type-A / 柏油</v>
      </c>
      <c r="C13" s="29"/>
      <c r="D13" s="29"/>
      <c r="E13" s="29"/>
      <c r="F13" s="29"/>
      <c r="G13" s="29"/>
      <c r="H13" s="29"/>
      <c r="I13" s="1"/>
      <c r="J13" s="29" t="str">
        <f>VLOOKUP("label.groupTwoTypeBGravel",Locale!$A$2:$D$73,4,FALSE)</f>
        <v>第 2 组 · Type-B / 砂石</v>
      </c>
      <c r="K13" s="29"/>
      <c r="L13" s="29"/>
      <c r="M13" s="29"/>
      <c r="N13" s="29"/>
      <c r="O13" s="29"/>
      <c r="P13" s="29"/>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2" t="str">
        <f>VLOOKUP("label.gear",Locale!$A$2:$D$73,4,FALSE)</f>
        <v>挡位</v>
      </c>
      <c r="K14" s="2" t="str">
        <f>VLOOKUP("label.gearRatio",Locale!$A$2:$D$73,4,FALSE)</f>
        <v>齿比</v>
      </c>
      <c r="L14" s="2" t="str">
        <f>VLOOKUP("label.flashRpmWrap",Locale!$A$2:$D$73,4,FALSE)</f>
        <v>闪烁
(rpm)</v>
      </c>
      <c r="M14" s="2" t="str">
        <f>VLOOKUP("label.afterShiftRpmWrap",Locale!$A$2:$D$73,4,FALSE)</f>
        <v>换挡后
(rpm)</v>
      </c>
      <c r="N14" s="2" t="str">
        <f>VLOOKUP("label.speedKmhMultiline",Locale!$A$2:$D$73,4,FALSE)</f>
        <v>车速
(km/h)</v>
      </c>
      <c r="O14" s="2" t="str">
        <f>VLOOKUP("label.firstLightRpm",Locale!$A$2:$D$73,4,FALSE)</f>
        <v>首灯亮起
(rpm)</v>
      </c>
      <c r="P14" s="2" t="str">
        <f>VLOOKUP("label.trigger",Locale!$A$2:$D$73,4,FALSE)</f>
        <v>触发条件</v>
      </c>
      <c r="Q14" s="1"/>
    </row>
    <row r="15" spans="1:17" ht="22.5" customHeight="1">
      <c r="A15" s="1"/>
      <c r="B15" s="11">
        <v>1</v>
      </c>
      <c r="C15" s="12">
        <v>4.2530000000000001</v>
      </c>
      <c r="D15" s="22">
        <v>7710</v>
      </c>
      <c r="E15" s="13">
        <f>D15*C16/C15</f>
        <v>5509.2146719962384</v>
      </c>
      <c r="F15" s="14">
        <f>D15*2*PI()/60*$D$22/(C15*$I$8)*3.6</f>
        <v>53.736953896371908</v>
      </c>
      <c r="G15" s="13">
        <f>MAX(0,D15-$O$8)</f>
        <v>6910</v>
      </c>
      <c r="H15" s="11" t="str">
        <f>VLOOKUP("label.shift",Locale!$A$2:$D$73,4,FALSE)</f>
        <v>换挡</v>
      </c>
      <c r="I15" s="1"/>
      <c r="J15" s="11">
        <v>1</v>
      </c>
      <c r="K15" s="12">
        <v>3.6890000000000001</v>
      </c>
      <c r="L15" s="22">
        <v>8010</v>
      </c>
      <c r="M15" s="13">
        <f>L15*K16/K15</f>
        <v>5484.7546760639734</v>
      </c>
      <c r="N15" s="14">
        <f>L15*2*PI()/60*$L$22/(K15*$I$8)*3.6</f>
        <v>64.165201046460169</v>
      </c>
      <c r="O15" s="13">
        <f>MAX(0,L15-$O$8)</f>
        <v>7210</v>
      </c>
      <c r="P15" s="11" t="str">
        <f>VLOOKUP("label.shift",Locale!$A$2:$D$73,4,FALSE)</f>
        <v>换挡</v>
      </c>
      <c r="Q15" s="1"/>
    </row>
    <row r="16" spans="1:17" ht="22.5" customHeight="1">
      <c r="A16" s="1"/>
      <c r="B16" s="15">
        <v>2</v>
      </c>
      <c r="C16" s="12">
        <v>3.0390000000000001</v>
      </c>
      <c r="D16" s="22">
        <v>7890</v>
      </c>
      <c r="E16" s="16">
        <f>D16*C17/C16</f>
        <v>5755.8835143139195</v>
      </c>
      <c r="F16" s="17">
        <f>D16*2*PI()/60*$D$22/(C16*$I$8)*3.6</f>
        <v>76.95916595835709</v>
      </c>
      <c r="G16" s="16">
        <f>MAX(0,D16-$O$8)</f>
        <v>7090</v>
      </c>
      <c r="H16" s="15" t="str">
        <f>VLOOKUP("label.shift",Locale!$A$2:$D$73,4,FALSE)</f>
        <v>换挡</v>
      </c>
      <c r="I16" s="1"/>
      <c r="J16" s="15">
        <v>2</v>
      </c>
      <c r="K16" s="12">
        <v>2.5259999999999998</v>
      </c>
      <c r="L16" s="22">
        <v>7850</v>
      </c>
      <c r="M16" s="16">
        <f>L16*K17/K16</f>
        <v>5882.838479809976</v>
      </c>
      <c r="N16" s="17">
        <f>L16*2*PI()/60*$L$22/(K16*$I$8)*3.6</f>
        <v>91.835799040000154</v>
      </c>
      <c r="O16" s="16">
        <f>MAX(0,L16-$O$8)</f>
        <v>7050</v>
      </c>
      <c r="P16" s="15" t="str">
        <f>VLOOKUP("label.shift",Locale!$A$2:$D$73,4,FALSE)</f>
        <v>换挡</v>
      </c>
      <c r="Q16" s="1"/>
    </row>
    <row r="17" spans="1:17" ht="22.5" customHeight="1">
      <c r="A17" s="1"/>
      <c r="B17" s="11">
        <v>3</v>
      </c>
      <c r="C17" s="12">
        <v>2.2170000000000001</v>
      </c>
      <c r="D17" s="22">
        <v>7630</v>
      </c>
      <c r="E17" s="13">
        <f>D17*C18/C17</f>
        <v>6050.3112313937754</v>
      </c>
      <c r="F17" s="14">
        <f>D17*2*PI()/60*$D$22/(C17*$I$8)*3.6</f>
        <v>102.01708127032111</v>
      </c>
      <c r="G17" s="13">
        <f>MAX(0,D17-$O$8)</f>
        <v>6830</v>
      </c>
      <c r="H17" s="11" t="str">
        <f>VLOOKUP("label.shift",Locale!$A$2:$D$73,4,FALSE)</f>
        <v>换挡</v>
      </c>
      <c r="I17" s="1"/>
      <c r="J17" s="11">
        <v>3</v>
      </c>
      <c r="K17" s="12">
        <v>1.893</v>
      </c>
      <c r="L17" s="22">
        <v>7640</v>
      </c>
      <c r="M17" s="13">
        <f>L17*K18/K17</f>
        <v>6118.4574749075537</v>
      </c>
      <c r="N17" s="14">
        <f>L17*2*PI()/60*$L$22/(K17*$I$8)*3.6</f>
        <v>119.26649134998256</v>
      </c>
      <c r="O17" s="13">
        <f>MAX(0,L17-$O$8)</f>
        <v>6840</v>
      </c>
      <c r="P17" s="11" t="str">
        <f>VLOOKUP("label.shift",Locale!$A$2:$D$73,4,FALSE)</f>
        <v>换挡</v>
      </c>
      <c r="Q17" s="1"/>
    </row>
    <row r="18" spans="1:17" ht="22.5" customHeight="1">
      <c r="A18" s="1"/>
      <c r="B18" s="15">
        <v>4</v>
      </c>
      <c r="C18" s="12">
        <v>1.758</v>
      </c>
      <c r="D18" s="22">
        <v>7870</v>
      </c>
      <c r="E18" s="16">
        <f>D18*C19/C18</f>
        <v>6016.6552901023897</v>
      </c>
      <c r="F18" s="17">
        <f>D18*2*PI()/60*$D$22/(C18*$I$8)*3.6</f>
        <v>132.6996907913568</v>
      </c>
      <c r="G18" s="16">
        <f>MAX(0,D18-$O$8)</f>
        <v>7070</v>
      </c>
      <c r="H18" s="15" t="str">
        <f>VLOOKUP("label.shift",Locale!$A$2:$D$73,4,FALSE)</f>
        <v>换挡</v>
      </c>
      <c r="I18" s="1"/>
      <c r="J18" s="15">
        <v>4</v>
      </c>
      <c r="K18" s="12">
        <v>1.516</v>
      </c>
      <c r="L18" s="22">
        <v>7670</v>
      </c>
      <c r="M18" s="16">
        <f>L18*K19/K18</f>
        <v>6182.5461741424797</v>
      </c>
      <c r="N18" s="17">
        <f>L18*2*PI()/60*$L$22/(K18*$I$8)*3.6</f>
        <v>149.51055758840391</v>
      </c>
      <c r="O18" s="16">
        <f>MAX(0,L18-$O$8)</f>
        <v>6870</v>
      </c>
      <c r="P18" s="15" t="str">
        <f>VLOOKUP("label.shift",Locale!$A$2:$D$73,4,FALSE)</f>
        <v>换挡</v>
      </c>
      <c r="Q18" s="1"/>
    </row>
    <row r="19" spans="1:17" ht="22.5" customHeight="1">
      <c r="A19" s="1"/>
      <c r="B19" s="11">
        <v>5</v>
      </c>
      <c r="C19" s="12">
        <v>1.3440000000000001</v>
      </c>
      <c r="D19" s="13">
        <f>$O$7</f>
        <v>8500</v>
      </c>
      <c r="E19" s="13" t="s">
        <v>27</v>
      </c>
      <c r="F19" s="14">
        <f>D19*2*PI()/60*$D$22/(C19*$I$8)*3.6</f>
        <v>187.47083177293638</v>
      </c>
      <c r="G19" s="13">
        <f>MAX(0,D19-$O$8)</f>
        <v>7700</v>
      </c>
      <c r="H19" s="11" t="str">
        <f>VLOOKUP("label.limiter",Locale!$A$2:$D$73,4,FALSE)</f>
        <v>限转</v>
      </c>
      <c r="I19" s="1"/>
      <c r="J19" s="11">
        <v>5</v>
      </c>
      <c r="K19" s="12">
        <v>1.222</v>
      </c>
      <c r="L19" s="13">
        <f>$O$7</f>
        <v>8500</v>
      </c>
      <c r="M19" s="13" t="s">
        <v>27</v>
      </c>
      <c r="N19" s="14">
        <f>L19*2*PI()/60*$L$22/(K19*$I$8)*3.6</f>
        <v>205.55281007306004</v>
      </c>
      <c r="O19" s="13">
        <f>MAX(0,L19-$O$8)</f>
        <v>7700</v>
      </c>
      <c r="P19" s="11" t="str">
        <f>VLOOKUP("label.limiter",Locale!$A$2:$D$73,4,FALSE)</f>
        <v>限转</v>
      </c>
      <c r="Q19" s="1"/>
    </row>
    <row r="20" spans="1:17" ht="22.5" customHeight="1">
      <c r="A20" s="1"/>
      <c r="B20" s="1"/>
      <c r="C20" s="1"/>
      <c r="D20" s="1"/>
      <c r="E20" s="1"/>
      <c r="F20" s="1"/>
      <c r="G20" s="1"/>
      <c r="H20" s="1"/>
      <c r="I20" s="1"/>
      <c r="J20" s="1"/>
      <c r="K20" s="1"/>
      <c r="L20" s="1"/>
      <c r="M20" s="1"/>
      <c r="N20" s="1"/>
      <c r="O20" s="1"/>
      <c r="P20" s="1"/>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0.32500000000000001</v>
      </c>
      <c r="E22" s="1"/>
      <c r="F22" s="34" t="str">
        <f>VLOOKUP("label.wheelInertia",Locale!$A$2:$D$73,4,FALSE)</f>
        <v>车轮转动惯量 I (kg m²)</v>
      </c>
      <c r="G22" s="34"/>
      <c r="H22" s="19">
        <v>5.4748128000000005</v>
      </c>
      <c r="I22" s="1"/>
      <c r="J22" s="34" t="str">
        <f>VLOOKUP("label.tyreRadiusM",Locale!$A$2:$D$73,4,FALSE)</f>
        <v>轮胎半径 (m)</v>
      </c>
      <c r="K22" s="34"/>
      <c r="L22" s="18">
        <v>0.32400000000000001</v>
      </c>
      <c r="M22" s="1"/>
      <c r="N22" s="34" t="str">
        <f>VLOOKUP("label.wheelInertia",Locale!$A$2:$D$73,4,FALSE)</f>
        <v>车轮转动惯量 I (kg m²)</v>
      </c>
      <c r="O22" s="34"/>
      <c r="P22" s="19">
        <v>5.7898434559999998</v>
      </c>
      <c r="Q22" s="1"/>
    </row>
    <row r="23" spans="1:17" ht="22.5" customHeight="1">
      <c r="A23" s="1"/>
      <c r="B23" s="34" t="str">
        <f>VLOOKUP("label.gearboxFriction",Locale!$A$2:$D$73,4,FALSE)</f>
        <v>变速箱摩擦阻力 (Nm)</v>
      </c>
      <c r="C23" s="34"/>
      <c r="D23" s="20">
        <v>1.65</v>
      </c>
      <c r="E23" s="1"/>
      <c r="F23" s="34" t="str">
        <f>VLOOKUP("label.gearboxDynamicLoss",Locale!$A$2:$D$73,4,FALSE)</f>
        <v>变速箱动态阻力 (Nm s)</v>
      </c>
      <c r="G23" s="34"/>
      <c r="H23" s="21">
        <v>7.7999999999999999E-4</v>
      </c>
      <c r="I23" s="1"/>
      <c r="J23" s="34" t="str">
        <f>VLOOKUP("label.gearboxFriction",Locale!$A$2:$D$73,4,FALSE)</f>
        <v>变速箱摩擦阻力 (Nm)</v>
      </c>
      <c r="K23" s="34"/>
      <c r="L23" s="20">
        <f>$D$23</f>
        <v>1.65</v>
      </c>
      <c r="M23" s="1"/>
      <c r="N23" s="34" t="str">
        <f>VLOOKUP("label.gearboxDynamicLoss",Locale!$A$2:$D$73,4,FALSE)</f>
        <v>变速箱动态阻力 (Nm s)</v>
      </c>
      <c r="O23" s="34"/>
      <c r="P23" s="21">
        <f>$H$23</f>
        <v>7.7999999999999999E-4</v>
      </c>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IF(D53=1,VLOOKUP("label.groupOneTypeATarmac",Locale!$A$2:$D$73,4,FALSE),VLOOKUP("label.groupTwoTypeBGravel",Locale!$A$2:$D$73,4,FALSE))</f>
        <v>第 1 组 · Type-A / 柏油</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34">
    <mergeCell ref="B53:C53"/>
    <mergeCell ref="E53:P53"/>
    <mergeCell ref="B11:P11"/>
    <mergeCell ref="B13:H13"/>
    <mergeCell ref="B22:C22"/>
    <mergeCell ref="F22:G22"/>
    <mergeCell ref="B23:C23"/>
    <mergeCell ref="F23:G23"/>
    <mergeCell ref="J13:P13"/>
    <mergeCell ref="J22:K22"/>
    <mergeCell ref="N22:O22"/>
    <mergeCell ref="J23:K23"/>
    <mergeCell ref="N23:O23"/>
    <mergeCell ref="B8:C8"/>
    <mergeCell ref="F8:H8"/>
    <mergeCell ref="K8:N8"/>
    <mergeCell ref="O8:P8"/>
    <mergeCell ref="B9:C9"/>
    <mergeCell ref="F9:H9"/>
    <mergeCell ref="K9:N9"/>
    <mergeCell ref="O9:P9"/>
    <mergeCell ref="B6:C6"/>
    <mergeCell ref="F6:H6"/>
    <mergeCell ref="K6:N6"/>
    <mergeCell ref="O6:P6"/>
    <mergeCell ref="B7:C7"/>
    <mergeCell ref="F7:H7"/>
    <mergeCell ref="K7:N7"/>
    <mergeCell ref="O7:P7"/>
    <mergeCell ref="B2:P2"/>
    <mergeCell ref="B3:P3"/>
    <mergeCell ref="B5:D5"/>
    <mergeCell ref="F5:I5"/>
    <mergeCell ref="K5:P5"/>
  </mergeCells>
  <phoneticPr fontId="9" type="noConversion"/>
  <dataValidations count="4">
    <dataValidation type="decimal" operator="greaterThan" sqref="I6:I8" xr:uid="{00000000-0002-0000-0300-000000000000}">
      <formula1>0</formula1>
    </dataValidation>
    <dataValidation type="decimal" sqref="I9" xr:uid="{00000000-0002-0000-0300-000003000000}">
      <formula1>0</formula1>
      <formula2>0.9</formula2>
    </dataValidation>
    <dataValidation type="decimal" sqref="K15:K19 C15:C19" xr:uid="{00000000-0002-0000-0300-000004000000}">
      <formula1>0.1</formula1>
      <formula2>8</formula2>
    </dataValidation>
    <dataValidation type="whole" sqref="D53" xr:uid="{00000000-0002-0000-0300-00000E000000}">
      <formula1>1</formula1>
      <formula2>2</formula2>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FB69-7960-4ECA-86EE-C4C03C890E4F}">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VLOOKUP("title.rx1GearingShiftLights",Locale!$A$2:$D$73,4,FALSE)</f>
        <v>RX1 · 齿比与换挡灯</v>
      </c>
      <c r="C2" s="28"/>
      <c r="D2" s="28"/>
      <c r="E2" s="28"/>
      <c r="F2" s="28"/>
      <c r="G2" s="28"/>
      <c r="H2" s="28"/>
      <c r="I2" s="28"/>
      <c r="J2" s="28"/>
      <c r="K2" s="28"/>
      <c r="L2" s="28"/>
      <c r="M2" s="28"/>
      <c r="N2" s="28"/>
      <c r="O2" s="28"/>
      <c r="P2" s="28"/>
      <c r="Q2" s="1"/>
    </row>
    <row r="3" spans="1:17" ht="22.5" customHeight="1">
      <c r="A3" s="1"/>
      <c r="B3" s="5"/>
      <c r="C3" s="5"/>
      <c r="D3" s="5"/>
      <c r="E3" s="5"/>
      <c r="F3" s="5"/>
      <c r="G3" s="5"/>
      <c r="H3" s="5"/>
      <c r="I3" s="5"/>
      <c r="J3" s="5"/>
      <c r="K3" s="5"/>
      <c r="L3" s="5"/>
      <c r="M3" s="5"/>
      <c r="N3" s="5"/>
      <c r="O3" s="5"/>
      <c r="P3" s="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MAX(Samples!$D$127:$D$141)</f>
        <v>595.02816984475828</v>
      </c>
      <c r="E6" s="1"/>
      <c r="F6" s="30" t="str">
        <f>VLOOKUP("label.runningMassKg",Locale!$A$2:$D$73,4,FALSE)</f>
        <v>运行质量 (kg)</v>
      </c>
      <c r="G6" s="30"/>
      <c r="H6" s="30"/>
      <c r="I6" s="7">
        <v>1306</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INDEX(Samples!$B$127:$B$141,MATCH(D6,Samples!$D$127:$D$141,0))</f>
        <v>5690</v>
      </c>
      <c r="E7" s="1"/>
      <c r="F7" s="32" t="str">
        <f>VLOOKUP("label.engineFlywheelInertia",Locale!$A$2:$D$73,4,FALSE)</f>
        <v>发动机 + 飞轮转动惯量 (kg m²)</v>
      </c>
      <c r="G7" s="32"/>
      <c r="H7" s="32"/>
      <c r="I7" s="8">
        <v>0.128</v>
      </c>
      <c r="J7" s="1"/>
      <c r="K7" s="32" t="str">
        <f>VLOOKUP("label.topGearLimiterRpm",Locale!$A$2:$D$73,4,FALSE)</f>
        <v>最高挡 / 限转 (rpm)</v>
      </c>
      <c r="L7" s="32"/>
      <c r="M7" s="32"/>
      <c r="N7" s="32"/>
      <c r="O7" s="32">
        <v>8500</v>
      </c>
      <c r="P7" s="32"/>
      <c r="Q7" s="1"/>
    </row>
    <row r="8" spans="1:17" ht="22.5" customHeight="1">
      <c r="A8" s="1"/>
      <c r="B8" s="30" t="str">
        <f>VLOOKUP("label.peakTorqueNm",Locale!$A$2:$D$73,4,FALSE)</f>
        <v>峰值扭矩 (Nm)</v>
      </c>
      <c r="C8" s="30"/>
      <c r="D8" s="6">
        <f>MAX(Samples!$C$127:$C$141)</f>
        <v>849.65874099113</v>
      </c>
      <c r="E8" s="1"/>
      <c r="F8" s="30" t="str">
        <f>VLOOKUP("label.finalDrive",Locale!$A$2:$D$73,4,FALSE)</f>
        <v>主减速比</v>
      </c>
      <c r="G8" s="30"/>
      <c r="H8" s="30"/>
      <c r="I8" s="9">
        <v>4</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INDEX(Samples!$B$127:$B$141,MATCH(D8,Samples!$C$127:$C$141,0))</f>
        <v>4141</v>
      </c>
      <c r="E9" s="1"/>
      <c r="F9" s="32" t="str">
        <f>VLOOKUP("label.gearboxTorqueLoss",Locale!$A$2:$D$73,4,FALSE)</f>
        <v>变速箱扭矩损失</v>
      </c>
      <c r="G9" s="32"/>
      <c r="H9" s="32"/>
      <c r="I9" s="10">
        <v>1.2E-2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VLOOKUP("label.groupOneRx1",Locale!$A$2:$D$73,4,FALSE)</f>
        <v>第 1 组 · RX1</v>
      </c>
      <c r="C13" s="29"/>
      <c r="D13" s="29"/>
      <c r="E13" s="29"/>
      <c r="F13" s="29"/>
      <c r="G13" s="29"/>
      <c r="H13" s="29"/>
      <c r="I13" s="1"/>
      <c r="J13" s="1"/>
      <c r="K13" s="1"/>
      <c r="L13" s="1"/>
      <c r="M13" s="1"/>
      <c r="N13" s="1"/>
      <c r="O13" s="1"/>
      <c r="P13" s="1"/>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1"/>
      <c r="K14" s="1"/>
      <c r="L14" s="1"/>
      <c r="M14" s="1"/>
      <c r="N14" s="1"/>
      <c r="O14" s="1"/>
      <c r="P14" s="1"/>
      <c r="Q14" s="1"/>
    </row>
    <row r="15" spans="1:17" ht="22.5" customHeight="1">
      <c r="A15" s="1"/>
      <c r="B15" s="11">
        <v>1</v>
      </c>
      <c r="C15" s="12">
        <v>3.24</v>
      </c>
      <c r="D15" s="22">
        <v>6000</v>
      </c>
      <c r="E15" s="13">
        <f>D15*C16/C15</f>
        <v>4812.9629629629635</v>
      </c>
      <c r="F15" s="14">
        <f t="shared" ref="F15:F20" si="0">D15*2*PI()/60*$D$22/(C15*$I$8)*3.6</f>
        <v>55.850536063818538</v>
      </c>
      <c r="G15" s="13">
        <f t="shared" ref="G15:G20" si="1">MAX(0,D15-$O$8)</f>
        <v>5200</v>
      </c>
      <c r="H15" s="11" t="str">
        <f>VLOOKUP("label.shift",Locale!$A$2:$D$73,4,FALSE)</f>
        <v>换挡</v>
      </c>
      <c r="I15" s="1"/>
      <c r="J15" s="1"/>
      <c r="K15" s="1"/>
      <c r="L15" s="1"/>
      <c r="M15" s="1"/>
      <c r="N15" s="1"/>
      <c r="O15" s="1"/>
      <c r="P15" s="1"/>
      <c r="Q15" s="1"/>
    </row>
    <row r="16" spans="1:17" ht="22.5" customHeight="1">
      <c r="A16" s="1"/>
      <c r="B16" s="15">
        <v>2</v>
      </c>
      <c r="C16" s="12">
        <v>2.5990000000000002</v>
      </c>
      <c r="D16" s="22">
        <v>6170</v>
      </c>
      <c r="E16" s="16">
        <f>D16*C17/C16</f>
        <v>4952.1431319738349</v>
      </c>
      <c r="F16" s="17">
        <f t="shared" si="0"/>
        <v>71.597851503436175</v>
      </c>
      <c r="G16" s="16">
        <f t="shared" si="1"/>
        <v>5370</v>
      </c>
      <c r="H16" s="15" t="str">
        <f>VLOOKUP("label.shift",Locale!$A$2:$D$73,4,FALSE)</f>
        <v>换挡</v>
      </c>
      <c r="I16" s="1"/>
      <c r="J16" s="1"/>
      <c r="K16" s="1"/>
      <c r="L16" s="1"/>
      <c r="M16" s="1"/>
      <c r="N16" s="1"/>
      <c r="O16" s="1"/>
      <c r="P16" s="1"/>
      <c r="Q16" s="1"/>
    </row>
    <row r="17" spans="1:17" ht="22.5" customHeight="1">
      <c r="A17" s="1"/>
      <c r="B17" s="11">
        <v>3</v>
      </c>
      <c r="C17" s="12">
        <v>2.0859999999999999</v>
      </c>
      <c r="D17" s="22">
        <v>6220</v>
      </c>
      <c r="E17" s="13">
        <f>D17*C18/C17</f>
        <v>5039.2138063278999</v>
      </c>
      <c r="F17" s="14">
        <f t="shared" si="0"/>
        <v>89.928466218194515</v>
      </c>
      <c r="G17" s="13">
        <f t="shared" si="1"/>
        <v>5420</v>
      </c>
      <c r="H17" s="11" t="str">
        <f>VLOOKUP("label.shift",Locale!$A$2:$D$73,4,FALSE)</f>
        <v>换挡</v>
      </c>
      <c r="I17" s="1"/>
      <c r="J17" s="1"/>
      <c r="K17" s="1"/>
      <c r="L17" s="1"/>
      <c r="M17" s="1"/>
      <c r="N17" s="1"/>
      <c r="O17" s="1"/>
      <c r="P17" s="1"/>
      <c r="Q17" s="1"/>
    </row>
    <row r="18" spans="1:17" ht="22.5" customHeight="1">
      <c r="A18" s="1"/>
      <c r="B18" s="15">
        <v>4</v>
      </c>
      <c r="C18" s="12">
        <v>1.69</v>
      </c>
      <c r="D18" s="22">
        <v>6250</v>
      </c>
      <c r="E18" s="16">
        <f>D18*C19/C18</f>
        <v>5110.9467455621307</v>
      </c>
      <c r="F18" s="17">
        <f t="shared" si="0"/>
        <v>111.53583385525893</v>
      </c>
      <c r="G18" s="16">
        <f t="shared" si="1"/>
        <v>5450</v>
      </c>
      <c r="H18" s="15" t="str">
        <f>VLOOKUP("label.shift",Locale!$A$2:$D$73,4,FALSE)</f>
        <v>换挡</v>
      </c>
      <c r="I18" s="1"/>
      <c r="J18" s="1"/>
      <c r="K18" s="1"/>
      <c r="L18" s="1"/>
      <c r="M18" s="1"/>
      <c r="N18" s="1"/>
      <c r="O18" s="1"/>
      <c r="P18" s="1"/>
      <c r="Q18" s="1"/>
    </row>
    <row r="19" spans="1:17" ht="22.5" customHeight="1">
      <c r="A19" s="1"/>
      <c r="B19" s="11">
        <v>5</v>
      </c>
      <c r="C19" s="12">
        <v>1.3819999999999999</v>
      </c>
      <c r="D19" s="22">
        <v>6260</v>
      </c>
      <c r="E19" s="13">
        <f>D19*C20/C19</f>
        <v>5163.820549927641</v>
      </c>
      <c r="F19" s="14">
        <f t="shared" si="0"/>
        <v>136.61154277144155</v>
      </c>
      <c r="G19" s="13">
        <f t="shared" si="1"/>
        <v>5460</v>
      </c>
      <c r="H19" s="11" t="str">
        <f>VLOOKUP("label.shift",Locale!$A$2:$D$73,4,FALSE)</f>
        <v>换挡</v>
      </c>
      <c r="I19" s="1"/>
      <c r="J19" s="1"/>
      <c r="K19" s="1"/>
      <c r="L19" s="1"/>
      <c r="M19" s="1"/>
      <c r="N19" s="1"/>
      <c r="O19" s="1"/>
      <c r="P19" s="1"/>
      <c r="Q19" s="1"/>
    </row>
    <row r="20" spans="1:17" ht="22.5" customHeight="1">
      <c r="A20" s="1"/>
      <c r="B20" s="15">
        <v>6</v>
      </c>
      <c r="C20" s="12">
        <v>1.1399999999999999</v>
      </c>
      <c r="D20" s="16">
        <f>$O$7</f>
        <v>8500</v>
      </c>
      <c r="E20" s="16" t="s">
        <v>27</v>
      </c>
      <c r="F20" s="17">
        <f t="shared" si="0"/>
        <v>224.87189520432207</v>
      </c>
      <c r="G20" s="16">
        <f t="shared" si="1"/>
        <v>7700</v>
      </c>
      <c r="H20" s="15" t="str">
        <f>VLOOKUP("label.limiter",Locale!$A$2:$D$73,4,FALSE)</f>
        <v>限转</v>
      </c>
      <c r="I20" s="1"/>
      <c r="J20" s="1"/>
      <c r="K20" s="1"/>
      <c r="L20" s="1"/>
      <c r="M20" s="1"/>
      <c r="N20" s="1"/>
      <c r="O20" s="1"/>
      <c r="P20" s="1"/>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v>
      </c>
      <c r="E22" s="1"/>
      <c r="F22" s="34" t="str">
        <f>VLOOKUP("label.wheelInertia",Locale!$A$2:$D$73,4,FALSE)</f>
        <v>车轮转动惯量 I (kg m²)</v>
      </c>
      <c r="G22" s="34"/>
      <c r="H22" s="19">
        <v>5.2788544000000002</v>
      </c>
      <c r="I22" s="1"/>
      <c r="J22" s="1"/>
      <c r="K22" s="1"/>
      <c r="L22" s="1"/>
      <c r="M22" s="1"/>
      <c r="N22" s="1"/>
      <c r="O22" s="1"/>
      <c r="P22" s="1"/>
      <c r="Q22" s="1"/>
    </row>
    <row r="23" spans="1:17" ht="22.5" customHeight="1">
      <c r="A23" s="1"/>
      <c r="B23" s="34" t="str">
        <f>VLOOKUP("label.gearboxFriction",Locale!$A$2:$D$73,4,FALSE)</f>
        <v>变速箱摩擦阻力 (Nm)</v>
      </c>
      <c r="C23" s="34"/>
      <c r="D23" s="20">
        <v>1.85</v>
      </c>
      <c r="E23" s="1"/>
      <c r="F23" s="34" t="str">
        <f>VLOOKUP("label.gearboxDynamicLoss",Locale!$A$2:$D$73,4,FALSE)</f>
        <v>变速箱动态阻力 (Nm s)</v>
      </c>
      <c r="G23" s="34"/>
      <c r="H23" s="21">
        <v>9.7999999999999997E-4</v>
      </c>
      <c r="I23" s="1"/>
      <c r="J23" s="1"/>
      <c r="K23" s="1"/>
      <c r="L23" s="1"/>
      <c r="M23" s="1"/>
      <c r="N23" s="1"/>
      <c r="O23" s="1"/>
      <c r="P23" s="1"/>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VLOOKUP("label.groupOneRx1",Locale!$A$2:$D$73,4,FALSE)</f>
        <v>第 1 组 · RX1</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28">
    <mergeCell ref="B53:C53"/>
    <mergeCell ref="E53:P53"/>
    <mergeCell ref="B13:H13"/>
    <mergeCell ref="B22:C22"/>
    <mergeCell ref="F22:G22"/>
    <mergeCell ref="B23:C23"/>
    <mergeCell ref="F23:G23"/>
    <mergeCell ref="B9:C9"/>
    <mergeCell ref="F9:H9"/>
    <mergeCell ref="K9:N9"/>
    <mergeCell ref="O9:P9"/>
    <mergeCell ref="B11:P11"/>
    <mergeCell ref="B7:C7"/>
    <mergeCell ref="F7:H7"/>
    <mergeCell ref="K7:N7"/>
    <mergeCell ref="O7:P7"/>
    <mergeCell ref="B8:C8"/>
    <mergeCell ref="F8:H8"/>
    <mergeCell ref="K8:N8"/>
    <mergeCell ref="O8:P8"/>
    <mergeCell ref="B2:P2"/>
    <mergeCell ref="B5:D5"/>
    <mergeCell ref="F5:I5"/>
    <mergeCell ref="K5:P5"/>
    <mergeCell ref="B6:C6"/>
    <mergeCell ref="F6:H6"/>
    <mergeCell ref="K6:N6"/>
    <mergeCell ref="O6:P6"/>
  </mergeCells>
  <phoneticPr fontId="9" type="noConversion"/>
  <dataValidations count="4">
    <dataValidation type="decimal" operator="greaterThan" sqref="I6:I8" xr:uid="{00000000-0002-0000-0400-000000000000}">
      <formula1>0</formula1>
    </dataValidation>
    <dataValidation type="decimal" sqref="I9" xr:uid="{00000000-0002-0000-0400-000003000000}">
      <formula1>0</formula1>
      <formula2>0.9</formula2>
    </dataValidation>
    <dataValidation type="decimal" sqref="C15:C20" xr:uid="{00000000-0002-0000-0400-000004000000}">
      <formula1>0.1</formula1>
      <formula2>8</formula2>
    </dataValidation>
    <dataValidation type="whole" sqref="D53" xr:uid="{00000000-0002-0000-0400-00000A000000}">
      <formula1>1</formula1>
      <formula2>1</formula2>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310B-EB52-4B23-B1E0-DB1176195715}">
  <sheetPr>
    <tabColor rgb="FF31475E"/>
  </sheetPr>
  <dimension ref="A1:Q80"/>
  <sheetViews>
    <sheetView showGridLines="0" workbookViewId="0"/>
  </sheetViews>
  <sheetFormatPr defaultRowHeight="14"/>
  <cols>
    <col min="1" max="1" width="3" customWidth="1"/>
    <col min="2" max="16" width="12" customWidth="1"/>
    <col min="17" max="17" width="3" customWidth="1"/>
  </cols>
  <sheetData>
    <row r="1" spans="1:17" ht="22.5" customHeight="1">
      <c r="A1" s="1"/>
      <c r="B1" s="1"/>
      <c r="C1" s="1"/>
      <c r="D1" s="1"/>
      <c r="E1" s="1"/>
      <c r="F1" s="1"/>
      <c r="G1" s="1"/>
      <c r="H1" s="1"/>
      <c r="I1" s="1"/>
      <c r="J1" s="1"/>
      <c r="K1" s="1"/>
      <c r="L1" s="1"/>
      <c r="M1" s="1"/>
      <c r="N1" s="1"/>
      <c r="O1" s="1"/>
      <c r="P1" s="1"/>
      <c r="Q1" s="1"/>
    </row>
    <row r="2" spans="1:17" ht="34" customHeight="1">
      <c r="A2" s="1"/>
      <c r="B2" s="28" t="str">
        <f>VLOOKUP("title.rx3GearingShiftLights",Locale!$A$2:$D$73,4,FALSE)</f>
        <v>RX3 · 齿比与换挡灯</v>
      </c>
      <c r="C2" s="28"/>
      <c r="D2" s="28"/>
      <c r="E2" s="28"/>
      <c r="F2" s="28"/>
      <c r="G2" s="28"/>
      <c r="H2" s="28"/>
      <c r="I2" s="28"/>
      <c r="J2" s="28"/>
      <c r="K2" s="28"/>
      <c r="L2" s="28"/>
      <c r="M2" s="28"/>
      <c r="N2" s="28"/>
      <c r="O2" s="28"/>
      <c r="P2" s="28"/>
      <c r="Q2" s="1"/>
    </row>
    <row r="3" spans="1:17" ht="22.5" customHeight="1">
      <c r="A3" s="1"/>
      <c r="B3" s="35" t="str">
        <f>VLOOKUP("note.rx1FiveSpeedPlaceholder",Locale!$A$2:$D$73,4,FALSE)</f>
        <v>RX1 占位 · 五挡</v>
      </c>
      <c r="C3" s="35"/>
      <c r="D3" s="35"/>
      <c r="E3" s="35"/>
      <c r="F3" s="35"/>
      <c r="G3" s="35"/>
      <c r="H3" s="35"/>
      <c r="I3" s="35"/>
      <c r="J3" s="35"/>
      <c r="K3" s="35"/>
      <c r="L3" s="35"/>
      <c r="M3" s="35"/>
      <c r="N3" s="35"/>
      <c r="O3" s="35"/>
      <c r="P3" s="35"/>
      <c r="Q3" s="1"/>
    </row>
    <row r="4" spans="1:17" ht="22.5" customHeight="1">
      <c r="A4" s="1"/>
      <c r="B4" s="1"/>
      <c r="C4" s="1"/>
      <c r="D4" s="1"/>
      <c r="E4" s="1"/>
      <c r="F4" s="1"/>
      <c r="G4" s="1"/>
      <c r="H4" s="1"/>
      <c r="I4" s="1"/>
      <c r="J4" s="1"/>
      <c r="K4" s="1"/>
      <c r="L4" s="1"/>
      <c r="M4" s="1"/>
      <c r="N4" s="1"/>
      <c r="O4" s="1"/>
      <c r="P4" s="1"/>
      <c r="Q4" s="1"/>
    </row>
    <row r="5" spans="1:17" ht="32" customHeight="1">
      <c r="A5" s="1"/>
      <c r="B5" s="29" t="str">
        <f>VLOOKUP("chart.engineCurve",Locale!$A$2:$D$73,4,FALSE)</f>
        <v>发动机曲线</v>
      </c>
      <c r="C5" s="29"/>
      <c r="D5" s="29"/>
      <c r="E5" s="1"/>
      <c r="F5" s="29" t="str">
        <f>VLOOKUP("label.calibrationBasis",Locale!$A$2:$D$73,4,FALSE)</f>
        <v>标定依据</v>
      </c>
      <c r="G5" s="29"/>
      <c r="H5" s="29"/>
      <c r="I5" s="29"/>
      <c r="J5" s="1"/>
      <c r="K5" s="29" t="str">
        <f>VLOOKUP("label.shiftLights",Locale!$A$2:$D$73,4,FALSE)</f>
        <v>换挡灯</v>
      </c>
      <c r="L5" s="29"/>
      <c r="M5" s="29"/>
      <c r="N5" s="29"/>
      <c r="O5" s="29"/>
      <c r="P5" s="29"/>
      <c r="Q5" s="1"/>
    </row>
    <row r="6" spans="1:17" ht="22.5" customHeight="1">
      <c r="A6" s="1"/>
      <c r="B6" s="30" t="str">
        <f>VLOOKUP("label.peakPowerHp",Locale!$A$2:$D$73,4,FALSE)</f>
        <v>峰值功率 (hp)</v>
      </c>
      <c r="C6" s="30"/>
      <c r="D6" s="6">
        <f>MAX(Samples!$D$157:$D$171)</f>
        <v>595.02816984475828</v>
      </c>
      <c r="E6" s="1"/>
      <c r="F6" s="30" t="str">
        <f>VLOOKUP("label.runningMassKg",Locale!$A$2:$D$73,4,FALSE)</f>
        <v>运行质量 (kg)</v>
      </c>
      <c r="G6" s="30"/>
      <c r="H6" s="30"/>
      <c r="I6" s="7">
        <v>1306</v>
      </c>
      <c r="J6" s="1"/>
      <c r="K6" s="30" t="str">
        <f>VLOOKUP("label.neutralFlashRpm",Locale!$A$2:$D$73,4,FALSE)</f>
        <v>空挡闪烁 (rpm)</v>
      </c>
      <c r="L6" s="30"/>
      <c r="M6" s="30"/>
      <c r="N6" s="30"/>
      <c r="O6" s="31">
        <v>3000</v>
      </c>
      <c r="P6" s="31"/>
      <c r="Q6" s="1"/>
    </row>
    <row r="7" spans="1:17" ht="22.5" customHeight="1">
      <c r="A7" s="1"/>
      <c r="B7" s="32" t="str">
        <f>VLOOKUP("label.powerPeakRpm",Locale!$A$2:$D$73,4,FALSE)</f>
        <v>功率峰值转速 (rpm)</v>
      </c>
      <c r="C7" s="32"/>
      <c r="D7" s="5">
        <f>INDEX(Samples!$B$157:$B$171,MATCH(D6,Samples!$D$157:$D$171,0))</f>
        <v>5690</v>
      </c>
      <c r="E7" s="1"/>
      <c r="F7" s="32" t="str">
        <f>VLOOKUP("label.engineFlywheelInertia",Locale!$A$2:$D$73,4,FALSE)</f>
        <v>发动机 + 飞轮转动惯量 (kg m²)</v>
      </c>
      <c r="G7" s="32"/>
      <c r="H7" s="32"/>
      <c r="I7" s="8">
        <v>0.128</v>
      </c>
      <c r="J7" s="1"/>
      <c r="K7" s="32" t="str">
        <f>VLOOKUP("label.topGearLimiterRpm",Locale!$A$2:$D$73,4,FALSE)</f>
        <v>最高挡 / 限转 (rpm)</v>
      </c>
      <c r="L7" s="32"/>
      <c r="M7" s="32"/>
      <c r="N7" s="32"/>
      <c r="O7" s="32">
        <v>8500</v>
      </c>
      <c r="P7" s="32"/>
      <c r="Q7" s="1"/>
    </row>
    <row r="8" spans="1:17" ht="22.5" customHeight="1">
      <c r="A8" s="1"/>
      <c r="B8" s="30" t="str">
        <f>VLOOKUP("label.peakTorqueNm",Locale!$A$2:$D$73,4,FALSE)</f>
        <v>峰值扭矩 (Nm)</v>
      </c>
      <c r="C8" s="30"/>
      <c r="D8" s="6">
        <f>MAX(Samples!$C$157:$C$171)</f>
        <v>849.65874099113</v>
      </c>
      <c r="E8" s="1"/>
      <c r="F8" s="30" t="str">
        <f>VLOOKUP("label.finalDrive",Locale!$A$2:$D$73,4,FALSE)</f>
        <v>主减速比</v>
      </c>
      <c r="G8" s="30"/>
      <c r="H8" s="30"/>
      <c r="I8" s="9">
        <v>4</v>
      </c>
      <c r="J8" s="1"/>
      <c r="K8" s="30" t="str">
        <f>VLOOKUP("label.lightRangeRpm",Locale!$A$2:$D$73,4,FALSE)</f>
        <v>亮灯范围 (rpm)</v>
      </c>
      <c r="L8" s="30"/>
      <c r="M8" s="30"/>
      <c r="N8" s="30"/>
      <c r="O8" s="31">
        <v>800</v>
      </c>
      <c r="P8" s="31"/>
      <c r="Q8" s="1"/>
    </row>
    <row r="9" spans="1:17" ht="22.5" customHeight="1">
      <c r="A9" s="1"/>
      <c r="B9" s="32" t="str">
        <f>VLOOKUP("label.torquePeakRpm",Locale!$A$2:$D$73,4,FALSE)</f>
        <v>峰值扭矩转速 (rpm)</v>
      </c>
      <c r="C9" s="32"/>
      <c r="D9" s="5">
        <f>INDEX(Samples!$B$157:$B$171,MATCH(D8,Samples!$C$157:$C$171,0))</f>
        <v>4141</v>
      </c>
      <c r="E9" s="1"/>
      <c r="F9" s="32" t="str">
        <f>VLOOKUP("label.gearboxTorqueLoss",Locale!$A$2:$D$73,4,FALSE)</f>
        <v>变速箱扭矩损失</v>
      </c>
      <c r="G9" s="32"/>
      <c r="H9" s="32"/>
      <c r="I9" s="10">
        <v>1.2E-2</v>
      </c>
      <c r="J9" s="1"/>
      <c r="K9" s="32" t="str">
        <f>VLOOKUP("label.roundingRpm",Locale!$A$2:$D$73,4,FALSE)</f>
        <v>取整步长 (rpm)</v>
      </c>
      <c r="L9" s="32"/>
      <c r="M9" s="32"/>
      <c r="N9" s="32"/>
      <c r="O9" s="32">
        <v>10</v>
      </c>
      <c r="P9" s="32"/>
      <c r="Q9" s="1"/>
    </row>
    <row r="10" spans="1:17" ht="22.5" customHeight="1">
      <c r="A10" s="1"/>
      <c r="B10" s="1"/>
      <c r="C10" s="1"/>
      <c r="D10" s="1"/>
      <c r="E10" s="1"/>
      <c r="F10" s="1"/>
      <c r="G10" s="1"/>
      <c r="H10" s="1"/>
      <c r="I10" s="1"/>
      <c r="J10" s="1"/>
      <c r="K10" s="1"/>
      <c r="L10" s="1"/>
      <c r="M10" s="1"/>
      <c r="N10" s="1"/>
      <c r="O10" s="1"/>
      <c r="P10" s="1"/>
      <c r="Q10" s="1"/>
    </row>
    <row r="11" spans="1:17" ht="22.5" customHeight="1">
      <c r="A11" s="1"/>
      <c r="B11" s="33" t="str">
        <f>VLOOKUP("note.yellowInputs",Locale!$A$2:$D$73,4,FALSE)</f>
        <v>黄色单元格为手动输入。</v>
      </c>
      <c r="C11" s="33"/>
      <c r="D11" s="33"/>
      <c r="E11" s="33"/>
      <c r="F11" s="33"/>
      <c r="G11" s="33"/>
      <c r="H11" s="33"/>
      <c r="I11" s="33"/>
      <c r="J11" s="33"/>
      <c r="K11" s="33"/>
      <c r="L11" s="33"/>
      <c r="M11" s="33"/>
      <c r="N11" s="33"/>
      <c r="O11" s="33"/>
      <c r="P11" s="33"/>
      <c r="Q11" s="1"/>
    </row>
    <row r="12" spans="1:17" ht="22.5" customHeight="1">
      <c r="A12" s="1"/>
      <c r="B12" s="1"/>
      <c r="C12" s="1"/>
      <c r="D12" s="1"/>
      <c r="E12" s="1"/>
      <c r="F12" s="1"/>
      <c r="G12" s="1"/>
      <c r="H12" s="1"/>
      <c r="I12" s="1"/>
      <c r="J12" s="1"/>
      <c r="K12" s="1"/>
      <c r="L12" s="1"/>
      <c r="M12" s="1"/>
      <c r="N12" s="1"/>
      <c r="O12" s="1"/>
      <c r="P12" s="1"/>
      <c r="Q12" s="1"/>
    </row>
    <row r="13" spans="1:17" ht="32" customHeight="1">
      <c r="A13" s="1"/>
      <c r="B13" s="29" t="str">
        <f>VLOOKUP("label.groupOneRx1",Locale!$A$2:$D$73,4,FALSE)</f>
        <v>第 1 组 · RX1</v>
      </c>
      <c r="C13" s="29"/>
      <c r="D13" s="29"/>
      <c r="E13" s="29"/>
      <c r="F13" s="29"/>
      <c r="G13" s="29"/>
      <c r="H13" s="29"/>
      <c r="I13" s="1"/>
      <c r="J13" s="1"/>
      <c r="K13" s="1"/>
      <c r="L13" s="1"/>
      <c r="M13" s="1"/>
      <c r="N13" s="1"/>
      <c r="O13" s="1"/>
      <c r="P13" s="1"/>
      <c r="Q13" s="1"/>
    </row>
    <row r="14" spans="1:17" ht="32" customHeight="1">
      <c r="A14" s="1"/>
      <c r="B14" s="2" t="str">
        <f>VLOOKUP("label.gear",Locale!$A$2:$D$73,4,FALSE)</f>
        <v>挡位</v>
      </c>
      <c r="C14" s="2" t="str">
        <f>VLOOKUP("label.gearRatio",Locale!$A$2:$D$73,4,FALSE)</f>
        <v>齿比</v>
      </c>
      <c r="D14" s="2" t="str">
        <f>VLOOKUP("label.flashRpmWrap",Locale!$A$2:$D$73,4,FALSE)</f>
        <v>闪烁
(rpm)</v>
      </c>
      <c r="E14" s="2" t="str">
        <f>VLOOKUP("label.afterShiftRpmWrap",Locale!$A$2:$D$73,4,FALSE)</f>
        <v>换挡后
(rpm)</v>
      </c>
      <c r="F14" s="2" t="str">
        <f>VLOOKUP("label.speedKmhMultiline",Locale!$A$2:$D$73,4,FALSE)</f>
        <v>车速
(km/h)</v>
      </c>
      <c r="G14" s="2" t="str">
        <f>VLOOKUP("label.firstLightRpm",Locale!$A$2:$D$73,4,FALSE)</f>
        <v>首灯亮起
(rpm)</v>
      </c>
      <c r="H14" s="2" t="str">
        <f>VLOOKUP("label.trigger",Locale!$A$2:$D$73,4,FALSE)</f>
        <v>触发条件</v>
      </c>
      <c r="I14" s="1"/>
      <c r="J14" s="1"/>
      <c r="K14" s="1"/>
      <c r="L14" s="1"/>
      <c r="M14" s="1"/>
      <c r="N14" s="1"/>
      <c r="O14" s="1"/>
      <c r="P14" s="1"/>
      <c r="Q14" s="1"/>
    </row>
    <row r="15" spans="1:17" ht="22.5" customHeight="1">
      <c r="A15" s="1"/>
      <c r="B15" s="11">
        <v>1</v>
      </c>
      <c r="C15" s="12">
        <v>3.24</v>
      </c>
      <c r="D15" s="22">
        <v>6000</v>
      </c>
      <c r="E15" s="13">
        <f>D15*C16/C15</f>
        <v>4812.9629629629635</v>
      </c>
      <c r="F15" s="14">
        <f>D15*2*PI()/60*$D$22/(C15*$I$8)*3.6</f>
        <v>55.850536063818538</v>
      </c>
      <c r="G15" s="13">
        <f>MAX(0,D15-$O$8)</f>
        <v>5200</v>
      </c>
      <c r="H15" s="11" t="str">
        <f>VLOOKUP("label.shift",Locale!$A$2:$D$73,4,FALSE)</f>
        <v>换挡</v>
      </c>
      <c r="I15" s="1"/>
      <c r="J15" s="1"/>
      <c r="K15" s="1"/>
      <c r="L15" s="1"/>
      <c r="M15" s="1"/>
      <c r="N15" s="1"/>
      <c r="O15" s="1"/>
      <c r="P15" s="1"/>
      <c r="Q15" s="1"/>
    </row>
    <row r="16" spans="1:17" ht="22.5" customHeight="1">
      <c r="A16" s="1"/>
      <c r="B16" s="15">
        <v>2</v>
      </c>
      <c r="C16" s="12">
        <v>2.5990000000000002</v>
      </c>
      <c r="D16" s="22">
        <v>6170</v>
      </c>
      <c r="E16" s="16">
        <f>D16*C17/C16</f>
        <v>4952.1431319738349</v>
      </c>
      <c r="F16" s="17">
        <f>D16*2*PI()/60*$D$22/(C16*$I$8)*3.6</f>
        <v>71.597851503436175</v>
      </c>
      <c r="G16" s="16">
        <f>MAX(0,D16-$O$8)</f>
        <v>5370</v>
      </c>
      <c r="H16" s="15" t="str">
        <f>VLOOKUP("label.shift",Locale!$A$2:$D$73,4,FALSE)</f>
        <v>换挡</v>
      </c>
      <c r="I16" s="1"/>
      <c r="J16" s="1"/>
      <c r="K16" s="1"/>
      <c r="L16" s="1"/>
      <c r="M16" s="1"/>
      <c r="N16" s="1"/>
      <c r="O16" s="1"/>
      <c r="P16" s="1"/>
      <c r="Q16" s="1"/>
    </row>
    <row r="17" spans="1:17" ht="22.5" customHeight="1">
      <c r="A17" s="1"/>
      <c r="B17" s="11">
        <v>3</v>
      </c>
      <c r="C17" s="12">
        <v>2.0859999999999999</v>
      </c>
      <c r="D17" s="22">
        <v>6220</v>
      </c>
      <c r="E17" s="13">
        <f>D17*C18/C17</f>
        <v>5039.2138063278999</v>
      </c>
      <c r="F17" s="14">
        <f>D17*2*PI()/60*$D$22/(C17*$I$8)*3.6</f>
        <v>89.928466218194515</v>
      </c>
      <c r="G17" s="13">
        <f>MAX(0,D17-$O$8)</f>
        <v>5420</v>
      </c>
      <c r="H17" s="11" t="str">
        <f>VLOOKUP("label.shift",Locale!$A$2:$D$73,4,FALSE)</f>
        <v>换挡</v>
      </c>
      <c r="I17" s="1"/>
      <c r="J17" s="1"/>
      <c r="K17" s="1"/>
      <c r="L17" s="1"/>
      <c r="M17" s="1"/>
      <c r="N17" s="1"/>
      <c r="O17" s="1"/>
      <c r="P17" s="1"/>
      <c r="Q17" s="1"/>
    </row>
    <row r="18" spans="1:17" ht="22.5" customHeight="1">
      <c r="A18" s="1"/>
      <c r="B18" s="15">
        <v>4</v>
      </c>
      <c r="C18" s="12">
        <v>1.69</v>
      </c>
      <c r="D18" s="22">
        <v>6250</v>
      </c>
      <c r="E18" s="16">
        <f>D18*C19/C18</f>
        <v>5110.9467455621307</v>
      </c>
      <c r="F18" s="17">
        <f>D18*2*PI()/60*$D$22/(C18*$I$8)*3.6</f>
        <v>111.53583385525893</v>
      </c>
      <c r="G18" s="16">
        <f>MAX(0,D18-$O$8)</f>
        <v>5450</v>
      </c>
      <c r="H18" s="15" t="str">
        <f>VLOOKUP("label.shift",Locale!$A$2:$D$73,4,FALSE)</f>
        <v>换挡</v>
      </c>
      <c r="I18" s="1"/>
      <c r="J18" s="1"/>
      <c r="K18" s="1"/>
      <c r="L18" s="1"/>
      <c r="M18" s="1"/>
      <c r="N18" s="1"/>
      <c r="O18" s="1"/>
      <c r="P18" s="1"/>
      <c r="Q18" s="1"/>
    </row>
    <row r="19" spans="1:17" ht="22.5" customHeight="1">
      <c r="A19" s="1"/>
      <c r="B19" s="11">
        <v>5</v>
      </c>
      <c r="C19" s="12">
        <v>1.3819999999999999</v>
      </c>
      <c r="D19" s="13">
        <f>$O$7</f>
        <v>8500</v>
      </c>
      <c r="E19" s="13" t="s">
        <v>27</v>
      </c>
      <c r="F19" s="14">
        <f>D19*2*PI()/60*$D$22/(C19*$I$8)*3.6</f>
        <v>185.49490631905005</v>
      </c>
      <c r="G19" s="13">
        <f>MAX(0,D19-$O$8)</f>
        <v>7700</v>
      </c>
      <c r="H19" s="11" t="str">
        <f>VLOOKUP("label.limiter",Locale!$A$2:$D$73,4,FALSE)</f>
        <v>限转</v>
      </c>
      <c r="I19" s="1"/>
      <c r="J19" s="1"/>
      <c r="K19" s="1"/>
      <c r="L19" s="1"/>
      <c r="M19" s="1"/>
      <c r="N19" s="1"/>
      <c r="O19" s="1"/>
      <c r="P19" s="1"/>
      <c r="Q19" s="1"/>
    </row>
    <row r="20" spans="1:17" ht="22.5" customHeight="1">
      <c r="A20" s="1"/>
      <c r="B20" s="1"/>
      <c r="C20" s="1"/>
      <c r="D20" s="1"/>
      <c r="E20" s="1"/>
      <c r="F20" s="1"/>
      <c r="G20" s="1"/>
      <c r="H20" s="1"/>
      <c r="I20" s="1"/>
      <c r="J20" s="1"/>
      <c r="K20" s="1"/>
      <c r="L20" s="1"/>
      <c r="M20" s="1"/>
      <c r="N20" s="1"/>
      <c r="O20" s="1"/>
      <c r="P20" s="1"/>
      <c r="Q20" s="1"/>
    </row>
    <row r="21" spans="1:17" ht="22.5" customHeight="1">
      <c r="A21" s="1"/>
      <c r="B21" s="1"/>
      <c r="C21" s="1"/>
      <c r="D21" s="1"/>
      <c r="E21" s="1"/>
      <c r="F21" s="1"/>
      <c r="G21" s="1"/>
      <c r="H21" s="1"/>
      <c r="I21" s="1"/>
      <c r="J21" s="1"/>
      <c r="K21" s="1"/>
      <c r="L21" s="1"/>
      <c r="M21" s="1"/>
      <c r="N21" s="1"/>
      <c r="O21" s="1"/>
      <c r="P21" s="1"/>
      <c r="Q21" s="1"/>
    </row>
    <row r="22" spans="1:17" ht="22.5" customHeight="1">
      <c r="A22" s="1"/>
      <c r="B22" s="34" t="str">
        <f>VLOOKUP("label.tyreRadiusM",Locale!$A$2:$D$73,4,FALSE)</f>
        <v>轮胎半径 (m)</v>
      </c>
      <c r="C22" s="34"/>
      <c r="D22" s="18">
        <v>0.32</v>
      </c>
      <c r="E22" s="1"/>
      <c r="F22" s="34" t="str">
        <f>VLOOKUP("label.wheelInertia",Locale!$A$2:$D$73,4,FALSE)</f>
        <v>车轮转动惯量 I (kg m²)</v>
      </c>
      <c r="G22" s="34"/>
      <c r="H22" s="19">
        <v>5.2788544000000002</v>
      </c>
      <c r="I22" s="1"/>
      <c r="J22" s="1"/>
      <c r="K22" s="1"/>
      <c r="L22" s="1"/>
      <c r="M22" s="1"/>
      <c r="N22" s="1"/>
      <c r="O22" s="1"/>
      <c r="P22" s="1"/>
      <c r="Q22" s="1"/>
    </row>
    <row r="23" spans="1:17" ht="22.5" customHeight="1">
      <c r="A23" s="1"/>
      <c r="B23" s="34" t="str">
        <f>VLOOKUP("label.gearboxFriction",Locale!$A$2:$D$73,4,FALSE)</f>
        <v>变速箱摩擦阻力 (Nm)</v>
      </c>
      <c r="C23" s="34"/>
      <c r="D23" s="20">
        <v>1.85</v>
      </c>
      <c r="E23" s="1"/>
      <c r="F23" s="34" t="str">
        <f>VLOOKUP("label.gearboxDynamicLoss",Locale!$A$2:$D$73,4,FALSE)</f>
        <v>变速箱动态阻力 (Nm s)</v>
      </c>
      <c r="G23" s="34"/>
      <c r="H23" s="21">
        <v>9.7999999999999997E-4</v>
      </c>
      <c r="I23" s="1"/>
      <c r="J23" s="1"/>
      <c r="K23" s="1"/>
      <c r="L23" s="1"/>
      <c r="M23" s="1"/>
      <c r="N23" s="1"/>
      <c r="O23" s="1"/>
      <c r="P23" s="1"/>
      <c r="Q23" s="1"/>
    </row>
    <row r="24" spans="1:17" ht="22.5" customHeight="1">
      <c r="A24" s="1"/>
      <c r="B24" s="1"/>
      <c r="C24" s="1"/>
      <c r="D24" s="1"/>
      <c r="E24" s="1"/>
      <c r="F24" s="1"/>
      <c r="G24" s="1"/>
      <c r="H24" s="1"/>
      <c r="I24" s="1"/>
      <c r="J24" s="1"/>
      <c r="K24" s="1"/>
      <c r="L24" s="1"/>
      <c r="M24" s="1"/>
      <c r="N24" s="1"/>
      <c r="O24" s="1"/>
      <c r="P24" s="1"/>
      <c r="Q24" s="1"/>
    </row>
    <row r="25" spans="1:17" ht="22.5" customHeight="1">
      <c r="A25" s="1"/>
      <c r="B25" s="1"/>
      <c r="C25" s="1"/>
      <c r="D25" s="1"/>
      <c r="E25" s="1"/>
      <c r="F25" s="1"/>
      <c r="G25" s="1"/>
      <c r="H25" s="1"/>
      <c r="I25" s="1"/>
      <c r="J25" s="1"/>
      <c r="K25" s="1"/>
      <c r="L25" s="1"/>
      <c r="M25" s="1"/>
      <c r="N25" s="1"/>
      <c r="O25" s="1"/>
      <c r="P25" s="1"/>
      <c r="Q25" s="1"/>
    </row>
    <row r="26" spans="1:17" ht="22.5" customHeight="1">
      <c r="A26" s="1"/>
      <c r="B26" s="1"/>
      <c r="C26" s="1"/>
      <c r="D26" s="1"/>
      <c r="E26" s="1"/>
      <c r="F26" s="1"/>
      <c r="G26" s="1"/>
      <c r="H26" s="1"/>
      <c r="I26" s="1"/>
      <c r="J26" s="1"/>
      <c r="K26" s="1"/>
      <c r="L26" s="1"/>
      <c r="M26" s="1"/>
      <c r="N26" s="1"/>
      <c r="O26" s="1"/>
      <c r="P26" s="1"/>
      <c r="Q26" s="1"/>
    </row>
    <row r="27" spans="1:17" ht="22.5" customHeight="1">
      <c r="A27" s="1"/>
      <c r="B27" s="1"/>
      <c r="C27" s="1"/>
      <c r="D27" s="1"/>
      <c r="E27" s="1"/>
      <c r="F27" s="1"/>
      <c r="G27" s="1"/>
      <c r="H27" s="1"/>
      <c r="I27" s="1"/>
      <c r="J27" s="1"/>
      <c r="K27" s="1"/>
      <c r="L27" s="1"/>
      <c r="M27" s="1"/>
      <c r="N27" s="1"/>
      <c r="O27" s="1"/>
      <c r="P27" s="1"/>
      <c r="Q27" s="1"/>
    </row>
    <row r="28" spans="1:17" ht="22.5" customHeight="1">
      <c r="A28" s="1"/>
      <c r="B28" s="1"/>
      <c r="C28" s="1"/>
      <c r="D28" s="1"/>
      <c r="E28" s="1"/>
      <c r="F28" s="1"/>
      <c r="G28" s="1"/>
      <c r="H28" s="1"/>
      <c r="I28" s="1"/>
      <c r="J28" s="1"/>
      <c r="K28" s="1"/>
      <c r="L28" s="1"/>
      <c r="M28" s="1"/>
      <c r="N28" s="1"/>
      <c r="O28" s="1"/>
      <c r="P28" s="1"/>
      <c r="Q28" s="1"/>
    </row>
    <row r="29" spans="1:17" ht="22.5" customHeight="1">
      <c r="A29" s="1"/>
      <c r="B29" s="1"/>
      <c r="C29" s="1"/>
      <c r="D29" s="1"/>
      <c r="E29" s="1"/>
      <c r="F29" s="1"/>
      <c r="G29" s="1"/>
      <c r="H29" s="1"/>
      <c r="I29" s="1"/>
      <c r="J29" s="1"/>
      <c r="K29" s="1"/>
      <c r="L29" s="1"/>
      <c r="M29" s="1"/>
      <c r="N29" s="1"/>
      <c r="O29" s="1"/>
      <c r="P29" s="1"/>
      <c r="Q29" s="1"/>
    </row>
    <row r="30" spans="1:17" ht="22.5" customHeight="1">
      <c r="A30" s="1"/>
      <c r="B30" s="1"/>
      <c r="C30" s="1"/>
      <c r="D30" s="1"/>
      <c r="E30" s="1"/>
      <c r="F30" s="1"/>
      <c r="G30" s="1"/>
      <c r="H30" s="1"/>
      <c r="I30" s="1"/>
      <c r="J30" s="1"/>
      <c r="K30" s="1"/>
      <c r="L30" s="1"/>
      <c r="M30" s="1"/>
      <c r="N30" s="1"/>
      <c r="O30" s="1"/>
      <c r="P30" s="1"/>
      <c r="Q30" s="1"/>
    </row>
    <row r="31" spans="1:17" ht="22.5" customHeight="1">
      <c r="A31" s="1"/>
      <c r="B31" s="1"/>
      <c r="C31" s="1"/>
      <c r="D31" s="1"/>
      <c r="E31" s="1"/>
      <c r="F31" s="1"/>
      <c r="G31" s="1"/>
      <c r="H31" s="1"/>
      <c r="I31" s="1"/>
      <c r="J31" s="1"/>
      <c r="K31" s="1"/>
      <c r="L31" s="1"/>
      <c r="M31" s="1"/>
      <c r="N31" s="1"/>
      <c r="O31" s="1"/>
      <c r="P31" s="1"/>
      <c r="Q31" s="1"/>
    </row>
    <row r="32" spans="1:17" ht="22.5" customHeight="1">
      <c r="A32" s="1"/>
      <c r="B32" s="1"/>
      <c r="C32" s="1"/>
      <c r="D32" s="1"/>
      <c r="E32" s="1"/>
      <c r="F32" s="1"/>
      <c r="G32" s="1"/>
      <c r="H32" s="1"/>
      <c r="I32" s="1"/>
      <c r="J32" s="1"/>
      <c r="K32" s="1"/>
      <c r="L32" s="1"/>
      <c r="M32" s="1"/>
      <c r="N32" s="1"/>
      <c r="O32" s="1"/>
      <c r="P32" s="1"/>
      <c r="Q32" s="1"/>
    </row>
    <row r="33" spans="1:17" ht="22.5" customHeight="1">
      <c r="A33" s="1"/>
      <c r="B33" s="1"/>
      <c r="C33" s="1"/>
      <c r="D33" s="1"/>
      <c r="E33" s="1"/>
      <c r="F33" s="1"/>
      <c r="G33" s="1"/>
      <c r="H33" s="1"/>
      <c r="I33" s="1"/>
      <c r="J33" s="1"/>
      <c r="K33" s="1"/>
      <c r="L33" s="1"/>
      <c r="M33" s="1"/>
      <c r="N33" s="1"/>
      <c r="O33" s="1"/>
      <c r="P33" s="1"/>
      <c r="Q33" s="1"/>
    </row>
    <row r="34" spans="1:17" ht="22.5" customHeight="1">
      <c r="A34" s="1"/>
      <c r="B34" s="1"/>
      <c r="C34" s="1"/>
      <c r="D34" s="1"/>
      <c r="E34" s="1"/>
      <c r="F34" s="1"/>
      <c r="G34" s="1"/>
      <c r="H34" s="1"/>
      <c r="I34" s="1"/>
      <c r="J34" s="1"/>
      <c r="K34" s="1"/>
      <c r="L34" s="1"/>
      <c r="M34" s="1"/>
      <c r="N34" s="1"/>
      <c r="O34" s="1"/>
      <c r="P34" s="1"/>
      <c r="Q34" s="1"/>
    </row>
    <row r="35" spans="1:17" ht="22.5" customHeight="1">
      <c r="A35" s="1"/>
      <c r="B35" s="1"/>
      <c r="C35" s="1"/>
      <c r="D35" s="1"/>
      <c r="E35" s="1"/>
      <c r="F35" s="1"/>
      <c r="G35" s="1"/>
      <c r="H35" s="1"/>
      <c r="I35" s="1"/>
      <c r="J35" s="1"/>
      <c r="K35" s="1"/>
      <c r="L35" s="1"/>
      <c r="M35" s="1"/>
      <c r="N35" s="1"/>
      <c r="O35" s="1"/>
      <c r="P35" s="1"/>
      <c r="Q35" s="1"/>
    </row>
    <row r="36" spans="1:17" ht="22.5" customHeight="1">
      <c r="A36" s="1"/>
      <c r="B36" s="1"/>
      <c r="C36" s="1"/>
      <c r="D36" s="1"/>
      <c r="E36" s="1"/>
      <c r="F36" s="1"/>
      <c r="G36" s="1"/>
      <c r="H36" s="1"/>
      <c r="I36" s="1"/>
      <c r="J36" s="1"/>
      <c r="K36" s="1"/>
      <c r="L36" s="1"/>
      <c r="M36" s="1"/>
      <c r="N36" s="1"/>
      <c r="O36" s="1"/>
      <c r="P36" s="1"/>
      <c r="Q36" s="1"/>
    </row>
    <row r="37" spans="1:17" ht="22.5" customHeight="1">
      <c r="A37" s="1"/>
      <c r="B37" s="1"/>
      <c r="C37" s="1"/>
      <c r="D37" s="1"/>
      <c r="E37" s="1"/>
      <c r="F37" s="1"/>
      <c r="G37" s="1"/>
      <c r="H37" s="1"/>
      <c r="I37" s="1"/>
      <c r="J37" s="1"/>
      <c r="K37" s="1"/>
      <c r="L37" s="1"/>
      <c r="M37" s="1"/>
      <c r="N37" s="1"/>
      <c r="O37" s="1"/>
      <c r="P37" s="1"/>
      <c r="Q37" s="1"/>
    </row>
    <row r="38" spans="1:17" ht="22.5" customHeight="1">
      <c r="A38" s="1"/>
      <c r="B38" s="1"/>
      <c r="C38" s="1"/>
      <c r="D38" s="1"/>
      <c r="E38" s="1"/>
      <c r="F38" s="1"/>
      <c r="G38" s="1"/>
      <c r="H38" s="1"/>
      <c r="I38" s="1"/>
      <c r="J38" s="1"/>
      <c r="K38" s="1"/>
      <c r="L38" s="1"/>
      <c r="M38" s="1"/>
      <c r="N38" s="1"/>
      <c r="O38" s="1"/>
      <c r="P38" s="1"/>
      <c r="Q38" s="1"/>
    </row>
    <row r="39" spans="1:17" ht="22.5" customHeight="1">
      <c r="A39" s="1"/>
      <c r="B39" s="1"/>
      <c r="C39" s="1"/>
      <c r="D39" s="1"/>
      <c r="E39" s="1"/>
      <c r="F39" s="1"/>
      <c r="G39" s="1"/>
      <c r="H39" s="1"/>
      <c r="I39" s="1"/>
      <c r="J39" s="1"/>
      <c r="K39" s="1"/>
      <c r="L39" s="1"/>
      <c r="M39" s="1"/>
      <c r="N39" s="1"/>
      <c r="O39" s="1"/>
      <c r="P39" s="1"/>
      <c r="Q39" s="1"/>
    </row>
    <row r="40" spans="1:17" ht="22.5" customHeight="1">
      <c r="A40" s="1"/>
      <c r="B40" s="1"/>
      <c r="C40" s="1"/>
      <c r="D40" s="1"/>
      <c r="E40" s="1"/>
      <c r="F40" s="1"/>
      <c r="G40" s="1"/>
      <c r="H40" s="1"/>
      <c r="I40" s="1"/>
      <c r="J40" s="1"/>
      <c r="K40" s="1"/>
      <c r="L40" s="1"/>
      <c r="M40" s="1"/>
      <c r="N40" s="1"/>
      <c r="O40" s="1"/>
      <c r="P40" s="1"/>
      <c r="Q40" s="1"/>
    </row>
    <row r="41" spans="1:17" ht="22.5" customHeight="1">
      <c r="A41" s="1"/>
      <c r="B41" s="1"/>
      <c r="C41" s="1"/>
      <c r="D41" s="1"/>
      <c r="E41" s="1"/>
      <c r="F41" s="1"/>
      <c r="G41" s="1"/>
      <c r="H41" s="1"/>
      <c r="I41" s="1"/>
      <c r="J41" s="1"/>
      <c r="K41" s="1"/>
      <c r="L41" s="1"/>
      <c r="M41" s="1"/>
      <c r="N41" s="1"/>
      <c r="O41" s="1"/>
      <c r="P41" s="1"/>
      <c r="Q41" s="1"/>
    </row>
    <row r="42" spans="1:17" ht="22.5" customHeight="1">
      <c r="A42" s="1"/>
      <c r="B42" s="1"/>
      <c r="C42" s="1"/>
      <c r="D42" s="1"/>
      <c r="E42" s="1"/>
      <c r="F42" s="1"/>
      <c r="G42" s="1"/>
      <c r="H42" s="1"/>
      <c r="I42" s="1"/>
      <c r="J42" s="1"/>
      <c r="K42" s="1"/>
      <c r="L42" s="1"/>
      <c r="M42" s="1"/>
      <c r="N42" s="1"/>
      <c r="O42" s="1"/>
      <c r="P42" s="1"/>
      <c r="Q42" s="1"/>
    </row>
    <row r="43" spans="1:17" ht="22.5" customHeight="1">
      <c r="A43" s="1"/>
      <c r="B43" s="1"/>
      <c r="C43" s="1"/>
      <c r="D43" s="1"/>
      <c r="E43" s="1"/>
      <c r="F43" s="1"/>
      <c r="G43" s="1"/>
      <c r="H43" s="1"/>
      <c r="I43" s="1"/>
      <c r="J43" s="1"/>
      <c r="K43" s="1"/>
      <c r="L43" s="1"/>
      <c r="M43" s="1"/>
      <c r="N43" s="1"/>
      <c r="O43" s="1"/>
      <c r="P43" s="1"/>
      <c r="Q43" s="1"/>
    </row>
    <row r="44" spans="1:17" ht="22.5" customHeight="1">
      <c r="A44" s="1"/>
      <c r="B44" s="1"/>
      <c r="C44" s="1"/>
      <c r="D44" s="1"/>
      <c r="E44" s="1"/>
      <c r="F44" s="1"/>
      <c r="G44" s="1"/>
      <c r="H44" s="1"/>
      <c r="I44" s="1"/>
      <c r="J44" s="1"/>
      <c r="K44" s="1"/>
      <c r="L44" s="1"/>
      <c r="M44" s="1"/>
      <c r="N44" s="1"/>
      <c r="O44" s="1"/>
      <c r="P44" s="1"/>
      <c r="Q44" s="1"/>
    </row>
    <row r="45" spans="1:17" ht="22.5" customHeight="1">
      <c r="A45" s="1"/>
      <c r="B45" s="1"/>
      <c r="C45" s="1"/>
      <c r="D45" s="1"/>
      <c r="E45" s="1"/>
      <c r="F45" s="1"/>
      <c r="G45" s="1"/>
      <c r="H45" s="1"/>
      <c r="I45" s="1"/>
      <c r="J45" s="1"/>
      <c r="K45" s="1"/>
      <c r="L45" s="1"/>
      <c r="M45" s="1"/>
      <c r="N45" s="1"/>
      <c r="O45" s="1"/>
      <c r="P45" s="1"/>
      <c r="Q45" s="1"/>
    </row>
    <row r="46" spans="1:17" ht="22.5" customHeight="1">
      <c r="A46" s="1"/>
      <c r="B46" s="1"/>
      <c r="C46" s="1"/>
      <c r="D46" s="1"/>
      <c r="E46" s="1"/>
      <c r="F46" s="1"/>
      <c r="G46" s="1"/>
      <c r="H46" s="1"/>
      <c r="I46" s="1"/>
      <c r="J46" s="1"/>
      <c r="K46" s="1"/>
      <c r="L46" s="1"/>
      <c r="M46" s="1"/>
      <c r="N46" s="1"/>
      <c r="O46" s="1"/>
      <c r="P46" s="1"/>
      <c r="Q46" s="1"/>
    </row>
    <row r="47" spans="1:17" ht="22.5" customHeight="1">
      <c r="A47" s="1"/>
      <c r="B47" s="1"/>
      <c r="C47" s="1"/>
      <c r="D47" s="1"/>
      <c r="E47" s="1"/>
      <c r="F47" s="1"/>
      <c r="G47" s="1"/>
      <c r="H47" s="1"/>
      <c r="I47" s="1"/>
      <c r="J47" s="1"/>
      <c r="K47" s="1"/>
      <c r="L47" s="1"/>
      <c r="M47" s="1"/>
      <c r="N47" s="1"/>
      <c r="O47" s="1"/>
      <c r="P47" s="1"/>
      <c r="Q47" s="1"/>
    </row>
    <row r="48" spans="1:17" ht="22.5" customHeight="1">
      <c r="A48" s="1"/>
      <c r="B48" s="1"/>
      <c r="C48" s="1"/>
      <c r="D48" s="1"/>
      <c r="E48" s="1"/>
      <c r="F48" s="1"/>
      <c r="G48" s="1"/>
      <c r="H48" s="1"/>
      <c r="I48" s="1"/>
      <c r="J48" s="1"/>
      <c r="K48" s="1"/>
      <c r="L48" s="1"/>
      <c r="M48" s="1"/>
      <c r="N48" s="1"/>
      <c r="O48" s="1"/>
      <c r="P48" s="1"/>
      <c r="Q48" s="1"/>
    </row>
    <row r="49" spans="1:17" ht="22.5" customHeight="1">
      <c r="A49" s="1"/>
      <c r="B49" s="1"/>
      <c r="C49" s="1"/>
      <c r="D49" s="1"/>
      <c r="E49" s="1"/>
      <c r="F49" s="1"/>
      <c r="G49" s="1"/>
      <c r="H49" s="1"/>
      <c r="I49" s="1"/>
      <c r="J49" s="1"/>
      <c r="K49" s="1"/>
      <c r="L49" s="1"/>
      <c r="M49" s="1"/>
      <c r="N49" s="1"/>
      <c r="O49" s="1"/>
      <c r="P49" s="1"/>
      <c r="Q49" s="1"/>
    </row>
    <row r="50" spans="1:17" ht="22.5" customHeight="1">
      <c r="A50" s="1"/>
      <c r="B50" s="1"/>
      <c r="C50" s="1"/>
      <c r="D50" s="1"/>
      <c r="E50" s="1"/>
      <c r="F50" s="1"/>
      <c r="G50" s="1"/>
      <c r="H50" s="1"/>
      <c r="I50" s="1"/>
      <c r="J50" s="1"/>
      <c r="K50" s="1"/>
      <c r="L50" s="1"/>
      <c r="M50" s="1"/>
      <c r="N50" s="1"/>
      <c r="O50" s="1"/>
      <c r="P50" s="1"/>
      <c r="Q50" s="1"/>
    </row>
    <row r="51" spans="1:17" ht="22.5" customHeight="1">
      <c r="A51" s="1"/>
      <c r="B51" s="1"/>
      <c r="C51" s="1"/>
      <c r="D51" s="1"/>
      <c r="E51" s="1"/>
      <c r="F51" s="1"/>
      <c r="G51" s="1"/>
      <c r="H51" s="1"/>
      <c r="I51" s="1"/>
      <c r="J51" s="1"/>
      <c r="K51" s="1"/>
      <c r="L51" s="1"/>
      <c r="M51" s="1"/>
      <c r="N51" s="1"/>
      <c r="O51" s="1"/>
      <c r="P51" s="1"/>
      <c r="Q51" s="1"/>
    </row>
    <row r="52" spans="1:17" ht="22.5" customHeight="1">
      <c r="A52" s="1"/>
      <c r="B52" s="1"/>
      <c r="C52" s="1"/>
      <c r="D52" s="1"/>
      <c r="E52" s="1"/>
      <c r="F52" s="1"/>
      <c r="G52" s="1"/>
      <c r="H52" s="1"/>
      <c r="I52" s="1"/>
      <c r="J52" s="1"/>
      <c r="K52" s="1"/>
      <c r="L52" s="1"/>
      <c r="M52" s="1"/>
      <c r="N52" s="1"/>
      <c r="O52" s="1"/>
      <c r="P52" s="1"/>
      <c r="Q52" s="1"/>
    </row>
    <row r="53" spans="1:17" ht="22.5" customHeight="1">
      <c r="A53" s="1"/>
      <c r="B53" s="34" t="str">
        <f>VLOOKUP("label.gearGroup",Locale!$A$2:$D$73,4,FALSE)</f>
        <v>齿轮组</v>
      </c>
      <c r="C53" s="34"/>
      <c r="D53" s="23">
        <v>1</v>
      </c>
      <c r="E53" s="34" t="str">
        <f>VLOOKUP("label.groupOneRx1Placeholder",Locale!$A$2:$D$73,4,FALSE)</f>
        <v>第 1 组 · RX1 占位</v>
      </c>
      <c r="F53" s="34"/>
      <c r="G53" s="34"/>
      <c r="H53" s="34"/>
      <c r="I53" s="34"/>
      <c r="J53" s="34"/>
      <c r="K53" s="34"/>
      <c r="L53" s="34"/>
      <c r="M53" s="34"/>
      <c r="N53" s="34"/>
      <c r="O53" s="34"/>
      <c r="P53" s="34"/>
      <c r="Q53" s="1"/>
    </row>
    <row r="54" spans="1:17" ht="22.5" customHeight="1">
      <c r="A54" s="1"/>
      <c r="B54" s="1"/>
      <c r="C54" s="1"/>
      <c r="D54" s="1"/>
      <c r="E54" s="1"/>
      <c r="F54" s="1"/>
      <c r="G54" s="1"/>
      <c r="H54" s="1"/>
      <c r="I54" s="1"/>
      <c r="J54" s="1"/>
      <c r="K54" s="1"/>
      <c r="L54" s="1"/>
      <c r="M54" s="1"/>
      <c r="N54" s="1"/>
      <c r="O54" s="1"/>
      <c r="P54" s="1"/>
      <c r="Q54" s="1"/>
    </row>
    <row r="55" spans="1:17" ht="22.5" customHeight="1">
      <c r="A55" s="1"/>
      <c r="B55" s="1"/>
      <c r="C55" s="1"/>
      <c r="D55" s="1"/>
      <c r="E55" s="1"/>
      <c r="F55" s="1"/>
      <c r="G55" s="1"/>
      <c r="H55" s="1"/>
      <c r="I55" s="1"/>
      <c r="J55" s="1"/>
      <c r="K55" s="1"/>
      <c r="L55" s="1"/>
      <c r="M55" s="1"/>
      <c r="N55" s="1"/>
      <c r="O55" s="1"/>
      <c r="P55" s="1"/>
      <c r="Q55" s="1"/>
    </row>
    <row r="56" spans="1:17" ht="22.5" customHeight="1">
      <c r="A56" s="1"/>
      <c r="B56" s="1"/>
      <c r="C56" s="1"/>
      <c r="D56" s="1"/>
      <c r="E56" s="1"/>
      <c r="F56" s="1"/>
      <c r="G56" s="1"/>
      <c r="H56" s="1"/>
      <c r="I56" s="1"/>
      <c r="J56" s="1"/>
      <c r="K56" s="1"/>
      <c r="L56" s="1"/>
      <c r="M56" s="1"/>
      <c r="N56" s="1"/>
      <c r="O56" s="1"/>
      <c r="P56" s="1"/>
      <c r="Q56" s="1"/>
    </row>
    <row r="57" spans="1:17" ht="22.5" customHeight="1">
      <c r="A57" s="1"/>
      <c r="B57" s="1"/>
      <c r="C57" s="1"/>
      <c r="D57" s="1"/>
      <c r="E57" s="1"/>
      <c r="F57" s="1"/>
      <c r="G57" s="1"/>
      <c r="H57" s="1"/>
      <c r="I57" s="1"/>
      <c r="J57" s="1"/>
      <c r="K57" s="1"/>
      <c r="L57" s="1"/>
      <c r="M57" s="1"/>
      <c r="N57" s="1"/>
      <c r="O57" s="1"/>
      <c r="P57" s="1"/>
      <c r="Q57" s="1"/>
    </row>
    <row r="58" spans="1:17" ht="22.5" customHeight="1">
      <c r="A58" s="1"/>
      <c r="B58" s="1"/>
      <c r="C58" s="1"/>
      <c r="D58" s="1"/>
      <c r="E58" s="1"/>
      <c r="F58" s="1"/>
      <c r="G58" s="1"/>
      <c r="H58" s="1"/>
      <c r="I58" s="1"/>
      <c r="J58" s="1"/>
      <c r="K58" s="1"/>
      <c r="L58" s="1"/>
      <c r="M58" s="1"/>
      <c r="N58" s="1"/>
      <c r="O58" s="1"/>
      <c r="P58" s="1"/>
      <c r="Q58" s="1"/>
    </row>
    <row r="59" spans="1:17" ht="22.5" customHeight="1">
      <c r="A59" s="1"/>
      <c r="B59" s="1"/>
      <c r="C59" s="1"/>
      <c r="D59" s="1"/>
      <c r="E59" s="1"/>
      <c r="F59" s="1"/>
      <c r="G59" s="1"/>
      <c r="H59" s="1"/>
      <c r="I59" s="1"/>
      <c r="J59" s="1"/>
      <c r="K59" s="1"/>
      <c r="L59" s="1"/>
      <c r="M59" s="1"/>
      <c r="N59" s="1"/>
      <c r="O59" s="1"/>
      <c r="P59" s="1"/>
      <c r="Q59" s="1"/>
    </row>
    <row r="60" spans="1:17" ht="22.5" customHeight="1">
      <c r="A60" s="1"/>
      <c r="B60" s="1"/>
      <c r="C60" s="1"/>
      <c r="D60" s="1"/>
      <c r="E60" s="1"/>
      <c r="F60" s="1"/>
      <c r="G60" s="1"/>
      <c r="H60" s="1"/>
      <c r="I60" s="1"/>
      <c r="J60" s="1"/>
      <c r="K60" s="1"/>
      <c r="L60" s="1"/>
      <c r="M60" s="1"/>
      <c r="N60" s="1"/>
      <c r="O60" s="1"/>
      <c r="P60" s="1"/>
      <c r="Q60" s="1"/>
    </row>
    <row r="61" spans="1:17" ht="22.5" customHeight="1">
      <c r="A61" s="1"/>
      <c r="B61" s="1"/>
      <c r="C61" s="1"/>
      <c r="D61" s="1"/>
      <c r="E61" s="1"/>
      <c r="F61" s="1"/>
      <c r="G61" s="1"/>
      <c r="H61" s="1"/>
      <c r="I61" s="1"/>
      <c r="J61" s="1"/>
      <c r="K61" s="1"/>
      <c r="L61" s="1"/>
      <c r="M61" s="1"/>
      <c r="N61" s="1"/>
      <c r="O61" s="1"/>
      <c r="P61" s="1"/>
      <c r="Q61" s="1"/>
    </row>
    <row r="62" spans="1:17" ht="22.5" customHeight="1">
      <c r="A62" s="1"/>
      <c r="B62" s="1"/>
      <c r="C62" s="1"/>
      <c r="D62" s="1"/>
      <c r="E62" s="1"/>
      <c r="F62" s="1"/>
      <c r="G62" s="1"/>
      <c r="H62" s="1"/>
      <c r="I62" s="1"/>
      <c r="J62" s="1"/>
      <c r="K62" s="1"/>
      <c r="L62" s="1"/>
      <c r="M62" s="1"/>
      <c r="N62" s="1"/>
      <c r="O62" s="1"/>
      <c r="P62" s="1"/>
      <c r="Q62" s="1"/>
    </row>
    <row r="63" spans="1:17" ht="22.5" customHeight="1">
      <c r="A63" s="1"/>
      <c r="B63" s="1"/>
      <c r="C63" s="1"/>
      <c r="D63" s="1"/>
      <c r="E63" s="1"/>
      <c r="F63" s="1"/>
      <c r="G63" s="1"/>
      <c r="H63" s="1"/>
      <c r="I63" s="1"/>
      <c r="J63" s="1"/>
      <c r="K63" s="1"/>
      <c r="L63" s="1"/>
      <c r="M63" s="1"/>
      <c r="N63" s="1"/>
      <c r="O63" s="1"/>
      <c r="P63" s="1"/>
      <c r="Q63" s="1"/>
    </row>
    <row r="64" spans="1:17" ht="22.5" customHeight="1">
      <c r="A64" s="1"/>
      <c r="B64" s="1"/>
      <c r="C64" s="1"/>
      <c r="D64" s="1"/>
      <c r="E64" s="1"/>
      <c r="F64" s="1"/>
      <c r="G64" s="1"/>
      <c r="H64" s="1"/>
      <c r="I64" s="1"/>
      <c r="J64" s="1"/>
      <c r="K64" s="1"/>
      <c r="L64" s="1"/>
      <c r="M64" s="1"/>
      <c r="N64" s="1"/>
      <c r="O64" s="1"/>
      <c r="P64" s="1"/>
      <c r="Q64" s="1"/>
    </row>
    <row r="65" spans="1:17" ht="22.5" customHeight="1">
      <c r="A65" s="1"/>
      <c r="B65" s="1"/>
      <c r="C65" s="1"/>
      <c r="D65" s="1"/>
      <c r="E65" s="1"/>
      <c r="F65" s="1"/>
      <c r="G65" s="1"/>
      <c r="H65" s="1"/>
      <c r="I65" s="1"/>
      <c r="J65" s="1"/>
      <c r="K65" s="1"/>
      <c r="L65" s="1"/>
      <c r="M65" s="1"/>
      <c r="N65" s="1"/>
      <c r="O65" s="1"/>
      <c r="P65" s="1"/>
      <c r="Q65" s="1"/>
    </row>
    <row r="66" spans="1:17" ht="22.5" customHeight="1">
      <c r="A66" s="1"/>
      <c r="B66" s="1"/>
      <c r="C66" s="1"/>
      <c r="D66" s="1"/>
      <c r="E66" s="1"/>
      <c r="F66" s="1"/>
      <c r="G66" s="1"/>
      <c r="H66" s="1"/>
      <c r="I66" s="1"/>
      <c r="J66" s="1"/>
      <c r="K66" s="1"/>
      <c r="L66" s="1"/>
      <c r="M66" s="1"/>
      <c r="N66" s="1"/>
      <c r="O66" s="1"/>
      <c r="P66" s="1"/>
      <c r="Q66" s="1"/>
    </row>
    <row r="67" spans="1:17" ht="22.5" customHeight="1">
      <c r="A67" s="1"/>
      <c r="B67" s="1"/>
      <c r="C67" s="1"/>
      <c r="D67" s="1"/>
      <c r="E67" s="1"/>
      <c r="F67" s="1"/>
      <c r="G67" s="1"/>
      <c r="H67" s="1"/>
      <c r="I67" s="1"/>
      <c r="J67" s="1"/>
      <c r="K67" s="1"/>
      <c r="L67" s="1"/>
      <c r="M67" s="1"/>
      <c r="N67" s="1"/>
      <c r="O67" s="1"/>
      <c r="P67" s="1"/>
      <c r="Q67" s="1"/>
    </row>
    <row r="68" spans="1:17" ht="22.5" customHeight="1">
      <c r="A68" s="1"/>
      <c r="B68" s="1"/>
      <c r="C68" s="1"/>
      <c r="D68" s="1"/>
      <c r="E68" s="1"/>
      <c r="F68" s="1"/>
      <c r="G68" s="1"/>
      <c r="H68" s="1"/>
      <c r="I68" s="1"/>
      <c r="J68" s="1"/>
      <c r="K68" s="1"/>
      <c r="L68" s="1"/>
      <c r="M68" s="1"/>
      <c r="N68" s="1"/>
      <c r="O68" s="1"/>
      <c r="P68" s="1"/>
      <c r="Q68" s="1"/>
    </row>
    <row r="69" spans="1:17" ht="22.5" customHeight="1">
      <c r="A69" s="1"/>
      <c r="B69" s="1"/>
      <c r="C69" s="1"/>
      <c r="D69" s="1"/>
      <c r="E69" s="1"/>
      <c r="F69" s="1"/>
      <c r="G69" s="1"/>
      <c r="H69" s="1"/>
      <c r="I69" s="1"/>
      <c r="J69" s="1"/>
      <c r="K69" s="1"/>
      <c r="L69" s="1"/>
      <c r="M69" s="1"/>
      <c r="N69" s="1"/>
      <c r="O69" s="1"/>
      <c r="P69" s="1"/>
      <c r="Q69" s="1"/>
    </row>
    <row r="70" spans="1:17" ht="22.5" customHeight="1">
      <c r="A70" s="1"/>
      <c r="B70" s="1"/>
      <c r="C70" s="1"/>
      <c r="D70" s="1"/>
      <c r="E70" s="1"/>
      <c r="F70" s="1"/>
      <c r="G70" s="1"/>
      <c r="H70" s="1"/>
      <c r="I70" s="1"/>
      <c r="J70" s="1"/>
      <c r="K70" s="1"/>
      <c r="L70" s="1"/>
      <c r="M70" s="1"/>
      <c r="N70" s="1"/>
      <c r="O70" s="1"/>
      <c r="P70" s="1"/>
      <c r="Q70" s="1"/>
    </row>
    <row r="71" spans="1:17" ht="22.5" customHeight="1">
      <c r="A71" s="1"/>
      <c r="B71" s="1"/>
      <c r="C71" s="1"/>
      <c r="D71" s="1"/>
      <c r="E71" s="1"/>
      <c r="F71" s="1"/>
      <c r="G71" s="1"/>
      <c r="H71" s="1"/>
      <c r="I71" s="1"/>
      <c r="J71" s="1"/>
      <c r="K71" s="1"/>
      <c r="L71" s="1"/>
      <c r="M71" s="1"/>
      <c r="N71" s="1"/>
      <c r="O71" s="1"/>
      <c r="P71" s="1"/>
      <c r="Q71" s="1"/>
    </row>
    <row r="72" spans="1:17" ht="22.5" customHeight="1">
      <c r="A72" s="1"/>
      <c r="B72" s="1"/>
      <c r="C72" s="1"/>
      <c r="D72" s="1"/>
      <c r="E72" s="1"/>
      <c r="F72" s="1"/>
      <c r="G72" s="1"/>
      <c r="H72" s="1"/>
      <c r="I72" s="1"/>
      <c r="J72" s="1"/>
      <c r="K72" s="1"/>
      <c r="L72" s="1"/>
      <c r="M72" s="1"/>
      <c r="N72" s="1"/>
      <c r="O72" s="1"/>
      <c r="P72" s="1"/>
      <c r="Q72" s="1"/>
    </row>
    <row r="73" spans="1:17" ht="22.5" customHeight="1">
      <c r="A73" s="1"/>
      <c r="B73" s="1"/>
      <c r="C73" s="1"/>
      <c r="D73" s="1"/>
      <c r="E73" s="1"/>
      <c r="F73" s="1"/>
      <c r="G73" s="1"/>
      <c r="H73" s="1"/>
      <c r="I73" s="1"/>
      <c r="J73" s="1"/>
      <c r="K73" s="1"/>
      <c r="L73" s="1"/>
      <c r="M73" s="1"/>
      <c r="N73" s="1"/>
      <c r="O73" s="1"/>
      <c r="P73" s="1"/>
      <c r="Q73" s="1"/>
    </row>
    <row r="74" spans="1:17" ht="22.5" customHeight="1">
      <c r="A74" s="1"/>
      <c r="B74" s="1"/>
      <c r="C74" s="1"/>
      <c r="D74" s="1"/>
      <c r="E74" s="1"/>
      <c r="F74" s="1"/>
      <c r="G74" s="1"/>
      <c r="H74" s="1"/>
      <c r="I74" s="1"/>
      <c r="J74" s="1"/>
      <c r="K74" s="1"/>
      <c r="L74" s="1"/>
      <c r="M74" s="1"/>
      <c r="N74" s="1"/>
      <c r="O74" s="1"/>
      <c r="P74" s="1"/>
      <c r="Q74" s="1"/>
    </row>
    <row r="75" spans="1:17" ht="22.5" customHeight="1">
      <c r="A75" s="1"/>
      <c r="B75" s="1"/>
      <c r="C75" s="1"/>
      <c r="D75" s="1"/>
      <c r="E75" s="1"/>
      <c r="F75" s="1"/>
      <c r="G75" s="1"/>
      <c r="H75" s="1"/>
      <c r="I75" s="1"/>
      <c r="J75" s="1"/>
      <c r="K75" s="1"/>
      <c r="L75" s="1"/>
      <c r="M75" s="1"/>
      <c r="N75" s="1"/>
      <c r="O75" s="1"/>
      <c r="P75" s="1"/>
      <c r="Q75" s="1"/>
    </row>
    <row r="76" spans="1:17" ht="22.5" customHeight="1">
      <c r="A76" s="1"/>
      <c r="B76" s="1"/>
      <c r="C76" s="1"/>
      <c r="D76" s="1"/>
      <c r="E76" s="1"/>
      <c r="F76" s="1"/>
      <c r="G76" s="1"/>
      <c r="H76" s="1"/>
      <c r="I76" s="1"/>
      <c r="J76" s="1"/>
      <c r="K76" s="1"/>
      <c r="L76" s="1"/>
      <c r="M76" s="1"/>
      <c r="N76" s="1"/>
      <c r="O76" s="1"/>
      <c r="P76" s="1"/>
      <c r="Q76" s="1"/>
    </row>
    <row r="77" spans="1:17" ht="22.5" customHeight="1">
      <c r="A77" s="1"/>
      <c r="B77" s="1"/>
      <c r="C77" s="1"/>
      <c r="D77" s="1"/>
      <c r="E77" s="1"/>
      <c r="F77" s="1"/>
      <c r="G77" s="1"/>
      <c r="H77" s="1"/>
      <c r="I77" s="1"/>
      <c r="J77" s="1"/>
      <c r="K77" s="1"/>
      <c r="L77" s="1"/>
      <c r="M77" s="1"/>
      <c r="N77" s="1"/>
      <c r="O77" s="1"/>
      <c r="P77" s="1"/>
      <c r="Q77" s="1"/>
    </row>
    <row r="78" spans="1:17" ht="22.5" customHeight="1">
      <c r="A78" s="1"/>
      <c r="B78" s="1"/>
      <c r="C78" s="1"/>
      <c r="D78" s="1"/>
      <c r="E78" s="1"/>
      <c r="F78" s="1"/>
      <c r="G78" s="1"/>
      <c r="H78" s="1"/>
      <c r="I78" s="1"/>
      <c r="J78" s="1"/>
      <c r="K78" s="1"/>
      <c r="L78" s="1"/>
      <c r="M78" s="1"/>
      <c r="N78" s="1"/>
      <c r="O78" s="1"/>
      <c r="P78" s="1"/>
      <c r="Q78" s="1"/>
    </row>
    <row r="79" spans="1:17" ht="22.5" customHeight="1">
      <c r="A79" s="1"/>
      <c r="B79" s="1"/>
      <c r="C79" s="1"/>
      <c r="D79" s="1"/>
      <c r="E79" s="1"/>
      <c r="F79" s="1"/>
      <c r="G79" s="1"/>
      <c r="H79" s="1"/>
      <c r="I79" s="1"/>
      <c r="J79" s="1"/>
      <c r="K79" s="1"/>
      <c r="L79" s="1"/>
      <c r="M79" s="1"/>
      <c r="N79" s="1"/>
      <c r="O79" s="1"/>
      <c r="P79" s="1"/>
      <c r="Q79" s="1"/>
    </row>
    <row r="80" spans="1:17" ht="22.5" customHeight="1">
      <c r="A80" s="1"/>
      <c r="B80" s="1"/>
      <c r="C80" s="1"/>
      <c r="D80" s="1"/>
      <c r="E80" s="1"/>
      <c r="F80" s="1"/>
      <c r="G80" s="1"/>
      <c r="H80" s="1"/>
      <c r="I80" s="1"/>
      <c r="J80" s="1"/>
      <c r="K80" s="1"/>
      <c r="L80" s="1"/>
      <c r="M80" s="1"/>
      <c r="N80" s="1"/>
      <c r="O80" s="1"/>
      <c r="P80" s="1"/>
      <c r="Q80" s="1"/>
    </row>
  </sheetData>
  <mergeCells count="29">
    <mergeCell ref="B53:C53"/>
    <mergeCell ref="E53:P53"/>
    <mergeCell ref="B11:P11"/>
    <mergeCell ref="B13:H13"/>
    <mergeCell ref="B22:C22"/>
    <mergeCell ref="F22:G22"/>
    <mergeCell ref="B23:C23"/>
    <mergeCell ref="F23:G23"/>
    <mergeCell ref="B8:C8"/>
    <mergeCell ref="F8:H8"/>
    <mergeCell ref="K8:N8"/>
    <mergeCell ref="O8:P8"/>
    <mergeCell ref="B9:C9"/>
    <mergeCell ref="F9:H9"/>
    <mergeCell ref="K9:N9"/>
    <mergeCell ref="O9:P9"/>
    <mergeCell ref="B6:C6"/>
    <mergeCell ref="F6:H6"/>
    <mergeCell ref="K6:N6"/>
    <mergeCell ref="O6:P6"/>
    <mergeCell ref="B7:C7"/>
    <mergeCell ref="F7:H7"/>
    <mergeCell ref="K7:N7"/>
    <mergeCell ref="O7:P7"/>
    <mergeCell ref="B2:P2"/>
    <mergeCell ref="B3:P3"/>
    <mergeCell ref="B5:D5"/>
    <mergeCell ref="F5:I5"/>
    <mergeCell ref="K5:P5"/>
  </mergeCells>
  <phoneticPr fontId="9" type="noConversion"/>
  <dataValidations count="4">
    <dataValidation type="decimal" operator="greaterThan" sqref="I6:I8" xr:uid="{00000000-0002-0000-0500-000000000000}">
      <formula1>0</formula1>
    </dataValidation>
    <dataValidation type="decimal" sqref="I9" xr:uid="{00000000-0002-0000-0500-000003000000}">
      <formula1>0</formula1>
      <formula2>0.9</formula2>
    </dataValidation>
    <dataValidation type="decimal" sqref="C15:C19" xr:uid="{00000000-0002-0000-0500-000004000000}">
      <formula1>0.1</formula1>
      <formula2>8</formula2>
    </dataValidation>
    <dataValidation type="whole" sqref="D53" xr:uid="{00000000-0002-0000-0500-000009000000}">
      <formula1>1</formula1>
      <formula2>1</formula2>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1CB5-45E7-4848-9CC2-99BB8DB20462}">
  <dimension ref="A1:D75"/>
  <sheetViews>
    <sheetView workbookViewId="0"/>
  </sheetViews>
  <sheetFormatPr defaultRowHeight="14"/>
  <sheetData>
    <row r="1" spans="1:4">
      <c r="A1" s="25" t="s">
        <v>76</v>
      </c>
      <c r="B1" s="25" t="s">
        <v>77</v>
      </c>
      <c r="C1" s="25" t="s">
        <v>78</v>
      </c>
      <c r="D1" s="25" t="s">
        <v>79</v>
      </c>
    </row>
    <row r="2" spans="1:4">
      <c r="A2" s="24" t="s">
        <v>80</v>
      </c>
      <c r="B2" s="24" t="s">
        <v>1</v>
      </c>
      <c r="C2" s="24" t="s">
        <v>81</v>
      </c>
      <c r="D2" s="24" t="str">
        <f>IF(Rally2!$E$1="English",B2,C2)</f>
        <v>发动机曲线</v>
      </c>
    </row>
    <row r="3" spans="1:4">
      <c r="A3" s="24" t="s">
        <v>82</v>
      </c>
      <c r="B3" s="24" t="s">
        <v>83</v>
      </c>
      <c r="C3" s="24" t="s">
        <v>84</v>
      </c>
      <c r="D3" s="24" t="str">
        <f>IF(Rally2!$E$1="English",B3,C3)</f>
        <v>挡位分布</v>
      </c>
    </row>
    <row r="4" spans="1:4">
      <c r="A4" s="24" t="s">
        <v>85</v>
      </c>
      <c r="B4" s="24" t="s">
        <v>71</v>
      </c>
      <c r="C4" s="24" t="s">
        <v>86</v>
      </c>
      <c r="D4" s="24" t="str">
        <f>IF(Rally2!$E$1="English",B4,C4)</f>
        <v>Rally1 · 挡位图</v>
      </c>
    </row>
    <row r="5" spans="1:4">
      <c r="A5" s="24" t="s">
        <v>87</v>
      </c>
      <c r="B5" s="24" t="s">
        <v>52</v>
      </c>
      <c r="C5" s="24" t="s">
        <v>88</v>
      </c>
      <c r="D5" s="24" t="str">
        <f>IF(Rally2!$E$1="English",B5,C5)</f>
        <v>Rally2 · 挡位图</v>
      </c>
    </row>
    <row r="6" spans="1:4">
      <c r="A6" s="24" t="s">
        <v>89</v>
      </c>
      <c r="B6" s="24" t="s">
        <v>72</v>
      </c>
      <c r="C6" s="24" t="s">
        <v>90</v>
      </c>
      <c r="D6" s="24" t="str">
        <f>IF(Rally2!$E$1="English",B6,C6)</f>
        <v>RX1 · 挡位图</v>
      </c>
    </row>
    <row r="7" spans="1:4">
      <c r="A7" s="24" t="s">
        <v>91</v>
      </c>
      <c r="B7" s="24" t="s">
        <v>73</v>
      </c>
      <c r="C7" s="24" t="s">
        <v>92</v>
      </c>
      <c r="D7" s="24" t="str">
        <f>IF(Rally2!$E$1="English",B7,C7)</f>
        <v>RX3 · 挡位图</v>
      </c>
    </row>
    <row r="8" spans="1:4">
      <c r="A8" s="24" t="s">
        <v>93</v>
      </c>
      <c r="B8" s="24" t="s">
        <v>94</v>
      </c>
      <c r="C8" s="24" t="s">
        <v>95</v>
      </c>
      <c r="D8" s="24" t="str">
        <f>IF(Rally2!$E$1="English",B8,C8)</f>
        <v>扭矩与功率</v>
      </c>
    </row>
    <row r="9" spans="1:4">
      <c r="A9" s="24" t="s">
        <v>96</v>
      </c>
      <c r="B9" s="24" t="s">
        <v>67</v>
      </c>
      <c r="C9" s="24" t="s">
        <v>97</v>
      </c>
      <c r="D9" s="24" t="str">
        <f>IF(Rally2!$E$1="English",B9,C9)</f>
        <v>WRC16 · 挡位图</v>
      </c>
    </row>
    <row r="10" spans="1:4">
      <c r="A10" s="24" t="s">
        <v>98</v>
      </c>
      <c r="B10" s="24" t="s">
        <v>70</v>
      </c>
      <c r="C10" s="24" t="s">
        <v>99</v>
      </c>
      <c r="D10" s="24" t="str">
        <f>IF(Rally2!$E$1="English",B10,C10)</f>
        <v>WRC17 · 挡位图</v>
      </c>
    </row>
    <row r="11" spans="1:4">
      <c r="A11" s="24" t="s">
        <v>100</v>
      </c>
      <c r="B11" s="24" t="s">
        <v>55</v>
      </c>
      <c r="C11" s="24" t="s">
        <v>101</v>
      </c>
      <c r="D11" s="24" t="str">
        <f>IF(Rally2!$E$1="English",B11,C11)</f>
        <v>换挡后 (rpm)</v>
      </c>
    </row>
    <row r="12" spans="1:4">
      <c r="A12" s="24" t="s">
        <v>102</v>
      </c>
      <c r="B12" s="24" t="s">
        <v>22</v>
      </c>
      <c r="C12" s="24" t="s">
        <v>103</v>
      </c>
      <c r="D12" s="24" t="str">
        <f>IF(Rally2!$E$1="English",B12,C12)</f>
        <v>换挡后
(rpm)</v>
      </c>
    </row>
    <row r="13" spans="1:4">
      <c r="A13" s="24" t="s">
        <v>104</v>
      </c>
      <c r="B13" s="24" t="s">
        <v>2</v>
      </c>
      <c r="C13" s="24" t="s">
        <v>105</v>
      </c>
      <c r="D13" s="24" t="str">
        <f>IF(Rally2!$E$1="English",B13,C13)</f>
        <v>标定依据</v>
      </c>
    </row>
    <row r="14" spans="1:4">
      <c r="A14" s="24" t="s">
        <v>106</v>
      </c>
      <c r="B14" s="24" t="s">
        <v>41</v>
      </c>
      <c r="C14" s="24" t="s">
        <v>107</v>
      </c>
      <c r="D14" s="24" t="str">
        <f>IF(Rally2!$E$1="English",B14,C14)</f>
        <v>发动机曲线采样</v>
      </c>
    </row>
    <row r="15" spans="1:4">
      <c r="A15" s="24" t="s">
        <v>108</v>
      </c>
      <c r="B15" s="24" t="s">
        <v>8</v>
      </c>
      <c r="C15" s="24" t="s">
        <v>109</v>
      </c>
      <c r="D15" s="24" t="str">
        <f>IF(Rally2!$E$1="English",B15,C15)</f>
        <v>发动机 + 飞轮转动惯量 (kg m²)</v>
      </c>
    </row>
    <row r="16" spans="1:4">
      <c r="A16" s="24" t="s">
        <v>110</v>
      </c>
      <c r="B16" s="24" t="s">
        <v>111</v>
      </c>
      <c r="C16" s="24" t="s">
        <v>112</v>
      </c>
      <c r="D16" s="24" t="str">
        <f>IF(Rally2!$E$1="English",B16,C16)</f>
        <v>发动机转速 (rpm)</v>
      </c>
    </row>
    <row r="17" spans="1:4">
      <c r="A17" s="24" t="s">
        <v>113</v>
      </c>
      <c r="B17" s="24" t="s">
        <v>11</v>
      </c>
      <c r="C17" s="24" t="s">
        <v>114</v>
      </c>
      <c r="D17" s="24" t="str">
        <f>IF(Rally2!$E$1="English",B17,C17)</f>
        <v>主减速比</v>
      </c>
    </row>
    <row r="18" spans="1:4">
      <c r="A18" s="24" t="s">
        <v>115</v>
      </c>
      <c r="B18" s="24" t="s">
        <v>24</v>
      </c>
      <c r="C18" s="24" t="s">
        <v>116</v>
      </c>
      <c r="D18" s="24" t="str">
        <f>IF(Rally2!$E$1="English",B18,C18)</f>
        <v>首灯亮起
(rpm)</v>
      </c>
    </row>
    <row r="19" spans="1:4">
      <c r="A19" s="24" t="s">
        <v>117</v>
      </c>
      <c r="B19" s="24" t="s">
        <v>53</v>
      </c>
      <c r="C19" s="24" t="s">
        <v>118</v>
      </c>
      <c r="D19" s="24" t="str">
        <f>IF(Rally2!$E$1="English",B19,C19)</f>
        <v>闪烁 (rpm)</v>
      </c>
    </row>
    <row r="20" spans="1:4">
      <c r="A20" s="24" t="s">
        <v>119</v>
      </c>
      <c r="B20" s="24" t="s">
        <v>21</v>
      </c>
      <c r="C20" s="24" t="s">
        <v>120</v>
      </c>
      <c r="D20" s="24" t="str">
        <f>IF(Rally2!$E$1="English",B20,C20)</f>
        <v>闪烁
(rpm)</v>
      </c>
    </row>
    <row r="21" spans="1:4">
      <c r="A21" s="24" t="s">
        <v>121</v>
      </c>
      <c r="B21" s="24" t="s">
        <v>19</v>
      </c>
      <c r="C21" s="24" t="s">
        <v>122</v>
      </c>
      <c r="D21" s="24" t="str">
        <f>IF(Rally2!$E$1="English",B21,C21)</f>
        <v>挡位</v>
      </c>
    </row>
    <row r="22" spans="1:4">
      <c r="A22" s="24" t="s">
        <v>123</v>
      </c>
      <c r="B22" s="24" t="s">
        <v>62</v>
      </c>
      <c r="C22" s="24" t="s">
        <v>124</v>
      </c>
      <c r="D22" s="24" t="str">
        <f>IF(Rally2!$E$1="English",B22,C22)</f>
        <v>5 挡</v>
      </c>
    </row>
    <row r="23" spans="1:4">
      <c r="A23" s="24" t="s">
        <v>125</v>
      </c>
      <c r="B23" s="24" t="s">
        <v>61</v>
      </c>
      <c r="C23" s="24" t="s">
        <v>126</v>
      </c>
      <c r="D23" s="24" t="str">
        <f>IF(Rally2!$E$1="English",B23,C23)</f>
        <v>4 挡</v>
      </c>
    </row>
    <row r="24" spans="1:4">
      <c r="A24" s="24" t="s">
        <v>127</v>
      </c>
      <c r="B24" s="24" t="s">
        <v>33</v>
      </c>
      <c r="C24" s="24" t="s">
        <v>128</v>
      </c>
      <c r="D24" s="24" t="str">
        <f>IF(Rally2!$E$1="English",B24,C24)</f>
        <v>齿轮组</v>
      </c>
    </row>
    <row r="25" spans="1:4">
      <c r="A25" s="24" t="s">
        <v>129</v>
      </c>
      <c r="B25" s="24" t="s">
        <v>58</v>
      </c>
      <c r="C25" s="24" t="s">
        <v>130</v>
      </c>
      <c r="D25" s="24" t="str">
        <f>IF(Rally2!$E$1="English",B25,C25)</f>
        <v>1 挡</v>
      </c>
    </row>
    <row r="26" spans="1:4">
      <c r="A26" s="24" t="s">
        <v>131</v>
      </c>
      <c r="B26" s="24" t="s">
        <v>20</v>
      </c>
      <c r="C26" s="24" t="s">
        <v>132</v>
      </c>
      <c r="D26" s="24" t="str">
        <f>IF(Rally2!$E$1="English",B26,C26)</f>
        <v>齿比</v>
      </c>
    </row>
    <row r="27" spans="1:4">
      <c r="A27" s="24" t="s">
        <v>133</v>
      </c>
      <c r="B27" s="24" t="s">
        <v>68</v>
      </c>
      <c r="C27" s="24" t="s">
        <v>134</v>
      </c>
      <c r="D27" s="24" t="str">
        <f>IF(Rally2!$E$1="English",B27,C27)</f>
        <v>6 挡</v>
      </c>
    </row>
    <row r="28" spans="1:4">
      <c r="A28" s="24" t="s">
        <v>135</v>
      </c>
      <c r="B28" s="24" t="s">
        <v>60</v>
      </c>
      <c r="C28" s="24" t="s">
        <v>136</v>
      </c>
      <c r="D28" s="24" t="str">
        <f>IF(Rally2!$E$1="English",B28,C28)</f>
        <v>3 挡</v>
      </c>
    </row>
    <row r="29" spans="1:4">
      <c r="A29" s="24" t="s">
        <v>137</v>
      </c>
      <c r="B29" s="24" t="s">
        <v>59</v>
      </c>
      <c r="C29" s="24" t="s">
        <v>138</v>
      </c>
      <c r="D29" s="24" t="str">
        <f>IF(Rally2!$E$1="English",B29,C29)</f>
        <v>2 挡</v>
      </c>
    </row>
    <row r="30" spans="1:4">
      <c r="A30" s="24" t="s">
        <v>139</v>
      </c>
      <c r="B30" s="24" t="s">
        <v>32</v>
      </c>
      <c r="C30" s="24" t="s">
        <v>140</v>
      </c>
      <c r="D30" s="24" t="str">
        <f>IF(Rally2!$E$1="English",B30,C30)</f>
        <v>变速箱动态阻力 (Nm s)</v>
      </c>
    </row>
    <row r="31" spans="1:4">
      <c r="A31" s="24" t="s">
        <v>141</v>
      </c>
      <c r="B31" s="24" t="s">
        <v>31</v>
      </c>
      <c r="C31" s="24" t="s">
        <v>142</v>
      </c>
      <c r="D31" s="24" t="str">
        <f>IF(Rally2!$E$1="English",B31,C31)</f>
        <v>变速箱摩擦阻力 (Nm)</v>
      </c>
    </row>
    <row r="32" spans="1:4">
      <c r="A32" s="24" t="s">
        <v>143</v>
      </c>
      <c r="B32" s="24" t="s">
        <v>14</v>
      </c>
      <c r="C32" s="24" t="s">
        <v>144</v>
      </c>
      <c r="D32" s="24" t="str">
        <f>IF(Rally2!$E$1="English",B32,C32)</f>
        <v>变速箱扭矩损失</v>
      </c>
    </row>
    <row r="33" spans="1:4">
      <c r="A33" s="24" t="s">
        <v>145</v>
      </c>
      <c r="B33" s="24" t="s">
        <v>38</v>
      </c>
      <c r="C33" s="24" t="s">
        <v>146</v>
      </c>
      <c r="D33" s="24" t="str">
        <f>IF(Rally2!$E$1="English",B33,C33)</f>
        <v>第 1 组 · RX1</v>
      </c>
    </row>
    <row r="34" spans="1:4">
      <c r="A34" s="24" t="s">
        <v>147</v>
      </c>
      <c r="B34" s="24" t="s">
        <v>148</v>
      </c>
      <c r="C34" s="24" t="s">
        <v>149</v>
      </c>
      <c r="D34" s="24" t="str">
        <f>IF(Rally2!$E$1="English",B34,C34)</f>
        <v>第 1 组 · RX1 占位</v>
      </c>
    </row>
    <row r="35" spans="1:4">
      <c r="A35" s="24" t="s">
        <v>150</v>
      </c>
      <c r="B35" s="24" t="s">
        <v>17</v>
      </c>
      <c r="C35" s="24" t="s">
        <v>151</v>
      </c>
      <c r="D35" s="24" t="str">
        <f>IF(Rally2!$E$1="English",B35,C35)</f>
        <v>第 1 组 · Type-A / 柏油</v>
      </c>
    </row>
    <row r="36" spans="1:4">
      <c r="A36" s="24" t="s">
        <v>152</v>
      </c>
      <c r="B36" s="24" t="s">
        <v>18</v>
      </c>
      <c r="C36" s="24" t="s">
        <v>153</v>
      </c>
      <c r="D36" s="24" t="str">
        <f>IF(Rally2!$E$1="English",B36,C36)</f>
        <v>第 2 组 · Type-B / 砂石</v>
      </c>
    </row>
    <row r="37" spans="1:4">
      <c r="A37" s="24" t="s">
        <v>154</v>
      </c>
      <c r="B37" s="24" t="s">
        <v>12</v>
      </c>
      <c r="C37" s="24" t="s">
        <v>155</v>
      </c>
      <c r="D37" s="24" t="str">
        <f>IF(Rally2!$E$1="English",B37,C37)</f>
        <v>亮灯范围 (rpm)</v>
      </c>
    </row>
    <row r="38" spans="1:4">
      <c r="A38" s="24" t="s">
        <v>156</v>
      </c>
      <c r="B38" s="24" t="s">
        <v>56</v>
      </c>
      <c r="C38" s="24" t="s">
        <v>157</v>
      </c>
      <c r="D38" s="24" t="str">
        <f>IF(Rally2!$E$1="English",B38,C38)</f>
        <v>限转车速 (km/h)</v>
      </c>
    </row>
    <row r="39" spans="1:4">
      <c r="A39" s="24" t="s">
        <v>158</v>
      </c>
      <c r="B39" s="24" t="s">
        <v>28</v>
      </c>
      <c r="C39" s="24" t="s">
        <v>159</v>
      </c>
      <c r="D39" s="24" t="str">
        <f>IF(Rally2!$E$1="English",B39,C39)</f>
        <v>限转</v>
      </c>
    </row>
    <row r="40" spans="1:4">
      <c r="A40" s="24" t="s">
        <v>160</v>
      </c>
      <c r="B40" s="24" t="s">
        <v>6</v>
      </c>
      <c r="C40" s="24" t="s">
        <v>161</v>
      </c>
      <c r="D40" s="24" t="str">
        <f>IF(Rally2!$E$1="English",B40,C40)</f>
        <v>空挡闪烁 (rpm)</v>
      </c>
    </row>
    <row r="41" spans="1:4">
      <c r="A41" s="24" t="s">
        <v>162</v>
      </c>
      <c r="B41" s="24" t="s">
        <v>4</v>
      </c>
      <c r="C41" s="24" t="s">
        <v>163</v>
      </c>
      <c r="D41" s="24" t="str">
        <f>IF(Rally2!$E$1="English",B41,C41)</f>
        <v>峰值功率 (hp)</v>
      </c>
    </row>
    <row r="42" spans="1:4">
      <c r="A42" s="24" t="s">
        <v>164</v>
      </c>
      <c r="B42" s="24" t="s">
        <v>10</v>
      </c>
      <c r="C42" s="24" t="s">
        <v>165</v>
      </c>
      <c r="D42" s="24" t="str">
        <f>IF(Rally2!$E$1="English",B42,C42)</f>
        <v>峰值扭矩 (Nm)</v>
      </c>
    </row>
    <row r="43" spans="1:4">
      <c r="A43" s="24" t="s">
        <v>166</v>
      </c>
      <c r="B43" s="24" t="s">
        <v>46</v>
      </c>
      <c r="C43" s="24" t="s">
        <v>167</v>
      </c>
      <c r="D43" s="24" t="str">
        <f>IF(Rally2!$E$1="English",B43,C43)</f>
        <v>功率 (hp)</v>
      </c>
    </row>
    <row r="44" spans="1:4">
      <c r="A44" s="24" t="s">
        <v>168</v>
      </c>
      <c r="B44" s="24" t="s">
        <v>7</v>
      </c>
      <c r="C44" s="24" t="s">
        <v>169</v>
      </c>
      <c r="D44" s="24" t="str">
        <f>IF(Rally2!$E$1="English",B44,C44)</f>
        <v>功率峰值转速 (rpm)</v>
      </c>
    </row>
    <row r="45" spans="1:4">
      <c r="A45" s="24" t="s">
        <v>170</v>
      </c>
      <c r="B45" s="24" t="s">
        <v>171</v>
      </c>
      <c r="C45" s="24" t="s">
        <v>172</v>
      </c>
      <c r="D45" s="24" t="str">
        <f>IF(Rally2!$E$1="English",B45,C45)</f>
        <v>车速 (km/h)</v>
      </c>
    </row>
    <row r="46" spans="1:4">
      <c r="A46" s="24" t="s">
        <v>173</v>
      </c>
      <c r="B46" s="24" t="s">
        <v>15</v>
      </c>
      <c r="C46" s="24" t="s">
        <v>174</v>
      </c>
      <c r="D46" s="24" t="str">
        <f>IF(Rally2!$E$1="English",B46,C46)</f>
        <v>取整步长 (rpm)</v>
      </c>
    </row>
    <row r="47" spans="1:4">
      <c r="A47" s="24" t="s">
        <v>175</v>
      </c>
      <c r="B47" s="24" t="s">
        <v>5</v>
      </c>
      <c r="C47" s="24" t="s">
        <v>176</v>
      </c>
      <c r="D47" s="24" t="str">
        <f>IF(Rally2!$E$1="English",B47,C47)</f>
        <v>运行质量 (kg)</v>
      </c>
    </row>
    <row r="48" spans="1:4">
      <c r="A48" s="24" t="s">
        <v>177</v>
      </c>
      <c r="B48" s="24" t="s">
        <v>26</v>
      </c>
      <c r="C48" s="24" t="s">
        <v>178</v>
      </c>
      <c r="D48" s="24" t="str">
        <f>IF(Rally2!$E$1="English",B48,C48)</f>
        <v>换挡</v>
      </c>
    </row>
    <row r="49" spans="1:4">
      <c r="A49" s="24" t="s">
        <v>179</v>
      </c>
      <c r="B49" s="24" t="s">
        <v>180</v>
      </c>
      <c r="C49" s="24" t="s">
        <v>181</v>
      </c>
      <c r="D49" s="24" t="str">
        <f>IF(Rally2!$E$1="English",B49,C49)</f>
        <v>5 升 6 挡</v>
      </c>
    </row>
    <row r="50" spans="1:4">
      <c r="A50" s="24" t="s">
        <v>182</v>
      </c>
      <c r="B50" s="24" t="s">
        <v>183</v>
      </c>
      <c r="C50" s="24" t="s">
        <v>184</v>
      </c>
      <c r="D50" s="24" t="str">
        <f>IF(Rally2!$E$1="English",B50,C50)</f>
        <v>4 升 5 挡</v>
      </c>
    </row>
    <row r="51" spans="1:4">
      <c r="A51" s="24" t="s">
        <v>185</v>
      </c>
      <c r="B51" s="24" t="s">
        <v>54</v>
      </c>
      <c r="C51" s="24" t="s">
        <v>186</v>
      </c>
      <c r="D51" s="24" t="str">
        <f>IF(Rally2!$E$1="English",B51,C51)</f>
        <v>换挡车速 (km/h)</v>
      </c>
    </row>
    <row r="52" spans="1:4">
      <c r="A52" s="24" t="s">
        <v>187</v>
      </c>
      <c r="B52" s="24" t="s">
        <v>3</v>
      </c>
      <c r="C52" s="24" t="s">
        <v>188</v>
      </c>
      <c r="D52" s="24" t="str">
        <f>IF(Rally2!$E$1="English",B52,C52)</f>
        <v>换挡灯</v>
      </c>
    </row>
    <row r="53" spans="1:4">
      <c r="A53" s="24" t="s">
        <v>189</v>
      </c>
      <c r="B53" s="24" t="s">
        <v>190</v>
      </c>
      <c r="C53" s="24" t="s">
        <v>191</v>
      </c>
      <c r="D53" s="24" t="str">
        <f>IF(Rally2!$E$1="English",B53,C53)</f>
        <v>1 升 2 挡</v>
      </c>
    </row>
    <row r="54" spans="1:4">
      <c r="A54" s="24" t="s">
        <v>192</v>
      </c>
      <c r="B54" s="24" t="s">
        <v>193</v>
      </c>
      <c r="C54" s="24" t="s">
        <v>194</v>
      </c>
      <c r="D54" s="24" t="str">
        <f>IF(Rally2!$E$1="English",B54,C54)</f>
        <v>3 升 4 挡</v>
      </c>
    </row>
    <row r="55" spans="1:4">
      <c r="A55" s="24" t="s">
        <v>195</v>
      </c>
      <c r="B55" s="24" t="s">
        <v>196</v>
      </c>
      <c r="C55" s="24" t="s">
        <v>197</v>
      </c>
      <c r="D55" s="24" t="str">
        <f>IF(Rally2!$E$1="English",B55,C55)</f>
        <v>2 升 3 挡</v>
      </c>
    </row>
    <row r="56" spans="1:4">
      <c r="A56" s="24" t="s">
        <v>198</v>
      </c>
      <c r="B56" s="24" t="s">
        <v>23</v>
      </c>
      <c r="C56" s="24" t="s">
        <v>199</v>
      </c>
      <c r="D56" s="24" t="str">
        <f>IF(Rally2!$E$1="English",B56,C56)</f>
        <v>车速
(km/h)</v>
      </c>
    </row>
    <row r="57" spans="1:4">
      <c r="A57" s="24" t="s">
        <v>200</v>
      </c>
      <c r="B57" s="24" t="s">
        <v>9</v>
      </c>
      <c r="C57" s="24" t="s">
        <v>201</v>
      </c>
      <c r="D57" s="24" t="str">
        <f>IF(Rally2!$E$1="English",B57,C57)</f>
        <v>最高挡 / 限转 (rpm)</v>
      </c>
    </row>
    <row r="58" spans="1:4">
      <c r="A58" s="24" t="s">
        <v>202</v>
      </c>
      <c r="B58" s="24" t="s">
        <v>45</v>
      </c>
      <c r="C58" s="24" t="s">
        <v>203</v>
      </c>
      <c r="D58" s="24" t="str">
        <f>IF(Rally2!$E$1="English",B58,C58)</f>
        <v>扭矩 (Nm)</v>
      </c>
    </row>
    <row r="59" spans="1:4">
      <c r="A59" s="24" t="s">
        <v>204</v>
      </c>
      <c r="B59" s="24" t="s">
        <v>13</v>
      </c>
      <c r="C59" s="24" t="s">
        <v>205</v>
      </c>
      <c r="D59" s="24" t="str">
        <f>IF(Rally2!$E$1="English",B59,C59)</f>
        <v>峰值扭矩转速 (rpm)</v>
      </c>
    </row>
    <row r="60" spans="1:4">
      <c r="A60" s="24" t="s">
        <v>206</v>
      </c>
      <c r="B60" s="24" t="s">
        <v>25</v>
      </c>
      <c r="C60" s="24" t="s">
        <v>207</v>
      </c>
      <c r="D60" s="24" t="str">
        <f>IF(Rally2!$E$1="English",B60,C60)</f>
        <v>触发条件</v>
      </c>
    </row>
    <row r="61" spans="1:4">
      <c r="A61" s="24" t="s">
        <v>208</v>
      </c>
      <c r="B61" s="24" t="s">
        <v>29</v>
      </c>
      <c r="C61" s="24" t="s">
        <v>209</v>
      </c>
      <c r="D61" s="24" t="str">
        <f>IF(Rally2!$E$1="English",B61,C61)</f>
        <v>轮胎半径 (m)</v>
      </c>
    </row>
    <row r="62" spans="1:4">
      <c r="A62" s="24" t="s">
        <v>210</v>
      </c>
      <c r="B62" s="24" t="s">
        <v>30</v>
      </c>
      <c r="C62" s="24" t="s">
        <v>211</v>
      </c>
      <c r="D62" s="24" t="str">
        <f>IF(Rally2!$E$1="English",B62,C62)</f>
        <v>车轮转动惯量 I (kg m²)</v>
      </c>
    </row>
    <row r="63" spans="1:4">
      <c r="A63" s="24" t="s">
        <v>212</v>
      </c>
      <c r="B63" s="24" t="s">
        <v>234</v>
      </c>
      <c r="C63" s="24" t="s">
        <v>235</v>
      </c>
      <c r="D63" s="24" t="str">
        <f>IF(Rally2!$E$1="English",B63,C63)</f>
        <v>2022 预测曲线</v>
      </c>
    </row>
    <row r="64" spans="1:4">
      <c r="A64" s="24" t="s">
        <v>213</v>
      </c>
      <c r="B64" s="24" t="s">
        <v>42</v>
      </c>
      <c r="C64" s="24" t="s">
        <v>214</v>
      </c>
      <c r="D64" s="24" t="str">
        <f>IF(Rally2!$E$1="English",B64,C64)</f>
        <v>500 rpm 间隔 · 保留峰值点</v>
      </c>
    </row>
    <row r="65" spans="1:4">
      <c r="A65" s="24" t="s">
        <v>215</v>
      </c>
      <c r="B65" s="24" t="s">
        <v>40</v>
      </c>
      <c r="C65" s="24" t="s">
        <v>216</v>
      </c>
      <c r="D65" s="24" t="str">
        <f>IF(Rally2!$E$1="English",B65,C65)</f>
        <v>RX1 占位 · 五挡</v>
      </c>
    </row>
    <row r="66" spans="1:4">
      <c r="A66" s="24" t="s">
        <v>217</v>
      </c>
      <c r="B66" s="24" t="s">
        <v>51</v>
      </c>
      <c r="C66" s="24" t="s">
        <v>218</v>
      </c>
      <c r="D66" s="24" t="str">
        <f>IF(Rally2!$E$1="English",B66,C66)</f>
        <v>RX3 · RX1 占位</v>
      </c>
    </row>
    <row r="67" spans="1:4">
      <c r="A67" s="24" t="s">
        <v>219</v>
      </c>
      <c r="B67" s="24" t="s">
        <v>220</v>
      </c>
      <c r="C67" s="24" t="s">
        <v>16</v>
      </c>
      <c r="D67" s="24" t="str">
        <f>IF(Rally2!$E$1="English",B67,C67)</f>
        <v>黄色单元格为手动输入。</v>
      </c>
    </row>
    <row r="68" spans="1:4">
      <c r="A68" s="24" t="s">
        <v>221</v>
      </c>
      <c r="B68" s="24" t="s">
        <v>36</v>
      </c>
      <c r="C68" s="24" t="s">
        <v>222</v>
      </c>
      <c r="D68" s="24" t="str">
        <f>IF(Rally2!$E$1="English",B68,C68)</f>
        <v>Rally1 · 齿比与换挡灯</v>
      </c>
    </row>
    <row r="69" spans="1:4">
      <c r="A69" s="24" t="s">
        <v>223</v>
      </c>
      <c r="B69" s="24" t="s">
        <v>0</v>
      </c>
      <c r="C69" s="24" t="s">
        <v>224</v>
      </c>
      <c r="D69" s="24" t="str">
        <f>IF(Rally2!$E$1="English",B69,C69)</f>
        <v>Rally2 · 齿比与换挡灯</v>
      </c>
    </row>
    <row r="70" spans="1:4">
      <c r="A70" s="24" t="s">
        <v>225</v>
      </c>
      <c r="B70" s="24" t="s">
        <v>37</v>
      </c>
      <c r="C70" s="24" t="s">
        <v>226</v>
      </c>
      <c r="D70" s="24" t="str">
        <f>IF(Rally2!$E$1="English",B70,C70)</f>
        <v>RX1 · 齿比与换挡灯</v>
      </c>
    </row>
    <row r="71" spans="1:4">
      <c r="A71" s="24" t="s">
        <v>227</v>
      </c>
      <c r="B71" s="24" t="s">
        <v>39</v>
      </c>
      <c r="C71" s="24" t="s">
        <v>228</v>
      </c>
      <c r="D71" s="24" t="str">
        <f>IF(Rally2!$E$1="English",B71,C71)</f>
        <v>RX3 · 齿比与换挡灯</v>
      </c>
    </row>
    <row r="72" spans="1:4">
      <c r="A72" s="24" t="s">
        <v>229</v>
      </c>
      <c r="B72" s="24" t="s">
        <v>34</v>
      </c>
      <c r="C72" s="24" t="s">
        <v>230</v>
      </c>
      <c r="D72" s="24" t="str">
        <f>IF(Rally2!$E$1="English",B72,C72)</f>
        <v>WRC16 · 齿比与换挡灯</v>
      </c>
    </row>
    <row r="73" spans="1:4">
      <c r="A73" s="24" t="s">
        <v>231</v>
      </c>
      <c r="B73" s="24" t="s">
        <v>35</v>
      </c>
      <c r="C73" s="24" t="s">
        <v>232</v>
      </c>
      <c r="D73" s="24" t="str">
        <f>IF(Rally2!$E$1="English",B73,C73)</f>
        <v>WRC17 · 齿比与换挡灯</v>
      </c>
    </row>
    <row r="74" spans="1:4">
      <c r="A74" s="24" t="s">
        <v>236</v>
      </c>
      <c r="B74" s="24" t="s">
        <v>237</v>
      </c>
      <c r="C74" s="24" t="s">
        <v>238</v>
      </c>
      <c r="D74" s="24" t="str">
        <f>IF(Rally2!$E$1="English",B74,C74)</f>
        <v>25R1 · 齿比与换挡灯</v>
      </c>
    </row>
    <row r="75" spans="1:4">
      <c r="A75" s="24" t="s">
        <v>239</v>
      </c>
      <c r="B75" s="24" t="s">
        <v>240</v>
      </c>
      <c r="C75" s="24" t="s">
        <v>241</v>
      </c>
      <c r="D75" s="24" t="str">
        <f>IF(Rally2!$E$1="English",B75,C75)</f>
        <v>25R1 · 档位图</v>
      </c>
    </row>
  </sheetData>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4137-6642-4A91-8652-B3A7E5271179}">
  <sheetPr>
    <tabColor rgb="FF93A0AC"/>
  </sheetPr>
  <dimension ref="A1:M493"/>
  <sheetViews>
    <sheetView showGridLines="0" workbookViewId="0">
      <pane ySplit="3" topLeftCell="A4" activePane="bottomLeft" state="frozen"/>
      <selection pane="bottomLeft"/>
    </sheetView>
  </sheetViews>
  <sheetFormatPr defaultRowHeight="14"/>
  <cols>
    <col min="1" max="1" width="3" customWidth="1"/>
    <col min="2" max="5" width="19.4140625" customWidth="1"/>
    <col min="6" max="13" width="13.75" customWidth="1"/>
  </cols>
  <sheetData>
    <row r="1" spans="1:13" ht="22.5" customHeight="1">
      <c r="A1" s="1"/>
      <c r="B1" s="36" t="str">
        <f>VLOOKUP("label.engineCurveSamples",Locale!$A$2:$D$73,4,FALSE)</f>
        <v>发动机曲线采样</v>
      </c>
      <c r="C1" s="36"/>
      <c r="D1" s="36"/>
      <c r="E1" s="36"/>
      <c r="F1" s="1"/>
      <c r="G1" s="1"/>
      <c r="H1" s="1"/>
      <c r="I1" s="1"/>
      <c r="J1" s="1"/>
      <c r="K1" s="1"/>
      <c r="L1" s="1"/>
      <c r="M1" s="1"/>
    </row>
    <row r="2" spans="1:13" ht="22.5" customHeight="1">
      <c r="A2" s="1"/>
      <c r="B2" s="37" t="str">
        <f>VLOOKUP("note.rpmSampleSpacing",Locale!$A$2:$D$73,4,FALSE)</f>
        <v>500 rpm 间隔 · 保留峰值点</v>
      </c>
      <c r="C2" s="37"/>
      <c r="D2" s="37"/>
      <c r="E2" s="37"/>
      <c r="F2" s="1"/>
      <c r="G2" s="1"/>
      <c r="H2" s="1"/>
      <c r="I2" s="1"/>
      <c r="J2" s="1"/>
      <c r="K2" s="1"/>
      <c r="L2" s="1"/>
      <c r="M2" s="1"/>
    </row>
    <row r="3" spans="1:13" ht="22.5" customHeight="1">
      <c r="A3" s="1"/>
      <c r="B3" s="1"/>
      <c r="C3" s="1"/>
      <c r="D3" s="1"/>
      <c r="E3" s="1"/>
      <c r="F3" s="1"/>
      <c r="G3" s="1"/>
      <c r="H3" s="1"/>
      <c r="I3" s="1"/>
      <c r="J3" s="1"/>
      <c r="K3" s="1"/>
      <c r="L3" s="1"/>
      <c r="M3" s="1"/>
    </row>
    <row r="4" spans="1:13" ht="22.5" customHeight="1">
      <c r="A4" s="1"/>
      <c r="B4" s="1"/>
      <c r="C4" s="1"/>
      <c r="D4" s="1"/>
      <c r="E4" s="1"/>
      <c r="F4" s="1"/>
      <c r="G4" s="1"/>
      <c r="H4" s="1"/>
      <c r="I4" s="1"/>
      <c r="J4" s="1"/>
      <c r="K4" s="1"/>
      <c r="L4" s="1"/>
      <c r="M4" s="1"/>
    </row>
    <row r="5" spans="1:13" ht="32" customHeight="1">
      <c r="A5" s="1"/>
      <c r="B5" s="29" t="s">
        <v>43</v>
      </c>
      <c r="C5" s="29"/>
      <c r="D5" s="29"/>
      <c r="E5" s="29"/>
      <c r="F5" s="1"/>
      <c r="G5" s="1"/>
      <c r="H5" s="1"/>
      <c r="I5" s="1"/>
      <c r="J5" s="1"/>
      <c r="K5" s="1"/>
      <c r="L5" s="1"/>
      <c r="M5" s="1"/>
    </row>
    <row r="6" spans="1:13" ht="32" customHeight="1">
      <c r="A6" s="1"/>
      <c r="B6" s="2" t="s">
        <v>44</v>
      </c>
      <c r="C6" s="2" t="str">
        <f>VLOOKUP("label.torqueNm",Locale!$A$2:$D$73,4,FALSE)</f>
        <v>扭矩 (Nm)</v>
      </c>
      <c r="D6" s="2" t="str">
        <f>VLOOKUP("label.powerHp",Locale!$A$2:$D$73,4,FALSE)</f>
        <v>功率 (hp)</v>
      </c>
      <c r="E6" s="1"/>
      <c r="F6" s="1"/>
      <c r="G6" s="1"/>
      <c r="H6" s="1"/>
      <c r="I6" s="1"/>
      <c r="J6" s="1"/>
      <c r="K6" s="1"/>
      <c r="L6" s="1"/>
      <c r="M6" s="1"/>
    </row>
    <row r="7" spans="1:13" ht="22.5" customHeight="1">
      <c r="A7" s="1"/>
      <c r="B7" s="1">
        <v>2500</v>
      </c>
      <c r="C7" s="3">
        <v>393.18990963689998</v>
      </c>
      <c r="D7" s="4">
        <f>138.04359997421*735.49875/745.69987158227</f>
        <v>136.15517327513714</v>
      </c>
      <c r="E7" s="1"/>
      <c r="F7" s="1"/>
      <c r="G7" s="1"/>
      <c r="H7" s="1"/>
      <c r="I7" s="1"/>
      <c r="J7" s="1"/>
      <c r="K7" s="1"/>
      <c r="L7" s="1"/>
      <c r="M7" s="1"/>
    </row>
    <row r="8" spans="1:13" ht="22.5" customHeight="1">
      <c r="A8" s="1"/>
      <c r="B8" s="1">
        <v>3000</v>
      </c>
      <c r="C8" s="3">
        <v>409.57588844470001</v>
      </c>
      <c r="D8" s="4">
        <f>172.55579164507*735.49875/745.69987158227</f>
        <v>170.19524060117456</v>
      </c>
      <c r="E8" s="1"/>
      <c r="F8" s="1"/>
      <c r="G8" s="1"/>
      <c r="H8" s="1"/>
      <c r="I8" s="1"/>
      <c r="J8" s="1"/>
      <c r="K8" s="1"/>
      <c r="L8" s="1"/>
      <c r="M8" s="1"/>
    </row>
    <row r="9" spans="1:13" ht="22.5" customHeight="1">
      <c r="A9" s="1"/>
      <c r="B9" s="1">
        <v>3500</v>
      </c>
      <c r="C9" s="3">
        <v>421.65444683919998</v>
      </c>
      <c r="D9" s="4">
        <f>207.25195358344*735.49875/745.69987158227</f>
        <v>204.41676149445436</v>
      </c>
      <c r="E9" s="1"/>
      <c r="F9" s="1"/>
      <c r="G9" s="1"/>
      <c r="H9" s="1"/>
      <c r="I9" s="1"/>
      <c r="J9" s="1"/>
      <c r="K9" s="1"/>
      <c r="L9" s="1"/>
      <c r="M9" s="1"/>
    </row>
    <row r="10" spans="1:13" ht="22.5" customHeight="1">
      <c r="A10" s="1"/>
      <c r="B10" s="1">
        <v>4000</v>
      </c>
      <c r="C10" s="3">
        <v>425.29867261765003</v>
      </c>
      <c r="D10" s="4">
        <f>238.90647605524*735.49875/745.69987158227</f>
        <v>235.63825233426769</v>
      </c>
      <c r="E10" s="1"/>
      <c r="F10" s="1"/>
      <c r="G10" s="1"/>
      <c r="H10" s="1"/>
      <c r="I10" s="1"/>
      <c r="J10" s="1"/>
      <c r="K10" s="1"/>
      <c r="L10" s="1"/>
      <c r="M10" s="1"/>
    </row>
    <row r="11" spans="1:13" ht="22.5" customHeight="1">
      <c r="A11" s="1"/>
      <c r="B11" s="1">
        <v>4157</v>
      </c>
      <c r="C11" s="3">
        <v>425.46588144156999</v>
      </c>
      <c r="D11" s="4">
        <f>248.38116946764*735.49875/745.69987158227</f>
        <v>244.98333260988446</v>
      </c>
      <c r="E11" s="1"/>
      <c r="F11" s="1"/>
      <c r="G11" s="1"/>
      <c r="H11" s="1"/>
      <c r="I11" s="1"/>
      <c r="J11" s="1"/>
      <c r="K11" s="1"/>
      <c r="L11" s="1"/>
      <c r="M11" s="1"/>
    </row>
    <row r="12" spans="1:13" ht="22.5" customHeight="1">
      <c r="A12" s="1"/>
      <c r="B12" s="1">
        <v>4500</v>
      </c>
      <c r="C12" s="3">
        <v>423.16781828923001</v>
      </c>
      <c r="D12" s="4">
        <f>267.42318069882*735.49875/745.69987158227</f>
        <v>263.76485047215976</v>
      </c>
      <c r="E12" s="1"/>
      <c r="F12" s="1"/>
      <c r="G12" s="1"/>
      <c r="H12" s="1"/>
      <c r="I12" s="1"/>
      <c r="J12" s="1"/>
      <c r="K12" s="1"/>
      <c r="L12" s="1"/>
      <c r="M12" s="1"/>
    </row>
    <row r="13" spans="1:13" ht="22.5" customHeight="1">
      <c r="A13" s="1"/>
      <c r="B13" s="1">
        <v>5000</v>
      </c>
      <c r="C13" s="3">
        <v>409.08667914096998</v>
      </c>
      <c r="D13" s="4">
        <f>287.24947668298*735.49875/745.69987158227</f>
        <v>283.31992412738026</v>
      </c>
      <c r="E13" s="1"/>
      <c r="F13" s="1"/>
      <c r="G13" s="1"/>
      <c r="H13" s="1"/>
      <c r="I13" s="1"/>
      <c r="J13" s="1"/>
      <c r="K13" s="1"/>
      <c r="L13" s="1"/>
      <c r="M13" s="1"/>
    </row>
    <row r="14" spans="1:13" ht="22.5" customHeight="1">
      <c r="A14" s="1"/>
      <c r="B14" s="1">
        <v>5275</v>
      </c>
      <c r="C14" s="3">
        <v>391.3253872784</v>
      </c>
      <c r="D14" s="4">
        <f>289.89077243111*735.49875/745.69987158227</f>
        <v>285.92508713620288</v>
      </c>
      <c r="E14" s="1"/>
      <c r="F14" s="1"/>
      <c r="G14" s="1"/>
      <c r="H14" s="1"/>
      <c r="I14" s="1"/>
      <c r="J14" s="1"/>
      <c r="K14" s="1"/>
      <c r="L14" s="1"/>
      <c r="M14" s="1"/>
    </row>
    <row r="15" spans="1:13" ht="22.5" customHeight="1">
      <c r="A15" s="1"/>
      <c r="B15" s="1">
        <v>5500</v>
      </c>
      <c r="C15" s="3">
        <v>374.92208099622002</v>
      </c>
      <c r="D15" s="4">
        <f>289.58603337593*735.49875/745.69987158227</f>
        <v>285.62451688977723</v>
      </c>
      <c r="E15" s="1"/>
      <c r="F15" s="1"/>
      <c r="G15" s="1"/>
      <c r="H15" s="1"/>
      <c r="I15" s="1"/>
      <c r="J15" s="1"/>
      <c r="K15" s="1"/>
      <c r="L15" s="1"/>
      <c r="M15" s="1"/>
    </row>
    <row r="16" spans="1:13" ht="22.5" customHeight="1">
      <c r="A16" s="1"/>
      <c r="B16" s="1">
        <v>6000</v>
      </c>
      <c r="C16" s="3">
        <v>341.53645220662997</v>
      </c>
      <c r="D16" s="4">
        <f>287.78106597026*735.49875/745.69987158227</f>
        <v>283.84424131075082</v>
      </c>
      <c r="E16" s="1"/>
      <c r="F16" s="1"/>
      <c r="G16" s="1"/>
      <c r="H16" s="1"/>
      <c r="I16" s="1"/>
      <c r="J16" s="1"/>
      <c r="K16" s="1"/>
      <c r="L16" s="1"/>
      <c r="M16" s="1"/>
    </row>
    <row r="17" spans="1:13" ht="22.5" customHeight="1">
      <c r="A17" s="1"/>
      <c r="B17" s="1">
        <v>6500</v>
      </c>
      <c r="C17" s="3">
        <v>312.76661205507997</v>
      </c>
      <c r="D17" s="4">
        <f>285.50100817999*735.49875/745.69987158227</f>
        <v>281.5953745500351</v>
      </c>
      <c r="E17" s="1"/>
      <c r="F17" s="1"/>
      <c r="G17" s="1"/>
      <c r="H17" s="1"/>
      <c r="I17" s="1"/>
      <c r="J17" s="1"/>
      <c r="K17" s="1"/>
      <c r="L17" s="1"/>
      <c r="M17" s="1"/>
    </row>
    <row r="18" spans="1:13" ht="22.5" customHeight="1">
      <c r="A18" s="1"/>
      <c r="B18" s="1">
        <v>7000</v>
      </c>
      <c r="C18" s="3">
        <v>286.00976855711002</v>
      </c>
      <c r="D18" s="4">
        <f>281.1595310888*735.49875/745.69987158227</f>
        <v>277.31328855885954</v>
      </c>
      <c r="E18" s="1"/>
      <c r="F18" s="1"/>
      <c r="G18" s="1"/>
      <c r="H18" s="1"/>
      <c r="I18" s="1"/>
      <c r="J18" s="1"/>
      <c r="K18" s="1"/>
      <c r="L18" s="1"/>
      <c r="M18" s="1"/>
    </row>
    <row r="19" spans="1:13" ht="22.5" customHeight="1">
      <c r="A19" s="1"/>
      <c r="B19" s="1">
        <v>7499</v>
      </c>
      <c r="C19" s="3">
        <v>259.39155855516998</v>
      </c>
      <c r="D19" s="4">
        <f>273.17005871031*735.49875/745.69987158227</f>
        <v>269.43311159829449</v>
      </c>
      <c r="E19" s="1"/>
      <c r="F19" s="1"/>
      <c r="G19" s="1"/>
      <c r="H19" s="1"/>
      <c r="I19" s="1"/>
      <c r="J19" s="1"/>
      <c r="K19" s="1"/>
      <c r="L19" s="1"/>
      <c r="M19" s="1"/>
    </row>
    <row r="20" spans="1:13" ht="22.5" customHeight="1">
      <c r="A20" s="1"/>
      <c r="B20" s="1"/>
      <c r="C20" s="3"/>
      <c r="D20" s="4"/>
      <c r="E20" s="1"/>
      <c r="F20" s="1"/>
      <c r="G20" s="1"/>
      <c r="H20" s="1"/>
      <c r="I20" s="1"/>
      <c r="J20" s="1"/>
      <c r="K20" s="1"/>
      <c r="L20" s="1"/>
      <c r="M20" s="1"/>
    </row>
    <row r="21" spans="1:13" ht="22.5" customHeight="1">
      <c r="A21" s="1"/>
      <c r="B21" s="1"/>
      <c r="C21" s="3"/>
      <c r="D21" s="4"/>
      <c r="E21" s="1"/>
      <c r="F21" s="1"/>
      <c r="G21" s="1"/>
      <c r="H21" s="1"/>
      <c r="I21" s="1"/>
      <c r="J21" s="1"/>
      <c r="K21" s="1"/>
      <c r="L21" s="1"/>
      <c r="M21" s="1"/>
    </row>
    <row r="22" spans="1:13" ht="22.5" customHeight="1">
      <c r="A22" s="1"/>
      <c r="B22" s="1"/>
      <c r="C22" s="3"/>
      <c r="D22" s="4"/>
      <c r="E22" s="1"/>
      <c r="F22" s="1"/>
      <c r="G22" s="1"/>
      <c r="H22" s="1"/>
      <c r="I22" s="1"/>
      <c r="J22" s="1"/>
      <c r="K22" s="1"/>
      <c r="L22" s="1"/>
      <c r="M22" s="1"/>
    </row>
    <row r="23" spans="1:13" ht="22.5" customHeight="1">
      <c r="A23" s="1"/>
      <c r="B23" s="1"/>
      <c r="C23" s="3"/>
      <c r="D23" s="4"/>
      <c r="E23" s="1"/>
      <c r="F23" s="1"/>
      <c r="G23" s="1"/>
      <c r="H23" s="1"/>
      <c r="I23" s="1"/>
      <c r="J23" s="1"/>
      <c r="K23" s="1"/>
      <c r="L23" s="1"/>
      <c r="M23" s="1"/>
    </row>
    <row r="24" spans="1:13" ht="22.5" customHeight="1">
      <c r="A24" s="1"/>
      <c r="B24" s="1"/>
      <c r="C24" s="3"/>
      <c r="D24" s="4"/>
      <c r="E24" s="1"/>
      <c r="F24" s="1"/>
      <c r="G24" s="1"/>
      <c r="H24" s="1"/>
      <c r="I24" s="1"/>
      <c r="J24" s="1"/>
      <c r="K24" s="1"/>
      <c r="L24" s="1"/>
      <c r="M24" s="1"/>
    </row>
    <row r="25" spans="1:13" ht="22.5" customHeight="1">
      <c r="A25" s="1"/>
      <c r="B25" s="1"/>
      <c r="C25" s="1"/>
      <c r="D25" s="1"/>
      <c r="E25" s="1"/>
      <c r="F25" s="1"/>
      <c r="G25" s="1"/>
      <c r="H25" s="1"/>
      <c r="I25" s="1"/>
      <c r="J25" s="1"/>
      <c r="K25" s="1"/>
      <c r="L25" s="1"/>
      <c r="M25" s="1"/>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32" customHeight="1">
      <c r="A35" s="1"/>
      <c r="B35" s="29" t="s">
        <v>47</v>
      </c>
      <c r="C35" s="29"/>
      <c r="D35" s="29"/>
      <c r="E35" s="29"/>
      <c r="F35" s="1"/>
      <c r="G35" s="1"/>
      <c r="H35" s="1"/>
      <c r="I35" s="1"/>
      <c r="J35" s="1"/>
      <c r="K35" s="1"/>
      <c r="L35" s="1"/>
      <c r="M35" s="1"/>
    </row>
    <row r="36" spans="1:13" ht="32" customHeight="1">
      <c r="A36" s="1"/>
      <c r="B36" s="2" t="s">
        <v>44</v>
      </c>
      <c r="C36" s="2" t="str">
        <f>VLOOKUP("label.torqueNm",Locale!$A$2:$D$73,4,FALSE)</f>
        <v>扭矩 (Nm)</v>
      </c>
      <c r="D36" s="2" t="str">
        <f>VLOOKUP("label.powerHp",Locale!$A$2:$D$73,4,FALSE)</f>
        <v>功率 (hp)</v>
      </c>
      <c r="E36" s="1"/>
      <c r="F36" s="1"/>
      <c r="G36" s="1"/>
      <c r="H36" s="1"/>
      <c r="I36" s="1"/>
      <c r="J36" s="1"/>
      <c r="K36" s="1"/>
      <c r="L36" s="1"/>
      <c r="M36" s="1"/>
    </row>
    <row r="37" spans="1:13" ht="22.5" customHeight="1">
      <c r="A37" s="1"/>
      <c r="B37" s="1">
        <v>2500</v>
      </c>
      <c r="C37" s="3">
        <v>375.5387979034</v>
      </c>
      <c r="D37" s="4">
        <f>131.84653604271*735.49875/745.69987158227</f>
        <v>130.04288474058632</v>
      </c>
      <c r="E37" s="1"/>
      <c r="F37" s="1"/>
      <c r="G37" s="1"/>
      <c r="H37" s="1"/>
      <c r="I37" s="1"/>
      <c r="J37" s="1"/>
      <c r="K37" s="1"/>
      <c r="L37" s="1"/>
      <c r="M37" s="1"/>
    </row>
    <row r="38" spans="1:13" ht="22.5" customHeight="1">
      <c r="A38" s="1"/>
      <c r="B38" s="1">
        <v>3000</v>
      </c>
      <c r="C38" s="3">
        <v>393.47429806315</v>
      </c>
      <c r="D38" s="4">
        <f>165.77213383362*735.49875/745.69987158227</f>
        <v>163.50438274952646</v>
      </c>
      <c r="E38" s="1"/>
      <c r="F38" s="1"/>
      <c r="G38" s="1"/>
      <c r="H38" s="1"/>
      <c r="I38" s="1"/>
      <c r="J38" s="1"/>
      <c r="K38" s="1"/>
      <c r="L38" s="1"/>
      <c r="M38" s="1"/>
    </row>
    <row r="39" spans="1:13" ht="22.5" customHeight="1">
      <c r="A39" s="1"/>
      <c r="B39" s="1">
        <v>3500</v>
      </c>
      <c r="C39" s="3">
        <v>403.52794593592</v>
      </c>
      <c r="D39" s="4">
        <f>198.34240038888*735.49875/745.69987158227</f>
        <v>195.62909035840747</v>
      </c>
      <c r="E39" s="1"/>
      <c r="F39" s="1"/>
      <c r="G39" s="1"/>
      <c r="H39" s="1"/>
      <c r="I39" s="1"/>
      <c r="J39" s="1"/>
      <c r="K39" s="1"/>
      <c r="L39" s="1"/>
      <c r="M39" s="1"/>
    </row>
    <row r="40" spans="1:13" ht="22.5" customHeight="1">
      <c r="A40" s="1"/>
      <c r="B40" s="1">
        <v>4000</v>
      </c>
      <c r="C40" s="3">
        <v>407.20471675444003</v>
      </c>
      <c r="D40" s="4">
        <f>228.74241133674*735.49875/745.69987158227</f>
        <v>225.61323130333525</v>
      </c>
      <c r="E40" s="1"/>
      <c r="F40" s="1"/>
      <c r="G40" s="1"/>
      <c r="H40" s="1"/>
      <c r="I40" s="1"/>
      <c r="J40" s="1"/>
      <c r="K40" s="1"/>
      <c r="L40" s="1"/>
      <c r="M40" s="1"/>
    </row>
    <row r="41" spans="1:13" ht="22.5" customHeight="1">
      <c r="A41" s="1"/>
      <c r="B41" s="1">
        <v>4500</v>
      </c>
      <c r="C41" s="3">
        <v>409.12826470105</v>
      </c>
      <c r="D41" s="4">
        <f>258.55080923323*735.49875/745.69987158227</f>
        <v>255.01385242165637</v>
      </c>
      <c r="E41" s="1"/>
      <c r="F41" s="1"/>
      <c r="G41" s="1"/>
      <c r="H41" s="1"/>
      <c r="I41" s="1"/>
      <c r="J41" s="1"/>
      <c r="K41" s="1"/>
      <c r="L41" s="1"/>
      <c r="M41" s="1"/>
    </row>
    <row r="42" spans="1:13" ht="22.5" customHeight="1">
      <c r="A42" s="1"/>
      <c r="B42" s="1">
        <v>4715</v>
      </c>
      <c r="C42" s="3">
        <v>409.34482245507002</v>
      </c>
      <c r="D42" s="4">
        <f>271.0471857995*735.49875/745.69987158227</f>
        <v>267.33927943898806</v>
      </c>
      <c r="E42" s="1"/>
      <c r="F42" s="1"/>
      <c r="G42" s="1"/>
      <c r="H42" s="1"/>
      <c r="I42" s="1"/>
      <c r="J42" s="1"/>
      <c r="K42" s="1"/>
      <c r="L42" s="1"/>
      <c r="M42" s="1"/>
    </row>
    <row r="43" spans="1:13" ht="22.5" customHeight="1">
      <c r="A43" s="1"/>
      <c r="B43" s="1">
        <v>5000</v>
      </c>
      <c r="C43" s="3">
        <v>407.45143542004001</v>
      </c>
      <c r="D43" s="4">
        <f>286.10125326961*735.49875/745.69987158227</f>
        <v>282.18740832921816</v>
      </c>
      <c r="E43" s="1"/>
      <c r="F43" s="1"/>
      <c r="G43" s="1"/>
      <c r="H43" s="1"/>
      <c r="I43" s="1"/>
      <c r="J43" s="1"/>
      <c r="K43" s="1"/>
      <c r="L43" s="1"/>
      <c r="M43" s="1"/>
    </row>
    <row r="44" spans="1:13" ht="22.5" customHeight="1">
      <c r="A44" s="1"/>
      <c r="B44" s="1">
        <v>5500</v>
      </c>
      <c r="C44" s="3">
        <v>392.98683843027999</v>
      </c>
      <c r="D44" s="4">
        <f>303.53906979173*735.49875/745.69987158227</f>
        <v>299.38667675276599</v>
      </c>
      <c r="E44" s="1"/>
      <c r="F44" s="1"/>
      <c r="G44" s="1"/>
      <c r="H44" s="1"/>
      <c r="I44" s="1"/>
      <c r="J44" s="1"/>
      <c r="K44" s="1"/>
      <c r="L44" s="1"/>
      <c r="M44" s="1"/>
    </row>
    <row r="45" spans="1:13" ht="22.5" customHeight="1">
      <c r="A45" s="1"/>
      <c r="B45" s="1">
        <v>6000</v>
      </c>
      <c r="C45" s="3">
        <v>367.25870170296997</v>
      </c>
      <c r="D45" s="4">
        <f>309.45481801453*735.49875/745.69987158227</f>
        <v>305.22149795764545</v>
      </c>
      <c r="E45" s="1"/>
      <c r="F45" s="1"/>
      <c r="G45" s="1"/>
      <c r="H45" s="1"/>
      <c r="I45" s="1"/>
      <c r="J45" s="1"/>
      <c r="K45" s="1"/>
      <c r="L45" s="1"/>
      <c r="M45" s="1"/>
    </row>
    <row r="46" spans="1:13" ht="22.5" customHeight="1">
      <c r="A46" s="1"/>
      <c r="B46" s="1">
        <v>6060</v>
      </c>
      <c r="C46" s="3">
        <v>363.72649618820998</v>
      </c>
      <c r="D46" s="4">
        <f>309.54334185874*735.49875/745.69987158227</f>
        <v>305.30881080191813</v>
      </c>
      <c r="E46" s="1"/>
      <c r="F46" s="1"/>
      <c r="G46" s="1"/>
      <c r="H46" s="1"/>
      <c r="I46" s="1"/>
      <c r="J46" s="1"/>
      <c r="K46" s="1"/>
      <c r="L46" s="1"/>
      <c r="M46" s="1"/>
    </row>
    <row r="47" spans="1:13" ht="22.5" customHeight="1">
      <c r="A47" s="1"/>
      <c r="B47" s="1">
        <v>6500</v>
      </c>
      <c r="C47" s="3">
        <v>335.54735400714998</v>
      </c>
      <c r="D47" s="4">
        <f>306.29582624471*735.49875/745.69987158227</f>
        <v>302.10572097215004</v>
      </c>
      <c r="E47" s="1"/>
      <c r="F47" s="1"/>
      <c r="G47" s="1"/>
      <c r="H47" s="1"/>
      <c r="I47" s="1"/>
      <c r="J47" s="1"/>
      <c r="K47" s="1"/>
      <c r="L47" s="1"/>
      <c r="M47" s="1"/>
    </row>
    <row r="48" spans="1:13" ht="22.5" customHeight="1">
      <c r="A48" s="1"/>
      <c r="B48" s="1">
        <v>7000</v>
      </c>
      <c r="C48" s="3">
        <v>303.45837406874</v>
      </c>
      <c r="D48" s="4">
        <f>298.31223803498*735.49875/745.69987158227</f>
        <v>294.23134768533191</v>
      </c>
      <c r="E48" s="1"/>
      <c r="F48" s="1"/>
      <c r="G48" s="1"/>
      <c r="H48" s="1"/>
      <c r="I48" s="1"/>
      <c r="J48" s="1"/>
      <c r="K48" s="1"/>
      <c r="L48" s="1"/>
      <c r="M48" s="1"/>
    </row>
    <row r="49" spans="1:13" ht="22.5" customHeight="1">
      <c r="A49" s="1"/>
      <c r="B49" s="1">
        <v>7500</v>
      </c>
      <c r="C49" s="3">
        <v>268.94344000078001</v>
      </c>
      <c r="D49" s="4">
        <f>283.26709107139*735.49875/745.69987158227</f>
        <v>279.39201726972254</v>
      </c>
      <c r="E49" s="1"/>
      <c r="F49" s="1"/>
      <c r="G49" s="1"/>
      <c r="H49" s="1"/>
      <c r="I49" s="1"/>
      <c r="J49" s="1"/>
      <c r="K49" s="1"/>
      <c r="L49" s="1"/>
      <c r="M49" s="1"/>
    </row>
    <row r="50" spans="1:13" ht="22.5" customHeight="1">
      <c r="A50" s="1"/>
      <c r="B50" s="1">
        <v>7649</v>
      </c>
      <c r="C50" s="3">
        <v>256.53470931065999</v>
      </c>
      <c r="D50" s="4">
        <f>275.56540749578*735.49875/745.69987158227</f>
        <v>271.79569218153762</v>
      </c>
      <c r="E50" s="1"/>
      <c r="F50" s="1"/>
      <c r="G50" s="1"/>
      <c r="H50" s="1"/>
      <c r="I50" s="1"/>
      <c r="J50" s="1"/>
      <c r="K50" s="1"/>
      <c r="L50" s="1"/>
      <c r="M50" s="1"/>
    </row>
    <row r="51" spans="1:13" ht="22.5" customHeight="1">
      <c r="A51" s="1"/>
      <c r="B51" s="1"/>
      <c r="C51" s="3"/>
      <c r="D51" s="4"/>
      <c r="E51" s="1"/>
      <c r="F51" s="1"/>
      <c r="G51" s="1"/>
      <c r="H51" s="1"/>
      <c r="I51" s="1"/>
      <c r="J51" s="1"/>
      <c r="K51" s="1"/>
      <c r="L51" s="1"/>
      <c r="M51" s="1"/>
    </row>
    <row r="52" spans="1:13" ht="22.5" customHeight="1">
      <c r="A52" s="1"/>
      <c r="B52" s="1"/>
      <c r="C52" s="3"/>
      <c r="D52" s="4"/>
      <c r="E52" s="1"/>
      <c r="F52" s="1"/>
      <c r="G52" s="1"/>
      <c r="H52" s="1"/>
      <c r="I52" s="1"/>
      <c r="J52" s="1"/>
      <c r="K52" s="1"/>
      <c r="L52" s="1"/>
      <c r="M52" s="1"/>
    </row>
    <row r="53" spans="1:13" ht="22.5" customHeight="1">
      <c r="A53" s="1"/>
      <c r="B53" s="1"/>
      <c r="C53" s="3"/>
      <c r="D53" s="4"/>
      <c r="E53" s="1"/>
      <c r="F53" s="1"/>
      <c r="G53" s="1"/>
      <c r="H53" s="1"/>
      <c r="I53" s="1"/>
      <c r="J53" s="1"/>
      <c r="K53" s="1"/>
      <c r="L53" s="1"/>
      <c r="M53" s="1"/>
    </row>
    <row r="54" spans="1:13" ht="22.5" customHeight="1">
      <c r="A54" s="1"/>
      <c r="B54" s="1"/>
      <c r="C54" s="3"/>
      <c r="D54" s="4"/>
      <c r="E54" s="1"/>
      <c r="F54" s="1"/>
      <c r="G54" s="1"/>
      <c r="H54" s="1"/>
      <c r="I54" s="1"/>
      <c r="J54" s="1"/>
      <c r="K54" s="1"/>
      <c r="L54" s="1"/>
      <c r="M54" s="1"/>
    </row>
    <row r="55" spans="1:13" ht="22.5" customHeight="1">
      <c r="A55" s="1"/>
      <c r="B55" s="1"/>
      <c r="C55" s="3"/>
      <c r="D55" s="4"/>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32" customHeight="1">
      <c r="A65" s="1"/>
      <c r="B65" s="29" t="s">
        <v>48</v>
      </c>
      <c r="C65" s="29"/>
      <c r="D65" s="29"/>
      <c r="E65" s="29"/>
      <c r="F65" s="1"/>
      <c r="G65" s="1"/>
      <c r="H65" s="1"/>
      <c r="I65" s="1"/>
      <c r="J65" s="1"/>
      <c r="K65" s="1"/>
      <c r="L65" s="1"/>
      <c r="M65" s="1"/>
    </row>
    <row r="66" spans="1:13" ht="32" customHeight="1">
      <c r="A66" s="1"/>
      <c r="B66" s="2" t="s">
        <v>44</v>
      </c>
      <c r="C66" s="2" t="str">
        <f>VLOOKUP("label.torqueNm",Locale!$A$2:$D$73,4,FALSE)</f>
        <v>扭矩 (Nm)</v>
      </c>
      <c r="D66" s="2" t="str">
        <f>VLOOKUP("label.powerHp",Locale!$A$2:$D$73,4,FALSE)</f>
        <v>功率 (hp)</v>
      </c>
      <c r="E66" s="1"/>
      <c r="F66" s="1"/>
      <c r="G66" s="1"/>
      <c r="H66" s="1"/>
      <c r="I66" s="1"/>
      <c r="J66" s="1"/>
      <c r="K66" s="1"/>
      <c r="L66" s="1"/>
      <c r="M66" s="1"/>
    </row>
    <row r="67" spans="1:13" ht="22.5" customHeight="1">
      <c r="A67" s="1"/>
      <c r="B67" s="1">
        <v>2500</v>
      </c>
      <c r="C67" s="3">
        <v>401.07451780446002</v>
      </c>
      <c r="D67" s="4">
        <f>140.81177807125*735.49875/745.69987158227</f>
        <v>138.88548289129707</v>
      </c>
      <c r="E67" s="1"/>
      <c r="F67" s="1"/>
      <c r="G67" s="1"/>
      <c r="H67" s="1"/>
      <c r="I67" s="1"/>
      <c r="J67" s="1"/>
      <c r="K67" s="1"/>
      <c r="L67" s="1"/>
      <c r="M67" s="1"/>
    </row>
    <row r="68" spans="1:13" ht="22.5" customHeight="1">
      <c r="A68" s="1"/>
      <c r="B68" s="1">
        <v>3000</v>
      </c>
      <c r="C68" s="3">
        <v>420.15432548965998</v>
      </c>
      <c r="D68" s="4">
        <f>177.01252513491*735.49875/745.69987158227</f>
        <v>174.59100629160596</v>
      </c>
      <c r="E68" s="1"/>
      <c r="F68" s="1"/>
      <c r="G68" s="1"/>
      <c r="H68" s="1"/>
      <c r="I68" s="1"/>
      <c r="J68" s="1"/>
      <c r="K68" s="1"/>
      <c r="L68" s="1"/>
      <c r="M68" s="1"/>
    </row>
    <row r="69" spans="1:13" ht="22.5" customHeight="1">
      <c r="A69" s="1"/>
      <c r="B69" s="1">
        <v>3500</v>
      </c>
      <c r="C69" s="3">
        <v>434.59303883507999</v>
      </c>
      <c r="D69" s="4">
        <f>213.61154136407*735.49875/745.69987158227</f>
        <v>210.68935056335647</v>
      </c>
      <c r="E69" s="1"/>
      <c r="F69" s="1"/>
      <c r="G69" s="1"/>
      <c r="H69" s="1"/>
      <c r="I69" s="1"/>
      <c r="J69" s="1"/>
      <c r="K69" s="1"/>
      <c r="L69" s="1"/>
      <c r="M69" s="1"/>
    </row>
    <row r="70" spans="1:13" ht="22.5" customHeight="1">
      <c r="A70" s="1"/>
      <c r="B70" s="1">
        <v>4000</v>
      </c>
      <c r="C70" s="3">
        <v>445.04598601673001</v>
      </c>
      <c r="D70" s="4">
        <f>249.99929472476*735.49875/745.69987158227</f>
        <v>246.57932202775831</v>
      </c>
      <c r="E70" s="1"/>
      <c r="F70" s="1"/>
      <c r="G70" s="1"/>
      <c r="H70" s="1"/>
      <c r="I70" s="1"/>
      <c r="J70" s="1"/>
      <c r="K70" s="1"/>
      <c r="L70" s="1"/>
      <c r="M70" s="1"/>
    </row>
    <row r="71" spans="1:13" ht="22.5" customHeight="1">
      <c r="A71" s="1"/>
      <c r="B71" s="1">
        <v>4500</v>
      </c>
      <c r="C71" s="3">
        <v>449.37292062704</v>
      </c>
      <c r="D71" s="4">
        <f>283.98363618441*735.49875/745.69987158227</f>
        <v>280.09876009619853</v>
      </c>
      <c r="E71" s="1"/>
      <c r="F71" s="1"/>
      <c r="G71" s="1"/>
      <c r="H71" s="1"/>
      <c r="I71" s="1"/>
      <c r="J71" s="1"/>
      <c r="K71" s="1"/>
      <c r="L71" s="1"/>
      <c r="M71" s="1"/>
    </row>
    <row r="72" spans="1:13" ht="22.5" customHeight="1">
      <c r="A72" s="1"/>
      <c r="B72" s="1">
        <v>5000</v>
      </c>
      <c r="C72" s="3">
        <v>450.29178004523999</v>
      </c>
      <c r="D72" s="4">
        <f>316.18257148889*735.49875/745.69987158227</f>
        <v>311.85721623958699</v>
      </c>
      <c r="E72" s="1"/>
      <c r="F72" s="1"/>
      <c r="G72" s="1"/>
      <c r="H72" s="1"/>
      <c r="I72" s="1"/>
      <c r="J72" s="1"/>
      <c r="K72" s="1"/>
      <c r="L72" s="1"/>
      <c r="M72" s="1"/>
    </row>
    <row r="73" spans="1:13" ht="22.5" customHeight="1">
      <c r="A73" s="1"/>
      <c r="B73" s="1">
        <v>5242</v>
      </c>
      <c r="C73" s="3">
        <v>450.42287057639999</v>
      </c>
      <c r="D73" s="4">
        <f>331.5823112665*735.49875/745.69987158227</f>
        <v>327.0462886645617</v>
      </c>
      <c r="E73" s="1"/>
      <c r="F73" s="1"/>
      <c r="G73" s="1"/>
      <c r="H73" s="1"/>
      <c r="I73" s="1"/>
      <c r="J73" s="1"/>
      <c r="K73" s="1"/>
      <c r="L73" s="1"/>
      <c r="M73" s="1"/>
    </row>
    <row r="74" spans="1:13" ht="22.5" customHeight="1">
      <c r="A74" s="1"/>
      <c r="B74" s="1">
        <v>5500</v>
      </c>
      <c r="C74" s="3">
        <v>450.06220861605999</v>
      </c>
      <c r="D74" s="4">
        <f>347.62350998166*735.49875/745.69987158227</f>
        <v>342.86804491412022</v>
      </c>
      <c r="E74" s="1"/>
      <c r="F74" s="1"/>
      <c r="G74" s="1"/>
      <c r="H74" s="1"/>
      <c r="I74" s="1"/>
      <c r="J74" s="1"/>
      <c r="K74" s="1"/>
      <c r="L74" s="1"/>
      <c r="M74" s="1"/>
    </row>
    <row r="75" spans="1:13" ht="22.5" customHeight="1">
      <c r="A75" s="1"/>
      <c r="B75" s="1">
        <v>6000</v>
      </c>
      <c r="C75" s="3">
        <v>446.99380766573</v>
      </c>
      <c r="D75" s="4">
        <f>376.64019058885*735.49875/745.69987158227</f>
        <v>371.48777937974825</v>
      </c>
      <c r="E75" s="1"/>
      <c r="F75" s="1"/>
      <c r="G75" s="1"/>
      <c r="H75" s="1"/>
      <c r="I75" s="1"/>
      <c r="J75" s="1"/>
      <c r="K75" s="1"/>
      <c r="L75" s="1"/>
      <c r="M75" s="1"/>
    </row>
    <row r="76" spans="1:13" ht="22.5" customHeight="1">
      <c r="A76" s="1"/>
      <c r="B76" s="1">
        <v>6500</v>
      </c>
      <c r="C76" s="3">
        <v>421.37375767764001</v>
      </c>
      <c r="D76" s="4">
        <f>384.64026529906*735.49875/745.69987158227</f>
        <v>379.37841363288413</v>
      </c>
      <c r="E76" s="1"/>
      <c r="F76" s="1"/>
      <c r="G76" s="1"/>
      <c r="H76" s="1"/>
      <c r="I76" s="1"/>
      <c r="J76" s="1"/>
      <c r="K76" s="1"/>
      <c r="L76" s="1"/>
      <c r="M76" s="1"/>
    </row>
    <row r="77" spans="1:13" ht="22.5" customHeight="1">
      <c r="A77" s="1"/>
      <c r="B77" s="1">
        <v>6589</v>
      </c>
      <c r="C77" s="3">
        <v>415.94463169600999</v>
      </c>
      <c r="D77" s="4">
        <f>384.88318239568*735.49875/745.69987158227</f>
        <v>379.61800764077708</v>
      </c>
      <c r="E77" s="1"/>
      <c r="F77" s="1"/>
      <c r="G77" s="1"/>
      <c r="H77" s="1"/>
      <c r="I77" s="1"/>
      <c r="J77" s="1"/>
      <c r="K77" s="1"/>
      <c r="L77" s="1"/>
      <c r="M77" s="1"/>
    </row>
    <row r="78" spans="1:13" ht="22.5" customHeight="1">
      <c r="A78" s="1"/>
      <c r="B78" s="1">
        <v>7000</v>
      </c>
      <c r="C78" s="3">
        <v>388.61552309927998</v>
      </c>
      <c r="D78" s="4">
        <f>382.02526717757*735.49875/745.69987158227</f>
        <v>376.79918850102615</v>
      </c>
      <c r="E78" s="1"/>
      <c r="F78" s="1"/>
      <c r="G78" s="1"/>
      <c r="H78" s="1"/>
      <c r="I78" s="1"/>
      <c r="J78" s="1"/>
      <c r="K78" s="1"/>
      <c r="L78" s="1"/>
      <c r="M78" s="1"/>
    </row>
    <row r="79" spans="1:13" ht="22.5" customHeight="1">
      <c r="A79" s="1"/>
      <c r="B79" s="1">
        <v>7500</v>
      </c>
      <c r="C79" s="3">
        <v>356.44475630423</v>
      </c>
      <c r="D79" s="4">
        <f>375.42863750704*735.49875/745.69987158227</f>
        <v>370.29280025853808</v>
      </c>
      <c r="E79" s="1"/>
      <c r="F79" s="1"/>
      <c r="G79" s="1"/>
      <c r="H79" s="1"/>
      <c r="I79" s="1"/>
      <c r="J79" s="1"/>
      <c r="K79" s="1"/>
      <c r="L79" s="1"/>
      <c r="M79" s="1"/>
    </row>
    <row r="80" spans="1:13" ht="22.5" customHeight="1">
      <c r="A80" s="1"/>
      <c r="B80" s="1">
        <v>8000</v>
      </c>
      <c r="C80" s="3">
        <v>323.93917964009</v>
      </c>
      <c r="D80" s="4">
        <f>363.93797040422*735.49875/745.69987158227</f>
        <v>358.95932467021913</v>
      </c>
      <c r="E80" s="1"/>
      <c r="F80" s="1"/>
      <c r="G80" s="1"/>
      <c r="H80" s="1"/>
      <c r="I80" s="1"/>
      <c r="J80" s="1"/>
      <c r="K80" s="1"/>
      <c r="L80" s="1"/>
      <c r="M80" s="1"/>
    </row>
    <row r="81" spans="1:13" ht="22.5" customHeight="1">
      <c r="A81" s="1"/>
      <c r="B81" s="1">
        <v>8499</v>
      </c>
      <c r="C81" s="3">
        <v>283.84920919076001</v>
      </c>
      <c r="D81" s="4">
        <f>338.78909413145*735.49875/745.69987158227</f>
        <v>334.15448324885881</v>
      </c>
      <c r="E81" s="1"/>
      <c r="F81" s="1"/>
      <c r="G81" s="1"/>
      <c r="H81" s="1"/>
      <c r="I81" s="1"/>
      <c r="J81" s="1"/>
      <c r="K81" s="1"/>
      <c r="L81" s="1"/>
      <c r="M81" s="1"/>
    </row>
    <row r="82" spans="1:13" ht="22.5" customHeight="1">
      <c r="A82" s="1"/>
      <c r="B82" s="1"/>
      <c r="C82" s="3"/>
      <c r="D82" s="4"/>
      <c r="E82" s="1"/>
      <c r="F82" s="1"/>
      <c r="G82" s="1"/>
      <c r="H82" s="1"/>
      <c r="I82" s="1"/>
      <c r="J82" s="1"/>
      <c r="K82" s="1"/>
      <c r="L82" s="1"/>
      <c r="M82" s="1"/>
    </row>
    <row r="83" spans="1:13" ht="22.5" customHeight="1">
      <c r="A83" s="1"/>
      <c r="B83" s="1"/>
      <c r="C83" s="3"/>
      <c r="D83" s="4"/>
      <c r="E83" s="1"/>
      <c r="F83" s="1"/>
      <c r="G83" s="1"/>
      <c r="H83" s="1"/>
      <c r="I83" s="1"/>
      <c r="J83" s="1"/>
      <c r="K83" s="1"/>
      <c r="L83" s="1"/>
      <c r="M83" s="1"/>
    </row>
    <row r="84" spans="1:13" ht="22.5" customHeight="1">
      <c r="A84" s="1"/>
      <c r="B84" s="1"/>
      <c r="C84" s="3"/>
      <c r="D84" s="4"/>
      <c r="E84" s="1"/>
      <c r="F84" s="1"/>
      <c r="G84" s="1"/>
      <c r="H84" s="1"/>
      <c r="I84" s="1"/>
      <c r="J84" s="1"/>
      <c r="K84" s="1"/>
      <c r="L84" s="1"/>
      <c r="M84" s="1"/>
    </row>
    <row r="85" spans="1:13" ht="22.5" customHeight="1">
      <c r="A85" s="1"/>
      <c r="B85" s="1"/>
      <c r="C85" s="3"/>
      <c r="D85" s="4"/>
      <c r="E85" s="1"/>
      <c r="F85" s="1"/>
      <c r="G85" s="1"/>
      <c r="H85" s="1"/>
      <c r="I85" s="1"/>
      <c r="J85" s="1"/>
      <c r="K85" s="1"/>
      <c r="L85" s="1"/>
      <c r="M85" s="1"/>
    </row>
    <row r="86" spans="1:13" ht="22.5" customHeight="1">
      <c r="A86" s="1"/>
      <c r="B86" s="1"/>
      <c r="C86" s="3"/>
      <c r="D86" s="4"/>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32" customHeight="1">
      <c r="A95" s="1"/>
      <c r="B95" s="29" t="s">
        <v>242</v>
      </c>
      <c r="C95" s="29"/>
      <c r="D95" s="29"/>
      <c r="E95" s="29"/>
      <c r="F95" s="1"/>
      <c r="G95" s="1"/>
      <c r="H95" s="1"/>
      <c r="I95" s="1"/>
      <c r="J95" s="1"/>
      <c r="K95" s="1"/>
      <c r="L95" s="1"/>
      <c r="M95" s="1"/>
    </row>
    <row r="96" spans="1:13" ht="32" customHeight="1">
      <c r="A96" s="1"/>
      <c r="B96" s="2" t="s">
        <v>44</v>
      </c>
      <c r="C96" s="2" t="str">
        <f>VLOOKUP("label.torqueNm",Locale!$A$2:$D$73,4,FALSE)</f>
        <v>扭矩 (Nm)</v>
      </c>
      <c r="D96" s="2" t="str">
        <f>VLOOKUP("label.powerHp",Locale!$A$2:$D$73,4,FALSE)</f>
        <v>功率 (hp)</v>
      </c>
      <c r="E96" s="1"/>
      <c r="F96" s="1"/>
      <c r="G96" s="1"/>
      <c r="H96" s="1"/>
      <c r="I96" s="1"/>
      <c r="J96" s="1"/>
      <c r="K96" s="1"/>
      <c r="L96" s="1"/>
      <c r="M96" s="1"/>
    </row>
    <row r="97" spans="1:13" ht="22.5" customHeight="1">
      <c r="A97" s="1"/>
      <c r="B97" s="1">
        <v>2500</v>
      </c>
      <c r="C97" s="3">
        <v>392.12322294939003</v>
      </c>
      <c r="D97" s="4">
        <f>137.66910086632*735.49875/745.69987158227</f>
        <v>135.78579728859611</v>
      </c>
      <c r="E97" s="1"/>
      <c r="F97" s="1"/>
      <c r="G97" s="1"/>
      <c r="H97" s="1"/>
      <c r="I97" s="1"/>
      <c r="J97" s="1"/>
      <c r="K97" s="1"/>
      <c r="L97" s="1"/>
      <c r="M97" s="1"/>
    </row>
    <row r="98" spans="1:13" ht="22.5" customHeight="1">
      <c r="A98" s="1"/>
      <c r="B98" s="1">
        <v>3000</v>
      </c>
      <c r="C98" s="3">
        <v>413.34434636400999</v>
      </c>
      <c r="D98" s="4">
        <f>174.14345649033*735.49875/745.69987158227</f>
        <v>171.76118630347156</v>
      </c>
      <c r="E98" s="1"/>
      <c r="F98" s="1"/>
      <c r="G98" s="1"/>
      <c r="H98" s="1"/>
      <c r="I98" s="1"/>
      <c r="J98" s="1"/>
      <c r="K98" s="1"/>
      <c r="L98" s="1"/>
      <c r="M98" s="1"/>
    </row>
    <row r="99" spans="1:13" ht="22.5" customHeight="1">
      <c r="A99" s="1"/>
      <c r="B99" s="1">
        <v>3500</v>
      </c>
      <c r="C99" s="3">
        <v>426.43653820907002</v>
      </c>
      <c r="D99" s="4">
        <f>209.60245121497*735.49875/745.69987158227</f>
        <v>206.73510448437605</v>
      </c>
      <c r="E99" s="1"/>
      <c r="F99" s="1"/>
      <c r="G99" s="1"/>
      <c r="H99" s="1"/>
      <c r="I99" s="1"/>
      <c r="J99" s="1"/>
      <c r="K99" s="1"/>
      <c r="L99" s="1"/>
      <c r="M99" s="1"/>
    </row>
    <row r="100" spans="1:13" ht="22.5" customHeight="1">
      <c r="A100" s="1"/>
      <c r="B100" s="1">
        <v>4000</v>
      </c>
      <c r="C100" s="3">
        <v>434.66000894194002</v>
      </c>
      <c r="D100" s="4">
        <f>244.16509550646*735.49875/745.69987158227</f>
        <v>240.82493424275626</v>
      </c>
      <c r="E100" s="1"/>
      <c r="F100" s="1"/>
      <c r="G100" s="1"/>
      <c r="H100" s="1"/>
      <c r="I100" s="1"/>
      <c r="J100" s="1"/>
      <c r="K100" s="1"/>
      <c r="L100" s="1"/>
      <c r="M100" s="1"/>
    </row>
    <row r="101" spans="1:13" ht="22.5" customHeight="1">
      <c r="A101" s="1"/>
      <c r="B101" s="1">
        <v>4500</v>
      </c>
      <c r="C101" s="3">
        <v>438.93000290914</v>
      </c>
      <c r="D101" s="4">
        <f>277.3841781179*735.49875/745.69987158227</f>
        <v>273.58958214998773</v>
      </c>
      <c r="E101" s="1"/>
      <c r="F101" s="1"/>
      <c r="G101" s="1"/>
      <c r="H101" s="1"/>
      <c r="I101" s="1"/>
      <c r="J101" s="1"/>
      <c r="K101" s="1"/>
      <c r="L101" s="1"/>
      <c r="M101" s="1"/>
    </row>
    <row r="102" spans="1:13" ht="22.5" customHeight="1">
      <c r="A102" s="1"/>
      <c r="B102" s="1">
        <v>4978</v>
      </c>
      <c r="C102" s="3">
        <v>440.45937290107003</v>
      </c>
      <c r="D102" s="4">
        <f>307.91769862379*735.49875/745.69987158227</f>
        <v>303.7054062516201</v>
      </c>
      <c r="E102" s="1"/>
      <c r="F102" s="1"/>
      <c r="G102" s="1"/>
      <c r="H102" s="1"/>
      <c r="I102" s="1"/>
      <c r="J102" s="1"/>
      <c r="K102" s="1"/>
      <c r="L102" s="1"/>
      <c r="M102" s="1"/>
    </row>
    <row r="103" spans="1:13" ht="22.5" customHeight="1">
      <c r="A103" s="1"/>
      <c r="B103" s="1">
        <v>5000</v>
      </c>
      <c r="C103" s="3">
        <v>440.45531734092998</v>
      </c>
      <c r="D103" s="4">
        <f>309.27567642656*735.49875/745.69987158227</f>
        <v>305.04480701394795</v>
      </c>
      <c r="E103" s="1"/>
      <c r="F103" s="1"/>
      <c r="G103" s="1"/>
      <c r="H103" s="1"/>
      <c r="I103" s="1"/>
      <c r="J103" s="1"/>
      <c r="K103" s="1"/>
      <c r="L103" s="1"/>
      <c r="M103" s="1"/>
    </row>
    <row r="104" spans="1:13" ht="22.5" customHeight="1">
      <c r="A104" s="1"/>
      <c r="B104" s="1">
        <v>5500</v>
      </c>
      <c r="C104" s="3">
        <v>438.54886894563998</v>
      </c>
      <c r="D104" s="4">
        <f>338.73072255979*735.49875/745.69987158227</f>
        <v>334.09691019617696</v>
      </c>
      <c r="E104" s="1"/>
      <c r="F104" s="1"/>
      <c r="G104" s="1"/>
      <c r="H104" s="1"/>
      <c r="I104" s="1"/>
      <c r="J104" s="1"/>
      <c r="K104" s="1"/>
      <c r="L104" s="1"/>
      <c r="M104" s="1"/>
    </row>
    <row r="105" spans="1:13" ht="22.5" customHeight="1">
      <c r="A105" s="1"/>
      <c r="B105" s="1">
        <v>6000</v>
      </c>
      <c r="C105" s="3">
        <v>430.32993219679997</v>
      </c>
      <c r="D105" s="4">
        <f>362.59908951557*735.49875/745.69987158227</f>
        <v>357.63875957757472</v>
      </c>
      <c r="E105" s="1"/>
      <c r="F105" s="1"/>
      <c r="G105" s="1"/>
      <c r="H105" s="1"/>
      <c r="I105" s="1"/>
      <c r="J105" s="1"/>
      <c r="K105" s="1"/>
      <c r="L105" s="1"/>
      <c r="M105" s="1"/>
    </row>
    <row r="106" spans="1:13" ht="22.5" customHeight="1">
      <c r="A106" s="1"/>
      <c r="B106" s="1">
        <v>6500</v>
      </c>
      <c r="C106" s="3">
        <v>407.30321335870002</v>
      </c>
      <c r="D106" s="4">
        <f>371.79632853004*735.49875/745.69987158227</f>
        <v>366.71018101183154</v>
      </c>
      <c r="E106" s="1"/>
      <c r="F106" s="1"/>
      <c r="G106" s="1"/>
      <c r="H106" s="1"/>
      <c r="I106" s="1"/>
      <c r="J106" s="1"/>
      <c r="K106" s="1"/>
      <c r="L106" s="1"/>
      <c r="M106" s="1"/>
    </row>
    <row r="107" spans="1:13" ht="22.5" customHeight="1">
      <c r="A107" s="1"/>
      <c r="B107" s="1">
        <v>7000</v>
      </c>
      <c r="C107" s="3">
        <v>381.20202297351</v>
      </c>
      <c r="D107" s="4">
        <f>374.7374873594*735.49875/745.69987158227</f>
        <v>369.61110499610913</v>
      </c>
      <c r="E107" s="1"/>
      <c r="F107" s="1"/>
      <c r="G107" s="1"/>
      <c r="H107" s="1"/>
      <c r="I107" s="1"/>
      <c r="J107" s="1"/>
      <c r="K107" s="1"/>
      <c r="L107" s="1"/>
      <c r="M107" s="1"/>
    </row>
    <row r="108" spans="1:13" ht="22.5" customHeight="1">
      <c r="A108" s="1"/>
      <c r="B108" s="1">
        <v>7023</v>
      </c>
      <c r="C108" s="3">
        <v>379.95765344646998</v>
      </c>
      <c r="D108" s="4">
        <f>374.74148122474*735.49875/745.69987158227</f>
        <v>369.61504422565332</v>
      </c>
      <c r="E108" s="1"/>
      <c r="F108" s="1"/>
      <c r="G108" s="1"/>
      <c r="H108" s="1"/>
      <c r="I108" s="1"/>
      <c r="J108" s="1"/>
      <c r="K108" s="1"/>
      <c r="L108" s="1"/>
      <c r="M108" s="1"/>
    </row>
    <row r="109" spans="1:13" ht="22.5" customHeight="1">
      <c r="A109" s="1"/>
      <c r="B109" s="1">
        <v>7500</v>
      </c>
      <c r="C109" s="3">
        <v>353.21169403024999</v>
      </c>
      <c r="D109" s="4">
        <f>372.02338566077*735.49875/745.69987158227</f>
        <v>366.93413201704772</v>
      </c>
      <c r="E109" s="1"/>
      <c r="F109" s="1"/>
      <c r="G109" s="1"/>
      <c r="H109" s="1"/>
      <c r="I109" s="1"/>
      <c r="J109" s="1"/>
      <c r="K109" s="1"/>
      <c r="L109" s="1"/>
      <c r="M109" s="1"/>
    </row>
    <row r="110" spans="1:13" ht="22.5" customHeight="1">
      <c r="A110" s="1"/>
      <c r="B110" s="1">
        <v>8000</v>
      </c>
      <c r="C110" s="3">
        <v>321.39007141308002</v>
      </c>
      <c r="D110" s="4">
        <f>361.07410788686*735.49875/745.69987158227</f>
        <v>356.13463958985204</v>
      </c>
      <c r="E110" s="1"/>
      <c r="F110" s="1"/>
      <c r="G110" s="1"/>
      <c r="H110" s="1"/>
      <c r="I110" s="1"/>
      <c r="J110" s="1"/>
      <c r="K110" s="1"/>
      <c r="L110" s="1"/>
      <c r="M110" s="1"/>
    </row>
    <row r="111" spans="1:13" ht="22.5" customHeight="1">
      <c r="A111" s="1"/>
      <c r="B111" s="1">
        <v>8499</v>
      </c>
      <c r="C111" s="3">
        <v>278.85280319881002</v>
      </c>
      <c r="D111" s="4">
        <f>332.8256184369*735.49875/745.69987158227</f>
        <v>328.27258748067237</v>
      </c>
      <c r="E111" s="1"/>
      <c r="F111" s="1"/>
      <c r="G111" s="1"/>
      <c r="H111" s="1"/>
      <c r="I111" s="1"/>
      <c r="J111" s="1"/>
      <c r="K111" s="1"/>
      <c r="L111" s="1"/>
      <c r="M111" s="1"/>
    </row>
    <row r="112" spans="1:13" ht="22.5" customHeight="1">
      <c r="A112" s="1"/>
      <c r="B112" s="1"/>
      <c r="C112" s="3"/>
      <c r="D112" s="4"/>
      <c r="E112" s="1"/>
      <c r="F112" s="1"/>
      <c r="G112" s="1"/>
      <c r="H112" s="1"/>
      <c r="I112" s="1"/>
      <c r="J112" s="1"/>
      <c r="K112" s="1"/>
      <c r="L112" s="1"/>
      <c r="M112" s="1"/>
    </row>
    <row r="113" spans="1:13" ht="22.5" customHeight="1">
      <c r="A113" s="1"/>
      <c r="B113" s="1"/>
      <c r="C113" s="3"/>
      <c r="D113" s="4"/>
      <c r="E113" s="1"/>
      <c r="F113" s="1"/>
      <c r="G113" s="1"/>
      <c r="H113" s="1"/>
      <c r="I113" s="1"/>
      <c r="J113" s="1"/>
      <c r="K113" s="1"/>
      <c r="L113" s="1"/>
      <c r="M113" s="1"/>
    </row>
    <row r="114" spans="1:13" ht="22.5" customHeight="1">
      <c r="A114" s="1"/>
      <c r="B114" s="1"/>
      <c r="C114" s="3"/>
      <c r="D114" s="4"/>
      <c r="E114" s="1"/>
      <c r="F114" s="1"/>
      <c r="G114" s="1"/>
      <c r="H114" s="1"/>
      <c r="I114" s="1"/>
      <c r="J114" s="1"/>
      <c r="K114" s="1"/>
      <c r="L114" s="1"/>
      <c r="M114" s="1"/>
    </row>
    <row r="115" spans="1:13" ht="22.5" customHeight="1">
      <c r="A115" s="1"/>
      <c r="B115" s="1"/>
      <c r="C115" s="3"/>
      <c r="D115" s="4"/>
      <c r="E115" s="1"/>
      <c r="F115" s="1"/>
      <c r="G115" s="1"/>
      <c r="H115" s="1"/>
      <c r="I115" s="1"/>
      <c r="J115" s="1"/>
      <c r="K115" s="1"/>
      <c r="L115" s="1"/>
      <c r="M115" s="1"/>
    </row>
    <row r="116" spans="1:13" ht="22.5" customHeight="1">
      <c r="A116" s="1"/>
      <c r="B116" s="1"/>
      <c r="C116" s="3"/>
      <c r="D116" s="4"/>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32" customHeight="1">
      <c r="A125" s="1"/>
      <c r="B125" s="29" t="s">
        <v>50</v>
      </c>
      <c r="C125" s="29"/>
      <c r="D125" s="29"/>
      <c r="E125" s="29"/>
      <c r="F125" s="1"/>
      <c r="G125" s="1"/>
      <c r="H125" s="1"/>
      <c r="I125" s="1"/>
      <c r="J125" s="1"/>
      <c r="K125" s="1"/>
      <c r="L125" s="1"/>
      <c r="M125" s="1"/>
    </row>
    <row r="126" spans="1:13" ht="32" customHeight="1">
      <c r="A126" s="1"/>
      <c r="B126" s="2" t="s">
        <v>44</v>
      </c>
      <c r="C126" s="2" t="str">
        <f>VLOOKUP("label.torqueNm",Locale!$A$2:$D$73,4,FALSE)</f>
        <v>扭矩 (Nm)</v>
      </c>
      <c r="D126" s="2" t="str">
        <f>VLOOKUP("label.powerHp",Locale!$A$2:$D$73,4,FALSE)</f>
        <v>功率 (hp)</v>
      </c>
      <c r="E126" s="1"/>
      <c r="F126" s="1"/>
      <c r="G126" s="1"/>
      <c r="H126" s="1"/>
      <c r="I126" s="1"/>
      <c r="J126" s="1"/>
      <c r="K126" s="1"/>
      <c r="L126" s="1"/>
      <c r="M126" s="1"/>
    </row>
    <row r="127" spans="1:13" ht="22.5" customHeight="1">
      <c r="A127" s="1"/>
      <c r="B127" s="1">
        <v>2500</v>
      </c>
      <c r="C127" s="3">
        <v>781.33066149713</v>
      </c>
      <c r="D127" s="4">
        <f>274.31450970575*735.49875/745.69987158227</f>
        <v>270.56190658493745</v>
      </c>
      <c r="E127" s="1"/>
      <c r="F127" s="1"/>
      <c r="G127" s="1"/>
      <c r="H127" s="1"/>
      <c r="I127" s="1"/>
      <c r="J127" s="1"/>
      <c r="K127" s="1"/>
      <c r="L127" s="1"/>
      <c r="M127" s="1"/>
    </row>
    <row r="128" spans="1:13" ht="22.5" customHeight="1">
      <c r="A128" s="1"/>
      <c r="B128" s="1">
        <v>3000</v>
      </c>
      <c r="C128" s="3">
        <v>815.57037906490996</v>
      </c>
      <c r="D128" s="4">
        <f>343.60272753414*735.49875/745.69987158227</f>
        <v>338.90226648653652</v>
      </c>
      <c r="E128" s="1"/>
      <c r="F128" s="1"/>
      <c r="G128" s="1"/>
      <c r="H128" s="1"/>
      <c r="I128" s="1"/>
      <c r="J128" s="1"/>
      <c r="K128" s="1"/>
      <c r="L128" s="1"/>
      <c r="M128" s="1"/>
    </row>
    <row r="129" spans="1:13" ht="22.5" customHeight="1">
      <c r="A129" s="1"/>
      <c r="B129" s="1">
        <v>3500</v>
      </c>
      <c r="C129" s="3">
        <v>839.31014412132004</v>
      </c>
      <c r="D129" s="4">
        <f>412.53843837174*735.49875/745.69987158227</f>
        <v>406.89494166808578</v>
      </c>
      <c r="E129" s="1"/>
      <c r="F129" s="1"/>
      <c r="G129" s="1"/>
      <c r="H129" s="1"/>
      <c r="I129" s="1"/>
      <c r="J129" s="1"/>
      <c r="K129" s="1"/>
      <c r="L129" s="1"/>
      <c r="M129" s="1"/>
    </row>
    <row r="130" spans="1:13" ht="22.5" customHeight="1">
      <c r="A130" s="1"/>
      <c r="B130" s="1">
        <v>4000</v>
      </c>
      <c r="C130" s="3">
        <v>849.15980634939001</v>
      </c>
      <c r="D130" s="4">
        <f>477.00543172178*735.49875/745.69987158227</f>
        <v>470.48003110172607</v>
      </c>
      <c r="E130" s="1"/>
      <c r="F130" s="1"/>
      <c r="G130" s="1"/>
      <c r="H130" s="1"/>
      <c r="I130" s="1"/>
      <c r="J130" s="1"/>
      <c r="K130" s="1"/>
      <c r="L130" s="1"/>
      <c r="M130" s="1"/>
    </row>
    <row r="131" spans="1:13" ht="22.5" customHeight="1">
      <c r="A131" s="1"/>
      <c r="B131" s="1">
        <v>4141</v>
      </c>
      <c r="C131" s="3">
        <v>849.65874099113</v>
      </c>
      <c r="D131" s="4">
        <f>494.11002333565*735.49875/745.69987158227</f>
        <v>487.35063311023652</v>
      </c>
      <c r="E131" s="1"/>
      <c r="F131" s="1"/>
      <c r="G131" s="1"/>
      <c r="H131" s="1"/>
      <c r="I131" s="1"/>
      <c r="J131" s="1"/>
      <c r="K131" s="1"/>
      <c r="L131" s="1"/>
      <c r="M131" s="1"/>
    </row>
    <row r="132" spans="1:13" ht="22.5" customHeight="1">
      <c r="A132" s="1"/>
      <c r="B132" s="1">
        <v>4500</v>
      </c>
      <c r="C132" s="3">
        <v>846.29453700936006</v>
      </c>
      <c r="D132" s="4">
        <f>534.8203883037*735.49875/745.69987158227</f>
        <v>527.5040831604706</v>
      </c>
      <c r="E132" s="1"/>
      <c r="F132" s="1"/>
      <c r="G132" s="1"/>
      <c r="H132" s="1"/>
      <c r="I132" s="1"/>
      <c r="J132" s="1"/>
      <c r="K132" s="1"/>
      <c r="L132" s="1"/>
      <c r="M132" s="1"/>
    </row>
    <row r="133" spans="1:13" ht="22.5" customHeight="1">
      <c r="A133" s="1"/>
      <c r="B133" s="1">
        <v>5000</v>
      </c>
      <c r="C133" s="3">
        <v>830.31349066587995</v>
      </c>
      <c r="D133" s="4">
        <f>583.02342226696*735.49875/745.69987158227</f>
        <v>575.04770302318877</v>
      </c>
      <c r="E133" s="1"/>
      <c r="F133" s="1"/>
      <c r="G133" s="1"/>
      <c r="H133" s="1"/>
      <c r="I133" s="1"/>
      <c r="J133" s="1"/>
      <c r="K133" s="1"/>
      <c r="L133" s="1"/>
      <c r="M133" s="1"/>
    </row>
    <row r="134" spans="1:13" ht="22.5" customHeight="1">
      <c r="A134" s="1"/>
      <c r="B134" s="1">
        <v>5500</v>
      </c>
      <c r="C134" s="3">
        <v>778.94554556110995</v>
      </c>
      <c r="D134" s="4">
        <f>601.64968186327*735.49875/745.69987158227</f>
        <v>593.4191567035989</v>
      </c>
      <c r="E134" s="1"/>
      <c r="F134" s="1"/>
      <c r="G134" s="1"/>
      <c r="H134" s="1"/>
      <c r="I134" s="1"/>
      <c r="J134" s="1"/>
      <c r="K134" s="1"/>
      <c r="L134" s="1"/>
      <c r="M134" s="1"/>
    </row>
    <row r="135" spans="1:13" ht="22.5" customHeight="1">
      <c r="A135" s="1"/>
      <c r="B135" s="1">
        <v>5690</v>
      </c>
      <c r="C135" s="3">
        <v>754.97659059928003</v>
      </c>
      <c r="D135" s="4">
        <f>603.28101147836*735.49875/745.69987158227</f>
        <v>595.02816984475828</v>
      </c>
      <c r="E135" s="1"/>
      <c r="F135" s="1"/>
      <c r="G135" s="1"/>
      <c r="H135" s="1"/>
      <c r="I135" s="1"/>
      <c r="J135" s="1"/>
      <c r="K135" s="1"/>
      <c r="L135" s="1"/>
      <c r="M135" s="1"/>
    </row>
    <row r="136" spans="1:13" ht="22.5" customHeight="1">
      <c r="A136" s="1"/>
      <c r="B136" s="1">
        <v>6000</v>
      </c>
      <c r="C136" s="3">
        <v>713.52169310327997</v>
      </c>
      <c r="D136" s="4">
        <f>601.21849983361*735.49875/745.69987158227</f>
        <v>592.99387321365498</v>
      </c>
      <c r="E136" s="1"/>
      <c r="F136" s="1"/>
      <c r="G136" s="1"/>
      <c r="H136" s="1"/>
      <c r="I136" s="1"/>
      <c r="J136" s="1"/>
      <c r="K136" s="1"/>
      <c r="L136" s="1"/>
      <c r="M136" s="1"/>
    </row>
    <row r="137" spans="1:13" ht="22.5" customHeight="1">
      <c r="A137" s="1"/>
      <c r="B137" s="1">
        <v>6500</v>
      </c>
      <c r="C137" s="3">
        <v>650.00523948523005</v>
      </c>
      <c r="D137" s="4">
        <f>593.34067014361*735.49875/745.69987158227</f>
        <v>585.22381167748551</v>
      </c>
      <c r="E137" s="1"/>
      <c r="F137" s="1"/>
      <c r="G137" s="1"/>
      <c r="H137" s="1"/>
      <c r="I137" s="1"/>
      <c r="J137" s="1"/>
      <c r="K137" s="1"/>
      <c r="L137" s="1"/>
      <c r="M137" s="1"/>
    </row>
    <row r="138" spans="1:13" ht="22.5" customHeight="1">
      <c r="A138" s="1"/>
      <c r="B138" s="1">
        <v>7000</v>
      </c>
      <c r="C138" s="3">
        <v>590.16354933322998</v>
      </c>
      <c r="D138" s="4">
        <f>580.15538292043*735.49875/745.69987158227</f>
        <v>572.21889825237974</v>
      </c>
      <c r="E138" s="1"/>
      <c r="F138" s="1"/>
      <c r="G138" s="1"/>
      <c r="H138" s="1"/>
      <c r="I138" s="1"/>
      <c r="J138" s="1"/>
      <c r="K138" s="1"/>
      <c r="L138" s="1"/>
      <c r="M138" s="1"/>
    </row>
    <row r="139" spans="1:13" ht="22.5" customHeight="1">
      <c r="A139" s="1"/>
      <c r="B139" s="1">
        <v>7500</v>
      </c>
      <c r="C139" s="3">
        <v>529.20441413318997</v>
      </c>
      <c r="D139" s="4">
        <f>557.3892970701*735.49875/745.69987158227</f>
        <v>549.764250848752</v>
      </c>
      <c r="E139" s="1"/>
      <c r="F139" s="1"/>
      <c r="G139" s="1"/>
      <c r="H139" s="1"/>
      <c r="I139" s="1"/>
      <c r="J139" s="1"/>
      <c r="K139" s="1"/>
      <c r="L139" s="1"/>
      <c r="M139" s="1"/>
    </row>
    <row r="140" spans="1:13" ht="22.5" customHeight="1">
      <c r="A140" s="1"/>
      <c r="B140" s="1">
        <v>8000</v>
      </c>
      <c r="C140" s="3">
        <v>466.5003138289</v>
      </c>
      <c r="D140" s="4">
        <f>524.10201691704*735.49875/745.69987158227</f>
        <v>516.93233833745376</v>
      </c>
      <c r="E140" s="1"/>
      <c r="F140" s="1"/>
      <c r="G140" s="1"/>
      <c r="H140" s="1"/>
      <c r="I140" s="1"/>
      <c r="J140" s="1"/>
      <c r="K140" s="1"/>
      <c r="L140" s="1"/>
      <c r="M140" s="1"/>
    </row>
    <row r="141" spans="1:13" ht="22.5" customHeight="1">
      <c r="A141" s="1"/>
      <c r="B141" s="1">
        <v>8499</v>
      </c>
      <c r="C141" s="3">
        <v>397.788442868</v>
      </c>
      <c r="D141" s="4">
        <f>474.78161591297*735.49875/745.69987158227</f>
        <v>468.28663693613572</v>
      </c>
      <c r="E141" s="1"/>
      <c r="F141" s="1"/>
      <c r="G141" s="1"/>
      <c r="H141" s="1"/>
      <c r="I141" s="1"/>
      <c r="J141" s="1"/>
      <c r="K141" s="1"/>
      <c r="L141" s="1"/>
      <c r="M141" s="1"/>
    </row>
    <row r="142" spans="1:13" ht="22.5" customHeight="1">
      <c r="A142" s="1"/>
      <c r="B142" s="1"/>
      <c r="C142" s="3"/>
      <c r="D142" s="4"/>
      <c r="E142" s="1"/>
      <c r="F142" s="1"/>
      <c r="G142" s="1"/>
      <c r="H142" s="1"/>
      <c r="I142" s="1"/>
      <c r="J142" s="1"/>
      <c r="K142" s="1"/>
      <c r="L142" s="1"/>
      <c r="M142" s="1"/>
    </row>
    <row r="143" spans="1:13" ht="22.5" customHeight="1">
      <c r="A143" s="1"/>
      <c r="B143" s="1"/>
      <c r="C143" s="3"/>
      <c r="D143" s="4"/>
      <c r="E143" s="1"/>
      <c r="F143" s="1"/>
      <c r="G143" s="1"/>
      <c r="H143" s="1"/>
      <c r="I143" s="1"/>
      <c r="J143" s="1"/>
      <c r="K143" s="1"/>
      <c r="L143" s="1"/>
      <c r="M143" s="1"/>
    </row>
    <row r="144" spans="1:13" ht="22.5" customHeight="1">
      <c r="A144" s="1"/>
      <c r="B144" s="1"/>
      <c r="C144" s="3"/>
      <c r="D144" s="4"/>
      <c r="E144" s="1"/>
      <c r="F144" s="1"/>
      <c r="G144" s="1"/>
      <c r="H144" s="1"/>
      <c r="I144" s="1"/>
      <c r="J144" s="1"/>
      <c r="K144" s="1"/>
      <c r="L144" s="1"/>
      <c r="M144" s="1"/>
    </row>
    <row r="145" spans="1:13" ht="22.5" customHeight="1">
      <c r="A145" s="1"/>
      <c r="B145" s="1"/>
      <c r="C145" s="3"/>
      <c r="D145" s="4"/>
      <c r="E145" s="1"/>
      <c r="F145" s="1"/>
      <c r="G145" s="1"/>
      <c r="H145" s="1"/>
      <c r="I145" s="1"/>
      <c r="J145" s="1"/>
      <c r="K145" s="1"/>
      <c r="L145" s="1"/>
      <c r="M145" s="1"/>
    </row>
    <row r="146" spans="1:13" ht="22.5" customHeight="1">
      <c r="A146" s="1"/>
      <c r="B146" s="1"/>
      <c r="C146" s="3"/>
      <c r="D146" s="4"/>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32" customHeight="1">
      <c r="A155" s="1"/>
      <c r="B155" s="29" t="str">
        <f>VLOOKUP("note.rx3Rx1Placeholder",Locale!$A$2:$D$73,4,FALSE)</f>
        <v>RX3 · RX1 占位</v>
      </c>
      <c r="C155" s="29"/>
      <c r="D155" s="29"/>
      <c r="E155" s="29"/>
      <c r="F155" s="1"/>
      <c r="G155" s="1"/>
      <c r="H155" s="1"/>
      <c r="I155" s="1"/>
      <c r="J155" s="1"/>
      <c r="K155" s="1"/>
      <c r="L155" s="1"/>
      <c r="M155" s="1"/>
    </row>
    <row r="156" spans="1:13" ht="32" customHeight="1">
      <c r="A156" s="1"/>
      <c r="B156" s="2" t="s">
        <v>44</v>
      </c>
      <c r="C156" s="2" t="str">
        <f>VLOOKUP("label.torqueNm",Locale!$A$2:$D$73,4,FALSE)</f>
        <v>扭矩 (Nm)</v>
      </c>
      <c r="D156" s="2" t="str">
        <f>VLOOKUP("label.powerHp",Locale!$A$2:$D$73,4,FALSE)</f>
        <v>功率 (hp)</v>
      </c>
      <c r="E156" s="1"/>
      <c r="F156" s="1"/>
      <c r="G156" s="1"/>
      <c r="H156" s="1"/>
      <c r="I156" s="1"/>
      <c r="J156" s="1"/>
      <c r="K156" s="1"/>
      <c r="L156" s="1"/>
      <c r="M156" s="1"/>
    </row>
    <row r="157" spans="1:13" ht="22.5" customHeight="1">
      <c r="A157" s="1"/>
      <c r="B157" s="1">
        <v>2500</v>
      </c>
      <c r="C157" s="3">
        <v>781.33066149713</v>
      </c>
      <c r="D157" s="4">
        <f>274.31450970575*735.49875/745.69987158227</f>
        <v>270.56190658493745</v>
      </c>
      <c r="E157" s="1"/>
      <c r="F157" s="1"/>
      <c r="G157" s="1"/>
      <c r="H157" s="1"/>
      <c r="I157" s="1"/>
      <c r="J157" s="1"/>
      <c r="K157" s="1"/>
      <c r="L157" s="1"/>
      <c r="M157" s="1"/>
    </row>
    <row r="158" spans="1:13" ht="22.5" customHeight="1">
      <c r="A158" s="1"/>
      <c r="B158" s="1">
        <v>3000</v>
      </c>
      <c r="C158" s="3">
        <v>815.57037906490996</v>
      </c>
      <c r="D158" s="4">
        <f>343.60272753414*735.49875/745.69987158227</f>
        <v>338.90226648653652</v>
      </c>
      <c r="E158" s="1"/>
      <c r="F158" s="1"/>
      <c r="G158" s="1"/>
      <c r="H158" s="1"/>
      <c r="I158" s="1"/>
      <c r="J158" s="1"/>
      <c r="K158" s="1"/>
      <c r="L158" s="1"/>
      <c r="M158" s="1"/>
    </row>
    <row r="159" spans="1:13" ht="22.5" customHeight="1">
      <c r="A159" s="1"/>
      <c r="B159" s="1">
        <v>3500</v>
      </c>
      <c r="C159" s="3">
        <v>839.31014412132004</v>
      </c>
      <c r="D159" s="4">
        <f>412.53843837174*735.49875/745.69987158227</f>
        <v>406.89494166808578</v>
      </c>
      <c r="E159" s="1"/>
      <c r="F159" s="1"/>
      <c r="G159" s="1"/>
      <c r="H159" s="1"/>
      <c r="I159" s="1"/>
      <c r="J159" s="1"/>
      <c r="K159" s="1"/>
      <c r="L159" s="1"/>
      <c r="M159" s="1"/>
    </row>
    <row r="160" spans="1:13" ht="22.5" customHeight="1">
      <c r="A160" s="1"/>
      <c r="B160" s="1">
        <v>4000</v>
      </c>
      <c r="C160" s="3">
        <v>849.15980634939001</v>
      </c>
      <c r="D160" s="4">
        <f>477.00543172178*735.49875/745.69987158227</f>
        <v>470.48003110172607</v>
      </c>
      <c r="E160" s="1"/>
      <c r="F160" s="1"/>
      <c r="G160" s="1"/>
      <c r="H160" s="1"/>
      <c r="I160" s="1"/>
      <c r="J160" s="1"/>
      <c r="K160" s="1"/>
      <c r="L160" s="1"/>
      <c r="M160" s="1"/>
    </row>
    <row r="161" spans="1:13" ht="22.5" customHeight="1">
      <c r="A161" s="1"/>
      <c r="B161" s="1">
        <v>4141</v>
      </c>
      <c r="C161" s="3">
        <v>849.65874099113</v>
      </c>
      <c r="D161" s="4">
        <f>494.11002333565*735.49875/745.69987158227</f>
        <v>487.35063311023652</v>
      </c>
      <c r="E161" s="1"/>
      <c r="F161" s="1"/>
      <c r="G161" s="1"/>
      <c r="H161" s="1"/>
      <c r="I161" s="1"/>
      <c r="J161" s="1"/>
      <c r="K161" s="1"/>
      <c r="L161" s="1"/>
      <c r="M161" s="1"/>
    </row>
    <row r="162" spans="1:13" ht="22.5" customHeight="1">
      <c r="A162" s="1"/>
      <c r="B162" s="1">
        <v>4500</v>
      </c>
      <c r="C162" s="3">
        <v>846.29453700936006</v>
      </c>
      <c r="D162" s="4">
        <f>534.8203883037*735.49875/745.69987158227</f>
        <v>527.5040831604706</v>
      </c>
      <c r="E162" s="1"/>
      <c r="F162" s="1"/>
      <c r="G162" s="1"/>
      <c r="H162" s="1"/>
      <c r="I162" s="1"/>
      <c r="J162" s="1"/>
      <c r="K162" s="1"/>
      <c r="L162" s="1"/>
      <c r="M162" s="1"/>
    </row>
    <row r="163" spans="1:13" ht="22.5" customHeight="1">
      <c r="A163" s="1"/>
      <c r="B163" s="1">
        <v>5000</v>
      </c>
      <c r="C163" s="3">
        <v>830.31349066587995</v>
      </c>
      <c r="D163" s="4">
        <f>583.02342226696*735.49875/745.69987158227</f>
        <v>575.04770302318877</v>
      </c>
      <c r="E163" s="1"/>
      <c r="F163" s="1"/>
      <c r="G163" s="1"/>
      <c r="H163" s="1"/>
      <c r="I163" s="1"/>
      <c r="J163" s="1"/>
      <c r="K163" s="1"/>
      <c r="L163" s="1"/>
      <c r="M163" s="1"/>
    </row>
    <row r="164" spans="1:13" ht="22.5" customHeight="1">
      <c r="A164" s="1"/>
      <c r="B164" s="1">
        <v>5500</v>
      </c>
      <c r="C164" s="3">
        <v>778.94554556110995</v>
      </c>
      <c r="D164" s="4">
        <f>601.64968186327*735.49875/745.69987158227</f>
        <v>593.4191567035989</v>
      </c>
      <c r="E164" s="1"/>
      <c r="F164" s="1"/>
      <c r="G164" s="1"/>
      <c r="H164" s="1"/>
      <c r="I164" s="1"/>
      <c r="J164" s="1"/>
      <c r="K164" s="1"/>
      <c r="L164" s="1"/>
      <c r="M164" s="1"/>
    </row>
    <row r="165" spans="1:13" ht="22.5" customHeight="1">
      <c r="A165" s="1"/>
      <c r="B165" s="1">
        <v>5690</v>
      </c>
      <c r="C165" s="3">
        <v>754.97659059928003</v>
      </c>
      <c r="D165" s="4">
        <f>603.28101147836*735.49875/745.69987158227</f>
        <v>595.02816984475828</v>
      </c>
      <c r="E165" s="1"/>
      <c r="F165" s="1"/>
      <c r="G165" s="1"/>
      <c r="H165" s="1"/>
      <c r="I165" s="1"/>
      <c r="J165" s="1"/>
      <c r="K165" s="1"/>
      <c r="L165" s="1"/>
      <c r="M165" s="1"/>
    </row>
    <row r="166" spans="1:13" ht="22.5" customHeight="1">
      <c r="A166" s="1"/>
      <c r="B166" s="1">
        <v>6000</v>
      </c>
      <c r="C166" s="3">
        <v>713.52169310327997</v>
      </c>
      <c r="D166" s="4">
        <f>601.21849983361*735.49875/745.69987158227</f>
        <v>592.99387321365498</v>
      </c>
      <c r="E166" s="1"/>
      <c r="F166" s="1"/>
      <c r="G166" s="1"/>
      <c r="H166" s="1"/>
      <c r="I166" s="1"/>
      <c r="J166" s="1"/>
      <c r="K166" s="1"/>
      <c r="L166" s="1"/>
      <c r="M166" s="1"/>
    </row>
    <row r="167" spans="1:13" ht="22.5" customHeight="1">
      <c r="A167" s="1"/>
      <c r="B167" s="1">
        <v>6500</v>
      </c>
      <c r="C167" s="3">
        <v>650.00523948523005</v>
      </c>
      <c r="D167" s="4">
        <f>593.34067014361*735.49875/745.69987158227</f>
        <v>585.22381167748551</v>
      </c>
      <c r="E167" s="1"/>
      <c r="F167" s="1"/>
      <c r="G167" s="1"/>
      <c r="H167" s="1"/>
      <c r="I167" s="1"/>
      <c r="J167" s="1"/>
      <c r="K167" s="1"/>
      <c r="L167" s="1"/>
      <c r="M167" s="1"/>
    </row>
    <row r="168" spans="1:13" ht="22.5" customHeight="1">
      <c r="A168" s="1"/>
      <c r="B168" s="1">
        <v>7000</v>
      </c>
      <c r="C168" s="3">
        <v>590.16354933322998</v>
      </c>
      <c r="D168" s="4">
        <f>580.15538292043*735.49875/745.69987158227</f>
        <v>572.21889825237974</v>
      </c>
      <c r="E168" s="1"/>
      <c r="F168" s="1"/>
      <c r="G168" s="1"/>
      <c r="H168" s="1"/>
      <c r="I168" s="1"/>
      <c r="J168" s="1"/>
      <c r="K168" s="1"/>
      <c r="L168" s="1"/>
      <c r="M168" s="1"/>
    </row>
    <row r="169" spans="1:13" ht="22.5" customHeight="1">
      <c r="A169" s="1"/>
      <c r="B169" s="1">
        <v>7500</v>
      </c>
      <c r="C169" s="3">
        <v>529.20441413318997</v>
      </c>
      <c r="D169" s="4">
        <f>557.3892970701*735.49875/745.69987158227</f>
        <v>549.764250848752</v>
      </c>
      <c r="E169" s="1"/>
      <c r="F169" s="1"/>
      <c r="G169" s="1"/>
      <c r="H169" s="1"/>
      <c r="I169" s="1"/>
      <c r="J169" s="1"/>
      <c r="K169" s="1"/>
      <c r="L169" s="1"/>
      <c r="M169" s="1"/>
    </row>
    <row r="170" spans="1:13" ht="22.5" customHeight="1">
      <c r="A170" s="1"/>
      <c r="B170" s="1">
        <v>8000</v>
      </c>
      <c r="C170" s="3">
        <v>466.5003138289</v>
      </c>
      <c r="D170" s="4">
        <f>524.10201691704*735.49875/745.69987158227</f>
        <v>516.93233833745376</v>
      </c>
      <c r="E170" s="1"/>
      <c r="F170" s="1"/>
      <c r="G170" s="1"/>
      <c r="H170" s="1"/>
      <c r="I170" s="1"/>
      <c r="J170" s="1"/>
      <c r="K170" s="1"/>
      <c r="L170" s="1"/>
      <c r="M170" s="1"/>
    </row>
    <row r="171" spans="1:13" ht="22.5" customHeight="1">
      <c r="A171" s="1"/>
      <c r="B171" s="1">
        <v>8499</v>
      </c>
      <c r="C171" s="3">
        <v>397.788442868</v>
      </c>
      <c r="D171" s="4">
        <f>474.78161591297*735.49875/745.69987158227</f>
        <v>468.28663693613572</v>
      </c>
      <c r="E171" s="1"/>
      <c r="F171" s="1"/>
      <c r="G171" s="1"/>
      <c r="H171" s="1"/>
      <c r="I171" s="1"/>
      <c r="J171" s="1"/>
      <c r="K171" s="1"/>
      <c r="L171" s="1"/>
      <c r="M171" s="1"/>
    </row>
    <row r="172" spans="1:13" ht="22.5" customHeight="1">
      <c r="A172" s="1"/>
      <c r="B172" s="1"/>
      <c r="C172" s="3"/>
      <c r="D172" s="4"/>
      <c r="E172" s="1"/>
      <c r="F172" s="1"/>
      <c r="G172" s="1"/>
      <c r="H172" s="1"/>
      <c r="I172" s="1"/>
      <c r="J172" s="1"/>
      <c r="K172" s="1"/>
      <c r="L172" s="1"/>
      <c r="M172" s="1"/>
    </row>
    <row r="173" spans="1:13" ht="22.5" customHeight="1">
      <c r="A173" s="1"/>
      <c r="B173" s="1"/>
      <c r="C173" s="3"/>
      <c r="D173" s="4"/>
      <c r="E173" s="1"/>
      <c r="F173" s="1"/>
      <c r="G173" s="1"/>
      <c r="H173" s="1"/>
      <c r="I173" s="1"/>
      <c r="J173" s="1"/>
      <c r="K173" s="1"/>
      <c r="L173" s="1"/>
      <c r="M173" s="1"/>
    </row>
    <row r="174" spans="1:13" ht="22.5" customHeight="1">
      <c r="A174" s="1"/>
      <c r="B174" s="1"/>
      <c r="C174" s="3"/>
      <c r="D174" s="4"/>
      <c r="E174" s="1"/>
      <c r="F174" s="1"/>
      <c r="G174" s="1"/>
      <c r="H174" s="1"/>
      <c r="I174" s="1"/>
      <c r="J174" s="1"/>
      <c r="K174" s="1"/>
      <c r="L174" s="1"/>
      <c r="M174" s="1"/>
    </row>
    <row r="175" spans="1:13" ht="22.5" customHeight="1">
      <c r="A175" s="1"/>
      <c r="B175" s="1"/>
      <c r="C175" s="3"/>
      <c r="D175" s="4"/>
      <c r="E175" s="1"/>
      <c r="F175" s="1"/>
      <c r="G175" s="1"/>
      <c r="H175" s="1"/>
      <c r="I175" s="1"/>
      <c r="J175" s="1"/>
      <c r="K175" s="1"/>
      <c r="L175" s="1"/>
      <c r="M175" s="1"/>
    </row>
    <row r="176" spans="1:13" ht="22.5" customHeight="1">
      <c r="A176" s="1"/>
      <c r="B176" s="1"/>
      <c r="C176" s="3"/>
      <c r="D176" s="4"/>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32" customHeight="1">
      <c r="A200" s="1"/>
      <c r="B200" s="29" t="str">
        <f>VLOOKUP("chart.rally2GearPositions",Locale!$A$2:$D$73,4,FALSE)</f>
        <v>Rally2 · 挡位图</v>
      </c>
      <c r="C200" s="29"/>
      <c r="D200" s="29"/>
      <c r="E200" s="29"/>
      <c r="F200" s="29"/>
      <c r="G200" s="29"/>
      <c r="H200" s="1"/>
      <c r="I200" s="1"/>
      <c r="J200" s="1"/>
      <c r="K200" s="1"/>
      <c r="L200" s="1"/>
      <c r="M200" s="1"/>
    </row>
    <row r="201" spans="1:13" ht="32" customHeight="1">
      <c r="A201" s="1"/>
      <c r="B201" s="2" t="str">
        <f>VLOOKUP("label.gear",Locale!$A$2:$D$73,4,FALSE)</f>
        <v>挡位</v>
      </c>
      <c r="C201" s="2" t="str">
        <f>VLOOKUP("label.gearRatio",Locale!$A$2:$D$73,4,FALSE)</f>
        <v>齿比</v>
      </c>
      <c r="D201" s="2" t="str">
        <f>VLOOKUP("label.flashRpm",Locale!$A$2:$D$73,4,FALSE)</f>
        <v>闪烁 (rpm)</v>
      </c>
      <c r="E201" s="2" t="str">
        <f>VLOOKUP("label.shiftKmh",Locale!$A$2:$D$73,4,FALSE)</f>
        <v>换挡车速 (km/h)</v>
      </c>
      <c r="F201" s="2" t="str">
        <f>VLOOKUP("label.afterShiftRpm",Locale!$A$2:$D$73,4,FALSE)</f>
        <v>换挡后 (rpm)</v>
      </c>
      <c r="G201" s="2" t="str">
        <f>VLOOKUP("label.limitSpeedKmh",Locale!$A$2:$D$73,4,FALSE)</f>
        <v>限转车速 (km/h)</v>
      </c>
      <c r="H201" s="1"/>
      <c r="I201" s="1"/>
      <c r="J201" s="1"/>
      <c r="K201" s="1"/>
      <c r="L201" s="1"/>
      <c r="M201" s="1"/>
    </row>
    <row r="202" spans="1:13" ht="22.5" customHeight="1">
      <c r="A202" s="1"/>
      <c r="B202" s="1">
        <v>1</v>
      </c>
      <c r="C202" s="20">
        <f>IF(Rally2!$D$53=1,Rally2!C15,Rally2!K15)</f>
        <v>3.762</v>
      </c>
      <c r="D202" s="20">
        <f>IF(Rally2!$D$53=1,Rally2!D15,Rally2!L15)</f>
        <v>6170</v>
      </c>
      <c r="E202" s="20">
        <f>IF(Rally2!$D$53=1,Rally2!F15,Rally2!N15)</f>
        <v>48.616134192089312</v>
      </c>
      <c r="F202" s="20">
        <f>IF(Rally2!$D$53=1,Rally2!E15,Rally2!M15)</f>
        <v>4411.828814460393</v>
      </c>
      <c r="G202" s="20">
        <f>E202*Rally2!$O$7/D202</f>
        <v>59.095787105457021</v>
      </c>
      <c r="H202" s="1"/>
      <c r="I202" s="1"/>
      <c r="J202" s="1"/>
      <c r="K202" s="1"/>
      <c r="L202" s="1"/>
      <c r="M202" s="1"/>
    </row>
    <row r="203" spans="1:13" ht="22.5" customHeight="1">
      <c r="A203" s="1"/>
      <c r="B203" s="1">
        <v>2</v>
      </c>
      <c r="C203" s="20">
        <f>IF(Rally2!$D$53=1,Rally2!C16,Rally2!K16)</f>
        <v>2.69</v>
      </c>
      <c r="D203" s="20">
        <f>IF(Rally2!$D$53=1,Rally2!D16,Rally2!L16)</f>
        <v>6360</v>
      </c>
      <c r="E203" s="20">
        <f>IF(Rally2!$D$53=1,Rally2!F16,Rally2!N16)</f>
        <v>70.084000641241047</v>
      </c>
      <c r="F203" s="20">
        <f>IF(Rally2!$D$53=1,Rally2!E16,Rally2!M16)</f>
        <v>4636.4163568773238</v>
      </c>
      <c r="G203" s="20">
        <f>E203*Rally2!$O$7/D203</f>
        <v>82.646227171274816</v>
      </c>
      <c r="H203" s="1"/>
      <c r="I203" s="1"/>
      <c r="J203" s="1"/>
      <c r="K203" s="1"/>
      <c r="L203" s="1"/>
      <c r="M203" s="1"/>
    </row>
    <row r="204" spans="1:13" ht="22.5" customHeight="1">
      <c r="A204" s="1"/>
      <c r="B204" s="1">
        <v>3</v>
      </c>
      <c r="C204" s="20">
        <f>IF(Rally2!$D$53=1,Rally2!C17,Rally2!K17)</f>
        <v>1.9610000000000001</v>
      </c>
      <c r="D204" s="20">
        <f>IF(Rally2!$D$53=1,Rally2!D17,Rally2!L17)</f>
        <v>6290</v>
      </c>
      <c r="E204" s="20">
        <f>IF(Rally2!$D$53=1,Rally2!F17,Rally2!N17)</f>
        <v>95.079546378425107</v>
      </c>
      <c r="F204" s="20">
        <f>IF(Rally2!$D$53=1,Rally2!E17,Rally2!M17)</f>
        <v>4779.2452830188677</v>
      </c>
      <c r="G204" s="20">
        <f>E204*Rally2!$O$7/D204</f>
        <v>113.3698883685514</v>
      </c>
      <c r="H204" s="1"/>
      <c r="I204" s="1"/>
      <c r="J204" s="1"/>
      <c r="K204" s="1"/>
      <c r="L204" s="1"/>
      <c r="M204" s="1"/>
    </row>
    <row r="205" spans="1:13" ht="22.5" customHeight="1">
      <c r="A205" s="1"/>
      <c r="B205" s="1">
        <v>4</v>
      </c>
      <c r="C205" s="20">
        <f>IF(Rally2!$D$53=1,Rally2!C18,Rally2!K18)</f>
        <v>1.49</v>
      </c>
      <c r="D205" s="20">
        <f>IF(Rally2!$D$53=1,Rally2!D18,Rally2!L18)</f>
        <v>6120</v>
      </c>
      <c r="E205" s="20">
        <f>IF(Rally2!$D$53=1,Rally2!F18,Rally2!N18)</f>
        <v>121.75286878525847</v>
      </c>
      <c r="F205" s="20">
        <f>IF(Rally2!$D$53=1,Rally2!E18,Rally2!M18)</f>
        <v>4883.6778523489938</v>
      </c>
      <c r="G205" s="20">
        <f>E205*Rally2!$O$7/D205</f>
        <v>149.20694704075794</v>
      </c>
      <c r="H205" s="1"/>
      <c r="I205" s="1"/>
      <c r="J205" s="1"/>
      <c r="K205" s="1"/>
      <c r="L205" s="1"/>
      <c r="M205" s="1"/>
    </row>
    <row r="206" spans="1:13" ht="22.5" customHeight="1">
      <c r="A206" s="1"/>
      <c r="B206" s="1">
        <v>5</v>
      </c>
      <c r="C206" s="20">
        <f>IF(Rally2!$D$53=1,Rally2!C19,Rally2!K19)</f>
        <v>1.1890000000000001</v>
      </c>
      <c r="D206" s="20">
        <f>IF(Rally2!$D$53=1,Rally2!D19,Rally2!L19)</f>
        <v>7500</v>
      </c>
      <c r="E206" s="20">
        <f>IF(Rally2!$D$53=1,Rally2!F19,Rally2!N19)</f>
        <v>186.97926921003307</v>
      </c>
      <c r="F206" s="20" t="str">
        <f>""</f>
        <v/>
      </c>
      <c r="G206" s="20">
        <f>E206*Rally2!$O$7/D206</f>
        <v>186.97926921003307</v>
      </c>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32" customHeight="1">
      <c r="A211" s="1"/>
      <c r="B211" s="2" t="s">
        <v>57</v>
      </c>
      <c r="C211" s="2" t="str">
        <f>VLOOKUP("label.gearOne",Locale!$A$2:$D$73,4,FALSE)</f>
        <v>1 挡</v>
      </c>
      <c r="D211" s="2" t="s">
        <v>57</v>
      </c>
      <c r="E211" s="2" t="str">
        <f>VLOOKUP("label.gearTwo",Locale!$A$2:$D$73,4,FALSE)</f>
        <v>2 挡</v>
      </c>
      <c r="F211" s="2" t="s">
        <v>57</v>
      </c>
      <c r="G211" s="2" t="str">
        <f>VLOOKUP("label.gearThree",Locale!$A$2:$D$73,4,FALSE)</f>
        <v>3 挡</v>
      </c>
      <c r="H211" s="2" t="s">
        <v>57</v>
      </c>
      <c r="I211" s="2" t="str">
        <f>VLOOKUP("label.gearFour",Locale!$A$2:$D$73,4,FALSE)</f>
        <v>4 挡</v>
      </c>
      <c r="J211" s="2" t="s">
        <v>57</v>
      </c>
      <c r="K211" s="2" t="str">
        <f>VLOOKUP("label.gearFive",Locale!$A$2:$D$73,4,FALSE)</f>
        <v>5 挡</v>
      </c>
      <c r="L211" s="1"/>
      <c r="M211" s="1"/>
    </row>
    <row r="212" spans="1:13" ht="22.5" customHeight="1">
      <c r="A212" s="1"/>
      <c r="B212" s="1">
        <v>0</v>
      </c>
      <c r="C212" s="1">
        <v>0</v>
      </c>
      <c r="D212" s="1">
        <v>0</v>
      </c>
      <c r="E212" s="1">
        <v>0</v>
      </c>
      <c r="F212" s="1">
        <v>0</v>
      </c>
      <c r="G212" s="1">
        <v>0</v>
      </c>
      <c r="H212" s="1">
        <v>0</v>
      </c>
      <c r="I212" s="1">
        <v>0</v>
      </c>
      <c r="J212" s="1">
        <v>0</v>
      </c>
      <c r="K212" s="1">
        <v>0</v>
      </c>
      <c r="L212" s="1"/>
      <c r="M212" s="1"/>
    </row>
    <row r="213" spans="1:13" ht="22.5" customHeight="1">
      <c r="A213" s="1"/>
      <c r="B213" s="1">
        <f>G202</f>
        <v>59.095787105457021</v>
      </c>
      <c r="C213" s="1">
        <f>Rally2!$O$7</f>
        <v>7500</v>
      </c>
      <c r="D213" s="1">
        <f>G203</f>
        <v>82.646227171274816</v>
      </c>
      <c r="E213" s="1">
        <f>Rally2!$O$7</f>
        <v>7500</v>
      </c>
      <c r="F213" s="1">
        <f>G204</f>
        <v>113.3698883685514</v>
      </c>
      <c r="G213" s="1">
        <f>Rally2!$O$7</f>
        <v>7500</v>
      </c>
      <c r="H213" s="1">
        <f>G205</f>
        <v>149.20694704075794</v>
      </c>
      <c r="I213" s="1">
        <f>Rally2!$O$7</f>
        <v>7500</v>
      </c>
      <c r="J213" s="1">
        <f>G206</f>
        <v>186.97926921003307</v>
      </c>
      <c r="K213" s="1">
        <f>Rally2!$O$7</f>
        <v>7500</v>
      </c>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32" customHeight="1">
      <c r="A217" s="1"/>
      <c r="B217" s="2" t="s">
        <v>57</v>
      </c>
      <c r="C217" s="2" t="s">
        <v>63</v>
      </c>
      <c r="D217" s="2" t="s">
        <v>57</v>
      </c>
      <c r="E217" s="2" t="s">
        <v>64</v>
      </c>
      <c r="F217" s="2" t="s">
        <v>57</v>
      </c>
      <c r="G217" s="2" t="s">
        <v>65</v>
      </c>
      <c r="H217" s="2" t="s">
        <v>57</v>
      </c>
      <c r="I217" s="2" t="s">
        <v>66</v>
      </c>
      <c r="J217" s="1"/>
      <c r="K217" s="1"/>
      <c r="L217" s="1"/>
      <c r="M217" s="1"/>
    </row>
    <row r="218" spans="1:13" ht="22.5" customHeight="1">
      <c r="A218" s="1"/>
      <c r="B218" s="1">
        <f>E202</f>
        <v>48.616134192089312</v>
      </c>
      <c r="C218" s="1">
        <f>D202</f>
        <v>6170</v>
      </c>
      <c r="D218" s="1">
        <f>E203</f>
        <v>70.084000641241047</v>
      </c>
      <c r="E218" s="1">
        <f>D203</f>
        <v>6360</v>
      </c>
      <c r="F218" s="1">
        <f>E204</f>
        <v>95.079546378425107</v>
      </c>
      <c r="G218" s="1">
        <f>D204</f>
        <v>6290</v>
      </c>
      <c r="H218" s="1">
        <f>E205</f>
        <v>121.75286878525847</v>
      </c>
      <c r="I218" s="1">
        <f>D205</f>
        <v>6120</v>
      </c>
      <c r="J218" s="1"/>
      <c r="K218" s="1"/>
      <c r="L218" s="1"/>
      <c r="M218" s="1"/>
    </row>
    <row r="219" spans="1:13" ht="22.5" customHeight="1">
      <c r="A219" s="1"/>
      <c r="B219" s="1">
        <f>E202</f>
        <v>48.616134192089312</v>
      </c>
      <c r="C219" s="1">
        <f>F202</f>
        <v>4411.828814460393</v>
      </c>
      <c r="D219" s="1">
        <f>E203</f>
        <v>70.084000641241047</v>
      </c>
      <c r="E219" s="1">
        <f>F203</f>
        <v>4636.4163568773238</v>
      </c>
      <c r="F219" s="1">
        <f>E204</f>
        <v>95.079546378425107</v>
      </c>
      <c r="G219" s="1">
        <f>F204</f>
        <v>4779.2452830188677</v>
      </c>
      <c r="H219" s="1">
        <f>E205</f>
        <v>121.75286878525847</v>
      </c>
      <c r="I219" s="1">
        <f>F205</f>
        <v>4883.6778523489938</v>
      </c>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32" customHeight="1">
      <c r="A238" s="1"/>
      <c r="B238" s="29" t="str">
        <f>VLOOKUP("chart.wrc16GearPositions",Locale!$A$2:$D$73,4,FALSE)</f>
        <v>WRC16 · 挡位图</v>
      </c>
      <c r="C238" s="29"/>
      <c r="D238" s="29"/>
      <c r="E238" s="29"/>
      <c r="F238" s="29"/>
      <c r="G238" s="29"/>
      <c r="H238" s="1"/>
      <c r="I238" s="1"/>
      <c r="J238" s="1"/>
      <c r="K238" s="1"/>
      <c r="L238" s="1"/>
      <c r="M238" s="1"/>
    </row>
    <row r="239" spans="1:13" ht="32" customHeight="1">
      <c r="A239" s="1"/>
      <c r="B239" s="2" t="str">
        <f>VLOOKUP("label.gear",Locale!$A$2:$D$73,4,FALSE)</f>
        <v>挡位</v>
      </c>
      <c r="C239" s="2" t="str">
        <f>VLOOKUP("label.gearRatio",Locale!$A$2:$D$73,4,FALSE)</f>
        <v>齿比</v>
      </c>
      <c r="D239" s="2" t="str">
        <f>VLOOKUP("label.flashRpm",Locale!$A$2:$D$73,4,FALSE)</f>
        <v>闪烁 (rpm)</v>
      </c>
      <c r="E239" s="2" t="str">
        <f>VLOOKUP("label.shiftKmh",Locale!$A$2:$D$73,4,FALSE)</f>
        <v>换挡车速 (km/h)</v>
      </c>
      <c r="F239" s="2" t="str">
        <f>VLOOKUP("label.afterShiftRpm",Locale!$A$2:$D$73,4,FALSE)</f>
        <v>换挡后 (rpm)</v>
      </c>
      <c r="G239" s="2" t="str">
        <f>VLOOKUP("label.limitSpeedKmh",Locale!$A$2:$D$73,4,FALSE)</f>
        <v>限转车速 (km/h)</v>
      </c>
      <c r="H239" s="1"/>
      <c r="I239" s="1"/>
      <c r="J239" s="1"/>
      <c r="K239" s="1"/>
      <c r="L239" s="1"/>
      <c r="M239" s="1"/>
    </row>
    <row r="240" spans="1:13" ht="22.5" customHeight="1">
      <c r="A240" s="1"/>
      <c r="B240" s="1">
        <v>1</v>
      </c>
      <c r="C240" s="20">
        <f>IF('WRC16'!$D$53=1,'WRC16'!C15,'WRC16'!K15)</f>
        <v>3.7970000000000002</v>
      </c>
      <c r="D240" s="20">
        <f>IF('WRC16'!$D$53=1,'WRC16'!D15,'WRC16'!L15)</f>
        <v>6250</v>
      </c>
      <c r="E240" s="20">
        <f>IF('WRC16'!$D$53=1,'WRC16'!F15,'WRC16'!N15)</f>
        <v>48.792544792101062</v>
      </c>
      <c r="F240" s="20">
        <f>IF('WRC16'!$D$53=1,'WRC16'!E15,'WRC16'!M15)</f>
        <v>5086.2523044508816</v>
      </c>
      <c r="G240" s="20">
        <f>E240*'WRC16'!$O$7/D240</f>
        <v>59.722074825531699</v>
      </c>
      <c r="H240" s="1"/>
      <c r="I240" s="1"/>
      <c r="J240" s="1"/>
      <c r="K240" s="1"/>
      <c r="L240" s="1"/>
      <c r="M240" s="1"/>
    </row>
    <row r="241" spans="1:13" ht="22.5" customHeight="1">
      <c r="A241" s="1"/>
      <c r="B241" s="1">
        <v>2</v>
      </c>
      <c r="C241" s="20">
        <f>IF('WRC16'!$D$53=1,'WRC16'!C16,'WRC16'!K16)</f>
        <v>3.09</v>
      </c>
      <c r="D241" s="20">
        <f>IF('WRC16'!$D$53=1,'WRC16'!D16,'WRC16'!L16)</f>
        <v>6460</v>
      </c>
      <c r="E241" s="20">
        <f>IF('WRC16'!$D$53=1,'WRC16'!F16,'WRC16'!N16)</f>
        <v>61.970940584513983</v>
      </c>
      <c r="F241" s="20">
        <f>IF('WRC16'!$D$53=1,'WRC16'!E16,'WRC16'!M16)</f>
        <v>5182.6343042071203</v>
      </c>
      <c r="G241" s="20">
        <f>E241*'WRC16'!$O$7/D241</f>
        <v>73.386640165871825</v>
      </c>
      <c r="H241" s="1"/>
      <c r="I241" s="1"/>
      <c r="J241" s="1"/>
      <c r="K241" s="1"/>
      <c r="L241" s="1"/>
      <c r="M241" s="1"/>
    </row>
    <row r="242" spans="1:13" ht="22.5" customHeight="1">
      <c r="A242" s="1"/>
      <c r="B242" s="1">
        <v>3</v>
      </c>
      <c r="C242" s="20">
        <f>IF('WRC16'!$D$53=1,'WRC16'!C17,'WRC16'!K17)</f>
        <v>2.4790000000000001</v>
      </c>
      <c r="D242" s="20">
        <f>IF('WRC16'!$D$53=1,'WRC16'!D17,'WRC16'!L17)</f>
        <v>6550</v>
      </c>
      <c r="E242" s="20">
        <f>IF('WRC16'!$D$53=1,'WRC16'!F17,'WRC16'!N17)</f>
        <v>78.321107954512669</v>
      </c>
      <c r="F242" s="20">
        <f>IF('WRC16'!$D$53=1,'WRC16'!E17,'WRC16'!M17)</f>
        <v>5276.462283178701</v>
      </c>
      <c r="G242" s="20">
        <f>E242*'WRC16'!$O$7/D242</f>
        <v>91.474271122446098</v>
      </c>
      <c r="H242" s="1"/>
      <c r="I242" s="1"/>
      <c r="J242" s="1"/>
      <c r="K242" s="1"/>
      <c r="L242" s="1"/>
      <c r="M242" s="1"/>
    </row>
    <row r="243" spans="1:13" ht="22.5" customHeight="1">
      <c r="A243" s="1"/>
      <c r="B243" s="1">
        <v>4</v>
      </c>
      <c r="C243" s="20">
        <f>IF('WRC16'!$D$53=1,'WRC16'!C18,'WRC16'!K18)</f>
        <v>1.9970000000000001</v>
      </c>
      <c r="D243" s="20">
        <f>IF('WRC16'!$D$53=1,'WRC16'!D18,'WRC16'!L18)</f>
        <v>6610</v>
      </c>
      <c r="E243" s="20">
        <f>IF('WRC16'!$D$53=1,'WRC16'!F18,'WRC16'!N18)</f>
        <v>98.115459903837134</v>
      </c>
      <c r="F243" s="20">
        <f>IF('WRC16'!$D$53=1,'WRC16'!E18,'WRC16'!M18)</f>
        <v>5332.3535302954424</v>
      </c>
      <c r="G243" s="20">
        <f>E243*'WRC16'!$O$7/D243</f>
        <v>113.55268808840455</v>
      </c>
      <c r="H243" s="1"/>
      <c r="I243" s="1"/>
      <c r="J243" s="1"/>
      <c r="K243" s="1"/>
      <c r="L243" s="1"/>
      <c r="M243" s="1"/>
    </row>
    <row r="244" spans="1:13" ht="22.5" customHeight="1">
      <c r="A244" s="1"/>
      <c r="B244" s="1">
        <v>5</v>
      </c>
      <c r="C244" s="20">
        <f>IF('WRC16'!$D$53=1,'WRC16'!C19,'WRC16'!K19)</f>
        <v>1.611</v>
      </c>
      <c r="D244" s="20">
        <f>IF('WRC16'!$D$53=1,'WRC16'!D19,'WRC16'!L19)</f>
        <v>6610</v>
      </c>
      <c r="E244" s="20">
        <f>IF('WRC16'!$D$53=1,'WRC16'!F19,'WRC16'!N19)</f>
        <v>121.62419207198188</v>
      </c>
      <c r="F244" s="20">
        <f>IF('WRC16'!$D$53=1,'WRC16'!E19,'WRC16'!M19)</f>
        <v>5399.6027312228434</v>
      </c>
      <c r="G244" s="20">
        <f>E244*'WRC16'!$O$7/D244</f>
        <v>140.76022229208189</v>
      </c>
      <c r="H244" s="1"/>
      <c r="I244" s="1"/>
      <c r="J244" s="1"/>
      <c r="K244" s="1"/>
      <c r="L244" s="1"/>
      <c r="M244" s="1"/>
    </row>
    <row r="245" spans="1:13" ht="22.5" customHeight="1">
      <c r="A245" s="1"/>
      <c r="B245" s="1">
        <v>6</v>
      </c>
      <c r="C245" s="20">
        <f>IF('WRC16'!$D$53=1,'WRC16'!C20,'WRC16'!K20)</f>
        <v>1.3160000000000001</v>
      </c>
      <c r="D245" s="20">
        <f>IF('WRC16'!$D$53=1,'WRC16'!D20,'WRC16'!L20)</f>
        <v>7650</v>
      </c>
      <c r="E245" s="20">
        <f>IF('WRC16'!$D$53=1,'WRC16'!F20,'WRC16'!N20)</f>
        <v>172.31361558703946</v>
      </c>
      <c r="F245" s="20" t="str">
        <f>""</f>
        <v/>
      </c>
      <c r="G245" s="20">
        <f>E245*'WRC16'!$O$7/D245</f>
        <v>172.31361558703946</v>
      </c>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32" customHeight="1">
      <c r="A249" s="1"/>
      <c r="B249" s="2" t="s">
        <v>57</v>
      </c>
      <c r="C249" s="2" t="str">
        <f>VLOOKUP("label.gearOne",Locale!$A$2:$D$73,4,FALSE)</f>
        <v>1 挡</v>
      </c>
      <c r="D249" s="2" t="s">
        <v>57</v>
      </c>
      <c r="E249" s="2" t="str">
        <f>VLOOKUP("label.gearTwo",Locale!$A$2:$D$73,4,FALSE)</f>
        <v>2 挡</v>
      </c>
      <c r="F249" s="2" t="s">
        <v>57</v>
      </c>
      <c r="G249" s="2" t="str">
        <f>VLOOKUP("label.gearThree",Locale!$A$2:$D$73,4,FALSE)</f>
        <v>3 挡</v>
      </c>
      <c r="H249" s="2" t="s">
        <v>57</v>
      </c>
      <c r="I249" s="2" t="str">
        <f>VLOOKUP("label.gearFour",Locale!$A$2:$D$73,4,FALSE)</f>
        <v>4 挡</v>
      </c>
      <c r="J249" s="2" t="s">
        <v>57</v>
      </c>
      <c r="K249" s="2" t="str">
        <f>VLOOKUP("label.gearFive",Locale!$A$2:$D$73,4,FALSE)</f>
        <v>5 挡</v>
      </c>
      <c r="L249" s="2" t="s">
        <v>57</v>
      </c>
      <c r="M249" s="2" t="str">
        <f>VLOOKUP("label.gearSix",Locale!$A$2:$D$73,4,FALSE)</f>
        <v>6 挡</v>
      </c>
    </row>
    <row r="250" spans="1:13" ht="22.5" customHeight="1">
      <c r="A250" s="1"/>
      <c r="B250" s="1">
        <v>0</v>
      </c>
      <c r="C250" s="1">
        <v>0</v>
      </c>
      <c r="D250" s="1">
        <v>0</v>
      </c>
      <c r="E250" s="1">
        <v>0</v>
      </c>
      <c r="F250" s="1">
        <v>0</v>
      </c>
      <c r="G250" s="1">
        <v>0</v>
      </c>
      <c r="H250" s="1">
        <v>0</v>
      </c>
      <c r="I250" s="1">
        <v>0</v>
      </c>
      <c r="J250" s="1">
        <v>0</v>
      </c>
      <c r="K250" s="1">
        <v>0</v>
      </c>
      <c r="L250" s="1">
        <v>0</v>
      </c>
      <c r="M250" s="1">
        <v>0</v>
      </c>
    </row>
    <row r="251" spans="1:13" ht="22.5" customHeight="1">
      <c r="A251" s="1"/>
      <c r="B251" s="1">
        <f>G240</f>
        <v>59.722074825531699</v>
      </c>
      <c r="C251" s="1">
        <f>'WRC16'!$O$7</f>
        <v>7650</v>
      </c>
      <c r="D251" s="1">
        <f>G241</f>
        <v>73.386640165871825</v>
      </c>
      <c r="E251" s="1">
        <f>'WRC16'!$O$7</f>
        <v>7650</v>
      </c>
      <c r="F251" s="1">
        <f>G242</f>
        <v>91.474271122446098</v>
      </c>
      <c r="G251" s="1">
        <f>'WRC16'!$O$7</f>
        <v>7650</v>
      </c>
      <c r="H251" s="1">
        <f>G243</f>
        <v>113.55268808840455</v>
      </c>
      <c r="I251" s="1">
        <f>'WRC16'!$O$7</f>
        <v>7650</v>
      </c>
      <c r="J251" s="1">
        <f>G244</f>
        <v>140.76022229208189</v>
      </c>
      <c r="K251" s="1">
        <f>'WRC16'!$O$7</f>
        <v>7650</v>
      </c>
      <c r="L251" s="1">
        <f>G245</f>
        <v>172.31361558703946</v>
      </c>
      <c r="M251" s="1">
        <f>'WRC16'!$O$7</f>
        <v>7650</v>
      </c>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32" customHeight="1">
      <c r="A255" s="1"/>
      <c r="B255" s="2" t="s">
        <v>57</v>
      </c>
      <c r="C255" s="2" t="s">
        <v>63</v>
      </c>
      <c r="D255" s="2" t="s">
        <v>57</v>
      </c>
      <c r="E255" s="2" t="s">
        <v>64</v>
      </c>
      <c r="F255" s="2" t="s">
        <v>57</v>
      </c>
      <c r="G255" s="2" t="s">
        <v>65</v>
      </c>
      <c r="H255" s="2" t="s">
        <v>57</v>
      </c>
      <c r="I255" s="2" t="s">
        <v>66</v>
      </c>
      <c r="J255" s="2" t="s">
        <v>57</v>
      </c>
      <c r="K255" s="2" t="s">
        <v>69</v>
      </c>
      <c r="L255" s="1"/>
      <c r="M255" s="1"/>
    </row>
    <row r="256" spans="1:13" ht="22.5" customHeight="1">
      <c r="A256" s="1"/>
      <c r="B256" s="1">
        <f>E240</f>
        <v>48.792544792101062</v>
      </c>
      <c r="C256" s="1">
        <f>D240</f>
        <v>6250</v>
      </c>
      <c r="D256" s="1">
        <f>E241</f>
        <v>61.970940584513983</v>
      </c>
      <c r="E256" s="1">
        <f>D241</f>
        <v>6460</v>
      </c>
      <c r="F256" s="1">
        <f>E242</f>
        <v>78.321107954512669</v>
      </c>
      <c r="G256" s="1">
        <f>D242</f>
        <v>6550</v>
      </c>
      <c r="H256" s="1">
        <f>E243</f>
        <v>98.115459903837134</v>
      </c>
      <c r="I256" s="1">
        <f>D243</f>
        <v>6610</v>
      </c>
      <c r="J256" s="1">
        <f>E244</f>
        <v>121.62419207198188</v>
      </c>
      <c r="K256" s="1">
        <f>D244</f>
        <v>6610</v>
      </c>
      <c r="L256" s="1"/>
      <c r="M256" s="1"/>
    </row>
    <row r="257" spans="1:13" ht="22.5" customHeight="1">
      <c r="A257" s="1"/>
      <c r="B257" s="1">
        <f>E240</f>
        <v>48.792544792101062</v>
      </c>
      <c r="C257" s="1">
        <f>F240</f>
        <v>5086.2523044508816</v>
      </c>
      <c r="D257" s="1">
        <f>E241</f>
        <v>61.970940584513983</v>
      </c>
      <c r="E257" s="1">
        <f>F241</f>
        <v>5182.6343042071203</v>
      </c>
      <c r="F257" s="1">
        <f>E242</f>
        <v>78.321107954512669</v>
      </c>
      <c r="G257" s="1">
        <f>F242</f>
        <v>5276.462283178701</v>
      </c>
      <c r="H257" s="1">
        <f>E243</f>
        <v>98.115459903837134</v>
      </c>
      <c r="I257" s="1">
        <f>F243</f>
        <v>5332.3535302954424</v>
      </c>
      <c r="J257" s="1">
        <f>E244</f>
        <v>121.62419207198188</v>
      </c>
      <c r="K257" s="1">
        <f>F244</f>
        <v>5399.6027312228434</v>
      </c>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32" customHeight="1">
      <c r="A276" s="1"/>
      <c r="B276" s="29" t="str">
        <f>VLOOKUP("chart.wrc17GearPositions",Locale!$A$2:$D$73,4,FALSE)</f>
        <v>WRC17 · 挡位图</v>
      </c>
      <c r="C276" s="29"/>
      <c r="D276" s="29"/>
      <c r="E276" s="29"/>
      <c r="F276" s="29"/>
      <c r="G276" s="29"/>
      <c r="H276" s="1"/>
      <c r="I276" s="1"/>
      <c r="J276" s="1"/>
      <c r="K276" s="1"/>
      <c r="L276" s="1"/>
      <c r="M276" s="1"/>
    </row>
    <row r="277" spans="1:13" ht="32" customHeight="1">
      <c r="A277" s="1"/>
      <c r="B277" s="2" t="str">
        <f>VLOOKUP("label.gear",Locale!$A$2:$D$73,4,FALSE)</f>
        <v>挡位</v>
      </c>
      <c r="C277" s="2" t="str">
        <f>VLOOKUP("label.gearRatio",Locale!$A$2:$D$73,4,FALSE)</f>
        <v>齿比</v>
      </c>
      <c r="D277" s="2" t="str">
        <f>VLOOKUP("label.flashRpm",Locale!$A$2:$D$73,4,FALSE)</f>
        <v>闪烁 (rpm)</v>
      </c>
      <c r="E277" s="2" t="str">
        <f>VLOOKUP("label.shiftKmh",Locale!$A$2:$D$73,4,FALSE)</f>
        <v>换挡车速 (km/h)</v>
      </c>
      <c r="F277" s="2" t="str">
        <f>VLOOKUP("label.afterShiftRpm",Locale!$A$2:$D$73,4,FALSE)</f>
        <v>换挡后 (rpm)</v>
      </c>
      <c r="G277" s="2" t="str">
        <f>VLOOKUP("label.limitSpeedKmh",Locale!$A$2:$D$73,4,FALSE)</f>
        <v>限转车速 (km/h)</v>
      </c>
      <c r="H277" s="1"/>
      <c r="I277" s="1"/>
      <c r="J277" s="1"/>
      <c r="K277" s="1"/>
      <c r="L277" s="1"/>
      <c r="M277" s="1"/>
    </row>
    <row r="278" spans="1:13" ht="22.5" customHeight="1">
      <c r="A278" s="1"/>
      <c r="B278" s="1">
        <v>1</v>
      </c>
      <c r="C278" s="20">
        <f>IF('WRC17'!$D$53=1,'WRC17'!C15,'WRC17'!K15)</f>
        <v>3.5150000000000001</v>
      </c>
      <c r="D278" s="20">
        <f>IF('WRC17'!$D$53=1,'WRC17'!D15,'WRC17'!L15)</f>
        <v>6970</v>
      </c>
      <c r="E278" s="20">
        <f>IF('WRC17'!$D$53=1,'WRC17'!F15,'WRC17'!N15)</f>
        <v>54.392420396083736</v>
      </c>
      <c r="F278" s="20">
        <f>IF('WRC17'!$D$53=1,'WRC17'!E15,'WRC17'!M15)</f>
        <v>5671.1806543385492</v>
      </c>
      <c r="G278" s="20">
        <f>E278*'WRC17'!$O$7/D278</f>
        <v>66.332219995224065</v>
      </c>
      <c r="H278" s="1"/>
      <c r="I278" s="1"/>
      <c r="J278" s="1"/>
      <c r="K278" s="1"/>
      <c r="L278" s="1"/>
      <c r="M278" s="1"/>
    </row>
    <row r="279" spans="1:13" ht="22.5" customHeight="1">
      <c r="A279" s="1"/>
      <c r="B279" s="1">
        <v>2</v>
      </c>
      <c r="C279" s="20">
        <f>IF('WRC17'!$D$53=1,'WRC17'!C16,'WRC17'!K16)</f>
        <v>2.86</v>
      </c>
      <c r="D279" s="20">
        <f>IF('WRC17'!$D$53=1,'WRC17'!D16,'WRC17'!L16)</f>
        <v>7180</v>
      </c>
      <c r="E279" s="20">
        <f>IF('WRC17'!$D$53=1,'WRC17'!F16,'WRC17'!N16)</f>
        <v>68.863540459624303</v>
      </c>
      <c r="F279" s="20">
        <f>IF('WRC17'!$D$53=1,'WRC17'!E16,'WRC17'!M16)</f>
        <v>5761.5734265734263</v>
      </c>
      <c r="G279" s="20">
        <f>E279*'WRC17'!$O$7/D279</f>
        <v>81.523689959165253</v>
      </c>
      <c r="H279" s="1"/>
      <c r="I279" s="1"/>
      <c r="J279" s="1"/>
      <c r="K279" s="1"/>
      <c r="L279" s="1"/>
      <c r="M279" s="1"/>
    </row>
    <row r="280" spans="1:13" ht="22.5" customHeight="1">
      <c r="A280" s="1"/>
      <c r="B280" s="1">
        <v>3</v>
      </c>
      <c r="C280" s="20">
        <f>IF('WRC17'!$D$53=1,'WRC17'!C17,'WRC17'!K17)</f>
        <v>2.2949999999999999</v>
      </c>
      <c r="D280" s="20">
        <f>IF('WRC17'!$D$53=1,'WRC17'!D17,'WRC17'!L17)</f>
        <v>7250</v>
      </c>
      <c r="E280" s="20">
        <f>IF('WRC17'!$D$53=1,'WRC17'!F17,'WRC17'!N17)</f>
        <v>86.653528709639474</v>
      </c>
      <c r="F280" s="20">
        <f>IF('WRC17'!$D$53=1,'WRC17'!E17,'WRC17'!M17)</f>
        <v>5837.9084967320259</v>
      </c>
      <c r="G280" s="20">
        <f>E280*'WRC17'!$O$7/D280</f>
        <v>101.59379228026698</v>
      </c>
      <c r="H280" s="1"/>
      <c r="I280" s="1"/>
      <c r="J280" s="1"/>
      <c r="K280" s="1"/>
      <c r="L280" s="1"/>
      <c r="M280" s="1"/>
    </row>
    <row r="281" spans="1:13" ht="22.5" customHeight="1">
      <c r="A281" s="1"/>
      <c r="B281" s="1">
        <v>4</v>
      </c>
      <c r="C281" s="20">
        <f>IF('WRC17'!$D$53=1,'WRC17'!C18,'WRC17'!K18)</f>
        <v>1.8480000000000001</v>
      </c>
      <c r="D281" s="20">
        <f>IF('WRC17'!$D$53=1,'WRC17'!D18,'WRC17'!L18)</f>
        <v>7290</v>
      </c>
      <c r="E281" s="20">
        <f>IF('WRC17'!$D$53=1,'WRC17'!F18,'WRC17'!N18)</f>
        <v>108.20728427773237</v>
      </c>
      <c r="F281" s="20">
        <f>IF('WRC17'!$D$53=1,'WRC17'!E18,'WRC17'!M18)</f>
        <v>5881.704545454546</v>
      </c>
      <c r="G281" s="20">
        <f>E281*'WRC17'!$O$7/D281</f>
        <v>126.16761541299385</v>
      </c>
      <c r="H281" s="1"/>
      <c r="I281" s="1"/>
      <c r="J281" s="1"/>
      <c r="K281" s="1"/>
      <c r="L281" s="1"/>
      <c r="M281" s="1"/>
    </row>
    <row r="282" spans="1:13" ht="22.5" customHeight="1">
      <c r="A282" s="1"/>
      <c r="B282" s="1">
        <v>5</v>
      </c>
      <c r="C282" s="20">
        <f>IF('WRC17'!$D$53=1,'WRC17'!C19,'WRC17'!K19)</f>
        <v>1.4910000000000001</v>
      </c>
      <c r="D282" s="20">
        <f>IF('WRC17'!$D$53=1,'WRC17'!D19,'WRC17'!L19)</f>
        <v>7270</v>
      </c>
      <c r="E282" s="20">
        <f>IF('WRC17'!$D$53=1,'WRC17'!F19,'WRC17'!N19)</f>
        <v>133.74812532993695</v>
      </c>
      <c r="F282" s="20">
        <f>IF('WRC17'!$D$53=1,'WRC17'!E19,'WRC17'!M19)</f>
        <v>5938.8732394366198</v>
      </c>
      <c r="G282" s="20">
        <f>E282*'WRC17'!$O$7/D282</f>
        <v>156.37676276540085</v>
      </c>
      <c r="H282" s="1"/>
      <c r="I282" s="1"/>
      <c r="J282" s="1"/>
      <c r="K282" s="1"/>
      <c r="L282" s="1"/>
      <c r="M282" s="1"/>
    </row>
    <row r="283" spans="1:13" ht="22.5" customHeight="1">
      <c r="A283" s="1"/>
      <c r="B283" s="1">
        <v>6</v>
      </c>
      <c r="C283" s="20">
        <f>IF('WRC17'!$D$53=1,'WRC17'!C20,'WRC17'!K20)</f>
        <v>1.218</v>
      </c>
      <c r="D283" s="20">
        <f>IF('WRC17'!$D$53=1,'WRC17'!D20,'WRC17'!L20)</f>
        <v>8500</v>
      </c>
      <c r="E283" s="20">
        <f>IF('WRC17'!$D$53=1,'WRC17'!F20,'WRC17'!N20)</f>
        <v>191.4267268335079</v>
      </c>
      <c r="F283" s="20" t="str">
        <f>""</f>
        <v/>
      </c>
      <c r="G283" s="20">
        <f>E283*'WRC17'!$O$7/D283</f>
        <v>191.4267268335079</v>
      </c>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32" customHeight="1">
      <c r="A287" s="1"/>
      <c r="B287" s="2" t="s">
        <v>57</v>
      </c>
      <c r="C287" s="2" t="str">
        <f>VLOOKUP("label.gearOne",Locale!$A$2:$D$73,4,FALSE)</f>
        <v>1 挡</v>
      </c>
      <c r="D287" s="2" t="s">
        <v>57</v>
      </c>
      <c r="E287" s="2" t="str">
        <f>VLOOKUP("label.gearTwo",Locale!$A$2:$D$73,4,FALSE)</f>
        <v>2 挡</v>
      </c>
      <c r="F287" s="2" t="s">
        <v>57</v>
      </c>
      <c r="G287" s="2" t="str">
        <f>VLOOKUP("label.gearThree",Locale!$A$2:$D$73,4,FALSE)</f>
        <v>3 挡</v>
      </c>
      <c r="H287" s="2" t="s">
        <v>57</v>
      </c>
      <c r="I287" s="2" t="str">
        <f>VLOOKUP("label.gearFour",Locale!$A$2:$D$73,4,FALSE)</f>
        <v>4 挡</v>
      </c>
      <c r="J287" s="2" t="s">
        <v>57</v>
      </c>
      <c r="K287" s="2" t="str">
        <f>VLOOKUP("label.gearFive",Locale!$A$2:$D$73,4,FALSE)</f>
        <v>5 挡</v>
      </c>
      <c r="L287" s="2" t="s">
        <v>57</v>
      </c>
      <c r="M287" s="2" t="str">
        <f>VLOOKUP("label.gearSix",Locale!$A$2:$D$73,4,FALSE)</f>
        <v>6 挡</v>
      </c>
    </row>
    <row r="288" spans="1:13" ht="22.5" customHeight="1">
      <c r="A288" s="1"/>
      <c r="B288" s="1">
        <v>0</v>
      </c>
      <c r="C288" s="1">
        <v>0</v>
      </c>
      <c r="D288" s="1">
        <v>0</v>
      </c>
      <c r="E288" s="1">
        <v>0</v>
      </c>
      <c r="F288" s="1">
        <v>0</v>
      </c>
      <c r="G288" s="1">
        <v>0</v>
      </c>
      <c r="H288" s="1">
        <v>0</v>
      </c>
      <c r="I288" s="1">
        <v>0</v>
      </c>
      <c r="J288" s="1">
        <v>0</v>
      </c>
      <c r="K288" s="1">
        <v>0</v>
      </c>
      <c r="L288" s="1">
        <v>0</v>
      </c>
      <c r="M288" s="1">
        <v>0</v>
      </c>
    </row>
    <row r="289" spans="1:13" ht="22.5" customHeight="1">
      <c r="A289" s="1"/>
      <c r="B289" s="1">
        <f>G278</f>
        <v>66.332219995224065</v>
      </c>
      <c r="C289" s="1">
        <f>'WRC17'!$O$7</f>
        <v>8500</v>
      </c>
      <c r="D289" s="1">
        <f>G279</f>
        <v>81.523689959165253</v>
      </c>
      <c r="E289" s="1">
        <f>'WRC17'!$O$7</f>
        <v>8500</v>
      </c>
      <c r="F289" s="1">
        <f>G280</f>
        <v>101.59379228026698</v>
      </c>
      <c r="G289" s="1">
        <f>'WRC17'!$O$7</f>
        <v>8500</v>
      </c>
      <c r="H289" s="1">
        <f>G281</f>
        <v>126.16761541299385</v>
      </c>
      <c r="I289" s="1">
        <f>'WRC17'!$O$7</f>
        <v>8500</v>
      </c>
      <c r="J289" s="1">
        <f>G282</f>
        <v>156.37676276540085</v>
      </c>
      <c r="K289" s="1">
        <f>'WRC17'!$O$7</f>
        <v>8500</v>
      </c>
      <c r="L289" s="1">
        <f>G283</f>
        <v>191.4267268335079</v>
      </c>
      <c r="M289" s="1">
        <f>'WRC17'!$O$7</f>
        <v>8500</v>
      </c>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32" customHeight="1">
      <c r="A293" s="1"/>
      <c r="B293" s="2" t="s">
        <v>57</v>
      </c>
      <c r="C293" s="2" t="s">
        <v>63</v>
      </c>
      <c r="D293" s="2" t="s">
        <v>57</v>
      </c>
      <c r="E293" s="2" t="s">
        <v>64</v>
      </c>
      <c r="F293" s="2" t="s">
        <v>57</v>
      </c>
      <c r="G293" s="2" t="s">
        <v>65</v>
      </c>
      <c r="H293" s="2" t="s">
        <v>57</v>
      </c>
      <c r="I293" s="2" t="s">
        <v>66</v>
      </c>
      <c r="J293" s="2" t="s">
        <v>57</v>
      </c>
      <c r="K293" s="2" t="s">
        <v>69</v>
      </c>
      <c r="L293" s="1"/>
      <c r="M293" s="1"/>
    </row>
    <row r="294" spans="1:13" ht="22.5" customHeight="1">
      <c r="A294" s="1"/>
      <c r="B294" s="1">
        <f>E278</f>
        <v>54.392420396083736</v>
      </c>
      <c r="C294" s="1">
        <f>D278</f>
        <v>6970</v>
      </c>
      <c r="D294" s="1">
        <f>E279</f>
        <v>68.863540459624303</v>
      </c>
      <c r="E294" s="1">
        <f>D279</f>
        <v>7180</v>
      </c>
      <c r="F294" s="1">
        <f>E280</f>
        <v>86.653528709639474</v>
      </c>
      <c r="G294" s="1">
        <f>D280</f>
        <v>7250</v>
      </c>
      <c r="H294" s="1">
        <f>E281</f>
        <v>108.20728427773237</v>
      </c>
      <c r="I294" s="1">
        <f>D281</f>
        <v>7290</v>
      </c>
      <c r="J294" s="1">
        <f>E282</f>
        <v>133.74812532993695</v>
      </c>
      <c r="K294" s="1">
        <f>D282</f>
        <v>7270</v>
      </c>
      <c r="L294" s="1"/>
      <c r="M294" s="1"/>
    </row>
    <row r="295" spans="1:13" ht="22.5" customHeight="1">
      <c r="A295" s="1"/>
      <c r="B295" s="1">
        <f>E278</f>
        <v>54.392420396083736</v>
      </c>
      <c r="C295" s="1">
        <f>F278</f>
        <v>5671.1806543385492</v>
      </c>
      <c r="D295" s="1">
        <f>E279</f>
        <v>68.863540459624303</v>
      </c>
      <c r="E295" s="1">
        <f>F279</f>
        <v>5761.5734265734263</v>
      </c>
      <c r="F295" s="1">
        <f>E280</f>
        <v>86.653528709639474</v>
      </c>
      <c r="G295" s="1">
        <f>F280</f>
        <v>5837.9084967320259</v>
      </c>
      <c r="H295" s="1">
        <f>E281</f>
        <v>108.20728427773237</v>
      </c>
      <c r="I295" s="1">
        <f>F281</f>
        <v>5881.704545454546</v>
      </c>
      <c r="J295" s="1">
        <f>E282</f>
        <v>133.74812532993695</v>
      </c>
      <c r="K295" s="1">
        <f>F282</f>
        <v>5938.8732394366198</v>
      </c>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32" customHeight="1">
      <c r="A314" s="1"/>
      <c r="B314" s="29" t="str">
        <f>VLOOKUP("chart.25r1GearPositions",Locale!$A$2:$D$75,4,FALSE)</f>
        <v>25R1 · 档位图</v>
      </c>
      <c r="C314" s="29"/>
      <c r="D314" s="29"/>
      <c r="E314" s="29"/>
      <c r="F314" s="29"/>
      <c r="G314" s="29"/>
      <c r="H314" s="1"/>
      <c r="I314" s="1"/>
      <c r="J314" s="1"/>
      <c r="K314" s="1"/>
      <c r="L314" s="1"/>
      <c r="M314" s="1"/>
    </row>
    <row r="315" spans="1:13" ht="32" customHeight="1">
      <c r="A315" s="1"/>
      <c r="B315" s="2" t="str">
        <f>VLOOKUP("label.gear",Locale!$A$2:$D$73,4,FALSE)</f>
        <v>挡位</v>
      </c>
      <c r="C315" s="2" t="str">
        <f>VLOOKUP("label.gearRatio",Locale!$A$2:$D$73,4,FALSE)</f>
        <v>齿比</v>
      </c>
      <c r="D315" s="2" t="str">
        <f>VLOOKUP("label.flashRpm",Locale!$A$2:$D$73,4,FALSE)</f>
        <v>闪烁 (rpm)</v>
      </c>
      <c r="E315" s="2" t="str">
        <f>VLOOKUP("label.shiftKmh",Locale!$A$2:$D$73,4,FALSE)</f>
        <v>换挡车速 (km/h)</v>
      </c>
      <c r="F315" s="2" t="str">
        <f>VLOOKUP("label.afterShiftRpm",Locale!$A$2:$D$73,4,FALSE)</f>
        <v>换挡后 (rpm)</v>
      </c>
      <c r="G315" s="2" t="str">
        <f>VLOOKUP("label.limitSpeedKmh",Locale!$A$2:$D$73,4,FALSE)</f>
        <v>限转车速 (km/h)</v>
      </c>
      <c r="H315" s="1"/>
      <c r="I315" s="1"/>
      <c r="J315" s="1"/>
      <c r="K315" s="1"/>
      <c r="L315" s="1"/>
      <c r="M315" s="1"/>
    </row>
    <row r="316" spans="1:13" ht="22.5" customHeight="1">
      <c r="A316" s="1"/>
      <c r="B316" s="1">
        <v>1</v>
      </c>
      <c r="C316" s="20">
        <f>IF('25R1'!$D$53=1,'25R1'!C15,'25R1'!K15)</f>
        <v>4.2530000000000001</v>
      </c>
      <c r="D316" s="20">
        <f>IF('25R1'!$D$53=1,'25R1'!D15,'25R1'!L15)</f>
        <v>7550</v>
      </c>
      <c r="E316" s="20">
        <f>IF('25R1'!$D$53=1,'25R1'!F15,'25R1'!N15)</f>
        <v>52.621790131985449</v>
      </c>
      <c r="F316" s="20">
        <f>IF('25R1'!$D$53=1,'25R1'!E15,'25R1'!M15)</f>
        <v>5394.885962849753</v>
      </c>
      <c r="G316" s="20">
        <f>E316*'25R1'!$O$7/D316</f>
        <v>59.243074983029977</v>
      </c>
      <c r="H316" s="1"/>
      <c r="I316" s="1"/>
      <c r="J316" s="1"/>
      <c r="K316" s="1"/>
      <c r="L316" s="1"/>
      <c r="M316" s="1"/>
    </row>
    <row r="317" spans="1:13" ht="22.5" customHeight="1">
      <c r="A317" s="1"/>
      <c r="B317" s="1">
        <v>2</v>
      </c>
      <c r="C317" s="20">
        <f>IF('25R1'!$D$53=1,'25R1'!C16,'25R1'!K16)</f>
        <v>3.0390000000000001</v>
      </c>
      <c r="D317" s="20">
        <f>IF('25R1'!$D$53=1,'25R1'!D16,'25R1'!L16)</f>
        <v>7770</v>
      </c>
      <c r="E317" s="20">
        <f>IF('25R1'!$D$53=1,'25R1'!F16,'25R1'!N16)</f>
        <v>75.788684346823146</v>
      </c>
      <c r="F317" s="20">
        <f>IF('25R1'!$D$53=1,'25R1'!E16,'25R1'!M16)</f>
        <v>5668.3415597235935</v>
      </c>
      <c r="G317" s="20">
        <f>E317*'25R1'!$O$7/D317</f>
        <v>82.909114150321329</v>
      </c>
      <c r="H317" s="1"/>
      <c r="I317" s="1"/>
      <c r="J317" s="1"/>
      <c r="K317" s="1"/>
      <c r="L317" s="1"/>
      <c r="M317" s="1"/>
    </row>
    <row r="318" spans="1:13" ht="22.5" customHeight="1">
      <c r="A318" s="1"/>
      <c r="B318" s="1">
        <v>3</v>
      </c>
      <c r="C318" s="20">
        <f>IF('25R1'!$D$53=1,'25R1'!C17,'25R1'!K17)</f>
        <v>2.2170000000000001</v>
      </c>
      <c r="D318" s="20">
        <f>IF('25R1'!$D$53=1,'25R1'!D17,'25R1'!L17)</f>
        <v>7550</v>
      </c>
      <c r="E318" s="20">
        <f>IF('25R1'!$D$53=1,'25R1'!F17,'25R1'!N17)</f>
        <v>100.94743952698879</v>
      </c>
      <c r="F318" s="20">
        <f>IF('25R1'!$D$53=1,'25R1'!E17,'25R1'!M17)</f>
        <v>5986.8741542625166</v>
      </c>
      <c r="G318" s="20">
        <f>E318*'25R1'!$O$7/D318</f>
        <v>113.64943522906022</v>
      </c>
      <c r="H318" s="1"/>
      <c r="I318" s="1"/>
      <c r="J318" s="1"/>
      <c r="K318" s="1"/>
      <c r="L318" s="1"/>
      <c r="M318" s="1"/>
    </row>
    <row r="319" spans="1:13" ht="22.5" customHeight="1">
      <c r="A319" s="1"/>
      <c r="B319" s="1">
        <v>4</v>
      </c>
      <c r="C319" s="20">
        <f>IF('25R1'!$D$53=1,'25R1'!C18,'25R1'!K18)</f>
        <v>1.758</v>
      </c>
      <c r="D319" s="20">
        <f>IF('25R1'!$D$53=1,'25R1'!D18,'25R1'!L18)</f>
        <v>7780</v>
      </c>
      <c r="E319" s="20">
        <f>IF('25R1'!$D$53=1,'25R1'!F18,'25R1'!N18)</f>
        <v>131.18215938459414</v>
      </c>
      <c r="F319" s="20">
        <f>IF('25R1'!$D$53=1,'25R1'!E18,'25R1'!M18)</f>
        <v>5947.8498293515368</v>
      </c>
      <c r="G319" s="20">
        <f>E319*'25R1'!$O$7/D319</f>
        <v>143.3224106386954</v>
      </c>
      <c r="H319" s="1"/>
      <c r="I319" s="1"/>
      <c r="J319" s="1"/>
      <c r="K319" s="1"/>
      <c r="L319" s="1"/>
      <c r="M319" s="1"/>
    </row>
    <row r="320" spans="1:13" ht="22.5" customHeight="1">
      <c r="A320" s="1"/>
      <c r="B320" s="1">
        <v>5</v>
      </c>
      <c r="C320" s="20">
        <f>IF('25R1'!$D$53=1,'25R1'!C19,'25R1'!K19)</f>
        <v>1.3440000000000001</v>
      </c>
      <c r="D320" s="20">
        <f>IF('25R1'!$D$53=1,'25R1'!D19,'25R1'!L19)</f>
        <v>8500</v>
      </c>
      <c r="E320" s="20">
        <f>IF('25R1'!$D$53=1,'25R1'!F19,'25R1'!N19)</f>
        <v>187.47083177293638</v>
      </c>
      <c r="F320" s="20" t="str">
        <f>""</f>
        <v/>
      </c>
      <c r="G320" s="20">
        <f>E320*'25R1'!$O$7/D320</f>
        <v>187.47083177293638</v>
      </c>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32" customHeight="1">
      <c r="A325" s="1"/>
      <c r="B325" s="2" t="s">
        <v>57</v>
      </c>
      <c r="C325" s="2" t="str">
        <f>VLOOKUP("label.gearOne",Locale!$A$2:$D$73,4,FALSE)</f>
        <v>1 挡</v>
      </c>
      <c r="D325" s="2" t="s">
        <v>57</v>
      </c>
      <c r="E325" s="2" t="str">
        <f>VLOOKUP("label.gearTwo",Locale!$A$2:$D$73,4,FALSE)</f>
        <v>2 挡</v>
      </c>
      <c r="F325" s="2" t="s">
        <v>57</v>
      </c>
      <c r="G325" s="2" t="str">
        <f>VLOOKUP("label.gearThree",Locale!$A$2:$D$73,4,FALSE)</f>
        <v>3 挡</v>
      </c>
      <c r="H325" s="2" t="s">
        <v>57</v>
      </c>
      <c r="I325" s="2" t="str">
        <f>VLOOKUP("label.gearFour",Locale!$A$2:$D$73,4,FALSE)</f>
        <v>4 挡</v>
      </c>
      <c r="J325" s="2" t="s">
        <v>57</v>
      </c>
      <c r="K325" s="2" t="str">
        <f>VLOOKUP("label.gearFive",Locale!$A$2:$D$73,4,FALSE)</f>
        <v>5 挡</v>
      </c>
      <c r="L325" s="1"/>
      <c r="M325" s="1"/>
    </row>
    <row r="326" spans="1:13" ht="22.5" customHeight="1">
      <c r="A326" s="1"/>
      <c r="B326" s="1">
        <v>0</v>
      </c>
      <c r="C326" s="1">
        <v>0</v>
      </c>
      <c r="D326" s="1">
        <v>0</v>
      </c>
      <c r="E326" s="1">
        <v>0</v>
      </c>
      <c r="F326" s="1">
        <v>0</v>
      </c>
      <c r="G326" s="1">
        <v>0</v>
      </c>
      <c r="H326" s="1">
        <v>0</v>
      </c>
      <c r="I326" s="1">
        <v>0</v>
      </c>
      <c r="J326" s="1">
        <v>0</v>
      </c>
      <c r="K326" s="1">
        <v>0</v>
      </c>
      <c r="L326" s="1"/>
      <c r="M326" s="1"/>
    </row>
    <row r="327" spans="1:13" ht="22.5" customHeight="1">
      <c r="A327" s="1"/>
      <c r="B327" s="1">
        <f>G316</f>
        <v>59.243074983029977</v>
      </c>
      <c r="C327" s="1">
        <f>'25R1'!$O$7</f>
        <v>8500</v>
      </c>
      <c r="D327" s="1">
        <f>G317</f>
        <v>82.909114150321329</v>
      </c>
      <c r="E327" s="1">
        <f>'25R1'!$O$7</f>
        <v>8500</v>
      </c>
      <c r="F327" s="1">
        <f>G318</f>
        <v>113.64943522906022</v>
      </c>
      <c r="G327" s="1">
        <f>'25R1'!$O$7</f>
        <v>8500</v>
      </c>
      <c r="H327" s="1">
        <f>G319</f>
        <v>143.3224106386954</v>
      </c>
      <c r="I327" s="1">
        <f>'25R1'!$O$7</f>
        <v>8500</v>
      </c>
      <c r="J327" s="1">
        <f>G320</f>
        <v>187.47083177293638</v>
      </c>
      <c r="K327" s="1">
        <f>'25R1'!$O$7</f>
        <v>8500</v>
      </c>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32" customHeight="1">
      <c r="A331" s="1"/>
      <c r="B331" s="2" t="s">
        <v>57</v>
      </c>
      <c r="C331" s="2" t="s">
        <v>63</v>
      </c>
      <c r="D331" s="2" t="s">
        <v>57</v>
      </c>
      <c r="E331" s="2" t="s">
        <v>64</v>
      </c>
      <c r="F331" s="2" t="s">
        <v>57</v>
      </c>
      <c r="G331" s="2" t="s">
        <v>65</v>
      </c>
      <c r="H331" s="2" t="s">
        <v>57</v>
      </c>
      <c r="I331" s="2" t="s">
        <v>66</v>
      </c>
      <c r="J331" s="1"/>
      <c r="K331" s="1"/>
      <c r="L331" s="1"/>
      <c r="M331" s="1"/>
    </row>
    <row r="332" spans="1:13" ht="22.5" customHeight="1">
      <c r="A332" s="1"/>
      <c r="B332" s="1">
        <f>E316</f>
        <v>52.621790131985449</v>
      </c>
      <c r="C332" s="1">
        <f>D316</f>
        <v>7550</v>
      </c>
      <c r="D332" s="1">
        <f>E317</f>
        <v>75.788684346823146</v>
      </c>
      <c r="E332" s="1">
        <f>D317</f>
        <v>7770</v>
      </c>
      <c r="F332" s="1">
        <f>E318</f>
        <v>100.94743952698879</v>
      </c>
      <c r="G332" s="1">
        <f>D318</f>
        <v>7550</v>
      </c>
      <c r="H332" s="1">
        <f>E319</f>
        <v>131.18215938459414</v>
      </c>
      <c r="I332" s="1">
        <f>D319</f>
        <v>7780</v>
      </c>
      <c r="J332" s="1"/>
      <c r="K332" s="1"/>
      <c r="L332" s="1"/>
      <c r="M332" s="1"/>
    </row>
    <row r="333" spans="1:13" ht="22.5" customHeight="1">
      <c r="A333" s="1"/>
      <c r="B333" s="1">
        <f>E316</f>
        <v>52.621790131985449</v>
      </c>
      <c r="C333" s="1">
        <f>F316</f>
        <v>5394.885962849753</v>
      </c>
      <c r="D333" s="1">
        <f>E317</f>
        <v>75.788684346823146</v>
      </c>
      <c r="E333" s="1">
        <f>F317</f>
        <v>5668.3415597235935</v>
      </c>
      <c r="F333" s="1">
        <f>E318</f>
        <v>100.94743952698879</v>
      </c>
      <c r="G333" s="1">
        <f>F318</f>
        <v>5986.8741542625166</v>
      </c>
      <c r="H333" s="1">
        <f>E319</f>
        <v>131.18215938459414</v>
      </c>
      <c r="I333" s="1">
        <f>F319</f>
        <v>5947.8498293515368</v>
      </c>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32" customHeight="1">
      <c r="A352" s="1"/>
      <c r="B352" s="29" t="str">
        <f>VLOOKUP("chart.rx1GearPositions",Locale!$A$2:$D$73,4,FALSE)</f>
        <v>RX1 · 挡位图</v>
      </c>
      <c r="C352" s="29"/>
      <c r="D352" s="29"/>
      <c r="E352" s="29"/>
      <c r="F352" s="29"/>
      <c r="G352" s="29"/>
      <c r="H352" s="1"/>
      <c r="I352" s="1"/>
      <c r="J352" s="1"/>
      <c r="K352" s="1"/>
      <c r="L352" s="1"/>
      <c r="M352" s="1"/>
    </row>
    <row r="353" spans="1:13" ht="32" customHeight="1">
      <c r="A353" s="1"/>
      <c r="B353" s="2" t="str">
        <f>VLOOKUP("label.gear",Locale!$A$2:$D$73,4,FALSE)</f>
        <v>挡位</v>
      </c>
      <c r="C353" s="2" t="str">
        <f>VLOOKUP("label.gearRatio",Locale!$A$2:$D$73,4,FALSE)</f>
        <v>齿比</v>
      </c>
      <c r="D353" s="2" t="str">
        <f>VLOOKUP("label.flashRpm",Locale!$A$2:$D$73,4,FALSE)</f>
        <v>闪烁 (rpm)</v>
      </c>
      <c r="E353" s="2" t="str">
        <f>VLOOKUP("label.shiftKmh",Locale!$A$2:$D$73,4,FALSE)</f>
        <v>换挡车速 (km/h)</v>
      </c>
      <c r="F353" s="2" t="str">
        <f>VLOOKUP("label.afterShiftRpm",Locale!$A$2:$D$73,4,FALSE)</f>
        <v>换挡后 (rpm)</v>
      </c>
      <c r="G353" s="2" t="str">
        <f>VLOOKUP("label.limitSpeedKmh",Locale!$A$2:$D$73,4,FALSE)</f>
        <v>限转车速 (km/h)</v>
      </c>
      <c r="H353" s="1"/>
      <c r="I353" s="1"/>
      <c r="J353" s="1"/>
      <c r="K353" s="1"/>
      <c r="L353" s="1"/>
      <c r="M353" s="1"/>
    </row>
    <row r="354" spans="1:13" ht="22.5" customHeight="1">
      <c r="A354" s="1"/>
      <c r="B354" s="1">
        <v>1</v>
      </c>
      <c r="C354" s="20">
        <f>'RX1'!C15</f>
        <v>3.24</v>
      </c>
      <c r="D354" s="20">
        <f>'RX1'!D15</f>
        <v>6000</v>
      </c>
      <c r="E354" s="20">
        <f>'RX1'!F15</f>
        <v>55.850536063818538</v>
      </c>
      <c r="F354" s="20">
        <f>'RX1'!E15</f>
        <v>4812.9629629629635</v>
      </c>
      <c r="G354" s="20">
        <f>E354*'RX1'!$O$7/D354</f>
        <v>79.121592757076257</v>
      </c>
      <c r="H354" s="1"/>
      <c r="I354" s="1"/>
      <c r="J354" s="1"/>
      <c r="K354" s="1"/>
      <c r="L354" s="1"/>
      <c r="M354" s="1"/>
    </row>
    <row r="355" spans="1:13" ht="22.5" customHeight="1">
      <c r="A355" s="1"/>
      <c r="B355" s="1">
        <v>2</v>
      </c>
      <c r="C355" s="20">
        <f>'RX1'!C16</f>
        <v>2.5990000000000002</v>
      </c>
      <c r="D355" s="20">
        <f>'RX1'!D16</f>
        <v>6170</v>
      </c>
      <c r="E355" s="20">
        <f>'RX1'!F16</f>
        <v>71.597851503436175</v>
      </c>
      <c r="F355" s="20">
        <f>'RX1'!E16</f>
        <v>4952.1431319738349</v>
      </c>
      <c r="G355" s="20">
        <f>E355*'RX1'!$O$7/D355</f>
        <v>98.635613902626829</v>
      </c>
      <c r="H355" s="1"/>
      <c r="I355" s="1"/>
      <c r="J355" s="1"/>
      <c r="K355" s="1"/>
      <c r="L355" s="1"/>
      <c r="M355" s="1"/>
    </row>
    <row r="356" spans="1:13" ht="22.5" customHeight="1">
      <c r="A356" s="1"/>
      <c r="B356" s="1">
        <v>3</v>
      </c>
      <c r="C356" s="20">
        <f>'RX1'!C17</f>
        <v>2.0859999999999999</v>
      </c>
      <c r="D356" s="20">
        <f>'RX1'!D17</f>
        <v>6220</v>
      </c>
      <c r="E356" s="20">
        <f>'RX1'!F17</f>
        <v>89.928466218194515</v>
      </c>
      <c r="F356" s="20">
        <f>'RX1'!E17</f>
        <v>5039.2138063278999</v>
      </c>
      <c r="G356" s="20">
        <f>E356*'RX1'!$O$7/D356</f>
        <v>122.89259852968704</v>
      </c>
      <c r="H356" s="1"/>
      <c r="I356" s="1"/>
      <c r="J356" s="1"/>
      <c r="K356" s="1"/>
      <c r="L356" s="1"/>
      <c r="M356" s="1"/>
    </row>
    <row r="357" spans="1:13" ht="22.5" customHeight="1">
      <c r="A357" s="1"/>
      <c r="B357" s="1">
        <v>4</v>
      </c>
      <c r="C357" s="20">
        <f>'RX1'!C18</f>
        <v>1.69</v>
      </c>
      <c r="D357" s="20">
        <f>'RX1'!D18</f>
        <v>6250</v>
      </c>
      <c r="E357" s="20">
        <f>'RX1'!F18</f>
        <v>111.53583385525893</v>
      </c>
      <c r="F357" s="20">
        <f>'RX1'!E18</f>
        <v>5110.9467455621307</v>
      </c>
      <c r="G357" s="20">
        <f>E357*'RX1'!$O$7/D357</f>
        <v>151.68873404315215</v>
      </c>
      <c r="H357" s="1"/>
      <c r="I357" s="1"/>
      <c r="J357" s="1"/>
      <c r="K357" s="1"/>
      <c r="L357" s="1"/>
      <c r="M357" s="1"/>
    </row>
    <row r="358" spans="1:13" ht="22.5" customHeight="1">
      <c r="A358" s="1"/>
      <c r="B358" s="1">
        <v>5</v>
      </c>
      <c r="C358" s="20">
        <f>'RX1'!C19</f>
        <v>1.3819999999999999</v>
      </c>
      <c r="D358" s="20">
        <f>'RX1'!D19</f>
        <v>6260</v>
      </c>
      <c r="E358" s="20">
        <f>'RX1'!F19</f>
        <v>136.61154277144155</v>
      </c>
      <c r="F358" s="20">
        <f>'RX1'!E19</f>
        <v>5163.820549927641</v>
      </c>
      <c r="G358" s="20">
        <f>E358*'RX1'!$O$7/D358</f>
        <v>185.49490631905005</v>
      </c>
      <c r="H358" s="1"/>
      <c r="I358" s="1"/>
      <c r="J358" s="1"/>
      <c r="K358" s="1"/>
      <c r="L358" s="1"/>
      <c r="M358" s="1"/>
    </row>
    <row r="359" spans="1:13" ht="22.5" customHeight="1">
      <c r="A359" s="1"/>
      <c r="B359" s="1">
        <v>6</v>
      </c>
      <c r="C359" s="20">
        <f>'RX1'!C20</f>
        <v>1.1399999999999999</v>
      </c>
      <c r="D359" s="20">
        <f>'RX1'!D20</f>
        <v>8500</v>
      </c>
      <c r="E359" s="20">
        <f>'RX1'!F20</f>
        <v>224.87189520432207</v>
      </c>
      <c r="F359" s="20" t="str">
        <f>""</f>
        <v/>
      </c>
      <c r="G359" s="20">
        <f>E359*'RX1'!$O$7/D359</f>
        <v>224.87189520432207</v>
      </c>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32" customHeight="1">
      <c r="A363" s="1"/>
      <c r="B363" s="2" t="s">
        <v>57</v>
      </c>
      <c r="C363" s="2" t="str">
        <f>VLOOKUP("label.gearOne",Locale!$A$2:$D$73,4,FALSE)</f>
        <v>1 挡</v>
      </c>
      <c r="D363" s="2" t="s">
        <v>57</v>
      </c>
      <c r="E363" s="2" t="str">
        <f>VLOOKUP("label.gearTwo",Locale!$A$2:$D$73,4,FALSE)</f>
        <v>2 挡</v>
      </c>
      <c r="F363" s="2" t="s">
        <v>57</v>
      </c>
      <c r="G363" s="2" t="str">
        <f>VLOOKUP("label.gearThree",Locale!$A$2:$D$73,4,FALSE)</f>
        <v>3 挡</v>
      </c>
      <c r="H363" s="2" t="s">
        <v>57</v>
      </c>
      <c r="I363" s="2" t="str">
        <f>VLOOKUP("label.gearFour",Locale!$A$2:$D$73,4,FALSE)</f>
        <v>4 挡</v>
      </c>
      <c r="J363" s="2" t="s">
        <v>57</v>
      </c>
      <c r="K363" s="2" t="str">
        <f>VLOOKUP("label.gearFive",Locale!$A$2:$D$73,4,FALSE)</f>
        <v>5 挡</v>
      </c>
      <c r="L363" s="2" t="s">
        <v>57</v>
      </c>
      <c r="M363" s="2" t="str">
        <f>VLOOKUP("label.gearSix",Locale!$A$2:$D$73,4,FALSE)</f>
        <v>6 挡</v>
      </c>
    </row>
    <row r="364" spans="1:13" ht="22.5" customHeight="1">
      <c r="A364" s="1"/>
      <c r="B364" s="1">
        <v>0</v>
      </c>
      <c r="C364" s="1">
        <v>0</v>
      </c>
      <c r="D364" s="1">
        <v>0</v>
      </c>
      <c r="E364" s="1">
        <v>0</v>
      </c>
      <c r="F364" s="1">
        <v>0</v>
      </c>
      <c r="G364" s="1">
        <v>0</v>
      </c>
      <c r="H364" s="1">
        <v>0</v>
      </c>
      <c r="I364" s="1">
        <v>0</v>
      </c>
      <c r="J364" s="1">
        <v>0</v>
      </c>
      <c r="K364" s="1">
        <v>0</v>
      </c>
      <c r="L364" s="1">
        <v>0</v>
      </c>
      <c r="M364" s="1">
        <v>0</v>
      </c>
    </row>
    <row r="365" spans="1:13" ht="22.5" customHeight="1">
      <c r="A365" s="1"/>
      <c r="B365" s="1">
        <f>G354</f>
        <v>79.121592757076257</v>
      </c>
      <c r="C365" s="1">
        <f>'RX1'!$O$7</f>
        <v>8500</v>
      </c>
      <c r="D365" s="1">
        <f>G355</f>
        <v>98.635613902626829</v>
      </c>
      <c r="E365" s="1">
        <f>'RX1'!$O$7</f>
        <v>8500</v>
      </c>
      <c r="F365" s="1">
        <f>G356</f>
        <v>122.89259852968704</v>
      </c>
      <c r="G365" s="1">
        <f>'RX1'!$O$7</f>
        <v>8500</v>
      </c>
      <c r="H365" s="1">
        <f>G357</f>
        <v>151.68873404315215</v>
      </c>
      <c r="I365" s="1">
        <f>'RX1'!$O$7</f>
        <v>8500</v>
      </c>
      <c r="J365" s="1">
        <f>G358</f>
        <v>185.49490631905005</v>
      </c>
      <c r="K365" s="1">
        <f>'RX1'!$O$7</f>
        <v>8500</v>
      </c>
      <c r="L365" s="1">
        <f>G359</f>
        <v>224.87189520432207</v>
      </c>
      <c r="M365" s="1">
        <f>'RX1'!$O$7</f>
        <v>8500</v>
      </c>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32" customHeight="1">
      <c r="A369" s="1"/>
      <c r="B369" s="2" t="s">
        <v>57</v>
      </c>
      <c r="C369" s="2" t="s">
        <v>63</v>
      </c>
      <c r="D369" s="2" t="s">
        <v>57</v>
      </c>
      <c r="E369" s="2" t="s">
        <v>64</v>
      </c>
      <c r="F369" s="2" t="s">
        <v>57</v>
      </c>
      <c r="G369" s="2" t="s">
        <v>65</v>
      </c>
      <c r="H369" s="2" t="s">
        <v>57</v>
      </c>
      <c r="I369" s="2" t="s">
        <v>66</v>
      </c>
      <c r="J369" s="2" t="s">
        <v>57</v>
      </c>
      <c r="K369" s="2" t="s">
        <v>69</v>
      </c>
      <c r="L369" s="1"/>
      <c r="M369" s="1"/>
    </row>
    <row r="370" spans="1:13" ht="22.5" customHeight="1">
      <c r="A370" s="1"/>
      <c r="B370" s="1">
        <f>E354</f>
        <v>55.850536063818538</v>
      </c>
      <c r="C370" s="1">
        <f>D354</f>
        <v>6000</v>
      </c>
      <c r="D370" s="1">
        <f>E355</f>
        <v>71.597851503436175</v>
      </c>
      <c r="E370" s="1">
        <f>D355</f>
        <v>6170</v>
      </c>
      <c r="F370" s="1">
        <f>E356</f>
        <v>89.928466218194515</v>
      </c>
      <c r="G370" s="1">
        <f>D356</f>
        <v>6220</v>
      </c>
      <c r="H370" s="1">
        <f>E357</f>
        <v>111.53583385525893</v>
      </c>
      <c r="I370" s="1">
        <f>D357</f>
        <v>6250</v>
      </c>
      <c r="J370" s="1">
        <f>E358</f>
        <v>136.61154277144155</v>
      </c>
      <c r="K370" s="1">
        <f>D358</f>
        <v>6260</v>
      </c>
      <c r="L370" s="1"/>
      <c r="M370" s="1"/>
    </row>
    <row r="371" spans="1:13" ht="22.5" customHeight="1">
      <c r="A371" s="1"/>
      <c r="B371" s="1">
        <f>E354</f>
        <v>55.850536063818538</v>
      </c>
      <c r="C371" s="1">
        <f>F354</f>
        <v>4812.9629629629635</v>
      </c>
      <c r="D371" s="1">
        <f>E355</f>
        <v>71.597851503436175</v>
      </c>
      <c r="E371" s="1">
        <f>F355</f>
        <v>4952.1431319738349</v>
      </c>
      <c r="F371" s="1">
        <f>E356</f>
        <v>89.928466218194515</v>
      </c>
      <c r="G371" s="1">
        <f>F356</f>
        <v>5039.2138063278999</v>
      </c>
      <c r="H371" s="1">
        <f>E357</f>
        <v>111.53583385525893</v>
      </c>
      <c r="I371" s="1">
        <f>F357</f>
        <v>5110.9467455621307</v>
      </c>
      <c r="J371" s="1">
        <f>E358</f>
        <v>136.61154277144155</v>
      </c>
      <c r="K371" s="1">
        <f>F358</f>
        <v>5163.820549927641</v>
      </c>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32" customHeight="1">
      <c r="A390" s="1"/>
      <c r="B390" s="29" t="str">
        <f>VLOOKUP("chart.rx3GearPositions",Locale!$A$2:$D$73,4,FALSE)</f>
        <v>RX3 · 挡位图</v>
      </c>
      <c r="C390" s="29"/>
      <c r="D390" s="29"/>
      <c r="E390" s="29"/>
      <c r="F390" s="29"/>
      <c r="G390" s="29"/>
      <c r="H390" s="1"/>
      <c r="I390" s="1"/>
      <c r="J390" s="1"/>
      <c r="K390" s="1"/>
      <c r="L390" s="1"/>
      <c r="M390" s="1"/>
    </row>
    <row r="391" spans="1:13" ht="32" customHeight="1">
      <c r="A391" s="1"/>
      <c r="B391" s="2" t="str">
        <f>VLOOKUP("label.gear",Locale!$A$2:$D$73,4,FALSE)</f>
        <v>挡位</v>
      </c>
      <c r="C391" s="2" t="str">
        <f>VLOOKUP("label.gearRatio",Locale!$A$2:$D$73,4,FALSE)</f>
        <v>齿比</v>
      </c>
      <c r="D391" s="2" t="str">
        <f>VLOOKUP("label.flashRpm",Locale!$A$2:$D$73,4,FALSE)</f>
        <v>闪烁 (rpm)</v>
      </c>
      <c r="E391" s="2" t="str">
        <f>VLOOKUP("label.shiftKmh",Locale!$A$2:$D$73,4,FALSE)</f>
        <v>换挡车速 (km/h)</v>
      </c>
      <c r="F391" s="2" t="str">
        <f>VLOOKUP("label.afterShiftRpm",Locale!$A$2:$D$73,4,FALSE)</f>
        <v>换挡后 (rpm)</v>
      </c>
      <c r="G391" s="2" t="str">
        <f>VLOOKUP("label.limitSpeedKmh",Locale!$A$2:$D$73,4,FALSE)</f>
        <v>限转车速 (km/h)</v>
      </c>
      <c r="H391" s="1"/>
      <c r="I391" s="1"/>
      <c r="J391" s="1"/>
      <c r="K391" s="1"/>
      <c r="L391" s="1"/>
      <c r="M391" s="1"/>
    </row>
    <row r="392" spans="1:13" ht="22.5" customHeight="1">
      <c r="A392" s="1"/>
      <c r="B392" s="1">
        <v>1</v>
      </c>
      <c r="C392" s="20">
        <f>'RX3'!C15</f>
        <v>3.24</v>
      </c>
      <c r="D392" s="20">
        <f>'RX3'!D15</f>
        <v>6000</v>
      </c>
      <c r="E392" s="20">
        <f>'RX3'!F15</f>
        <v>55.850536063818538</v>
      </c>
      <c r="F392" s="20">
        <f>'RX3'!E15</f>
        <v>4812.9629629629635</v>
      </c>
      <c r="G392" s="20">
        <f>E392*'RX3'!$O$7/D392</f>
        <v>79.121592757076257</v>
      </c>
      <c r="H392" s="1"/>
      <c r="I392" s="1"/>
      <c r="J392" s="1"/>
      <c r="K392" s="1"/>
      <c r="L392" s="1"/>
      <c r="M392" s="1"/>
    </row>
    <row r="393" spans="1:13" ht="22.5" customHeight="1">
      <c r="A393" s="1"/>
      <c r="B393" s="1">
        <v>2</v>
      </c>
      <c r="C393" s="20">
        <f>'RX3'!C16</f>
        <v>2.5990000000000002</v>
      </c>
      <c r="D393" s="20">
        <f>'RX3'!D16</f>
        <v>6170</v>
      </c>
      <c r="E393" s="20">
        <f>'RX3'!F16</f>
        <v>71.597851503436175</v>
      </c>
      <c r="F393" s="20">
        <f>'RX3'!E16</f>
        <v>4952.1431319738349</v>
      </c>
      <c r="G393" s="20">
        <f>E393*'RX3'!$O$7/D393</f>
        <v>98.635613902626829</v>
      </c>
      <c r="H393" s="1"/>
      <c r="I393" s="1"/>
      <c r="J393" s="1"/>
      <c r="K393" s="1"/>
      <c r="L393" s="1"/>
      <c r="M393" s="1"/>
    </row>
    <row r="394" spans="1:13" ht="22.5" customHeight="1">
      <c r="A394" s="1"/>
      <c r="B394" s="1">
        <v>3</v>
      </c>
      <c r="C394" s="20">
        <f>'RX3'!C17</f>
        <v>2.0859999999999999</v>
      </c>
      <c r="D394" s="20">
        <f>'RX3'!D17</f>
        <v>6220</v>
      </c>
      <c r="E394" s="20">
        <f>'RX3'!F17</f>
        <v>89.928466218194515</v>
      </c>
      <c r="F394" s="20">
        <f>'RX3'!E17</f>
        <v>5039.2138063278999</v>
      </c>
      <c r="G394" s="20">
        <f>E394*'RX3'!$O$7/D394</f>
        <v>122.89259852968704</v>
      </c>
      <c r="H394" s="1"/>
      <c r="I394" s="1"/>
      <c r="J394" s="1"/>
      <c r="K394" s="1"/>
      <c r="L394" s="1"/>
      <c r="M394" s="1"/>
    </row>
    <row r="395" spans="1:13" ht="22.5" customHeight="1">
      <c r="A395" s="1"/>
      <c r="B395" s="1">
        <v>4</v>
      </c>
      <c r="C395" s="20">
        <f>'RX3'!C18</f>
        <v>1.69</v>
      </c>
      <c r="D395" s="20">
        <f>'RX3'!D18</f>
        <v>6250</v>
      </c>
      <c r="E395" s="20">
        <f>'RX3'!F18</f>
        <v>111.53583385525893</v>
      </c>
      <c r="F395" s="20">
        <f>'RX3'!E18</f>
        <v>5110.9467455621307</v>
      </c>
      <c r="G395" s="20">
        <f>E395*'RX3'!$O$7/D395</f>
        <v>151.68873404315215</v>
      </c>
      <c r="H395" s="1"/>
      <c r="I395" s="1"/>
      <c r="J395" s="1"/>
      <c r="K395" s="1"/>
      <c r="L395" s="1"/>
      <c r="M395" s="1"/>
    </row>
    <row r="396" spans="1:13" ht="22.5" customHeight="1">
      <c r="A396" s="1"/>
      <c r="B396" s="1">
        <v>5</v>
      </c>
      <c r="C396" s="20">
        <f>'RX3'!C19</f>
        <v>1.3819999999999999</v>
      </c>
      <c r="D396" s="20">
        <f>'RX3'!D19</f>
        <v>8500</v>
      </c>
      <c r="E396" s="20">
        <f>'RX3'!F19</f>
        <v>185.49490631905005</v>
      </c>
      <c r="F396" s="20" t="str">
        <f>""</f>
        <v/>
      </c>
      <c r="G396" s="20">
        <f>E396*'RX3'!$O$7/D396</f>
        <v>185.49490631905005</v>
      </c>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32" customHeight="1">
      <c r="A401" s="1"/>
      <c r="B401" s="2" t="s">
        <v>57</v>
      </c>
      <c r="C401" s="2" t="str">
        <f>VLOOKUP("label.gearOne",Locale!$A$2:$D$73,4,FALSE)</f>
        <v>1 挡</v>
      </c>
      <c r="D401" s="2" t="s">
        <v>57</v>
      </c>
      <c r="E401" s="2" t="str">
        <f>VLOOKUP("label.gearTwo",Locale!$A$2:$D$73,4,FALSE)</f>
        <v>2 挡</v>
      </c>
      <c r="F401" s="2" t="s">
        <v>57</v>
      </c>
      <c r="G401" s="2" t="str">
        <f>VLOOKUP("label.gearThree",Locale!$A$2:$D$73,4,FALSE)</f>
        <v>3 挡</v>
      </c>
      <c r="H401" s="2" t="s">
        <v>57</v>
      </c>
      <c r="I401" s="2" t="str">
        <f>VLOOKUP("label.gearFour",Locale!$A$2:$D$73,4,FALSE)</f>
        <v>4 挡</v>
      </c>
      <c r="J401" s="2" t="s">
        <v>57</v>
      </c>
      <c r="K401" s="2" t="str">
        <f>VLOOKUP("label.gearFive",Locale!$A$2:$D$73,4,FALSE)</f>
        <v>5 挡</v>
      </c>
      <c r="L401" s="1"/>
      <c r="M401" s="1"/>
    </row>
    <row r="402" spans="1:13" ht="22.5" customHeight="1">
      <c r="A402" s="1"/>
      <c r="B402" s="1">
        <v>0</v>
      </c>
      <c r="C402" s="1">
        <v>0</v>
      </c>
      <c r="D402" s="1">
        <v>0</v>
      </c>
      <c r="E402" s="1">
        <v>0</v>
      </c>
      <c r="F402" s="1">
        <v>0</v>
      </c>
      <c r="G402" s="1">
        <v>0</v>
      </c>
      <c r="H402" s="1">
        <v>0</v>
      </c>
      <c r="I402" s="1">
        <v>0</v>
      </c>
      <c r="J402" s="1">
        <v>0</v>
      </c>
      <c r="K402" s="1">
        <v>0</v>
      </c>
      <c r="L402" s="1"/>
      <c r="M402" s="1"/>
    </row>
    <row r="403" spans="1:13" ht="22.5" customHeight="1">
      <c r="A403" s="1"/>
      <c r="B403" s="1">
        <f>G392</f>
        <v>79.121592757076257</v>
      </c>
      <c r="C403" s="1">
        <f>'RX3'!$O$7</f>
        <v>8500</v>
      </c>
      <c r="D403" s="1">
        <f>G393</f>
        <v>98.635613902626829</v>
      </c>
      <c r="E403" s="1">
        <f>'RX3'!$O$7</f>
        <v>8500</v>
      </c>
      <c r="F403" s="1">
        <f>G394</f>
        <v>122.89259852968704</v>
      </c>
      <c r="G403" s="1">
        <f>'RX3'!$O$7</f>
        <v>8500</v>
      </c>
      <c r="H403" s="1">
        <f>G395</f>
        <v>151.68873404315215</v>
      </c>
      <c r="I403" s="1">
        <f>'RX3'!$O$7</f>
        <v>8500</v>
      </c>
      <c r="J403" s="1">
        <f>G396</f>
        <v>185.49490631905005</v>
      </c>
      <c r="K403" s="1">
        <f>'RX3'!$O$7</f>
        <v>8500</v>
      </c>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32" customHeight="1">
      <c r="A407" s="1"/>
      <c r="B407" s="2" t="s">
        <v>57</v>
      </c>
      <c r="C407" s="2" t="s">
        <v>63</v>
      </c>
      <c r="D407" s="2" t="s">
        <v>57</v>
      </c>
      <c r="E407" s="2" t="s">
        <v>64</v>
      </c>
      <c r="F407" s="2" t="s">
        <v>57</v>
      </c>
      <c r="G407" s="2" t="s">
        <v>65</v>
      </c>
      <c r="H407" s="2" t="s">
        <v>57</v>
      </c>
      <c r="I407" s="2" t="s">
        <v>66</v>
      </c>
      <c r="J407" s="1"/>
      <c r="K407" s="1"/>
      <c r="L407" s="1"/>
      <c r="M407" s="1"/>
    </row>
    <row r="408" spans="1:13" ht="22.5" customHeight="1">
      <c r="A408" s="1"/>
      <c r="B408" s="1">
        <f>E392</f>
        <v>55.850536063818538</v>
      </c>
      <c r="C408" s="1">
        <f>D392</f>
        <v>6000</v>
      </c>
      <c r="D408" s="1">
        <f>E393</f>
        <v>71.597851503436175</v>
      </c>
      <c r="E408" s="1">
        <f>D393</f>
        <v>6170</v>
      </c>
      <c r="F408" s="1">
        <f>E394</f>
        <v>89.928466218194515</v>
      </c>
      <c r="G408" s="1">
        <f>D394</f>
        <v>6220</v>
      </c>
      <c r="H408" s="1">
        <f>E395</f>
        <v>111.53583385525893</v>
      </c>
      <c r="I408" s="1">
        <f>D395</f>
        <v>6250</v>
      </c>
      <c r="J408" s="1"/>
      <c r="K408" s="1"/>
      <c r="L408" s="1"/>
      <c r="M408" s="1"/>
    </row>
    <row r="409" spans="1:13" ht="22.5" customHeight="1">
      <c r="A409" s="1"/>
      <c r="B409" s="1">
        <f>E392</f>
        <v>55.850536063818538</v>
      </c>
      <c r="C409" s="1">
        <f>F392</f>
        <v>4812.9629629629635</v>
      </c>
      <c r="D409" s="1">
        <f>E393</f>
        <v>71.597851503436175</v>
      </c>
      <c r="E409" s="1">
        <f>F393</f>
        <v>4952.1431319738349</v>
      </c>
      <c r="F409" s="1">
        <f>E394</f>
        <v>89.928466218194515</v>
      </c>
      <c r="G409" s="1">
        <f>F394</f>
        <v>5039.2138063278999</v>
      </c>
      <c r="H409" s="1">
        <f>E395</f>
        <v>111.53583385525893</v>
      </c>
      <c r="I409" s="1">
        <f>F395</f>
        <v>5110.9467455621307</v>
      </c>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5" spans="1:13" ht="32" customHeight="1">
      <c r="A435" s="1"/>
      <c r="B435" s="29" t="s">
        <v>49</v>
      </c>
      <c r="C435" s="29"/>
      <c r="D435" s="29"/>
      <c r="E435" s="29"/>
      <c r="F435" s="1"/>
      <c r="G435" s="1"/>
      <c r="H435" s="1"/>
      <c r="I435" s="1"/>
      <c r="J435" s="1"/>
      <c r="K435" s="1"/>
      <c r="L435" s="1"/>
      <c r="M435" s="1"/>
    </row>
    <row r="436" spans="1:13" ht="32" customHeight="1">
      <c r="A436" s="1"/>
      <c r="B436" s="2" t="s">
        <v>44</v>
      </c>
      <c r="C436" s="2" t="str">
        <f>VLOOKUP("label.torqueNm",Locale!$A$2:$D$73,4,FALSE)</f>
        <v>扭矩 (Nm)</v>
      </c>
      <c r="D436" s="2" t="str">
        <f>VLOOKUP("label.powerHp",Locale!$A$2:$D$73,4,FALSE)</f>
        <v>功率 (hp)</v>
      </c>
      <c r="E436" s="1"/>
      <c r="F436" s="1"/>
      <c r="G436" s="1"/>
      <c r="H436" s="1"/>
      <c r="I436" s="1"/>
      <c r="J436" s="1"/>
      <c r="K436" s="1"/>
      <c r="L436" s="1"/>
      <c r="M436" s="1"/>
    </row>
    <row r="437" spans="1:13" ht="22.5" customHeight="1">
      <c r="A437" s="1"/>
      <c r="B437" s="1">
        <v>2500</v>
      </c>
      <c r="C437" s="3">
        <v>392.12322294939003</v>
      </c>
      <c r="D437" s="4">
        <f>137.669100866325*735.49875/745.69987158227</f>
        <v>135.78579728860106</v>
      </c>
      <c r="E437" s="1"/>
      <c r="F437" s="1"/>
      <c r="G437" s="1"/>
      <c r="H437" s="1"/>
      <c r="I437" s="1"/>
      <c r="J437" s="1"/>
      <c r="K437" s="1"/>
      <c r="L437" s="1"/>
      <c r="M437" s="1"/>
    </row>
    <row r="438" spans="1:13" ht="22.5" customHeight="1">
      <c r="A438" s="1"/>
      <c r="B438" s="1">
        <v>3000</v>
      </c>
      <c r="C438" s="3">
        <v>413.34311991096001</v>
      </c>
      <c r="D438" s="4">
        <f>174.142939781257*735.49875/745.69987158227</f>
        <v>171.76067666294219</v>
      </c>
      <c r="E438" s="1"/>
      <c r="F438" s="1"/>
      <c r="G438" s="1"/>
      <c r="H438" s="1"/>
      <c r="I438" s="1"/>
      <c r="J438" s="1"/>
      <c r="K438" s="1"/>
      <c r="L438" s="1"/>
      <c r="M438" s="1"/>
    </row>
    <row r="439" spans="1:13" ht="22.5" customHeight="1">
      <c r="A439" s="1"/>
      <c r="B439" s="1">
        <v>3500</v>
      </c>
      <c r="C439" s="3">
        <v>427.69062033038</v>
      </c>
      <c r="D439" s="4">
        <f>210.218858729571*735.49875/745.69987158227</f>
        <v>207.34307958770773</v>
      </c>
      <c r="E439" s="1"/>
      <c r="F439" s="1"/>
      <c r="G439" s="1"/>
      <c r="H439" s="1"/>
      <c r="I439" s="1"/>
      <c r="J439" s="1"/>
      <c r="K439" s="1"/>
      <c r="L439" s="1"/>
      <c r="M439" s="1"/>
    </row>
    <row r="440" spans="1:13" ht="22.5" customHeight="1">
      <c r="A440" s="1"/>
      <c r="B440" s="1">
        <v>4000</v>
      </c>
      <c r="C440" s="3">
        <v>435.71238814309982</v>
      </c>
      <c r="D440" s="4">
        <f>244.756257018613*735.49875/745.69987158227</f>
        <v>241.40800870717055</v>
      </c>
      <c r="E440" s="1"/>
      <c r="F440" s="1"/>
      <c r="G440" s="1"/>
      <c r="H440" s="1"/>
      <c r="I440" s="1"/>
      <c r="J440" s="1"/>
      <c r="K440" s="1"/>
      <c r="L440" s="1"/>
      <c r="M440" s="1"/>
    </row>
    <row r="441" spans="1:13" ht="22.5" customHeight="1">
      <c r="A441" s="1"/>
      <c r="B441" s="1">
        <v>4500</v>
      </c>
      <c r="C441" s="3">
        <v>439.98714840701604</v>
      </c>
      <c r="D441" s="4">
        <f>278.052246905943*735.49875/745.69987158227</f>
        <v>274.24851180418904</v>
      </c>
      <c r="E441" s="1"/>
      <c r="F441" s="1"/>
      <c r="G441" s="1"/>
      <c r="H441" s="1"/>
      <c r="I441" s="1"/>
      <c r="J441" s="1"/>
      <c r="K441" s="1"/>
      <c r="L441" s="1"/>
      <c r="M441" s="1"/>
    </row>
    <row r="442" spans="1:13" ht="22.5" customHeight="1">
      <c r="A442" s="1"/>
      <c r="B442" s="1">
        <v>5000</v>
      </c>
      <c r="C442" s="3">
        <v>443.19385328835278</v>
      </c>
      <c r="D442" s="4">
        <f>311.19860146393*735.49875/745.69987158227</f>
        <v>306.94142657260284</v>
      </c>
      <c r="E442" s="1"/>
      <c r="F442" s="1"/>
      <c r="G442" s="1"/>
      <c r="H442" s="1"/>
      <c r="I442" s="1"/>
      <c r="J442" s="1"/>
      <c r="K442" s="1"/>
      <c r="L442" s="1"/>
      <c r="M442" s="1"/>
    </row>
    <row r="443" spans="1:13" ht="22.5" customHeight="1">
      <c r="A443" s="1"/>
      <c r="B443" s="1">
        <v>5189</v>
      </c>
      <c r="C443" s="3">
        <v>443.46248568368935</v>
      </c>
      <c r="D443" s="4">
        <f>323.157664994501*735.49875/745.69987158227</f>
        <v>318.73689095861903</v>
      </c>
      <c r="E443" s="1"/>
      <c r="F443" s="1"/>
      <c r="G443" s="1"/>
      <c r="H443" s="1"/>
      <c r="I443" s="1"/>
      <c r="J443" s="1"/>
      <c r="K443" s="1"/>
      <c r="L443" s="1"/>
      <c r="M443" s="1"/>
    </row>
    <row r="444" spans="1:13" ht="22.5" customHeight="1">
      <c r="A444" s="1"/>
      <c r="B444" s="1">
        <v>5500</v>
      </c>
      <c r="C444" s="3">
        <v>442.88615147652462</v>
      </c>
      <c r="D444" s="4">
        <f>342.080795834776*735.49875/745.69987158227</f>
        <v>337.4011547053417</v>
      </c>
      <c r="E444" s="1"/>
      <c r="F444" s="1"/>
      <c r="G444" s="1"/>
      <c r="H444" s="1"/>
      <c r="I444" s="1"/>
      <c r="J444" s="1"/>
      <c r="K444" s="1"/>
      <c r="L444" s="1"/>
      <c r="M444" s="1"/>
    </row>
    <row r="445" spans="1:13" ht="22.5" customHeight="1">
      <c r="A445" s="1"/>
      <c r="B445" s="1">
        <v>6000</v>
      </c>
      <c r="C445" s="3">
        <v>439.70678468527797</v>
      </c>
      <c r="D445" s="4">
        <f>370.500092723708*735.49875/745.69987158227</f>
        <v>365.43167761979055</v>
      </c>
      <c r="E445" s="1"/>
      <c r="F445" s="1"/>
      <c r="G445" s="1"/>
      <c r="H445" s="1"/>
      <c r="I445" s="1"/>
      <c r="J445" s="1"/>
      <c r="K445" s="1"/>
      <c r="L445" s="1"/>
      <c r="M445" s="1"/>
    </row>
    <row r="446" spans="1:13" ht="22.5" customHeight="1">
      <c r="A446" s="1"/>
      <c r="B446" s="1">
        <v>6500</v>
      </c>
      <c r="C446" s="3">
        <v>418.98807357322522</v>
      </c>
      <c r="D446" s="4">
        <f>382.462554537249*735.49875/745.69987158227</f>
        <v>377.23049380050577</v>
      </c>
      <c r="E446" s="1"/>
      <c r="F446" s="1"/>
      <c r="G446" s="1"/>
      <c r="H446" s="1"/>
      <c r="I446" s="1"/>
      <c r="J446" s="1"/>
      <c r="K446" s="1"/>
      <c r="L446" s="1"/>
      <c r="M446" s="1"/>
    </row>
    <row r="447" spans="1:13" ht="22.5" customHeight="1">
      <c r="A447" s="1"/>
      <c r="B447" s="1">
        <v>6843</v>
      </c>
      <c r="C447" s="3">
        <v>399.94118639818879</v>
      </c>
      <c r="D447" s="4">
        <f>384.340874837944*735.49875/745.69987158227</f>
        <v>379.08311881213342</v>
      </c>
      <c r="E447" s="1"/>
      <c r="F447" s="1"/>
      <c r="G447" s="1"/>
      <c r="H447" s="1"/>
      <c r="I447" s="1"/>
      <c r="J447" s="1"/>
      <c r="K447" s="1"/>
      <c r="L447" s="1"/>
      <c r="M447" s="1"/>
    </row>
    <row r="448" spans="1:13" ht="22.5" customHeight="1">
      <c r="A448" s="1"/>
      <c r="B448" s="1">
        <v>7000</v>
      </c>
      <c r="C448" s="3">
        <v>390.92736187569773</v>
      </c>
      <c r="D448" s="4">
        <f>384.297901114545*735.49875/745.69987158227</f>
        <v>379.04073296623568</v>
      </c>
      <c r="E448" s="1"/>
      <c r="F448" s="1"/>
      <c r="G448" s="1"/>
      <c r="H448" s="1"/>
      <c r="I448" s="1"/>
      <c r="J448" s="1"/>
      <c r="K448" s="1"/>
      <c r="L448" s="1"/>
      <c r="M448" s="1"/>
    </row>
    <row r="449" spans="1:13" ht="22.5" customHeight="1">
      <c r="A449" s="1"/>
      <c r="B449" s="1">
        <v>7500</v>
      </c>
      <c r="C449" s="3">
        <v>363.26933766308696</v>
      </c>
      <c r="D449" s="4">
        <f>382.616689051626*735.49875/745.69987158227</f>
        <v>377.38251976561105</v>
      </c>
      <c r="E449" s="1"/>
      <c r="F449" s="1"/>
      <c r="G449" s="1"/>
      <c r="H449" s="1"/>
      <c r="I449" s="1"/>
      <c r="J449" s="1"/>
      <c r="K449" s="1"/>
      <c r="L449" s="1"/>
      <c r="M449" s="1"/>
    </row>
    <row r="450" spans="1:13" ht="22.5" customHeight="1">
      <c r="A450" s="1"/>
      <c r="B450" s="1">
        <v>8000</v>
      </c>
      <c r="C450" s="3">
        <v>332.97769982606115</v>
      </c>
      <c r="D450" s="4">
        <f>374.092533046491*735.49875/745.69987158227</f>
        <v>368.97497361265437</v>
      </c>
      <c r="E450" s="1"/>
      <c r="F450" s="1"/>
      <c r="G450" s="1"/>
      <c r="H450" s="1"/>
      <c r="I450" s="1"/>
      <c r="J450" s="1"/>
      <c r="K450" s="1"/>
      <c r="L450" s="1"/>
      <c r="M450" s="1"/>
    </row>
    <row r="451" spans="1:13" ht="22.5" customHeight="1">
      <c r="A451" s="1"/>
      <c r="B451" s="1">
        <v>8499</v>
      </c>
      <c r="C451" s="3">
        <v>288.35790965028451</v>
      </c>
      <c r="D451" s="4">
        <f>344.170467392086*735.49875/745.69987158227</f>
        <v>339.46223970331931</v>
      </c>
      <c r="E451" s="1"/>
      <c r="F451" s="1"/>
      <c r="G451" s="1"/>
      <c r="H451" s="1"/>
      <c r="I451" s="1"/>
      <c r="J451" s="1"/>
      <c r="K451" s="1"/>
      <c r="L451" s="1"/>
      <c r="M451" s="1"/>
    </row>
    <row r="474" spans="1:13" ht="32" customHeight="1">
      <c r="A474" s="1"/>
      <c r="B474" s="29" t="str">
        <f>VLOOKUP("chart.rally1GearPositions",Locale!$A$2:$D$73,4,FALSE)</f>
        <v>Rally1 · 挡位图</v>
      </c>
      <c r="C474" s="29"/>
      <c r="D474" s="29"/>
      <c r="E474" s="29"/>
      <c r="F474" s="29"/>
      <c r="G474" s="29"/>
      <c r="H474" s="1"/>
      <c r="I474" s="1"/>
      <c r="J474" s="1"/>
      <c r="K474" s="1"/>
      <c r="L474" s="1"/>
      <c r="M474" s="1"/>
    </row>
    <row r="475" spans="1:13" ht="32" customHeight="1">
      <c r="A475" s="1"/>
      <c r="B475" s="2" t="str">
        <f>VLOOKUP("label.gear",Locale!$A$2:$D$73,4,FALSE)</f>
        <v>挡位</v>
      </c>
      <c r="C475" s="2" t="str">
        <f>VLOOKUP("label.gearRatio",Locale!$A$2:$D$73,4,FALSE)</f>
        <v>齿比</v>
      </c>
      <c r="D475" s="2" t="str">
        <f>VLOOKUP("label.flashRpm",Locale!$A$2:$D$73,4,FALSE)</f>
        <v>闪烁 (rpm)</v>
      </c>
      <c r="E475" s="2" t="str">
        <f>VLOOKUP("label.shiftKmh",Locale!$A$2:$D$73,4,FALSE)</f>
        <v>换挡车速 (km/h)</v>
      </c>
      <c r="F475" s="2" t="str">
        <f>VLOOKUP("label.afterShiftRpm",Locale!$A$2:$D$73,4,FALSE)</f>
        <v>换挡后 (rpm)</v>
      </c>
      <c r="G475" s="2" t="str">
        <f>VLOOKUP("label.limitSpeedKmh",Locale!$A$2:$D$73,4,FALSE)</f>
        <v>限转车速 (km/h)</v>
      </c>
      <c r="H475" s="1"/>
      <c r="I475" s="1"/>
      <c r="J475" s="1"/>
      <c r="K475" s="1"/>
      <c r="L475" s="1"/>
      <c r="M475" s="1"/>
    </row>
    <row r="476" spans="1:13" ht="22.5" customHeight="1">
      <c r="A476" s="1"/>
      <c r="B476" s="1">
        <v>1</v>
      </c>
      <c r="C476" s="20">
        <f>IF(Rally1!$D$53=1,Rally1!C15,Rally1!K15)</f>
        <v>4.2530000000000001</v>
      </c>
      <c r="D476" s="20">
        <f>IF(Rally1!$D$53=1,Rally1!D15,Rally1!L15)</f>
        <v>7710</v>
      </c>
      <c r="E476" s="20">
        <f>IF(Rally1!$D$53=1,Rally1!F15,Rally1!N15)</f>
        <v>53.736953896371908</v>
      </c>
      <c r="F476" s="20">
        <f>IF(Rally1!$D$53=1,Rally1!E15,Rally1!M15)</f>
        <v>5509.2146719962384</v>
      </c>
      <c r="G476" s="20">
        <f>E476*Rally1!$O$7/D476</f>
        <v>59.243074983029992</v>
      </c>
      <c r="H476" s="1"/>
      <c r="I476" s="1"/>
      <c r="J476" s="1"/>
      <c r="K476" s="1"/>
      <c r="L476" s="1"/>
      <c r="M476" s="1"/>
    </row>
    <row r="477" spans="1:13" ht="22.5" customHeight="1">
      <c r="A477" s="1"/>
      <c r="B477" s="1">
        <v>2</v>
      </c>
      <c r="C477" s="20">
        <f>IF(Rally1!$D$53=1,Rally1!C16,Rally1!K16)</f>
        <v>3.0390000000000001</v>
      </c>
      <c r="D477" s="20">
        <f>IF(Rally1!$D$53=1,Rally1!D16,Rally1!L16)</f>
        <v>7890</v>
      </c>
      <c r="E477" s="20">
        <f>IF(Rally1!$D$53=1,Rally1!F16,Rally1!N16)</f>
        <v>76.95916595835709</v>
      </c>
      <c r="F477" s="20">
        <f>IF(Rally1!$D$53=1,Rally1!E16,Rally1!M16)</f>
        <v>5755.8835143139195</v>
      </c>
      <c r="G477" s="20">
        <f>E477*Rally1!$O$7/D477</f>
        <v>82.909114150321315</v>
      </c>
      <c r="H477" s="1"/>
      <c r="I477" s="1"/>
      <c r="J477" s="1"/>
      <c r="K477" s="1"/>
      <c r="L477" s="1"/>
      <c r="M477" s="1"/>
    </row>
    <row r="478" spans="1:13" ht="22.5" customHeight="1">
      <c r="A478" s="1"/>
      <c r="B478" s="1">
        <v>3</v>
      </c>
      <c r="C478" s="20">
        <f>IF(Rally1!$D$53=1,Rally1!C17,Rally1!K17)</f>
        <v>2.2170000000000001</v>
      </c>
      <c r="D478" s="20">
        <f>IF(Rally1!$D$53=1,Rally1!D17,Rally1!L17)</f>
        <v>7630</v>
      </c>
      <c r="E478" s="20">
        <f>IF(Rally1!$D$53=1,Rally1!F17,Rally1!N17)</f>
        <v>102.01708127032111</v>
      </c>
      <c r="F478" s="20">
        <f>IF(Rally1!$D$53=1,Rally1!E17,Rally1!M17)</f>
        <v>6050.3112313937754</v>
      </c>
      <c r="G478" s="20">
        <f>E478*Rally1!$O$7/D478</f>
        <v>113.64943522906022</v>
      </c>
      <c r="H478" s="1"/>
      <c r="I478" s="1"/>
      <c r="J478" s="1"/>
      <c r="K478" s="1"/>
      <c r="L478" s="1"/>
      <c r="M478" s="1"/>
    </row>
    <row r="479" spans="1:13" ht="22.5" customHeight="1">
      <c r="A479" s="1"/>
      <c r="B479" s="1">
        <v>4</v>
      </c>
      <c r="C479" s="20">
        <f>IF(Rally1!$D$53=1,Rally1!C18,Rally1!K18)</f>
        <v>1.758</v>
      </c>
      <c r="D479" s="20">
        <f>IF(Rally1!$D$53=1,Rally1!D18,Rally1!L18)</f>
        <v>7870</v>
      </c>
      <c r="E479" s="20">
        <f>IF(Rally1!$D$53=1,Rally1!F18,Rally1!N18)</f>
        <v>132.6996907913568</v>
      </c>
      <c r="F479" s="20">
        <f>IF(Rally1!$D$53=1,Rally1!E18,Rally1!M18)</f>
        <v>6016.6552901023897</v>
      </c>
      <c r="G479" s="20">
        <f>E479*Rally1!$O$7/D479</f>
        <v>143.32241063869537</v>
      </c>
      <c r="H479" s="1"/>
      <c r="I479" s="1"/>
      <c r="J479" s="1"/>
      <c r="K479" s="1"/>
      <c r="L479" s="1"/>
      <c r="M479" s="1"/>
    </row>
    <row r="480" spans="1:13" ht="22.5" customHeight="1">
      <c r="A480" s="1"/>
      <c r="B480" s="1">
        <v>5</v>
      </c>
      <c r="C480" s="20">
        <f>IF(Rally1!$D$53=1,Rally1!C19,Rally1!K19)</f>
        <v>1.3440000000000001</v>
      </c>
      <c r="D480" s="20">
        <f>IF(Rally1!$D$53=1,Rally1!D19,Rally1!L19)</f>
        <v>8500</v>
      </c>
      <c r="E480" s="20">
        <f>IF(Rally1!$D$53=1,Rally1!F19,Rally1!N19)</f>
        <v>187.47083177293638</v>
      </c>
      <c r="F480" s="20" t="str">
        <f>""</f>
        <v/>
      </c>
      <c r="G480" s="20">
        <f>E480*Rally1!$O$7/D480</f>
        <v>187.47083177293638</v>
      </c>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32" customHeight="1">
      <c r="A485" s="1"/>
      <c r="B485" s="2" t="s">
        <v>57</v>
      </c>
      <c r="C485" s="2" t="str">
        <f>VLOOKUP("label.gearOne",Locale!$A$2:$D$73,4,FALSE)</f>
        <v>1 挡</v>
      </c>
      <c r="D485" s="2" t="s">
        <v>57</v>
      </c>
      <c r="E485" s="2" t="str">
        <f>VLOOKUP("label.gearTwo",Locale!$A$2:$D$73,4,FALSE)</f>
        <v>2 挡</v>
      </c>
      <c r="F485" s="2" t="s">
        <v>57</v>
      </c>
      <c r="G485" s="2" t="str">
        <f>VLOOKUP("label.gearThree",Locale!$A$2:$D$73,4,FALSE)</f>
        <v>3 挡</v>
      </c>
      <c r="H485" s="2" t="s">
        <v>57</v>
      </c>
      <c r="I485" s="2" t="str">
        <f>VLOOKUP("label.gearFour",Locale!$A$2:$D$73,4,FALSE)</f>
        <v>4 挡</v>
      </c>
      <c r="J485" s="2" t="s">
        <v>57</v>
      </c>
      <c r="K485" s="2" t="str">
        <f>VLOOKUP("label.gearFive",Locale!$A$2:$D$73,4,FALSE)</f>
        <v>5 挡</v>
      </c>
      <c r="L485" s="1"/>
      <c r="M485" s="1"/>
    </row>
    <row r="486" spans="1:13" ht="22.5" customHeight="1">
      <c r="A486" s="1"/>
      <c r="B486" s="1">
        <v>0</v>
      </c>
      <c r="C486" s="1">
        <v>0</v>
      </c>
      <c r="D486" s="1">
        <v>0</v>
      </c>
      <c r="E486" s="1">
        <v>0</v>
      </c>
      <c r="F486" s="1">
        <v>0</v>
      </c>
      <c r="G486" s="1">
        <v>0</v>
      </c>
      <c r="H486" s="1">
        <v>0</v>
      </c>
      <c r="I486" s="1">
        <v>0</v>
      </c>
      <c r="J486" s="1">
        <v>0</v>
      </c>
      <c r="K486" s="1">
        <v>0</v>
      </c>
      <c r="L486" s="1"/>
      <c r="M486" s="1"/>
    </row>
    <row r="487" spans="1:13" ht="22.5" customHeight="1">
      <c r="A487" s="1"/>
      <c r="B487" s="1">
        <f>G476</f>
        <v>59.243074983029992</v>
      </c>
      <c r="C487" s="1">
        <f>Rally1!$O$7</f>
        <v>8500</v>
      </c>
      <c r="D487" s="1">
        <f>G477</f>
        <v>82.909114150321315</v>
      </c>
      <c r="E487" s="1">
        <f>Rally1!$O$7</f>
        <v>8500</v>
      </c>
      <c r="F487" s="1">
        <f>G478</f>
        <v>113.64943522906022</v>
      </c>
      <c r="G487" s="1">
        <f>Rally1!$O$7</f>
        <v>8500</v>
      </c>
      <c r="H487" s="1">
        <f>G479</f>
        <v>143.32241063869537</v>
      </c>
      <c r="I487" s="1">
        <f>Rally1!$O$7</f>
        <v>8500</v>
      </c>
      <c r="J487" s="1">
        <f>G480</f>
        <v>187.47083177293638</v>
      </c>
      <c r="K487" s="1">
        <f>Rally1!$O$7</f>
        <v>8500</v>
      </c>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32" customHeight="1">
      <c r="A491" s="1"/>
      <c r="B491" s="2" t="s">
        <v>57</v>
      </c>
      <c r="C491" s="2" t="s">
        <v>63</v>
      </c>
      <c r="D491" s="2" t="s">
        <v>57</v>
      </c>
      <c r="E491" s="2" t="s">
        <v>64</v>
      </c>
      <c r="F491" s="2" t="s">
        <v>57</v>
      </c>
      <c r="G491" s="2" t="s">
        <v>65</v>
      </c>
      <c r="H491" s="2" t="s">
        <v>57</v>
      </c>
      <c r="I491" s="2" t="s">
        <v>66</v>
      </c>
      <c r="J491" s="1"/>
      <c r="K491" s="1"/>
      <c r="L491" s="1"/>
      <c r="M491" s="1"/>
    </row>
    <row r="492" spans="1:13" ht="22.5" customHeight="1">
      <c r="A492" s="1"/>
      <c r="B492" s="1">
        <f>E476</f>
        <v>53.736953896371908</v>
      </c>
      <c r="C492" s="1">
        <f>D476</f>
        <v>7710</v>
      </c>
      <c r="D492" s="1">
        <f>E477</f>
        <v>76.95916595835709</v>
      </c>
      <c r="E492" s="1">
        <f>D477</f>
        <v>7890</v>
      </c>
      <c r="F492" s="1">
        <f>E478</f>
        <v>102.01708127032111</v>
      </c>
      <c r="G492" s="1">
        <f>D478</f>
        <v>7630</v>
      </c>
      <c r="H492" s="1">
        <f>E479</f>
        <v>132.6996907913568</v>
      </c>
      <c r="I492" s="1">
        <f>D479</f>
        <v>7870</v>
      </c>
      <c r="J492" s="1"/>
      <c r="K492" s="1"/>
      <c r="L492" s="1"/>
      <c r="M492" s="1"/>
    </row>
    <row r="493" spans="1:13" ht="22.5" customHeight="1">
      <c r="A493" s="1"/>
      <c r="B493" s="1">
        <f>E476</f>
        <v>53.736953896371908</v>
      </c>
      <c r="C493" s="1">
        <f>F476</f>
        <v>5509.2146719962384</v>
      </c>
      <c r="D493" s="1">
        <f>E477</f>
        <v>76.95916595835709</v>
      </c>
      <c r="E493" s="1">
        <f>F477</f>
        <v>5755.8835143139195</v>
      </c>
      <c r="F493" s="1">
        <f>E478</f>
        <v>102.01708127032111</v>
      </c>
      <c r="G493" s="1">
        <f>F478</f>
        <v>6050.3112313937754</v>
      </c>
      <c r="H493" s="1">
        <f>E479</f>
        <v>132.6996907913568</v>
      </c>
      <c r="I493" s="1">
        <f>F479</f>
        <v>6016.6552901023897</v>
      </c>
      <c r="J493" s="1"/>
      <c r="K493" s="1"/>
      <c r="L493" s="1"/>
      <c r="M493" s="1"/>
    </row>
  </sheetData>
  <mergeCells count="16">
    <mergeCell ref="B435:E435"/>
    <mergeCell ref="B474:G474"/>
    <mergeCell ref="B352:G352"/>
    <mergeCell ref="B155:E155"/>
    <mergeCell ref="B390:G390"/>
    <mergeCell ref="B238:G238"/>
    <mergeCell ref="B65:E65"/>
    <mergeCell ref="B276:G276"/>
    <mergeCell ref="B95:E95"/>
    <mergeCell ref="B314:G314"/>
    <mergeCell ref="B125:E125"/>
    <mergeCell ref="B1:E1"/>
    <mergeCell ref="B2:E2"/>
    <mergeCell ref="B5:E5"/>
    <mergeCell ref="B200:G200"/>
    <mergeCell ref="B35:E35"/>
  </mergeCells>
  <phoneticPr fontId="9" type="noConversion"/>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Rally2</vt:lpstr>
      <vt:lpstr>WRC16</vt:lpstr>
      <vt:lpstr>WRC17</vt:lpstr>
      <vt:lpstr>25R1</vt:lpstr>
      <vt:lpstr>Rally1</vt:lpstr>
      <vt:lpstr>RX1</vt:lpstr>
      <vt:lpstr>RX3</vt:lpstr>
      <vt:lpstr>Locale</vt: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Un1corn Prog</cp:lastModifiedBy>
  <cp:lastPrinted>2026-10-27T06:18:54Z</cp:lastPrinted>
  <dcterms:modified xsi:type="dcterms:W3CDTF">2026-10-28T14:34:33Z</dcterms:modified>
</cp:coreProperties>
</file>