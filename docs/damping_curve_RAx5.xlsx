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4A45C65-472D-4AF5-89F4-64A720319E7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<sst xmlns="http://schemas.openxmlformats.org/spreadsheetml/2006/main" count="220" uniqueCount="90">
  <si>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</si>
  <si>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</si>
  <si>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</si>
  <si>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</si>
  <si>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</si>
  <si>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</si>
  <si>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</si>
  <si>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</si>
  <si>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</si>
  <si>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</si>
  <si>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</si>
  <si>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</si>
  <si>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</si>
  <si>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</si>
  <si>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</si>
  <si>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</si>
  <si>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</si>
  <si>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</si>
  <si>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</si>
  <si>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</si>
  <si>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</si>
  <si>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</si>
  <si>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</si>
  <si>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</si>
  <si>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</si>
  <si>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</si>
  <si>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</si>
  <si>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</si>
  <si>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</si>
  <si>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</si>
  <si>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</si>
  <si>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</si>
  <si>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</si>
  <si>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</si>
  <si>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</si>
  <si>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</si>
  <si>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</si>
  <si>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</si>
  <si>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</si>
  <si>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</si>
  <si>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</si>
  <si>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</si>
  <si>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</si>
  <si>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</si>
  <si>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</si>
  <si>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</si>
  <si>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</si>
  <si>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</si>
  <si>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</si>
  <si>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</si>
  <si>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</si>
  <si>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</si>
  <si>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</si>
  <si>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</si>
  <si>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</si>
  <si>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</si>
  <si>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</si>
  <si>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</si>
  <si>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</si>
  <si>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</si>
  <si>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RAx5 · Damping Calculator</t>
  </si>
  <si>
    <t>RA65 / RA85 · 砂石拉力 · c / C / R 调节与阻尼力计算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</si>
  <si>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</si>
  <si>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</si>
  <si>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</si>
  <si>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</si>
  <si>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</si>
  <si>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</si>
  <si>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</si>
  <si>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</si>
  <si>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RAx5 · LSC Sweep · 读取对应 Sweep 页的阀系选择</t>
  </si>
  <si>
    <t>CTM Racing · RAx5 · HSC Sweep · 读取对应 Sweep 页的阀系选择</t>
  </si>
  <si>
    <t>CTM Racing · RAx5 · LSR Sweep · 读取对应 Sweep 页的阀系选择</t>
  </si>
  <si>
    <t>CTM Racing · RAx5 · Full Sweep · 读取对应 Sweep 页的阀系选择</t>
  </si>
  <si>
    <t>CTM Racing · RAx5 · LSC Sweep</t>
  </si>
  <si>
    <t>砂石拉力 · Type-A / Type-B 阀系；各页独立选择。</t>
  </si>
  <si>
    <t>CTM Racing · RAx5 · HSC Sweep</t>
  </si>
  <si>
    <t>砂石拉力 · Type-A / Type-B 阀系；各页独立选择。</t>
  </si>
  <si>
    <t>CTM Racing · RAx5 · LSR Sweep</t>
  </si>
  <si>
    <t>砂石拉力 · Type-A / Type-B 阀系；各页独立选择。</t>
  </si>
  <si>
    <t>CTM Racing · RAx5 · Full Sweep</t>
  </si>
  <si>
    <t>砂石拉力 · Type-A / Type-B 阀系；各页独立选择。</t>
  </si>
  <si>
    <t>避震器型号</t>
  </si>
  <si>
    <t>RA65</t>
  </si>
  <si>
    <t>RA65 / RA85 / RA85/2 · 砂石拉力系列；黄色单元格为可编辑标定。</t>
  </si>
  <si>
    <t>LSC · 全系列</t>
  </si>
  <si>
    <t>HSC · 全系列</t>
  </si>
  <si>
    <t>LSR · RA65 / 8系改型</t>
  </si>
  <si>
    <t>LSR · RA85</t>
  </si>
  <si>
    <t>RA65 与 RA85/2：40 格回弹；RA85：60 格。Sweep 采用 40 格标尺，型号在计算器选择。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</si>
</sst>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2" fontId="11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480.00000000000006</c:v>
                </c:pt>
                <c:pt idx="9">
                  <c:v>540</c:v>
                </c:pt>
                <c:pt idx="10">
                  <c:v>600</c:v>
                </c:pt>
                <c:pt idx="11">
                  <c:v>660.00000000000011</c:v>
                </c:pt>
                <c:pt idx="12">
                  <c:v>736</c:v>
                </c:pt>
                <c:pt idx="13">
                  <c:v>836</c:v>
                </c:pt>
                <c:pt idx="14">
                  <c:v>936</c:v>
                </c:pt>
                <c:pt idx="15">
                  <c:v>1036</c:v>
                </c:pt>
                <c:pt idx="16">
                  <c:v>1136.0000000000002</c:v>
                </c:pt>
                <c:pt idx="17">
                  <c:v>1236</c:v>
                </c:pt>
                <c:pt idx="18">
                  <c:v>1336</c:v>
                </c:pt>
                <c:pt idx="19">
                  <c:v>1436</c:v>
                </c:pt>
                <c:pt idx="20">
                  <c:v>1536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268.64999999999998</c:v>
                </c:pt>
                <c:pt idx="4">
                  <c:v>356.40000000000003</c:v>
                </c:pt>
                <c:pt idx="5">
                  <c:v>444.15</c:v>
                </c:pt>
                <c:pt idx="6">
                  <c:v>531.9</c:v>
                </c:pt>
                <c:pt idx="7">
                  <c:v>619.65</c:v>
                </c:pt>
                <c:pt idx="8">
                  <c:v>707.40000000000009</c:v>
                </c:pt>
                <c:pt idx="9">
                  <c:v>795.15</c:v>
                </c:pt>
                <c:pt idx="10">
                  <c:v>882.9</c:v>
                </c:pt>
                <c:pt idx="11">
                  <c:v>970.65000000000009</c:v>
                </c:pt>
                <c:pt idx="12">
                  <c:v>1072.4000000000001</c:v>
                </c:pt>
                <c:pt idx="13">
                  <c:v>1230.1500000000001</c:v>
                </c:pt>
                <c:pt idx="14">
                  <c:v>1387.9</c:v>
                </c:pt>
                <c:pt idx="15">
                  <c:v>1545.65</c:v>
                </c:pt>
                <c:pt idx="16">
                  <c:v>1703.4</c:v>
                </c:pt>
                <c:pt idx="17">
                  <c:v>1861.1499999999999</c:v>
                </c:pt>
                <c:pt idx="18">
                  <c:v>2018.9</c:v>
                </c:pt>
                <c:pt idx="19">
                  <c:v>2176.6499999999996</c:v>
                </c:pt>
                <c:pt idx="20">
                  <c:v>2334.4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356.4</c:v>
                </c:pt>
                <c:pt idx="4">
                  <c:v>470.40000000000003</c:v>
                </c:pt>
                <c:pt idx="5">
                  <c:v>584.40000000000009</c:v>
                </c:pt>
                <c:pt idx="6">
                  <c:v>698.4</c:v>
                </c:pt>
                <c:pt idx="7">
                  <c:v>812.4</c:v>
                </c:pt>
                <c:pt idx="8">
                  <c:v>926.40000000000009</c:v>
                </c:pt>
                <c:pt idx="9">
                  <c:v>1040.4000000000001</c:v>
                </c:pt>
                <c:pt idx="10">
                  <c:v>1154.4000000000001</c:v>
                </c:pt>
                <c:pt idx="11">
                  <c:v>1268.4000000000001</c:v>
                </c:pt>
                <c:pt idx="12">
                  <c:v>1382.3999999999999</c:v>
                </c:pt>
                <c:pt idx="13">
                  <c:v>1596.4</c:v>
                </c:pt>
                <c:pt idx="14">
                  <c:v>1810.3999999999999</c:v>
                </c:pt>
                <c:pt idx="15">
                  <c:v>2024.4</c:v>
                </c:pt>
                <c:pt idx="16">
                  <c:v>2238.4</c:v>
                </c:pt>
                <c:pt idx="17">
                  <c:v>2452.3999999999996</c:v>
                </c:pt>
                <c:pt idx="18">
                  <c:v>2666.4</c:v>
                </c:pt>
                <c:pt idx="19">
                  <c:v>2880.3999999999996</c:v>
                </c:pt>
                <c:pt idx="20">
                  <c:v>3094.4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443.25</c:v>
                </c:pt>
                <c:pt idx="4">
                  <c:v>582</c:v>
                </c:pt>
                <c:pt idx="5">
                  <c:v>720.75</c:v>
                </c:pt>
                <c:pt idx="6">
                  <c:v>859.5</c:v>
                </c:pt>
                <c:pt idx="7">
                  <c:v>998.25</c:v>
                </c:pt>
                <c:pt idx="8">
                  <c:v>1137</c:v>
                </c:pt>
                <c:pt idx="9">
                  <c:v>1275.75</c:v>
                </c:pt>
                <c:pt idx="10">
                  <c:v>1414.5</c:v>
                </c:pt>
                <c:pt idx="11">
                  <c:v>1553.2500000000002</c:v>
                </c:pt>
                <c:pt idx="12">
                  <c:v>1692</c:v>
                </c:pt>
                <c:pt idx="13">
                  <c:v>1934.75</c:v>
                </c:pt>
                <c:pt idx="14">
                  <c:v>2203.5</c:v>
                </c:pt>
                <c:pt idx="15">
                  <c:v>2472.25</c:v>
                </c:pt>
                <c:pt idx="16">
                  <c:v>2741</c:v>
                </c:pt>
                <c:pt idx="17">
                  <c:v>3009.75</c:v>
                </c:pt>
                <c:pt idx="18">
                  <c:v>3278.5</c:v>
                </c:pt>
                <c:pt idx="19">
                  <c:v>3547.25</c:v>
                </c:pt>
                <c:pt idx="20">
                  <c:v>3816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529.20000000000005</c:v>
                </c:pt>
                <c:pt idx="4">
                  <c:v>691.2</c:v>
                </c:pt>
                <c:pt idx="5">
                  <c:v>853.2</c:v>
                </c:pt>
                <c:pt idx="6">
                  <c:v>1015.1999999999999</c:v>
                </c:pt>
                <c:pt idx="7">
                  <c:v>1177.1999999999998</c:v>
                </c:pt>
                <c:pt idx="8">
                  <c:v>1339.2</c:v>
                </c:pt>
                <c:pt idx="9">
                  <c:v>1501.2</c:v>
                </c:pt>
                <c:pt idx="10">
                  <c:v>1663.2</c:v>
                </c:pt>
                <c:pt idx="11">
                  <c:v>1825.2</c:v>
                </c:pt>
                <c:pt idx="12">
                  <c:v>1987.2</c:v>
                </c:pt>
                <c:pt idx="13">
                  <c:v>2245.1999999999998</c:v>
                </c:pt>
                <c:pt idx="14">
                  <c:v>2567.1999999999998</c:v>
                </c:pt>
                <c:pt idx="15">
                  <c:v>2889.2</c:v>
                </c:pt>
                <c:pt idx="16">
                  <c:v>3211.2000000000003</c:v>
                </c:pt>
                <c:pt idx="17">
                  <c:v>3533.2</c:v>
                </c:pt>
                <c:pt idx="18">
                  <c:v>3855.2000000000003</c:v>
                </c:pt>
                <c:pt idx="19">
                  <c:v>4177.2</c:v>
                </c:pt>
                <c:pt idx="20">
                  <c:v>4499.2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-55</c:v>
                </c:pt>
                <c:pt idx="2">
                  <c:v>-110</c:v>
                </c:pt>
                <c:pt idx="3">
                  <c:v>-165</c:v>
                </c:pt>
                <c:pt idx="4">
                  <c:v>-220</c:v>
                </c:pt>
                <c:pt idx="5">
                  <c:v>-274.12</c:v>
                </c:pt>
                <c:pt idx="6">
                  <c:v>-326.91999999999996</c:v>
                </c:pt>
                <c:pt idx="7">
                  <c:v>-379.71999999999997</c:v>
                </c:pt>
                <c:pt idx="8">
                  <c:v>-432.52</c:v>
                </c:pt>
                <c:pt idx="9">
                  <c:v>-485.32</c:v>
                </c:pt>
                <c:pt idx="10">
                  <c:v>-538.12</c:v>
                </c:pt>
                <c:pt idx="11">
                  <c:v>-590.92000000000007</c:v>
                </c:pt>
                <c:pt idx="12">
                  <c:v>-643.72</c:v>
                </c:pt>
                <c:pt idx="13">
                  <c:v>-696.52</c:v>
                </c:pt>
                <c:pt idx="14">
                  <c:v>-749.31999999999994</c:v>
                </c:pt>
                <c:pt idx="15">
                  <c:v>-802.12</c:v>
                </c:pt>
                <c:pt idx="16">
                  <c:v>-854.92000000000007</c:v>
                </c:pt>
                <c:pt idx="17">
                  <c:v>-907.72</c:v>
                </c:pt>
                <c:pt idx="18">
                  <c:v>-960.5200000000001</c:v>
                </c:pt>
                <c:pt idx="19">
                  <c:v>-1013.3199999999999</c:v>
                </c:pt>
                <c:pt idx="20">
                  <c:v>-1066.1199999999999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-77.5</c:v>
                </c:pt>
                <c:pt idx="2">
                  <c:v>-155</c:v>
                </c:pt>
                <c:pt idx="3">
                  <c:v>-232.5</c:v>
                </c:pt>
                <c:pt idx="4">
                  <c:v>-310</c:v>
                </c:pt>
                <c:pt idx="5">
                  <c:v>-387.5</c:v>
                </c:pt>
                <c:pt idx="6">
                  <c:v>-459.41999999999996</c:v>
                </c:pt>
                <c:pt idx="7">
                  <c:v>-530.72</c:v>
                </c:pt>
                <c:pt idx="8">
                  <c:v>-602.02</c:v>
                </c:pt>
                <c:pt idx="9">
                  <c:v>-673.31999999999994</c:v>
                </c:pt>
                <c:pt idx="10">
                  <c:v>-744.62</c:v>
                </c:pt>
                <c:pt idx="11">
                  <c:v>-815.92000000000007</c:v>
                </c:pt>
                <c:pt idx="12">
                  <c:v>-887.22</c:v>
                </c:pt>
                <c:pt idx="13">
                  <c:v>-958.52</c:v>
                </c:pt>
                <c:pt idx="14">
                  <c:v>-1029.82</c:v>
                </c:pt>
                <c:pt idx="15">
                  <c:v>-1101.1199999999999</c:v>
                </c:pt>
                <c:pt idx="16">
                  <c:v>-1172.42</c:v>
                </c:pt>
                <c:pt idx="17">
                  <c:v>-1243.7199999999998</c:v>
                </c:pt>
                <c:pt idx="18">
                  <c:v>-1315.02</c:v>
                </c:pt>
                <c:pt idx="19">
                  <c:v>-1386.32</c:v>
                </c:pt>
                <c:pt idx="20">
                  <c:v>-1457.62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-595.19999999999993</c:v>
                </c:pt>
                <c:pt idx="7">
                  <c:v>-683.19999999999993</c:v>
                </c:pt>
                <c:pt idx="8">
                  <c:v>-771.2</c:v>
                </c:pt>
                <c:pt idx="9">
                  <c:v>-859.2</c:v>
                </c:pt>
                <c:pt idx="10">
                  <c:v>-947.19999999999993</c:v>
                </c:pt>
                <c:pt idx="11">
                  <c:v>-1035.2</c:v>
                </c:pt>
                <c:pt idx="12">
                  <c:v>-1123.1999999999998</c:v>
                </c:pt>
                <c:pt idx="13">
                  <c:v>-1211.2</c:v>
                </c:pt>
                <c:pt idx="14">
                  <c:v>-1299.1999999999998</c:v>
                </c:pt>
                <c:pt idx="15">
                  <c:v>-1387.1999999999998</c:v>
                </c:pt>
                <c:pt idx="16">
                  <c:v>-1475.2</c:v>
                </c:pt>
                <c:pt idx="17">
                  <c:v>-1563.1999999999998</c:v>
                </c:pt>
                <c:pt idx="18">
                  <c:v>-1651.2</c:v>
                </c:pt>
                <c:pt idx="19">
                  <c:v>-1739.1999999999998</c:v>
                </c:pt>
                <c:pt idx="20">
                  <c:v>-1827.2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-122.5</c:v>
                </c:pt>
                <c:pt idx="2">
                  <c:v>-245</c:v>
                </c:pt>
                <c:pt idx="3">
                  <c:v>-367.5</c:v>
                </c:pt>
                <c:pt idx="4">
                  <c:v>-490</c:v>
                </c:pt>
                <c:pt idx="5">
                  <c:v>-612.5</c:v>
                </c:pt>
                <c:pt idx="6">
                  <c:v>-735</c:v>
                </c:pt>
                <c:pt idx="7">
                  <c:v>-839.86</c:v>
                </c:pt>
                <c:pt idx="8">
                  <c:v>-942.76</c:v>
                </c:pt>
                <c:pt idx="9">
                  <c:v>-1045.6600000000001</c:v>
                </c:pt>
                <c:pt idx="10">
                  <c:v>-1148.56</c:v>
                </c:pt>
                <c:pt idx="11">
                  <c:v>-1251.46</c:v>
                </c:pt>
                <c:pt idx="12">
                  <c:v>-1354.3600000000001</c:v>
                </c:pt>
                <c:pt idx="13">
                  <c:v>-1457.2600000000002</c:v>
                </c:pt>
                <c:pt idx="14">
                  <c:v>-1560.1599999999999</c:v>
                </c:pt>
                <c:pt idx="15">
                  <c:v>-1663.06</c:v>
                </c:pt>
                <c:pt idx="16">
                  <c:v>-1765.96</c:v>
                </c:pt>
                <c:pt idx="17">
                  <c:v>-1868.8600000000001</c:v>
                </c:pt>
                <c:pt idx="18">
                  <c:v>-1971.7600000000002</c:v>
                </c:pt>
                <c:pt idx="19">
                  <c:v>-2074.66</c:v>
                </c:pt>
                <c:pt idx="20">
                  <c:v>-2177.56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-145</c:v>
                </c:pt>
                <c:pt idx="2">
                  <c:v>-290</c:v>
                </c:pt>
                <c:pt idx="3">
                  <c:v>-435</c:v>
                </c:pt>
                <c:pt idx="4">
                  <c:v>-580</c:v>
                </c:pt>
                <c:pt idx="5">
                  <c:v>-725</c:v>
                </c:pt>
                <c:pt idx="6">
                  <c:v>-870</c:v>
                </c:pt>
                <c:pt idx="7">
                  <c:v>-1003.3999999999999</c:v>
                </c:pt>
                <c:pt idx="8">
                  <c:v>-1119.4000000000001</c:v>
                </c:pt>
                <c:pt idx="9">
                  <c:v>-1235.4000000000001</c:v>
                </c:pt>
                <c:pt idx="10">
                  <c:v>-1351.4</c:v>
                </c:pt>
                <c:pt idx="11">
                  <c:v>-1467.4</c:v>
                </c:pt>
                <c:pt idx="12">
                  <c:v>-1583.3999999999999</c:v>
                </c:pt>
                <c:pt idx="13">
                  <c:v>-1699.4</c:v>
                </c:pt>
                <c:pt idx="14">
                  <c:v>-1815.3999999999999</c:v>
                </c:pt>
                <c:pt idx="15">
                  <c:v>-1931.4</c:v>
                </c:pt>
                <c:pt idx="16">
                  <c:v>-2047.4</c:v>
                </c:pt>
                <c:pt idx="17">
                  <c:v>-2163.4</c:v>
                </c:pt>
                <c:pt idx="18">
                  <c:v>-2279.4</c:v>
                </c:pt>
                <c:pt idx="19">
                  <c:v>-2395.3999999999996</c:v>
                </c:pt>
                <c:pt idx="20">
                  <c:v>-2511.3999999999996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115" zoomScaleNormal="115" workbookViewId="0">
      <pane ySplit="4" topLeftCell="A5" activePane="bottomLeft" state="frozen"/>
      <selection pane="bottomLeft" activeCell="C9" sqref="C9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60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1" t="s">
        <v>0</v>
      </c>
      <c r="C4" s="9" t="s">
        <v>1</v>
      </c>
      <c r="D4" s="1"/>
      <c r="E4" s="25" t="s">
        <v>61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1" t="s">
        <v>82</v>
      </c>
      <c r="C6" s="9" t="s">
        <v>83</v>
      </c>
      <c r="D6" s="1"/>
      <c r="E6" s="1"/>
      <c r="F6" s="20" t="s">
        <v>28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.15" customHeight="1">
      <c r="A7" s="1"/>
      <c r="B7" s="1" t="s">
        <v>12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 t="s">
        <v>14</v>
      </c>
      <c r="C8" s="3">
        <v>-8</v>
      </c>
      <c r="D8" s="1"/>
      <c r="E8" s="1"/>
      <c r="F8" s="22" t="s">
        <v>29</v>
      </c>
      <c r="G8" s="22"/>
      <c r="H8" s="22"/>
      <c r="I8" s="27">
        <f>IF(C18="OK",Samples!F165*MIN(C10,Samples!G165)+Samples!I165*MAX(0,C10-Samples!G165)+Samples!J165*MAX(0,C10-Samples!K165),"检查输入")</f>
        <v>3181.44</v>
      </c>
      <c r="J8" s="27"/>
      <c r="K8" s="1"/>
      <c r="L8" s="1"/>
      <c r="M8" s="1"/>
      <c r="N8" s="1"/>
      <c r="O8" s="1"/>
    </row>
    <row r="9" spans="1:15" ht="23.15" customHeight="1">
      <c r="A9" s="1"/>
      <c r="B9" s="1" t="s">
        <v>30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.15" customHeight="1">
      <c r="A10" s="1"/>
      <c r="B10" s="1" t="s">
        <v>31</v>
      </c>
      <c r="C10" s="16">
        <v>1</v>
      </c>
      <c r="D10" s="1"/>
      <c r="E10" s="1"/>
      <c r="F10" s="22" t="s">
        <v>32</v>
      </c>
      <c r="G10" s="22"/>
      <c r="H10" s="22"/>
      <c r="I10" s="27">
        <f>IF(C18="OK",Samples!M165*MIN(C10,Samples!N165)+Samples!P165*MAX(0,C10-Samples!N165),"检查输入")</f>
        <v>1827.2</v>
      </c>
      <c r="J10" s="27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 t="s">
        <v>33</v>
      </c>
      <c r="C13" s="1">
        <f>Parameters!D23</f>
        <v>24</v>
      </c>
      <c r="D13" s="1"/>
      <c r="E13" s="1"/>
      <c r="F13" s="20" t="s">
        <v>62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.15" customHeight="1">
      <c r="A14" s="1"/>
      <c r="B14" s="1" t="s">
        <v>34</v>
      </c>
      <c r="C14" s="1">
        <f>Parameters!D24</f>
        <v>20</v>
      </c>
      <c r="D14" s="1"/>
      <c r="E14" s="1"/>
      <c r="F14" s="22" t="s">
        <v>15</v>
      </c>
      <c r="G14" s="22"/>
      <c r="H14" s="22"/>
      <c r="I14" s="18">
        <f>Samples!F165</f>
        <v>2400</v>
      </c>
      <c r="J14" s="1" t="s">
        <v>16</v>
      </c>
      <c r="K14" s="1"/>
      <c r="L14" s="1"/>
      <c r="M14" s="1"/>
      <c r="N14" s="1"/>
      <c r="O14" s="1"/>
    </row>
    <row r="15" spans="1:15" ht="23.15" customHeight="1">
      <c r="A15" s="1"/>
      <c r="B15" s="1" t="s">
        <v>35</v>
      </c>
      <c r="C15" s="1">
        <f>IF(C6="RA85",Parameters!D26,Parameters!D25)</f>
        <v>40</v>
      </c>
      <c r="D15" s="1"/>
      <c r="E15" s="1"/>
      <c r="F15" s="22" t="s">
        <v>36</v>
      </c>
      <c r="G15" s="22"/>
      <c r="H15" s="22"/>
      <c r="I15" s="18">
        <f>Samples!I165</f>
        <v>2280</v>
      </c>
      <c r="J15" s="1" t="s">
        <v>16</v>
      </c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22" t="s">
        <v>63</v>
      </c>
      <c r="G16" s="22"/>
      <c r="H16" s="22"/>
      <c r="I16" s="18">
        <f>Samples!J165</f>
        <v>2240</v>
      </c>
      <c r="J16" s="1" t="s">
        <v>16</v>
      </c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22" t="s">
        <v>37</v>
      </c>
      <c r="G17" s="22"/>
      <c r="H17" s="22"/>
      <c r="I17" s="18">
        <f>Samples!L165</f>
        <v>4520</v>
      </c>
      <c r="J17" s="1" t="s">
        <v>16</v>
      </c>
      <c r="K17" s="1"/>
      <c r="L17" s="1"/>
      <c r="M17" s="1"/>
      <c r="N17" s="1"/>
      <c r="O17" s="1"/>
    </row>
    <row r="18" spans="1:15" ht="23.15" customHeight="1">
      <c r="A18" s="1"/>
      <c r="B18" s="1" t="s">
        <v>38</v>
      </c>
      <c r="C18" s="1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22" t="s">
        <v>20</v>
      </c>
      <c r="G19" s="22"/>
      <c r="H19" s="22"/>
      <c r="I19" s="18">
        <f>Samples!M165</f>
        <v>2000</v>
      </c>
      <c r="J19" s="1" t="s">
        <v>16</v>
      </c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22" t="s">
        <v>39</v>
      </c>
      <c r="G20" s="22"/>
      <c r="H20" s="22"/>
      <c r="I20" s="18">
        <f>Samples!P165</f>
        <v>1760</v>
      </c>
      <c r="J20" s="1" t="s">
        <v>16</v>
      </c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22" t="s">
        <v>56</v>
      </c>
      <c r="G22" s="22"/>
      <c r="H22" s="22"/>
      <c r="I22" s="5">
        <f>Samples!G165</f>
        <v>0.12</v>
      </c>
      <c r="J22" s="1" t="s">
        <v>17</v>
      </c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22" t="s">
        <v>57</v>
      </c>
      <c r="G23" s="22"/>
      <c r="H23" s="22"/>
      <c r="I23" s="5">
        <f>Samples!K165</f>
        <v>0.60399999999999998</v>
      </c>
      <c r="J23" s="1" t="s">
        <v>17</v>
      </c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22" t="s">
        <v>21</v>
      </c>
      <c r="G24" s="22"/>
      <c r="H24" s="22"/>
      <c r="I24" s="5">
        <f>Samples!N165</f>
        <v>0.28000000000000003</v>
      </c>
      <c r="J24" s="1" t="s">
        <v>17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26" t="s">
        <v>40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74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1" t="s">
        <v>0</v>
      </c>
      <c r="C4" s="9" t="s">
        <v>9</v>
      </c>
      <c r="D4" s="1"/>
      <c r="E4" s="25" t="s">
        <v>75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1" t="s">
        <v>2</v>
      </c>
      <c r="C6" s="3">
        <v>-10</v>
      </c>
      <c r="D6" s="1"/>
      <c r="E6" s="22" t="s">
        <v>3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26" t="s">
        <v>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"/>
  <cols>
    <col min="1" max="1" width="2.5" customWidth="1"/>
    <col min="2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76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1" t="s">
        <v>0</v>
      </c>
      <c r="C4" s="9" t="s">
        <v>9</v>
      </c>
      <c r="D4" s="1"/>
      <c r="E4" s="25" t="s">
        <v>77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1" t="s">
        <v>5</v>
      </c>
      <c r="C6" s="3">
        <v>-12</v>
      </c>
      <c r="D6" s="1"/>
      <c r="E6" s="22" t="s">
        <v>6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26" t="s">
        <v>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78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1" t="s">
        <v>0</v>
      </c>
      <c r="C4" s="9" t="s">
        <v>1</v>
      </c>
      <c r="D4" s="1"/>
      <c r="E4" s="25" t="s">
        <v>79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22" t="s">
        <v>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26" t="s">
        <v>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56" workbookViewId="0">
      <pane ySplit="4" topLeftCell="A7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80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.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.15" customHeight="1">
      <c r="A4" s="1"/>
      <c r="B4" s="1" t="s">
        <v>0</v>
      </c>
      <c r="C4" s="9" t="s">
        <v>1</v>
      </c>
      <c r="D4" s="1"/>
      <c r="E4" s="25" t="s">
        <v>81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15" customHeight="1">
      <c r="A6" s="1"/>
      <c r="B6" s="22" t="s">
        <v>8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26" t="s">
        <v>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zoomScale="111" workbookViewId="0">
      <pane ySplit="4" topLeftCell="A5" activePane="bottomLeft" state="frozen"/>
      <selection pane="bottomLeft" activeCell="O15" sqref="O15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.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.15" customHeight="1">
      <c r="A2" s="1"/>
      <c r="B2" s="24" t="s">
        <v>64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.15" customHeight="1">
      <c r="A3" s="1"/>
      <c r="B3" s="25" t="s">
        <v>84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.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.15" customHeight="1">
      <c r="A5" s="1"/>
      <c r="B5" s="1"/>
      <c r="C5" s="1"/>
      <c r="D5" s="20" t="s">
        <v>1</v>
      </c>
      <c r="E5" s="20"/>
      <c r="F5" s="20"/>
      <c r="G5" s="20"/>
      <c r="H5" s="20"/>
      <c r="I5" s="1"/>
      <c r="J5" s="20" t="s">
        <v>9</v>
      </c>
      <c r="K5" s="20"/>
      <c r="L5" s="20"/>
      <c r="M5" s="20"/>
      <c r="N5" s="20"/>
      <c r="O5" s="1"/>
    </row>
    <row r="6" spans="1:15" ht="23.15" customHeight="1">
      <c r="A6" s="1"/>
      <c r="B6" s="1" t="s">
        <v>10</v>
      </c>
      <c r="C6" s="1" t="s">
        <v>11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.15" customHeight="1">
      <c r="A7" s="1"/>
      <c r="B7" s="1" t="s">
        <v>12</v>
      </c>
      <c r="C7" s="1" t="s">
        <v>13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.15" customHeight="1">
      <c r="A8" s="1"/>
      <c r="B8" s="1" t="s">
        <v>14</v>
      </c>
      <c r="C8" s="1" t="s">
        <v>13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 t="s">
        <v>15</v>
      </c>
      <c r="C10" s="1" t="s">
        <v>16</v>
      </c>
      <c r="D10" s="3">
        <v>1200</v>
      </c>
      <c r="E10" s="6">
        <f>(D10+F10)/2</f>
        <v>1800</v>
      </c>
      <c r="F10" s="3">
        <v>2400</v>
      </c>
      <c r="G10" s="6">
        <f>(F10+H10)/2</f>
        <v>3000</v>
      </c>
      <c r="H10" s="3">
        <v>3600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.15" customHeight="1">
      <c r="A11" s="1"/>
      <c r="B11" s="1" t="s">
        <v>56</v>
      </c>
      <c r="C11" s="1" t="s">
        <v>17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.15" customHeight="1">
      <c r="A12" s="1"/>
      <c r="B12" s="1" t="s">
        <v>18</v>
      </c>
      <c r="C12" s="1" t="s">
        <v>19</v>
      </c>
      <c r="D12" s="4">
        <v>1</v>
      </c>
      <c r="E12" s="5">
        <f>(D12+F12)/2</f>
        <v>0.97499999999999998</v>
      </c>
      <c r="F12" s="4">
        <v>0.95</v>
      </c>
      <c r="G12" s="5">
        <f>(F12+H12)/2</f>
        <v>0.92500000000000004</v>
      </c>
      <c r="H12" s="4">
        <v>0.9</v>
      </c>
      <c r="I12" s="1"/>
      <c r="J12" s="4">
        <v>0.62</v>
      </c>
      <c r="K12" s="5">
        <f>(J12+L12)/2</f>
        <v>0.6</v>
      </c>
      <c r="L12" s="4">
        <v>0.57999999999999996</v>
      </c>
      <c r="M12" s="5">
        <f>(L12+N12)/2</f>
        <v>0.56000000000000005</v>
      </c>
      <c r="N12" s="4">
        <v>0.54</v>
      </c>
      <c r="O12" s="1"/>
    </row>
    <row r="13" spans="1:15" ht="23.15" customHeight="1">
      <c r="A13" s="1"/>
      <c r="B13" s="1" t="s">
        <v>65</v>
      </c>
      <c r="C13" s="1" t="s">
        <v>16</v>
      </c>
      <c r="D13" s="3">
        <v>800</v>
      </c>
      <c r="E13" s="6">
        <f>(D13+F13)/2</f>
        <v>1400</v>
      </c>
      <c r="F13" s="3">
        <v>2000</v>
      </c>
      <c r="G13" s="6">
        <f>(F13+H13)/2</f>
        <v>2600</v>
      </c>
      <c r="H13" s="3">
        <v>3200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.15" customHeight="1">
      <c r="A14" s="1"/>
      <c r="B14" s="1" t="s">
        <v>57</v>
      </c>
      <c r="C14" s="1" t="s">
        <v>17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 t="s">
        <v>66</v>
      </c>
      <c r="C16" s="1" t="s">
        <v>13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.15" customHeight="1">
      <c r="A17" s="1"/>
      <c r="B17" s="1" t="s">
        <v>20</v>
      </c>
      <c r="C17" s="1" t="s">
        <v>16</v>
      </c>
      <c r="D17" s="3">
        <v>1100</v>
      </c>
      <c r="E17" s="6">
        <f>(D17+F17)/2</f>
        <v>1550</v>
      </c>
      <c r="F17" s="3">
        <v>2000</v>
      </c>
      <c r="G17" s="6">
        <f>(F17+H17)/2</f>
        <v>2450</v>
      </c>
      <c r="H17" s="3">
        <v>2900</v>
      </c>
      <c r="I17" s="1"/>
      <c r="J17" s="3">
        <v>1600</v>
      </c>
      <c r="K17" s="6">
        <f>(J17+L17)/2</f>
        <v>2050</v>
      </c>
      <c r="L17" s="3">
        <v>2500</v>
      </c>
      <c r="M17" s="6">
        <f>(L17+N17)/2</f>
        <v>2950</v>
      </c>
      <c r="N17" s="3">
        <v>3400</v>
      </c>
      <c r="O17" s="1"/>
    </row>
    <row r="18" spans="1:15" ht="23.15" customHeight="1">
      <c r="A18" s="1"/>
      <c r="B18" s="1" t="s">
        <v>21</v>
      </c>
      <c r="C18" s="1" t="s">
        <v>17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.15" customHeight="1">
      <c r="A19" s="1"/>
      <c r="B19" s="1" t="s">
        <v>22</v>
      </c>
      <c r="C19" s="1" t="s">
        <v>19</v>
      </c>
      <c r="D19" s="4">
        <v>0.96</v>
      </c>
      <c r="E19" s="5">
        <f>(D19+F19)/2</f>
        <v>0.91999999999999993</v>
      </c>
      <c r="F19" s="4">
        <v>0.88</v>
      </c>
      <c r="G19" s="5">
        <f>(F19+H19)/2</f>
        <v>0.84000000000000008</v>
      </c>
      <c r="H19" s="4">
        <v>0.8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20" t="s">
        <v>67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.15" customHeight="1">
      <c r="A23" s="1"/>
      <c r="B23" s="22" t="s">
        <v>85</v>
      </c>
      <c r="C23" s="22"/>
      <c r="D23" s="1">
        <v>24</v>
      </c>
      <c r="E23" s="1"/>
      <c r="F23" s="23" t="s">
        <v>89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.15" customHeight="1">
      <c r="A24" s="1"/>
      <c r="B24" s="22" t="s">
        <v>86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.15" customHeight="1">
      <c r="A25" s="1"/>
      <c r="B25" s="22" t="s">
        <v>87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22" t="s">
        <v>88</v>
      </c>
      <c r="C26" s="22"/>
      <c r="D26" s="1">
        <v>60</v>
      </c>
      <c r="E26" s="1"/>
      <c r="F26" s="22" t="s">
        <v>23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20" t="s">
        <v>68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.15" customHeight="1">
      <c r="A29" s="1"/>
      <c r="B29" s="19" t="s">
        <v>24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58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.15" customHeight="1">
      <c r="A31" s="1"/>
      <c r="B31" s="19" t="s">
        <v>25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.15" customHeight="1">
      <c r="A32" s="1"/>
      <c r="B32" s="19" t="s">
        <v>69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.15" customHeight="1">
      <c r="A33" s="1"/>
      <c r="B33" s="19" t="s">
        <v>26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.15" customHeight="1">
      <c r="A34" s="1"/>
      <c r="B34" s="19" t="s">
        <v>59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.15" customHeight="1">
      <c r="A35" s="1"/>
      <c r="B35" s="19" t="s">
        <v>27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.15" customHeight="1">
      <c r="A4" s="1"/>
      <c r="B4" s="12" t="s">
        <v>41</v>
      </c>
      <c r="C4" s="12" t="s">
        <v>42</v>
      </c>
      <c r="D4" s="12" t="s">
        <v>43</v>
      </c>
      <c r="E4" s="12" t="s">
        <v>44</v>
      </c>
      <c r="F4" s="12" t="s">
        <v>15</v>
      </c>
      <c r="G4" s="12" t="s">
        <v>56</v>
      </c>
      <c r="H4" s="12" t="s">
        <v>45</v>
      </c>
      <c r="I4" s="12" t="s">
        <v>36</v>
      </c>
      <c r="J4" s="12" t="s">
        <v>46</v>
      </c>
      <c r="K4" s="12" t="s">
        <v>57</v>
      </c>
      <c r="L4" s="12" t="s">
        <v>47</v>
      </c>
      <c r="M4" s="12" t="s">
        <v>20</v>
      </c>
      <c r="N4" s="12" t="s">
        <v>21</v>
      </c>
      <c r="O4" s="12" t="s">
        <v>48</v>
      </c>
      <c r="P4" s="13" t="s">
        <v>39</v>
      </c>
      <c r="Q4" s="13" t="s">
        <v>49</v>
      </c>
      <c r="R4" s="13" t="s">
        <v>50</v>
      </c>
      <c r="S4" s="13" t="s">
        <v>51</v>
      </c>
      <c r="T4" s="13" t="s">
        <v>52</v>
      </c>
      <c r="U4" s="13" t="s">
        <v>53</v>
      </c>
      <c r="V4" s="13" t="s">
        <v>54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7">
        <f>F5*H5</f>
        <v>1116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1616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8">
        <f>M5*O5</f>
        <v>1056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7">
        <f>F6*H6</f>
        <v>1440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1940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8">
        <f>M6*O6</f>
        <v>1271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7">
        <f>F7*H7</f>
        <v>1739.9999999999998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2240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7">
        <f>F8*H8</f>
        <v>2016.0000000000002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2516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8">
        <f>M8*O8</f>
        <v>1593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7">
        <f>F9*H9</f>
        <v>2268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2768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8">
        <f>M9*O9</f>
        <v>1700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31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685.80000000000007</v>
      </c>
      <c r="D22" s="14">
        <f t="shared" si="1"/>
        <v>912</v>
      </c>
      <c r="E22" s="14">
        <f t="shared" si="2"/>
        <v>1137</v>
      </c>
      <c r="F22" s="14">
        <f t="shared" si="3"/>
        <v>1360.8000000000002</v>
      </c>
      <c r="G22" s="14">
        <f t="shared" si="4"/>
        <v>1583.4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741.6</v>
      </c>
      <c r="D23" s="14">
        <f t="shared" si="1"/>
        <v>984</v>
      </c>
      <c r="E23" s="14">
        <f t="shared" si="2"/>
        <v>1224</v>
      </c>
      <c r="F23" s="14">
        <f t="shared" si="3"/>
        <v>1461.6000000000001</v>
      </c>
      <c r="G23" s="14">
        <f t="shared" si="4"/>
        <v>1696.8000000000002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797.40000000000009</v>
      </c>
      <c r="D24" s="14">
        <f t="shared" si="1"/>
        <v>1056</v>
      </c>
      <c r="E24" s="14">
        <f t="shared" si="2"/>
        <v>1311</v>
      </c>
      <c r="F24" s="14">
        <f t="shared" si="3"/>
        <v>1562.4</v>
      </c>
      <c r="G24" s="14">
        <f t="shared" si="4"/>
        <v>1810.2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853.2</v>
      </c>
      <c r="D25" s="14">
        <f t="shared" si="1"/>
        <v>1128</v>
      </c>
      <c r="E25" s="14">
        <f t="shared" si="2"/>
        <v>1398</v>
      </c>
      <c r="F25" s="14">
        <f t="shared" si="3"/>
        <v>1663.2000000000003</v>
      </c>
      <c r="G25" s="14">
        <f t="shared" si="4"/>
        <v>1923.6000000000001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909</v>
      </c>
      <c r="D26" s="14">
        <f t="shared" si="1"/>
        <v>1200</v>
      </c>
      <c r="E26" s="14">
        <f t="shared" si="2"/>
        <v>1485</v>
      </c>
      <c r="F26" s="14">
        <f t="shared" si="3"/>
        <v>1764</v>
      </c>
      <c r="G26" s="14">
        <f t="shared" si="4"/>
        <v>2037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989.80000000000007</v>
      </c>
      <c r="D27" s="14">
        <f t="shared" si="1"/>
        <v>1297</v>
      </c>
      <c r="E27" s="14">
        <f t="shared" si="2"/>
        <v>1597</v>
      </c>
      <c r="F27" s="14">
        <f t="shared" si="3"/>
        <v>1889.8000000000002</v>
      </c>
      <c r="G27" s="14">
        <f t="shared" si="4"/>
        <v>2175.4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1070.5999999999999</v>
      </c>
      <c r="D28" s="14">
        <f t="shared" si="1"/>
        <v>1394</v>
      </c>
      <c r="E28" s="14">
        <f t="shared" si="2"/>
        <v>1709</v>
      </c>
      <c r="F28" s="14">
        <f t="shared" si="3"/>
        <v>2015.6</v>
      </c>
      <c r="G28" s="14">
        <f t="shared" si="4"/>
        <v>2313.8000000000002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1151.4000000000001</v>
      </c>
      <c r="D29" s="14">
        <f t="shared" si="1"/>
        <v>1491</v>
      </c>
      <c r="E29" s="14">
        <f t="shared" si="2"/>
        <v>1821</v>
      </c>
      <c r="F29" s="14">
        <f t="shared" si="3"/>
        <v>2141.4</v>
      </c>
      <c r="G29" s="14">
        <f t="shared" si="4"/>
        <v>2452.1999999999998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1232.2</v>
      </c>
      <c r="D30" s="14">
        <f t="shared" si="1"/>
        <v>1588</v>
      </c>
      <c r="E30" s="14">
        <f t="shared" si="2"/>
        <v>1933</v>
      </c>
      <c r="F30" s="14">
        <f t="shared" si="3"/>
        <v>2267.2000000000003</v>
      </c>
      <c r="G30" s="14">
        <f t="shared" si="4"/>
        <v>2590.6000000000004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1313</v>
      </c>
      <c r="D31" s="14">
        <f t="shared" si="1"/>
        <v>1685</v>
      </c>
      <c r="E31" s="14">
        <f t="shared" si="2"/>
        <v>2045</v>
      </c>
      <c r="F31" s="14">
        <f t="shared" si="3"/>
        <v>2393</v>
      </c>
      <c r="G31" s="14">
        <f t="shared" si="4"/>
        <v>2729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1393.8000000000002</v>
      </c>
      <c r="D32" s="14">
        <f t="shared" si="1"/>
        <v>1782</v>
      </c>
      <c r="E32" s="14">
        <f t="shared" si="2"/>
        <v>2157</v>
      </c>
      <c r="F32" s="14">
        <f t="shared" si="3"/>
        <v>2518.8000000000002</v>
      </c>
      <c r="G32" s="14">
        <f t="shared" si="4"/>
        <v>2867.4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1474.6</v>
      </c>
      <c r="D33" s="14">
        <f t="shared" si="1"/>
        <v>1879</v>
      </c>
      <c r="E33" s="14">
        <f t="shared" si="2"/>
        <v>2269</v>
      </c>
      <c r="F33" s="14">
        <f t="shared" si="3"/>
        <v>2644.6000000000004</v>
      </c>
      <c r="G33" s="14">
        <f t="shared" si="4"/>
        <v>3005.8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1555.4</v>
      </c>
      <c r="D34" s="14">
        <f t="shared" si="1"/>
        <v>1976</v>
      </c>
      <c r="E34" s="14">
        <f t="shared" si="2"/>
        <v>2381</v>
      </c>
      <c r="F34" s="14">
        <f t="shared" si="3"/>
        <v>2770.4</v>
      </c>
      <c r="G34" s="14">
        <f t="shared" si="4"/>
        <v>3144.2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71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.15" customHeight="1">
      <c r="B44" s="13" t="s">
        <v>41</v>
      </c>
      <c r="C44" s="13" t="s">
        <v>42</v>
      </c>
      <c r="D44" s="13" t="s">
        <v>43</v>
      </c>
      <c r="E44" s="13" t="s">
        <v>44</v>
      </c>
      <c r="F44" s="13" t="s">
        <v>15</v>
      </c>
      <c r="G44" s="13" t="s">
        <v>56</v>
      </c>
      <c r="H44" s="13" t="s">
        <v>45</v>
      </c>
      <c r="I44" s="13" t="s">
        <v>36</v>
      </c>
      <c r="J44" s="13" t="s">
        <v>46</v>
      </c>
      <c r="K44" s="13" t="s">
        <v>57</v>
      </c>
      <c r="L44" s="13" t="s">
        <v>47</v>
      </c>
      <c r="M44" s="13" t="s">
        <v>20</v>
      </c>
      <c r="N44" s="13" t="s">
        <v>21</v>
      </c>
      <c r="O44" s="13" t="s">
        <v>48</v>
      </c>
      <c r="P44" s="13" t="s">
        <v>39</v>
      </c>
      <c r="Q44" s="13" t="s">
        <v>49</v>
      </c>
      <c r="R44" s="13" t="s">
        <v>50</v>
      </c>
      <c r="S44" s="13" t="s">
        <v>51</v>
      </c>
      <c r="T44" s="13" t="s">
        <v>52</v>
      </c>
      <c r="U44" s="13" t="s">
        <v>53</v>
      </c>
      <c r="V44" s="13" t="s">
        <v>54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8">
        <f>F45*H45</f>
        <v>1739.9999999999998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0.6</v>
      </c>
      <c r="L45" s="8">
        <f>I45+J45</f>
        <v>2240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8">
        <f>M45*O45</f>
        <v>1056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8">
        <f>F46*H46</f>
        <v>1739.9999999999998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8">
        <f>IF('HSC Sweep'!$C$4="Type-B",Parameters!$L$14,INDEX(Parameters!$D$14:$H$14,1,R46)+(INDEX(Parameters!$D$14:$H$14,1,R46+1)-INDEX(Parameters!$D$14:$H$14,1,R46))*U46)</f>
        <v>0.6</v>
      </c>
      <c r="L46" s="8">
        <f>I46+J46</f>
        <v>2240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8">
        <f>M46*O46</f>
        <v>1271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8">
        <f>F47*H47</f>
        <v>1739.9999999999998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2240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8">
        <f>M47*O47</f>
        <v>1450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8">
        <f>F48*H48</f>
        <v>1739.9999999999998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8">
        <f>IF('HSC Sweep'!$C$4="Type-B",Parameters!$L$14,INDEX(Parameters!$D$14:$H$14,1,R48)+(INDEX(Parameters!$D$14:$H$14,1,R48+1)-INDEX(Parameters!$D$14:$H$14,1,R48))*U48)</f>
        <v>0.6</v>
      </c>
      <c r="L48" s="8">
        <f>I48+J48</f>
        <v>2240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8">
        <f>M48*O48</f>
        <v>1593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8">
        <f>F49*H49</f>
        <v>1739.9999999999998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8">
        <f>IF('HSC Sweep'!$C$4="Type-B",Parameters!$L$14,INDEX(Parameters!$D$14:$H$14,1,R49)+(INDEX(Parameters!$D$14:$H$14,1,R49+1)-INDEX(Parameters!$D$14:$H$14,1,R49))*U49)</f>
        <v>0.6</v>
      </c>
      <c r="L49" s="8">
        <f>I49+J49</f>
        <v>2240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8">
        <f>M49*O49</f>
        <v>1700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31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150</v>
      </c>
      <c r="D55" s="15">
        <f t="shared" si="6"/>
        <v>150</v>
      </c>
      <c r="E55" s="15">
        <f t="shared" si="7"/>
        <v>150</v>
      </c>
      <c r="F55" s="15">
        <f t="shared" si="8"/>
        <v>150</v>
      </c>
      <c r="G55" s="15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300</v>
      </c>
      <c r="D56" s="15">
        <f t="shared" si="6"/>
        <v>300</v>
      </c>
      <c r="E56" s="15">
        <f t="shared" si="7"/>
        <v>300</v>
      </c>
      <c r="F56" s="15">
        <f t="shared" si="8"/>
        <v>300</v>
      </c>
      <c r="G56" s="15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450</v>
      </c>
      <c r="D57" s="15">
        <f t="shared" si="6"/>
        <v>450</v>
      </c>
      <c r="E57" s="15">
        <f t="shared" si="7"/>
        <v>450</v>
      </c>
      <c r="F57" s="15">
        <f t="shared" si="8"/>
        <v>450</v>
      </c>
      <c r="G57" s="15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600</v>
      </c>
      <c r="D58" s="15">
        <f t="shared" si="6"/>
        <v>600</v>
      </c>
      <c r="E58" s="15">
        <f t="shared" si="7"/>
        <v>600</v>
      </c>
      <c r="F58" s="15">
        <f t="shared" si="8"/>
        <v>600</v>
      </c>
      <c r="G58" s="15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750</v>
      </c>
      <c r="D59" s="15">
        <f t="shared" si="6"/>
        <v>750</v>
      </c>
      <c r="E59" s="15">
        <f t="shared" si="7"/>
        <v>750</v>
      </c>
      <c r="F59" s="15">
        <f t="shared" si="8"/>
        <v>750</v>
      </c>
      <c r="G59" s="15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837</v>
      </c>
      <c r="D60" s="15">
        <f t="shared" si="6"/>
        <v>900</v>
      </c>
      <c r="E60" s="15">
        <f t="shared" si="7"/>
        <v>900</v>
      </c>
      <c r="F60" s="15">
        <f t="shared" si="8"/>
        <v>900</v>
      </c>
      <c r="G60" s="15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924</v>
      </c>
      <c r="D61" s="15">
        <f t="shared" si="6"/>
        <v>987</v>
      </c>
      <c r="E61" s="15">
        <f t="shared" si="7"/>
        <v>1050</v>
      </c>
      <c r="F61" s="15">
        <f t="shared" si="8"/>
        <v>1050</v>
      </c>
      <c r="G61" s="15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1011</v>
      </c>
      <c r="D62" s="15">
        <f t="shared" si="6"/>
        <v>1074</v>
      </c>
      <c r="E62" s="15">
        <f t="shared" si="7"/>
        <v>1137</v>
      </c>
      <c r="F62" s="15">
        <f t="shared" si="8"/>
        <v>1200</v>
      </c>
      <c r="G62" s="15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1098</v>
      </c>
      <c r="D63" s="15">
        <f t="shared" si="6"/>
        <v>1161</v>
      </c>
      <c r="E63" s="15">
        <f t="shared" si="7"/>
        <v>1224</v>
      </c>
      <c r="F63" s="15">
        <f t="shared" si="8"/>
        <v>1287</v>
      </c>
      <c r="G63" s="15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1185</v>
      </c>
      <c r="D64" s="15">
        <f t="shared" si="6"/>
        <v>1248</v>
      </c>
      <c r="E64" s="15">
        <f t="shared" si="7"/>
        <v>1311</v>
      </c>
      <c r="F64" s="15">
        <f t="shared" si="8"/>
        <v>1374</v>
      </c>
      <c r="G64" s="15">
        <f t="shared" si="9"/>
        <v>1437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1272</v>
      </c>
      <c r="D65" s="15">
        <f t="shared" si="6"/>
        <v>1335</v>
      </c>
      <c r="E65" s="15">
        <f t="shared" si="7"/>
        <v>1398</v>
      </c>
      <c r="F65" s="15">
        <f t="shared" si="8"/>
        <v>1461</v>
      </c>
      <c r="G65" s="15">
        <f t="shared" si="9"/>
        <v>1524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1359</v>
      </c>
      <c r="D66" s="15">
        <f t="shared" si="6"/>
        <v>1422</v>
      </c>
      <c r="E66" s="15">
        <f t="shared" si="7"/>
        <v>1485</v>
      </c>
      <c r="F66" s="15">
        <f t="shared" si="8"/>
        <v>1548</v>
      </c>
      <c r="G66" s="15">
        <f t="shared" si="9"/>
        <v>1611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1471</v>
      </c>
      <c r="D67" s="15">
        <f t="shared" si="6"/>
        <v>1534</v>
      </c>
      <c r="E67" s="15">
        <f t="shared" si="7"/>
        <v>1597</v>
      </c>
      <c r="F67" s="15">
        <f t="shared" si="8"/>
        <v>1660</v>
      </c>
      <c r="G67" s="15">
        <f t="shared" si="9"/>
        <v>1723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1582.9999999999998</v>
      </c>
      <c r="D68" s="15">
        <f t="shared" si="6"/>
        <v>1646</v>
      </c>
      <c r="E68" s="15">
        <f t="shared" si="7"/>
        <v>1709</v>
      </c>
      <c r="F68" s="15">
        <f t="shared" si="8"/>
        <v>1771.9999999999998</v>
      </c>
      <c r="G68" s="15">
        <f t="shared" si="9"/>
        <v>1834.9999999999998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1695</v>
      </c>
      <c r="D69" s="15">
        <f t="shared" si="6"/>
        <v>1758</v>
      </c>
      <c r="E69" s="15">
        <f t="shared" si="7"/>
        <v>1821</v>
      </c>
      <c r="F69" s="15">
        <f t="shared" si="8"/>
        <v>1884</v>
      </c>
      <c r="G69" s="15">
        <f t="shared" si="9"/>
        <v>1947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1807</v>
      </c>
      <c r="D70" s="15">
        <f t="shared" si="6"/>
        <v>1870</v>
      </c>
      <c r="E70" s="15">
        <f t="shared" si="7"/>
        <v>1933</v>
      </c>
      <c r="F70" s="15">
        <f t="shared" si="8"/>
        <v>1996</v>
      </c>
      <c r="G70" s="15">
        <f t="shared" si="9"/>
        <v>2059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1918.9999999999998</v>
      </c>
      <c r="D71" s="15">
        <f t="shared" si="6"/>
        <v>1982</v>
      </c>
      <c r="E71" s="15">
        <f t="shared" si="7"/>
        <v>2045</v>
      </c>
      <c r="F71" s="15">
        <f t="shared" si="8"/>
        <v>2108</v>
      </c>
      <c r="G71" s="15">
        <f t="shared" si="9"/>
        <v>2171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2031</v>
      </c>
      <c r="D72" s="15">
        <f t="shared" si="6"/>
        <v>2094</v>
      </c>
      <c r="E72" s="15">
        <f t="shared" si="7"/>
        <v>2157</v>
      </c>
      <c r="F72" s="15">
        <f t="shared" si="8"/>
        <v>2220</v>
      </c>
      <c r="G72" s="15">
        <f t="shared" si="9"/>
        <v>2283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2143</v>
      </c>
      <c r="D73" s="15">
        <f t="shared" si="6"/>
        <v>2206</v>
      </c>
      <c r="E73" s="15">
        <f t="shared" si="7"/>
        <v>2269</v>
      </c>
      <c r="F73" s="15">
        <f t="shared" si="8"/>
        <v>2332</v>
      </c>
      <c r="G73" s="15">
        <f t="shared" si="9"/>
        <v>2395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2255</v>
      </c>
      <c r="D74" s="15">
        <f t="shared" si="6"/>
        <v>2318</v>
      </c>
      <c r="E74" s="15">
        <f t="shared" si="7"/>
        <v>2381</v>
      </c>
      <c r="F74" s="15">
        <f t="shared" si="8"/>
        <v>2444</v>
      </c>
      <c r="G74" s="15">
        <f t="shared" si="9"/>
        <v>2507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72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.15" customHeight="1">
      <c r="B84" s="13" t="s">
        <v>41</v>
      </c>
      <c r="C84" s="13" t="s">
        <v>42</v>
      </c>
      <c r="D84" s="13" t="s">
        <v>43</v>
      </c>
      <c r="E84" s="13" t="s">
        <v>44</v>
      </c>
      <c r="F84" s="13" t="s">
        <v>15</v>
      </c>
      <c r="G84" s="13" t="s">
        <v>56</v>
      </c>
      <c r="H84" s="13" t="s">
        <v>45</v>
      </c>
      <c r="I84" s="13" t="s">
        <v>36</v>
      </c>
      <c r="J84" s="13" t="s">
        <v>46</v>
      </c>
      <c r="K84" s="13" t="s">
        <v>57</v>
      </c>
      <c r="L84" s="13" t="s">
        <v>47</v>
      </c>
      <c r="M84" s="13" t="s">
        <v>20</v>
      </c>
      <c r="N84" s="13" t="s">
        <v>21</v>
      </c>
      <c r="O84" s="13" t="s">
        <v>48</v>
      </c>
      <c r="P84" s="13" t="s">
        <v>39</v>
      </c>
      <c r="Q84" s="13" t="s">
        <v>49</v>
      </c>
      <c r="R84" s="13" t="s">
        <v>50</v>
      </c>
      <c r="S84" s="13" t="s">
        <v>51</v>
      </c>
      <c r="T84" s="13" t="s">
        <v>52</v>
      </c>
      <c r="U84" s="13" t="s">
        <v>53</v>
      </c>
      <c r="V84" s="13" t="s">
        <v>54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8">
        <f>F85*H85</f>
        <v>1200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2000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8">
        <f>M85*O85</f>
        <v>1056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8">
        <f>F86*H86</f>
        <v>1755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3155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8">
        <f>M86*O86</f>
        <v>1426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8">
        <f>F87*H87</f>
        <v>2280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4280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8">
        <f>M87*O87</f>
        <v>1760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8">
        <f>F88*H88</f>
        <v>2775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5375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8">
        <f>M88*O88</f>
        <v>2058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8">
        <f>F89*H89</f>
        <v>3240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6440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8">
        <f>M89*O89</f>
        <v>2320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31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55</v>
      </c>
      <c r="D95" s="15">
        <f t="shared" si="11"/>
        <v>77.5</v>
      </c>
      <c r="E95" s="15">
        <f t="shared" si="12"/>
        <v>100</v>
      </c>
      <c r="F95" s="15">
        <f t="shared" si="13"/>
        <v>122.5</v>
      </c>
      <c r="G95" s="15">
        <f t="shared" si="14"/>
        <v>145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110</v>
      </c>
      <c r="D96" s="15">
        <f t="shared" si="11"/>
        <v>155</v>
      </c>
      <c r="E96" s="15">
        <f t="shared" si="12"/>
        <v>200</v>
      </c>
      <c r="F96" s="15">
        <f t="shared" si="13"/>
        <v>245</v>
      </c>
      <c r="G96" s="15">
        <f t="shared" si="14"/>
        <v>290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165</v>
      </c>
      <c r="D97" s="15">
        <f t="shared" si="11"/>
        <v>232.5</v>
      </c>
      <c r="E97" s="15">
        <f t="shared" si="12"/>
        <v>300</v>
      </c>
      <c r="F97" s="15">
        <f t="shared" si="13"/>
        <v>367.5</v>
      </c>
      <c r="G97" s="15">
        <f t="shared" si="14"/>
        <v>435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220</v>
      </c>
      <c r="D98" s="15">
        <f t="shared" si="11"/>
        <v>310</v>
      </c>
      <c r="E98" s="15">
        <f t="shared" si="12"/>
        <v>400</v>
      </c>
      <c r="F98" s="15">
        <f t="shared" si="13"/>
        <v>490</v>
      </c>
      <c r="G98" s="15">
        <f t="shared" si="14"/>
        <v>580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274.12</v>
      </c>
      <c r="D99" s="15">
        <f t="shared" si="11"/>
        <v>387.5</v>
      </c>
      <c r="E99" s="15">
        <f t="shared" si="12"/>
        <v>500</v>
      </c>
      <c r="F99" s="15">
        <f t="shared" si="13"/>
        <v>612.5</v>
      </c>
      <c r="G99" s="15">
        <f t="shared" si="14"/>
        <v>725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326.91999999999996</v>
      </c>
      <c r="D100" s="15">
        <f t="shared" si="11"/>
        <v>459.41999999999996</v>
      </c>
      <c r="E100" s="15">
        <f t="shared" si="12"/>
        <v>595.19999999999993</v>
      </c>
      <c r="F100" s="15">
        <f t="shared" si="13"/>
        <v>735</v>
      </c>
      <c r="G100" s="15">
        <f t="shared" si="14"/>
        <v>870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379.71999999999997</v>
      </c>
      <c r="D101" s="15">
        <f t="shared" si="11"/>
        <v>530.72</v>
      </c>
      <c r="E101" s="15">
        <f t="shared" si="12"/>
        <v>683.19999999999993</v>
      </c>
      <c r="F101" s="15">
        <f t="shared" si="13"/>
        <v>839.86</v>
      </c>
      <c r="G101" s="15">
        <f t="shared" si="14"/>
        <v>1003.3999999999999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432.52</v>
      </c>
      <c r="D102" s="15">
        <f t="shared" si="11"/>
        <v>602.02</v>
      </c>
      <c r="E102" s="15">
        <f t="shared" si="12"/>
        <v>771.2</v>
      </c>
      <c r="F102" s="15">
        <f t="shared" si="13"/>
        <v>942.76</v>
      </c>
      <c r="G102" s="15">
        <f t="shared" si="14"/>
        <v>1119.4000000000001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485.32</v>
      </c>
      <c r="D103" s="15">
        <f t="shared" si="11"/>
        <v>673.31999999999994</v>
      </c>
      <c r="E103" s="15">
        <f t="shared" si="12"/>
        <v>859.2</v>
      </c>
      <c r="F103" s="15">
        <f t="shared" si="13"/>
        <v>1045.6600000000001</v>
      </c>
      <c r="G103" s="15">
        <f t="shared" si="14"/>
        <v>1235.4000000000001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538.12</v>
      </c>
      <c r="D104" s="15">
        <f t="shared" si="11"/>
        <v>744.62</v>
      </c>
      <c r="E104" s="15">
        <f t="shared" si="12"/>
        <v>947.19999999999993</v>
      </c>
      <c r="F104" s="15">
        <f t="shared" si="13"/>
        <v>1148.56</v>
      </c>
      <c r="G104" s="15">
        <f t="shared" si="14"/>
        <v>1351.4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590.92000000000007</v>
      </c>
      <c r="D105" s="15">
        <f t="shared" si="11"/>
        <v>815.92000000000007</v>
      </c>
      <c r="E105" s="15">
        <f t="shared" si="12"/>
        <v>1035.2</v>
      </c>
      <c r="F105" s="15">
        <f t="shared" si="13"/>
        <v>1251.46</v>
      </c>
      <c r="G105" s="15">
        <f t="shared" si="14"/>
        <v>1467.4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643.72</v>
      </c>
      <c r="D106" s="15">
        <f t="shared" si="11"/>
        <v>887.22</v>
      </c>
      <c r="E106" s="15">
        <f t="shared" si="12"/>
        <v>1123.1999999999998</v>
      </c>
      <c r="F106" s="15">
        <f t="shared" si="13"/>
        <v>1354.3600000000001</v>
      </c>
      <c r="G106" s="15">
        <f t="shared" si="14"/>
        <v>1583.3999999999999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696.52</v>
      </c>
      <c r="D107" s="15">
        <f t="shared" si="11"/>
        <v>958.52</v>
      </c>
      <c r="E107" s="15">
        <f t="shared" si="12"/>
        <v>1211.2</v>
      </c>
      <c r="F107" s="15">
        <f t="shared" si="13"/>
        <v>1457.2600000000002</v>
      </c>
      <c r="G107" s="15">
        <f t="shared" si="14"/>
        <v>1699.4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749.31999999999994</v>
      </c>
      <c r="D108" s="15">
        <f t="shared" si="11"/>
        <v>1029.82</v>
      </c>
      <c r="E108" s="15">
        <f t="shared" si="12"/>
        <v>1299.1999999999998</v>
      </c>
      <c r="F108" s="15">
        <f t="shared" si="13"/>
        <v>1560.1599999999999</v>
      </c>
      <c r="G108" s="15">
        <f t="shared" si="14"/>
        <v>1815.3999999999999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802.12</v>
      </c>
      <c r="D109" s="15">
        <f t="shared" si="11"/>
        <v>1101.1199999999999</v>
      </c>
      <c r="E109" s="15">
        <f t="shared" si="12"/>
        <v>1387.1999999999998</v>
      </c>
      <c r="F109" s="15">
        <f t="shared" si="13"/>
        <v>1663.06</v>
      </c>
      <c r="G109" s="15">
        <f t="shared" si="14"/>
        <v>1931.4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854.92000000000007</v>
      </c>
      <c r="D110" s="15">
        <f t="shared" si="11"/>
        <v>1172.42</v>
      </c>
      <c r="E110" s="15">
        <f t="shared" si="12"/>
        <v>1475.2</v>
      </c>
      <c r="F110" s="15">
        <f t="shared" si="13"/>
        <v>1765.96</v>
      </c>
      <c r="G110" s="15">
        <f t="shared" si="14"/>
        <v>2047.4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907.72</v>
      </c>
      <c r="D111" s="15">
        <f t="shared" si="11"/>
        <v>1243.7199999999998</v>
      </c>
      <c r="E111" s="15">
        <f t="shared" si="12"/>
        <v>1563.1999999999998</v>
      </c>
      <c r="F111" s="15">
        <f t="shared" si="13"/>
        <v>1868.8600000000001</v>
      </c>
      <c r="G111" s="15">
        <f t="shared" si="14"/>
        <v>2163.4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960.5200000000001</v>
      </c>
      <c r="D112" s="15">
        <f t="shared" si="11"/>
        <v>1315.02</v>
      </c>
      <c r="E112" s="15">
        <f t="shared" si="12"/>
        <v>1651.2</v>
      </c>
      <c r="F112" s="15">
        <f t="shared" si="13"/>
        <v>1971.7600000000002</v>
      </c>
      <c r="G112" s="15">
        <f t="shared" si="14"/>
        <v>2279.4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1013.3199999999999</v>
      </c>
      <c r="D113" s="15">
        <f t="shared" si="11"/>
        <v>1386.32</v>
      </c>
      <c r="E113" s="15">
        <f t="shared" si="12"/>
        <v>1739.1999999999998</v>
      </c>
      <c r="F113" s="15">
        <f t="shared" si="13"/>
        <v>2074.66</v>
      </c>
      <c r="G113" s="15">
        <f t="shared" si="14"/>
        <v>2395.3999999999996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1066.1199999999999</v>
      </c>
      <c r="D114" s="15">
        <f t="shared" si="11"/>
        <v>1457.62</v>
      </c>
      <c r="E114" s="15">
        <f t="shared" si="12"/>
        <v>1827.2</v>
      </c>
      <c r="F114" s="15">
        <f t="shared" si="13"/>
        <v>2177.56</v>
      </c>
      <c r="G114" s="15">
        <f t="shared" si="14"/>
        <v>2511.3999999999996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73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.15" customHeight="1">
      <c r="B124" s="13" t="s">
        <v>41</v>
      </c>
      <c r="C124" s="13" t="s">
        <v>42</v>
      </c>
      <c r="D124" s="13" t="s">
        <v>43</v>
      </c>
      <c r="E124" s="13" t="s">
        <v>44</v>
      </c>
      <c r="F124" s="13" t="s">
        <v>15</v>
      </c>
      <c r="G124" s="13" t="s">
        <v>56</v>
      </c>
      <c r="H124" s="13" t="s">
        <v>45</v>
      </c>
      <c r="I124" s="13" t="s">
        <v>36</v>
      </c>
      <c r="J124" s="13" t="s">
        <v>46</v>
      </c>
      <c r="K124" s="13" t="s">
        <v>57</v>
      </c>
      <c r="L124" s="13" t="s">
        <v>47</v>
      </c>
      <c r="M124" s="13" t="s">
        <v>20</v>
      </c>
      <c r="N124" s="13" t="s">
        <v>21</v>
      </c>
      <c r="O124" s="13" t="s">
        <v>48</v>
      </c>
      <c r="P124" s="13" t="s">
        <v>39</v>
      </c>
      <c r="Q124" s="13" t="s">
        <v>49</v>
      </c>
      <c r="R124" s="13" t="s">
        <v>50</v>
      </c>
      <c r="S124" s="13" t="s">
        <v>51</v>
      </c>
      <c r="T124" s="13" t="s">
        <v>52</v>
      </c>
      <c r="U124" s="13" t="s">
        <v>53</v>
      </c>
      <c r="V124" s="13" t="s">
        <v>54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1200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8">
        <f>F125*H125</f>
        <v>1200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800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2000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1100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0.96</v>
      </c>
      <c r="P125" s="8">
        <f>M125*O125</f>
        <v>1056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1800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8">
        <f>F126*H126</f>
        <v>1755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1400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3155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1550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0.91999999999999993</v>
      </c>
      <c r="P126" s="8">
        <f>M126*O126</f>
        <v>1426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2400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8">
        <f>F127*H127</f>
        <v>2280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4280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8">
        <f>M127*O127</f>
        <v>1760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3000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8">
        <f>F128*H128</f>
        <v>2775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2600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5375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2450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8">
        <f>M128*O128</f>
        <v>2058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3600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8">
        <f>F129*H129</f>
        <v>3240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6440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2900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8">
        <f>M129*O129</f>
        <v>2320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31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60</v>
      </c>
      <c r="D135" s="15">
        <f t="shared" si="16"/>
        <v>90</v>
      </c>
      <c r="E135" s="15">
        <f t="shared" si="17"/>
        <v>120</v>
      </c>
      <c r="F135" s="15">
        <f t="shared" si="18"/>
        <v>150</v>
      </c>
      <c r="G135" s="15">
        <f t="shared" si="19"/>
        <v>180</v>
      </c>
      <c r="H135" s="15">
        <f t="shared" si="20"/>
        <v>-55</v>
      </c>
      <c r="I135" s="15">
        <f t="shared" si="21"/>
        <v>-77.5</v>
      </c>
      <c r="J135" s="15">
        <f t="shared" si="22"/>
        <v>-100</v>
      </c>
      <c r="K135" s="15">
        <f t="shared" si="23"/>
        <v>-122.5</v>
      </c>
      <c r="L135" s="15">
        <f t="shared" si="24"/>
        <v>-145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120</v>
      </c>
      <c r="D136" s="15">
        <f t="shared" si="16"/>
        <v>180</v>
      </c>
      <c r="E136" s="15">
        <f t="shared" si="17"/>
        <v>240</v>
      </c>
      <c r="F136" s="15">
        <f t="shared" si="18"/>
        <v>300</v>
      </c>
      <c r="G136" s="15">
        <f t="shared" si="19"/>
        <v>360</v>
      </c>
      <c r="H136" s="15">
        <f t="shared" si="20"/>
        <v>-110</v>
      </c>
      <c r="I136" s="15">
        <f t="shared" si="21"/>
        <v>-155</v>
      </c>
      <c r="J136" s="15">
        <f t="shared" si="22"/>
        <v>-200</v>
      </c>
      <c r="K136" s="15">
        <f t="shared" si="23"/>
        <v>-245</v>
      </c>
      <c r="L136" s="15">
        <f t="shared" si="24"/>
        <v>-290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180</v>
      </c>
      <c r="D137" s="15">
        <f t="shared" si="16"/>
        <v>268.64999999999998</v>
      </c>
      <c r="E137" s="15">
        <f t="shared" si="17"/>
        <v>356.4</v>
      </c>
      <c r="F137" s="15">
        <f t="shared" si="18"/>
        <v>443.25</v>
      </c>
      <c r="G137" s="15">
        <f t="shared" si="19"/>
        <v>529.20000000000005</v>
      </c>
      <c r="H137" s="15">
        <f t="shared" si="20"/>
        <v>-165</v>
      </c>
      <c r="I137" s="15">
        <f t="shared" si="21"/>
        <v>-232.5</v>
      </c>
      <c r="J137" s="15">
        <f t="shared" si="22"/>
        <v>-300</v>
      </c>
      <c r="K137" s="15">
        <f t="shared" si="23"/>
        <v>-367.5</v>
      </c>
      <c r="L137" s="15">
        <f t="shared" si="24"/>
        <v>-435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240</v>
      </c>
      <c r="D138" s="15">
        <f t="shared" si="16"/>
        <v>356.40000000000003</v>
      </c>
      <c r="E138" s="15">
        <f t="shared" si="17"/>
        <v>470.40000000000003</v>
      </c>
      <c r="F138" s="15">
        <f t="shared" si="18"/>
        <v>582</v>
      </c>
      <c r="G138" s="15">
        <f t="shared" si="19"/>
        <v>691.2</v>
      </c>
      <c r="H138" s="15">
        <f t="shared" si="20"/>
        <v>-220</v>
      </c>
      <c r="I138" s="15">
        <f t="shared" si="21"/>
        <v>-310</v>
      </c>
      <c r="J138" s="15">
        <f t="shared" si="22"/>
        <v>-400</v>
      </c>
      <c r="K138" s="15">
        <f t="shared" si="23"/>
        <v>-490</v>
      </c>
      <c r="L138" s="15">
        <f t="shared" si="24"/>
        <v>-580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300</v>
      </c>
      <c r="D139" s="15">
        <f t="shared" si="16"/>
        <v>444.15</v>
      </c>
      <c r="E139" s="15">
        <f t="shared" si="17"/>
        <v>584.40000000000009</v>
      </c>
      <c r="F139" s="15">
        <f t="shared" si="18"/>
        <v>720.75</v>
      </c>
      <c r="G139" s="15">
        <f t="shared" si="19"/>
        <v>853.2</v>
      </c>
      <c r="H139" s="15">
        <f t="shared" si="20"/>
        <v>-274.12</v>
      </c>
      <c r="I139" s="15">
        <f t="shared" si="21"/>
        <v>-387.5</v>
      </c>
      <c r="J139" s="15">
        <f t="shared" si="22"/>
        <v>-500</v>
      </c>
      <c r="K139" s="15">
        <f t="shared" si="23"/>
        <v>-612.5</v>
      </c>
      <c r="L139" s="15">
        <f t="shared" si="24"/>
        <v>-725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360</v>
      </c>
      <c r="D140" s="15">
        <f t="shared" si="16"/>
        <v>531.9</v>
      </c>
      <c r="E140" s="15">
        <f t="shared" si="17"/>
        <v>698.4</v>
      </c>
      <c r="F140" s="15">
        <f t="shared" si="18"/>
        <v>859.5</v>
      </c>
      <c r="G140" s="15">
        <f t="shared" si="19"/>
        <v>1015.1999999999999</v>
      </c>
      <c r="H140" s="15">
        <f t="shared" si="20"/>
        <v>-326.91999999999996</v>
      </c>
      <c r="I140" s="15">
        <f t="shared" si="21"/>
        <v>-459.41999999999996</v>
      </c>
      <c r="J140" s="15">
        <f t="shared" si="22"/>
        <v>-595.19999999999993</v>
      </c>
      <c r="K140" s="15">
        <f t="shared" si="23"/>
        <v>-735</v>
      </c>
      <c r="L140" s="15">
        <f t="shared" si="24"/>
        <v>-870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420</v>
      </c>
      <c r="D141" s="15">
        <f t="shared" si="16"/>
        <v>619.65</v>
      </c>
      <c r="E141" s="15">
        <f t="shared" si="17"/>
        <v>812.4</v>
      </c>
      <c r="F141" s="15">
        <f t="shared" si="18"/>
        <v>998.25</v>
      </c>
      <c r="G141" s="15">
        <f t="shared" si="19"/>
        <v>1177.1999999999998</v>
      </c>
      <c r="H141" s="15">
        <f t="shared" si="20"/>
        <v>-379.71999999999997</v>
      </c>
      <c r="I141" s="15">
        <f t="shared" si="21"/>
        <v>-530.72</v>
      </c>
      <c r="J141" s="15">
        <f t="shared" si="22"/>
        <v>-683.19999999999993</v>
      </c>
      <c r="K141" s="15">
        <f t="shared" si="23"/>
        <v>-839.86</v>
      </c>
      <c r="L141" s="15">
        <f t="shared" si="24"/>
        <v>-1003.3999999999999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480.00000000000006</v>
      </c>
      <c r="D142" s="15">
        <f t="shared" si="16"/>
        <v>707.40000000000009</v>
      </c>
      <c r="E142" s="15">
        <f t="shared" si="17"/>
        <v>926.40000000000009</v>
      </c>
      <c r="F142" s="15">
        <f t="shared" si="18"/>
        <v>1137</v>
      </c>
      <c r="G142" s="15">
        <f t="shared" si="19"/>
        <v>1339.2</v>
      </c>
      <c r="H142" s="15">
        <f t="shared" si="20"/>
        <v>-432.52</v>
      </c>
      <c r="I142" s="15">
        <f t="shared" si="21"/>
        <v>-602.02</v>
      </c>
      <c r="J142" s="15">
        <f t="shared" si="22"/>
        <v>-771.2</v>
      </c>
      <c r="K142" s="15">
        <f t="shared" si="23"/>
        <v>-942.76</v>
      </c>
      <c r="L142" s="15">
        <f t="shared" si="24"/>
        <v>-1119.4000000000001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540</v>
      </c>
      <c r="D143" s="15">
        <f t="shared" si="16"/>
        <v>795.15</v>
      </c>
      <c r="E143" s="15">
        <f t="shared" si="17"/>
        <v>1040.4000000000001</v>
      </c>
      <c r="F143" s="15">
        <f t="shared" si="18"/>
        <v>1275.75</v>
      </c>
      <c r="G143" s="15">
        <f t="shared" si="19"/>
        <v>1501.2</v>
      </c>
      <c r="H143" s="15">
        <f t="shared" si="20"/>
        <v>-485.32</v>
      </c>
      <c r="I143" s="15">
        <f t="shared" si="21"/>
        <v>-673.31999999999994</v>
      </c>
      <c r="J143" s="15">
        <f t="shared" si="22"/>
        <v>-859.2</v>
      </c>
      <c r="K143" s="15">
        <f t="shared" si="23"/>
        <v>-1045.6600000000001</v>
      </c>
      <c r="L143" s="15">
        <f t="shared" si="24"/>
        <v>-1235.4000000000001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600</v>
      </c>
      <c r="D144" s="15">
        <f t="shared" si="16"/>
        <v>882.9</v>
      </c>
      <c r="E144" s="15">
        <f t="shared" si="17"/>
        <v>1154.4000000000001</v>
      </c>
      <c r="F144" s="15">
        <f t="shared" si="18"/>
        <v>1414.5</v>
      </c>
      <c r="G144" s="15">
        <f t="shared" si="19"/>
        <v>1663.2</v>
      </c>
      <c r="H144" s="15">
        <f t="shared" si="20"/>
        <v>-538.12</v>
      </c>
      <c r="I144" s="15">
        <f t="shared" si="21"/>
        <v>-744.62</v>
      </c>
      <c r="J144" s="15">
        <f t="shared" si="22"/>
        <v>-947.19999999999993</v>
      </c>
      <c r="K144" s="15">
        <f t="shared" si="23"/>
        <v>-1148.56</v>
      </c>
      <c r="L144" s="15">
        <f t="shared" si="24"/>
        <v>-1351.4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660.00000000000011</v>
      </c>
      <c r="D145" s="15">
        <f t="shared" si="16"/>
        <v>970.65000000000009</v>
      </c>
      <c r="E145" s="15">
        <f t="shared" si="17"/>
        <v>1268.4000000000001</v>
      </c>
      <c r="F145" s="15">
        <f t="shared" si="18"/>
        <v>1553.2500000000002</v>
      </c>
      <c r="G145" s="15">
        <f t="shared" si="19"/>
        <v>1825.2</v>
      </c>
      <c r="H145" s="15">
        <f t="shared" si="20"/>
        <v>-590.92000000000007</v>
      </c>
      <c r="I145" s="15">
        <f t="shared" si="21"/>
        <v>-815.92000000000007</v>
      </c>
      <c r="J145" s="15">
        <f t="shared" si="22"/>
        <v>-1035.2</v>
      </c>
      <c r="K145" s="15">
        <f t="shared" si="23"/>
        <v>-1251.46</v>
      </c>
      <c r="L145" s="15">
        <f t="shared" si="24"/>
        <v>-1467.4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736</v>
      </c>
      <c r="D146" s="15">
        <f t="shared" si="16"/>
        <v>1072.4000000000001</v>
      </c>
      <c r="E146" s="15">
        <f t="shared" si="17"/>
        <v>1382.3999999999999</v>
      </c>
      <c r="F146" s="15">
        <f t="shared" si="18"/>
        <v>1692</v>
      </c>
      <c r="G146" s="15">
        <f t="shared" si="19"/>
        <v>1987.2</v>
      </c>
      <c r="H146" s="15">
        <f t="shared" si="20"/>
        <v>-643.72</v>
      </c>
      <c r="I146" s="15">
        <f t="shared" si="21"/>
        <v>-887.22</v>
      </c>
      <c r="J146" s="15">
        <f t="shared" si="22"/>
        <v>-1123.1999999999998</v>
      </c>
      <c r="K146" s="15">
        <f t="shared" si="23"/>
        <v>-1354.3600000000001</v>
      </c>
      <c r="L146" s="15">
        <f t="shared" si="24"/>
        <v>-1583.3999999999999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836</v>
      </c>
      <c r="D147" s="15">
        <f t="shared" si="16"/>
        <v>1230.1500000000001</v>
      </c>
      <c r="E147" s="15">
        <f t="shared" si="17"/>
        <v>1596.4</v>
      </c>
      <c r="F147" s="15">
        <f t="shared" si="18"/>
        <v>1934.75</v>
      </c>
      <c r="G147" s="15">
        <f t="shared" si="19"/>
        <v>2245.1999999999998</v>
      </c>
      <c r="H147" s="15">
        <f t="shared" si="20"/>
        <v>-696.52</v>
      </c>
      <c r="I147" s="15">
        <f t="shared" si="21"/>
        <v>-958.52</v>
      </c>
      <c r="J147" s="15">
        <f t="shared" si="22"/>
        <v>-1211.2</v>
      </c>
      <c r="K147" s="15">
        <f t="shared" si="23"/>
        <v>-1457.2600000000002</v>
      </c>
      <c r="L147" s="15">
        <f t="shared" si="24"/>
        <v>-1699.4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936</v>
      </c>
      <c r="D148" s="15">
        <f t="shared" si="16"/>
        <v>1387.9</v>
      </c>
      <c r="E148" s="15">
        <f t="shared" si="17"/>
        <v>1810.3999999999999</v>
      </c>
      <c r="F148" s="15">
        <f t="shared" si="18"/>
        <v>2203.5</v>
      </c>
      <c r="G148" s="15">
        <f t="shared" si="19"/>
        <v>2567.1999999999998</v>
      </c>
      <c r="H148" s="15">
        <f t="shared" si="20"/>
        <v>-749.31999999999994</v>
      </c>
      <c r="I148" s="15">
        <f t="shared" si="21"/>
        <v>-1029.82</v>
      </c>
      <c r="J148" s="15">
        <f t="shared" si="22"/>
        <v>-1299.1999999999998</v>
      </c>
      <c r="K148" s="15">
        <f t="shared" si="23"/>
        <v>-1560.1599999999999</v>
      </c>
      <c r="L148" s="15">
        <f t="shared" si="24"/>
        <v>-1815.3999999999999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1036</v>
      </c>
      <c r="D149" s="15">
        <f t="shared" si="16"/>
        <v>1545.65</v>
      </c>
      <c r="E149" s="15">
        <f t="shared" si="17"/>
        <v>2024.4</v>
      </c>
      <c r="F149" s="15">
        <f t="shared" si="18"/>
        <v>2472.25</v>
      </c>
      <c r="G149" s="15">
        <f t="shared" si="19"/>
        <v>2889.2</v>
      </c>
      <c r="H149" s="15">
        <f t="shared" si="20"/>
        <v>-802.12</v>
      </c>
      <c r="I149" s="15">
        <f t="shared" si="21"/>
        <v>-1101.1199999999999</v>
      </c>
      <c r="J149" s="15">
        <f t="shared" si="22"/>
        <v>-1387.1999999999998</v>
      </c>
      <c r="K149" s="15">
        <f t="shared" si="23"/>
        <v>-1663.06</v>
      </c>
      <c r="L149" s="15">
        <f t="shared" si="24"/>
        <v>-1931.4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1136.0000000000002</v>
      </c>
      <c r="D150" s="15">
        <f t="shared" si="16"/>
        <v>1703.4</v>
      </c>
      <c r="E150" s="15">
        <f t="shared" si="17"/>
        <v>2238.4</v>
      </c>
      <c r="F150" s="15">
        <f t="shared" si="18"/>
        <v>2741</v>
      </c>
      <c r="G150" s="15">
        <f t="shared" si="19"/>
        <v>3211.2000000000003</v>
      </c>
      <c r="H150" s="15">
        <f t="shared" si="20"/>
        <v>-854.92000000000007</v>
      </c>
      <c r="I150" s="15">
        <f t="shared" si="21"/>
        <v>-1172.42</v>
      </c>
      <c r="J150" s="15">
        <f t="shared" si="22"/>
        <v>-1475.2</v>
      </c>
      <c r="K150" s="15">
        <f t="shared" si="23"/>
        <v>-1765.96</v>
      </c>
      <c r="L150" s="15">
        <f t="shared" si="24"/>
        <v>-2047.4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1236</v>
      </c>
      <c r="D151" s="15">
        <f t="shared" si="16"/>
        <v>1861.1499999999999</v>
      </c>
      <c r="E151" s="15">
        <f t="shared" si="17"/>
        <v>2452.3999999999996</v>
      </c>
      <c r="F151" s="15">
        <f t="shared" si="18"/>
        <v>3009.75</v>
      </c>
      <c r="G151" s="15">
        <f t="shared" si="19"/>
        <v>3533.2</v>
      </c>
      <c r="H151" s="15">
        <f t="shared" si="20"/>
        <v>-907.72</v>
      </c>
      <c r="I151" s="15">
        <f t="shared" si="21"/>
        <v>-1243.7199999999998</v>
      </c>
      <c r="J151" s="15">
        <f t="shared" si="22"/>
        <v>-1563.1999999999998</v>
      </c>
      <c r="K151" s="15">
        <f t="shared" si="23"/>
        <v>-1868.8600000000001</v>
      </c>
      <c r="L151" s="15">
        <f t="shared" si="24"/>
        <v>-2163.4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1336</v>
      </c>
      <c r="D152" s="15">
        <f t="shared" si="16"/>
        <v>2018.9</v>
      </c>
      <c r="E152" s="15">
        <f t="shared" si="17"/>
        <v>2666.4</v>
      </c>
      <c r="F152" s="15">
        <f t="shared" si="18"/>
        <v>3278.5</v>
      </c>
      <c r="G152" s="15">
        <f t="shared" si="19"/>
        <v>3855.2000000000003</v>
      </c>
      <c r="H152" s="15">
        <f t="shared" si="20"/>
        <v>-960.5200000000001</v>
      </c>
      <c r="I152" s="15">
        <f t="shared" si="21"/>
        <v>-1315.02</v>
      </c>
      <c r="J152" s="15">
        <f t="shared" si="22"/>
        <v>-1651.2</v>
      </c>
      <c r="K152" s="15">
        <f t="shared" si="23"/>
        <v>-1971.7600000000002</v>
      </c>
      <c r="L152" s="15">
        <f t="shared" si="24"/>
        <v>-2279.4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1436</v>
      </c>
      <c r="D153" s="15">
        <f t="shared" si="16"/>
        <v>2176.6499999999996</v>
      </c>
      <c r="E153" s="15">
        <f t="shared" si="17"/>
        <v>2880.3999999999996</v>
      </c>
      <c r="F153" s="15">
        <f t="shared" si="18"/>
        <v>3547.25</v>
      </c>
      <c r="G153" s="15">
        <f t="shared" si="19"/>
        <v>4177.2</v>
      </c>
      <c r="H153" s="15">
        <f t="shared" si="20"/>
        <v>-1013.3199999999999</v>
      </c>
      <c r="I153" s="15">
        <f t="shared" si="21"/>
        <v>-1386.32</v>
      </c>
      <c r="J153" s="15">
        <f t="shared" si="22"/>
        <v>-1739.1999999999998</v>
      </c>
      <c r="K153" s="15">
        <f t="shared" si="23"/>
        <v>-2074.66</v>
      </c>
      <c r="L153" s="15">
        <f t="shared" si="24"/>
        <v>-2395.3999999999996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1536</v>
      </c>
      <c r="D154" s="15">
        <f t="shared" si="16"/>
        <v>2334.4</v>
      </c>
      <c r="E154" s="15">
        <f t="shared" si="17"/>
        <v>3094.4</v>
      </c>
      <c r="F154" s="15">
        <f t="shared" si="18"/>
        <v>3816</v>
      </c>
      <c r="G154" s="15">
        <f t="shared" si="19"/>
        <v>4499.2</v>
      </c>
      <c r="H154" s="15">
        <f t="shared" si="20"/>
        <v>-1066.1199999999999</v>
      </c>
      <c r="I154" s="15">
        <f t="shared" si="21"/>
        <v>-1457.62</v>
      </c>
      <c r="J154" s="15">
        <f t="shared" si="22"/>
        <v>-1827.2</v>
      </c>
      <c r="K154" s="15">
        <f t="shared" si="23"/>
        <v>-2177.56</v>
      </c>
      <c r="L154" s="15">
        <f t="shared" si="24"/>
        <v>-2511.3999999999996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55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41</v>
      </c>
      <c r="C164" t="s">
        <v>42</v>
      </c>
      <c r="D164" t="s">
        <v>43</v>
      </c>
      <c r="E164" t="s">
        <v>44</v>
      </c>
      <c r="F164" t="s">
        <v>15</v>
      </c>
      <c r="G164" t="s">
        <v>56</v>
      </c>
      <c r="H164" t="s">
        <v>45</v>
      </c>
      <c r="I164" t="s">
        <v>36</v>
      </c>
      <c r="J164" t="s">
        <v>46</v>
      </c>
      <c r="K164" t="s">
        <v>57</v>
      </c>
      <c r="L164" t="s">
        <v>47</v>
      </c>
      <c r="M164" t="s">
        <v>20</v>
      </c>
      <c r="N164" t="s">
        <v>21</v>
      </c>
      <c r="O164" t="s">
        <v>48</v>
      </c>
      <c r="P164" t="s">
        <v>39</v>
      </c>
      <c r="Q164" t="s">
        <v>49</v>
      </c>
      <c r="R164" t="s">
        <v>50</v>
      </c>
      <c r="S164" t="s">
        <v>51</v>
      </c>
      <c r="T164" t="s">
        <v>52</v>
      </c>
      <c r="U164" t="s">
        <v>53</v>
      </c>
      <c r="V164" t="s">
        <v>54</v>
      </c>
    </row>
    <row r="165" spans="2:22">
      <c r="C165">
        <f>Calculator!C7</f>
        <v>-12</v>
      </c>
      <c r="D165">
        <f>Calculator!C8</f>
        <v>-8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2400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0.95</v>
      </c>
      <c r="I165">
        <f>F165*H165</f>
        <v>2280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2240</v>
      </c>
      <c r="K165">
        <f>IF(Calculator!$C$4="Type-B",Parameters!$L$14,INDEX(Parameters!$D$14:$H$14,1,R165)+(INDEX(Parameters!$D$14:$H$14,1,R165+1)-INDEX(Parameters!$D$14:$H$14,1,R165))*U165)</f>
        <v>0.60399999999999998</v>
      </c>
      <c r="L165">
        <f>I165+J165</f>
        <v>4520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0.88</v>
      </c>
      <c r="P165">
        <f>M165*O165</f>
        <v>1760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0.39999999999999991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2026-10-15T16:37:43Z</dcterms:modified>
</cp:coreProperties>
</file>