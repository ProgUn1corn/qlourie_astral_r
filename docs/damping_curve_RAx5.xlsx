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damping-rx-sync-20261026\native\"/>
    </mc:Choice>
  </mc:AlternateContent>
  <xr:revisionPtr revIDLastSave="0" documentId="13_ncr:1_{7AB36D54-73B1-4918-96E7-EB4EFC8A4F0B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<sst xmlns="http://schemas.openxmlformats.org/spreadsheetml/2006/main" count="229" uniqueCount="96">
  <si>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</si>
  <si>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</si>
  <si>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</si>
  <si>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</si>
  <si>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</si>
  <si>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</si>
  <si>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</si>
  <si>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</si>
  <si>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</si>
  <si>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</si>
  <si>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</si>
  <si>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</si>
  <si>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</si>
  <si>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</si>
  <si>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</si>
  <si>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</si>
  <si>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</si>
  <si>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</si>
  <si>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</si>
  <si>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</si>
  <si>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</si>
  <si>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</si>
  <si>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</si>
  <si>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</si>
  <si>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</si>
  <si>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</si>
  <si>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</si>
  <si>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</si>
  <si>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</si>
  <si>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</si>
  <si>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</si>
  <si>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</si>
  <si>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</si>
  <si>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</si>
  <si>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</si>
  <si>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</si>
  <si>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</si>
  <si>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</si>
  <si>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</si>
  <si>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</si>
  <si>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</si>
  <si>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</si>
  <si>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</si>
  <si>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</si>
  <si>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</si>
  <si>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</si>
  <si>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RAx5 · Damping Calculator</t>
  </si>
  <si>
    <t>当前曲线参数</t>
  </si>
  <si>
    <t>HSbump · 高速增量</t>
  </si>
  <si>
    <t>CTM Racing · RAx5 · Valving Parameters</t>
  </si>
  <si>
    <t>HSbump · 高速增量</t>
  </si>
  <si>
    <t>LSR · R（RA65）</t>
  </si>
  <si>
    <t>Adjusters · 调节格数</t>
  </si>
  <si>
    <t>CTM Racing · RAx5 · LSC Sweep</t>
  </si>
  <si>
    <t>CTM Racing · RAx5 · HSC Sweep</t>
  </si>
  <si>
    <t>CTM Racing · RAx5 · LSR Sweep</t>
  </si>
  <si>
    <t>CTM Racing · RAx5 · Full Sweep</t>
  </si>
  <si>
    <t>避震器型号</t>
  </si>
  <si>
    <t>RA65</t>
  </si>
  <si>
    <t>LSC · 全系列</t>
  </si>
  <si>
    <t>LSR · RA65 / 8系改型</t>
  </si>
  <si>
    <t>LSR · RA85</t>
  </si>
  <si>
    <t>规格</t>
  </si>
  <si>
    <t>RA85</t>
  </si>
  <si>
    <t>RA85/2</t>
  </si>
  <si>
    <t>Rally</t>
  </si>
  <si>
    <t>阻尼调节</t>
  </si>
  <si>
    <t>3-Way</t>
  </si>
  <si>
    <t>3+1-Way</t>
  </si>
  <si>
    <t>HBS</t>
  </si>
  <si>
    <t>固定</t>
  </si>
  <si>
    <t>可调 · 16 clicks</t>
  </si>
  <si>
    <t>可调 · 8 clicks</t>
  </si>
  <si>
    <t>HRS</t>
  </si>
  <si>
    <t>LRS</t>
  </si>
  <si>
    <t>有</t>
  </si>
  <si>
    <t>DSV</t>
  </si>
  <si>
    <t>RA</t>
    <phoneticPr fontId="7" type="noConversion"/>
  </si>
  <si>
    <t>Rallycross</t>
    <phoneticPr fontId="7" type="noConversion"/>
  </si>
  <si>
    <t>低速压缩 · c</t>
  </si>
  <si>
    <t>高速压缩 · C</t>
  </si>
  <si>
    <t>回弹 · R</t>
  </si>
  <si>
    <t>活塞行程</t>
    <phoneticPr fontId="7" type="noConversion"/>
  </si>
  <si>
    <t>CTM Racing · RA · Damper Catalog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</si>
  <si>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</si>
  <si>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</si>
  <si>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</si>
  <si>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</si>
  <si>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</si>
  <si>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</si>
  <si>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</si>
  <si>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</si>
  <si>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</si>
  <si>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</si>
  <si>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</si>
  <si>
    <t>Type-A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</si>
</sst>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80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23" fillId="14" borderId="15" xfId="0" applyFont="1" applyFill="1" applyBorder="1" applyAlignment="1">
      <alignment horizontal="left" vertical="center"/>
    </xf>
  </cellStyleXfs>
  <cellXfs count="95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>
      <alignment vertical="center"/>
    </xf>
    <xf numFmtId="0" fontId="8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Fill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8" fontId="8" fillId="5" borderId="2" xfId="1" applyNumberFormat="1" applyFont="1" applyFill="1" applyBorder="1" applyAlignment="1">
      <alignment horizontal="center" vertical="center"/>
    </xf>
    <xf numFmtId="178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8" fillId="3" borderId="1" xfId="1" applyFont="1" applyFill="1" applyBorder="1">
      <alignment vertical="center"/>
    </xf>
    <xf numFmtId="0" fontId="14" fillId="5" borderId="2" xfId="1" applyFont="1" applyFill="1" applyBorder="1">
      <alignment vertical="center"/>
    </xf>
    <xf numFmtId="0" fontId="8" fillId="5" borderId="6" xfId="1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left" vertical="center"/>
    </xf>
    <xf numFmtId="0" fontId="16" fillId="7" borderId="8" xfId="0" applyFont="1" applyFill="1" applyBorder="1" applyAlignment="1">
      <alignment horizontal="left" vertical="center"/>
    </xf>
    <xf numFmtId="49" fontId="17" fillId="8" borderId="9" xfId="0" applyNumberFormat="1" applyFont="1" applyFill="1" applyBorder="1" applyAlignment="1">
      <alignment horizontal="left" vertical="center"/>
    </xf>
    <xf numFmtId="0" fontId="18" fillId="9" borderId="10" xfId="0" applyFont="1" applyFill="1" applyBorder="1" applyAlignment="1">
      <alignment horizontal="left" vertical="center"/>
    </xf>
    <xf numFmtId="0" fontId="21" fillId="12" borderId="13" xfId="0" applyFont="1" applyFill="1" applyBorder="1" applyAlignment="1">
      <alignment horizontal="left" vertical="center"/>
    </xf>
    <xf numFmtId="1" fontId="22" fillId="13" borderId="14" xfId="0" applyNumberFormat="1" applyFont="1" applyFill="1" applyBorder="1" applyAlignment="1">
      <alignment horizontal="right" vertical="center"/>
    </xf>
    <xf numFmtId="2" fontId="27" fillId="18" borderId="19" xfId="0" applyNumberFormat="1" applyFont="1" applyFill="1" applyBorder="1" applyAlignment="1">
      <alignment horizontal="right" vertical="center"/>
    </xf>
    <xf numFmtId="0" fontId="28" fillId="19" borderId="20" xfId="0" applyFont="1" applyFill="1" applyBorder="1" applyAlignment="1">
      <alignment horizontal="right" vertical="center"/>
    </xf>
    <xf numFmtId="0" fontId="29" fillId="20" borderId="21" xfId="0" applyFont="1" applyFill="1" applyBorder="1" applyAlignment="1">
      <alignment horizontal="left" vertical="center"/>
    </xf>
    <xf numFmtId="0" fontId="30" fillId="21" borderId="22" xfId="0" applyFont="1" applyFill="1" applyBorder="1" applyAlignment="1">
      <alignment horizontal="right" vertical="center"/>
    </xf>
    <xf numFmtId="2" fontId="33" fillId="24" borderId="25" xfId="0" applyNumberFormat="1" applyFont="1" applyFill="1" applyBorder="1" applyAlignment="1">
      <alignment horizontal="right" vertical="center"/>
    </xf>
    <xf numFmtId="2" fontId="35" fillId="26" borderId="27" xfId="0" applyNumberFormat="1" applyFont="1" applyFill="1" applyBorder="1" applyAlignment="1">
      <alignment horizontal="right" vertical="center"/>
    </xf>
    <xf numFmtId="0" fontId="37" fillId="28" borderId="29" xfId="0" applyFont="1" applyFill="1" applyBorder="1" applyAlignment="1">
      <alignment horizontal="right" vertical="center"/>
    </xf>
    <xf numFmtId="176" fontId="38" fillId="29" borderId="30" xfId="0" applyNumberFormat="1" applyFont="1" applyFill="1" applyBorder="1" applyAlignment="1">
      <alignment horizontal="right" vertical="center"/>
    </xf>
    <xf numFmtId="176" fontId="39" fillId="30" borderId="31" xfId="0" applyNumberFormat="1" applyFont="1" applyFill="1" applyBorder="1" applyAlignment="1">
      <alignment horizontal="right" vertical="center"/>
    </xf>
    <xf numFmtId="0" fontId="44" fillId="35" borderId="36" xfId="0" applyFont="1" applyFill="1" applyBorder="1" applyAlignment="1">
      <alignment horizontal="center" vertical="center" wrapText="1"/>
    </xf>
    <xf numFmtId="9" fontId="45" fillId="36" borderId="37" xfId="0" applyNumberFormat="1" applyFont="1" applyFill="1" applyBorder="1" applyAlignment="1">
      <alignment horizontal="center" vertical="center" wrapText="1"/>
    </xf>
    <xf numFmtId="1" fontId="46" fillId="37" borderId="38" xfId="0" applyNumberFormat="1" applyFont="1" applyFill="1" applyBorder="1" applyAlignment="1">
      <alignment horizontal="right" vertical="center"/>
    </xf>
    <xf numFmtId="176" fontId="47" fillId="38" borderId="39" xfId="0" applyNumberFormat="1" applyFont="1" applyFill="1" applyBorder="1" applyAlignment="1">
      <alignment horizontal="right" vertical="center"/>
    </xf>
    <xf numFmtId="1" fontId="48" fillId="39" borderId="40" xfId="0" applyNumberFormat="1" applyFont="1" applyFill="1" applyBorder="1" applyAlignment="1">
      <alignment horizontal="right" vertical="center"/>
    </xf>
    <xf numFmtId="176" fontId="49" fillId="40" borderId="41" xfId="0" applyNumberFormat="1" applyFont="1" applyFill="1" applyBorder="1" applyAlignment="1">
      <alignment horizontal="right" vertical="center"/>
    </xf>
    <xf numFmtId="0" fontId="50" fillId="41" borderId="42" xfId="0" applyFont="1" applyFill="1" applyBorder="1" applyAlignment="1">
      <alignment horizontal="center" vertical="center" wrapText="1"/>
    </xf>
    <xf numFmtId="0" fontId="58" fillId="49" borderId="50" xfId="0" applyFont="1" applyFill="1" applyBorder="1" applyAlignment="1">
      <alignment horizontal="left" vertical="center"/>
    </xf>
    <xf numFmtId="0" fontId="59" fillId="50" borderId="51" xfId="0" applyFont="1" applyFill="1" applyBorder="1" applyAlignment="1">
      <alignment horizontal="center" vertical="center" wrapText="1"/>
    </xf>
    <xf numFmtId="0" fontId="60" fillId="51" borderId="52" xfId="0" applyFont="1" applyFill="1" applyBorder="1" applyAlignment="1">
      <alignment horizontal="center" vertical="center" wrapText="1"/>
    </xf>
    <xf numFmtId="0" fontId="61" fillId="52" borderId="53" xfId="0" applyFont="1" applyFill="1" applyBorder="1" applyAlignment="1">
      <alignment horizontal="center" vertical="center" wrapText="1"/>
    </xf>
    <xf numFmtId="0" fontId="62" fillId="53" borderId="54" xfId="0" applyFont="1" applyFill="1" applyBorder="1" applyAlignment="1">
      <alignment horizontal="center" vertical="center" wrapText="1"/>
    </xf>
    <xf numFmtId="0" fontId="63" fillId="54" borderId="55" xfId="0" applyFont="1" applyFill="1" applyBorder="1" applyAlignment="1">
      <alignment horizontal="right" vertical="center"/>
    </xf>
    <xf numFmtId="0" fontId="64" fillId="55" borderId="56" xfId="0" applyFont="1" applyFill="1" applyBorder="1" applyAlignment="1">
      <alignment horizontal="right" vertical="center"/>
    </xf>
    <xf numFmtId="0" fontId="65" fillId="56" borderId="57" xfId="0" applyFont="1" applyFill="1" applyBorder="1" applyAlignment="1">
      <alignment horizontal="right" vertical="center"/>
    </xf>
    <xf numFmtId="0" fontId="66" fillId="57" borderId="58" xfId="0" applyFont="1" applyFill="1" applyBorder="1" applyAlignment="1">
      <alignment horizontal="right" vertical="center"/>
    </xf>
    <xf numFmtId="0" fontId="67" fillId="58" borderId="59" xfId="0" applyFont="1" applyFill="1" applyBorder="1" applyAlignment="1">
      <alignment horizontal="center" vertical="center" wrapText="1"/>
    </xf>
    <xf numFmtId="0" fontId="68" fillId="59" borderId="60" xfId="0" applyFont="1" applyFill="1" applyBorder="1" applyAlignment="1">
      <alignment horizontal="center" vertical="center" wrapText="1"/>
    </xf>
    <xf numFmtId="2" fontId="69" fillId="60" borderId="61" xfId="0" applyNumberFormat="1" applyFont="1" applyFill="1" applyBorder="1" applyAlignment="1">
      <alignment horizontal="right" vertical="center"/>
    </xf>
    <xf numFmtId="2" fontId="70" fillId="61" borderId="62" xfId="0" applyNumberFormat="1" applyFont="1" applyFill="1" applyBorder="1" applyAlignment="1">
      <alignment horizontal="right" vertical="center"/>
    </xf>
    <xf numFmtId="0" fontId="71" fillId="62" borderId="63" xfId="0" applyFont="1" applyFill="1" applyBorder="1" applyAlignment="1">
      <alignment horizontal="center" vertical="center" wrapText="1"/>
    </xf>
    <xf numFmtId="0" fontId="72" fillId="63" borderId="64" xfId="0" applyFont="1" applyFill="1" applyBorder="1" applyAlignment="1">
      <alignment horizontal="center" vertical="center" wrapText="1"/>
    </xf>
    <xf numFmtId="2" fontId="73" fillId="64" borderId="65" xfId="0" applyNumberFormat="1" applyFont="1" applyFill="1" applyBorder="1" applyAlignment="1">
      <alignment horizontal="right" vertical="center"/>
    </xf>
    <xf numFmtId="2" fontId="74" fillId="65" borderId="66" xfId="0" applyNumberFormat="1" applyFont="1" applyFill="1" applyBorder="1" applyAlignment="1">
      <alignment horizontal="right" vertical="center"/>
    </xf>
    <xf numFmtId="0" fontId="76" fillId="67" borderId="68" xfId="0" applyFont="1" applyFill="1" applyBorder="1" applyAlignment="1">
      <alignment horizontal="center" vertical="center" wrapText="1"/>
    </xf>
    <xf numFmtId="0" fontId="77" fillId="68" borderId="69" xfId="0" applyFont="1" applyFill="1" applyBorder="1" applyAlignment="1">
      <alignment horizontal="center" vertical="center" wrapText="1"/>
    </xf>
    <xf numFmtId="0" fontId="78" fillId="69" borderId="70" xfId="0" applyFont="1" applyFill="1" applyBorder="1" applyAlignment="1">
      <alignment horizontal="right" vertical="center"/>
    </xf>
    <xf numFmtId="0" fontId="79" fillId="70" borderId="71" xfId="0" applyFont="1" applyFill="1" applyBorder="1" applyAlignment="1">
      <alignment vertical="center"/>
    </xf>
    <xf numFmtId="0" fontId="34" fillId="25" borderId="26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42" fillId="33" borderId="34" xfId="0" applyFont="1" applyFill="1" applyBorder="1" applyAlignment="1">
      <alignment horizontal="left" vertical="center"/>
    </xf>
    <xf numFmtId="0" fontId="43" fillId="34" borderId="35" xfId="0" applyFont="1" applyFill="1" applyBorder="1" applyAlignment="1">
      <alignment horizontal="left" vertical="center"/>
    </xf>
    <xf numFmtId="0" fontId="20" fillId="11" borderId="12" xfId="0" applyFont="1" applyFill="1" applyBorder="1" applyAlignment="1">
      <alignment horizontal="left" vertical="center" wrapText="1"/>
    </xf>
    <xf numFmtId="0" fontId="19" fillId="10" borderId="11" xfId="0" applyFont="1" applyFill="1" applyBorder="1" applyAlignment="1">
      <alignment horizontal="left" vertical="center" wrapText="1"/>
    </xf>
    <xf numFmtId="0" fontId="36" fillId="27" borderId="28" xfId="0" applyFont="1" applyFill="1" applyBorder="1" applyAlignment="1">
      <alignment horizontal="left" vertical="center"/>
    </xf>
    <xf numFmtId="0" fontId="32" fillId="23" borderId="24" xfId="0" applyFont="1" applyFill="1" applyBorder="1" applyAlignment="1">
      <alignment vertical="center"/>
    </xf>
    <xf numFmtId="0" fontId="24" fillId="15" borderId="16" xfId="0" applyFont="1" applyFill="1" applyBorder="1" applyAlignment="1">
      <alignment horizontal="left" vertical="center"/>
    </xf>
    <xf numFmtId="0" fontId="51" fillId="42" borderId="43" xfId="0" applyFont="1" applyFill="1" applyBorder="1" applyAlignment="1">
      <alignment horizontal="left" vertical="center"/>
    </xf>
    <xf numFmtId="0" fontId="52" fillId="43" borderId="44" xfId="0" applyFont="1" applyFill="1" applyBorder="1" applyAlignment="1">
      <alignment horizontal="left" vertical="center"/>
    </xf>
    <xf numFmtId="0" fontId="53" fillId="44" borderId="45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4" fillId="45" borderId="46" xfId="0" applyFont="1" applyFill="1" applyBorder="1" applyAlignment="1">
      <alignment horizontal="left" vertical="center"/>
    </xf>
    <xf numFmtId="0" fontId="55" fillId="46" borderId="47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13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9" fillId="2" borderId="1" xfId="1" applyFont="1" applyFill="1" applyBorder="1" applyAlignment="1">
      <alignment vertical="center"/>
    </xf>
    <xf numFmtId="0" fontId="11" fillId="3" borderId="1" xfId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2" fontId="25" fillId="16" borderId="17" xfId="0" applyNumberFormat="1" applyFont="1" applyFill="1" applyBorder="1" applyAlignment="1">
      <alignment horizontal="right" vertical="center"/>
    </xf>
    <xf numFmtId="2" fontId="26" fillId="17" borderId="18" xfId="0" applyNumberFormat="1" applyFont="1" applyFill="1" applyBorder="1" applyAlignment="1">
      <alignment horizontal="right" vertical="center"/>
    </xf>
    <xf numFmtId="0" fontId="31" fillId="22" borderId="23" xfId="0" applyFont="1" applyFill="1" applyBorder="1" applyAlignment="1">
      <alignment horizontal="left" vertical="center"/>
    </xf>
    <xf numFmtId="0" fontId="40" fillId="31" borderId="32" xfId="0" applyFont="1" applyFill="1" applyBorder="1" applyAlignment="1">
      <alignment horizontal="left" vertical="center"/>
    </xf>
    <xf numFmtId="0" fontId="41" fillId="32" borderId="33" xfId="0" applyFont="1" applyFill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56" fillId="47" borderId="48" xfId="0" applyFont="1" applyFill="1" applyBorder="1" applyAlignment="1">
      <alignment horizontal="left" vertical="center" wrapText="1"/>
    </xf>
    <xf numFmtId="0" fontId="57" fillId="48" borderId="49" xfId="0" applyFont="1" applyFill="1" applyBorder="1" applyAlignment="1">
      <alignment horizontal="left" vertical="center" wrapText="1"/>
    </xf>
    <xf numFmtId="0" fontId="75" fillId="66" borderId="67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720</c:v>
                </c:pt>
                <c:pt idx="13">
                  <c:v>880.00000000000011</c:v>
                </c:pt>
                <c:pt idx="14">
                  <c:v>1040</c:v>
                </c:pt>
                <c:pt idx="15">
                  <c:v>1200</c:v>
                </c:pt>
                <c:pt idx="16">
                  <c:v>1360.0000000000002</c:v>
                </c:pt>
                <c:pt idx="17">
                  <c:v>1520</c:v>
                </c:pt>
                <c:pt idx="18">
                  <c:v>1680</c:v>
                </c:pt>
                <c:pt idx="19">
                  <c:v>1840</c:v>
                </c:pt>
                <c:pt idx="20">
                  <c:v>2000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1058.4000000000001</c:v>
                </c:pt>
                <c:pt idx="13">
                  <c:v>1246.1500000000001</c:v>
                </c:pt>
                <c:pt idx="14">
                  <c:v>1433.9</c:v>
                </c:pt>
                <c:pt idx="15">
                  <c:v>1621.65</c:v>
                </c:pt>
                <c:pt idx="16">
                  <c:v>1809.4</c:v>
                </c:pt>
                <c:pt idx="17">
                  <c:v>1997.1499999999999</c:v>
                </c:pt>
                <c:pt idx="18">
                  <c:v>2184.9</c:v>
                </c:pt>
                <c:pt idx="19">
                  <c:v>2372.6499999999996</c:v>
                </c:pt>
                <c:pt idx="20">
                  <c:v>2560.4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1930.75</c:v>
                </c:pt>
                <c:pt idx="14">
                  <c:v>2169.5</c:v>
                </c:pt>
                <c:pt idx="15">
                  <c:v>2408.25</c:v>
                </c:pt>
                <c:pt idx="16">
                  <c:v>2647</c:v>
                </c:pt>
                <c:pt idx="17">
                  <c:v>2885.75</c:v>
                </c:pt>
                <c:pt idx="18">
                  <c:v>3124.5</c:v>
                </c:pt>
                <c:pt idx="19">
                  <c:v>3363.25</c:v>
                </c:pt>
                <c:pt idx="20">
                  <c:v>3602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2249.1999999999998</c:v>
                </c:pt>
                <c:pt idx="14">
                  <c:v>2511.1999999999998</c:v>
                </c:pt>
                <c:pt idx="15">
                  <c:v>2773.2</c:v>
                </c:pt>
                <c:pt idx="16">
                  <c:v>3035.2000000000003</c:v>
                </c:pt>
                <c:pt idx="17">
                  <c:v>3297.2</c:v>
                </c:pt>
                <c:pt idx="18">
                  <c:v>3559.2000000000003</c:v>
                </c:pt>
                <c:pt idx="19">
                  <c:v>3821.2</c:v>
                </c:pt>
                <c:pt idx="20">
                  <c:v>4083.2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837</c:v>
                </c:pt>
                <c:pt idx="7">
                  <c:v>924</c:v>
                </c:pt>
                <c:pt idx="8">
                  <c:v>1011</c:v>
                </c:pt>
                <c:pt idx="9">
                  <c:v>1098</c:v>
                </c:pt>
                <c:pt idx="10">
                  <c:v>1185</c:v>
                </c:pt>
                <c:pt idx="11">
                  <c:v>1272</c:v>
                </c:pt>
                <c:pt idx="12">
                  <c:v>1359</c:v>
                </c:pt>
                <c:pt idx="13">
                  <c:v>1471</c:v>
                </c:pt>
                <c:pt idx="14">
                  <c:v>1582.9999999999998</c:v>
                </c:pt>
                <c:pt idx="15">
                  <c:v>1695</c:v>
                </c:pt>
                <c:pt idx="16">
                  <c:v>1807</c:v>
                </c:pt>
                <c:pt idx="17">
                  <c:v>1918.9999999999998</c:v>
                </c:pt>
                <c:pt idx="18">
                  <c:v>2031</c:v>
                </c:pt>
                <c:pt idx="19">
                  <c:v>2143</c:v>
                </c:pt>
                <c:pt idx="20">
                  <c:v>2255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987</c:v>
                </c:pt>
                <c:pt idx="8">
                  <c:v>1074</c:v>
                </c:pt>
                <c:pt idx="9">
                  <c:v>1161</c:v>
                </c:pt>
                <c:pt idx="10">
                  <c:v>1248</c:v>
                </c:pt>
                <c:pt idx="11">
                  <c:v>1335</c:v>
                </c:pt>
                <c:pt idx="12">
                  <c:v>1422</c:v>
                </c:pt>
                <c:pt idx="13">
                  <c:v>1534</c:v>
                </c:pt>
                <c:pt idx="14">
                  <c:v>1646</c:v>
                </c:pt>
                <c:pt idx="15">
                  <c:v>1758</c:v>
                </c:pt>
                <c:pt idx="16">
                  <c:v>1870</c:v>
                </c:pt>
                <c:pt idx="17">
                  <c:v>1982</c:v>
                </c:pt>
                <c:pt idx="18">
                  <c:v>2094</c:v>
                </c:pt>
                <c:pt idx="19">
                  <c:v>2206</c:v>
                </c:pt>
                <c:pt idx="20">
                  <c:v>2318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1287</c:v>
                </c:pt>
                <c:pt idx="10">
                  <c:v>1374</c:v>
                </c:pt>
                <c:pt idx="11">
                  <c:v>1461</c:v>
                </c:pt>
                <c:pt idx="12">
                  <c:v>1548</c:v>
                </c:pt>
                <c:pt idx="13">
                  <c:v>1660</c:v>
                </c:pt>
                <c:pt idx="14">
                  <c:v>1771.9999999999998</c:v>
                </c:pt>
                <c:pt idx="15">
                  <c:v>1884</c:v>
                </c:pt>
                <c:pt idx="16">
                  <c:v>1996</c:v>
                </c:pt>
                <c:pt idx="17">
                  <c:v>2108</c:v>
                </c:pt>
                <c:pt idx="18">
                  <c:v>2220</c:v>
                </c:pt>
                <c:pt idx="19">
                  <c:v>2332</c:v>
                </c:pt>
                <c:pt idx="20">
                  <c:v>2444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1350</c:v>
                </c:pt>
                <c:pt idx="10">
                  <c:v>1437</c:v>
                </c:pt>
                <c:pt idx="11">
                  <c:v>1524</c:v>
                </c:pt>
                <c:pt idx="12">
                  <c:v>1611</c:v>
                </c:pt>
                <c:pt idx="13">
                  <c:v>1723</c:v>
                </c:pt>
                <c:pt idx="14">
                  <c:v>1834.9999999999998</c:v>
                </c:pt>
                <c:pt idx="15">
                  <c:v>1947</c:v>
                </c:pt>
                <c:pt idx="16">
                  <c:v>2059</c:v>
                </c:pt>
                <c:pt idx="17">
                  <c:v>2171</c:v>
                </c:pt>
                <c:pt idx="18">
                  <c:v>2283</c:v>
                </c:pt>
                <c:pt idx="19">
                  <c:v>2395</c:v>
                </c:pt>
                <c:pt idx="20">
                  <c:v>2507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275</c:v>
                </c:pt>
                <c:pt idx="6">
                  <c:v>327.8</c:v>
                </c:pt>
                <c:pt idx="7">
                  <c:v>380.59999999999997</c:v>
                </c:pt>
                <c:pt idx="8">
                  <c:v>433.40000000000003</c:v>
                </c:pt>
                <c:pt idx="9">
                  <c:v>486.20000000000005</c:v>
                </c:pt>
                <c:pt idx="10">
                  <c:v>539</c:v>
                </c:pt>
                <c:pt idx="11">
                  <c:v>591.80000000000007</c:v>
                </c:pt>
                <c:pt idx="12">
                  <c:v>644.59999999999991</c:v>
                </c:pt>
                <c:pt idx="13">
                  <c:v>697.40000000000009</c:v>
                </c:pt>
                <c:pt idx="14">
                  <c:v>750.19999999999993</c:v>
                </c:pt>
                <c:pt idx="15">
                  <c:v>803</c:v>
                </c:pt>
                <c:pt idx="16">
                  <c:v>855.80000000000007</c:v>
                </c:pt>
                <c:pt idx="17">
                  <c:v>908.6</c:v>
                </c:pt>
                <c:pt idx="18">
                  <c:v>961.4</c:v>
                </c:pt>
                <c:pt idx="19">
                  <c:v>1014.1999999999999</c:v>
                </c:pt>
                <c:pt idx="20">
                  <c:v>1067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461.90000000000003</c:v>
                </c:pt>
                <c:pt idx="7">
                  <c:v>533.20000000000005</c:v>
                </c:pt>
                <c:pt idx="8">
                  <c:v>604.5</c:v>
                </c:pt>
                <c:pt idx="9">
                  <c:v>675.80000000000007</c:v>
                </c:pt>
                <c:pt idx="10">
                  <c:v>747.1</c:v>
                </c:pt>
                <c:pt idx="11">
                  <c:v>818.40000000000009</c:v>
                </c:pt>
                <c:pt idx="12">
                  <c:v>889.7</c:v>
                </c:pt>
                <c:pt idx="13">
                  <c:v>961</c:v>
                </c:pt>
                <c:pt idx="14">
                  <c:v>1032.3</c:v>
                </c:pt>
                <c:pt idx="15">
                  <c:v>1103.6000000000001</c:v>
                </c:pt>
                <c:pt idx="16">
                  <c:v>1174.9000000000001</c:v>
                </c:pt>
                <c:pt idx="17">
                  <c:v>1246.2</c:v>
                </c:pt>
                <c:pt idx="18">
                  <c:v>1317.5</c:v>
                </c:pt>
                <c:pt idx="19">
                  <c:v>1388.8</c:v>
                </c:pt>
                <c:pt idx="20">
                  <c:v>1460.1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688</c:v>
                </c:pt>
                <c:pt idx="8">
                  <c:v>776</c:v>
                </c:pt>
                <c:pt idx="9">
                  <c:v>864</c:v>
                </c:pt>
                <c:pt idx="10">
                  <c:v>952</c:v>
                </c:pt>
                <c:pt idx="11">
                  <c:v>1040</c:v>
                </c:pt>
                <c:pt idx="12">
                  <c:v>1128</c:v>
                </c:pt>
                <c:pt idx="13">
                  <c:v>1216</c:v>
                </c:pt>
                <c:pt idx="14">
                  <c:v>1304</c:v>
                </c:pt>
                <c:pt idx="15">
                  <c:v>1392</c:v>
                </c:pt>
                <c:pt idx="16">
                  <c:v>1480</c:v>
                </c:pt>
                <c:pt idx="17">
                  <c:v>1568</c:v>
                </c:pt>
                <c:pt idx="18">
                  <c:v>1656.0000000000002</c:v>
                </c:pt>
                <c:pt idx="19">
                  <c:v>1743.9999999999998</c:v>
                </c:pt>
                <c:pt idx="20">
                  <c:v>1832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847.69999999999993</c:v>
                </c:pt>
                <c:pt idx="8">
                  <c:v>950.6</c:v>
                </c:pt>
                <c:pt idx="9">
                  <c:v>1053.5</c:v>
                </c:pt>
                <c:pt idx="10">
                  <c:v>1156.4000000000001</c:v>
                </c:pt>
                <c:pt idx="11">
                  <c:v>1259.3000000000002</c:v>
                </c:pt>
                <c:pt idx="12">
                  <c:v>1362.1999999999998</c:v>
                </c:pt>
                <c:pt idx="13">
                  <c:v>1465.1</c:v>
                </c:pt>
                <c:pt idx="14">
                  <c:v>1568</c:v>
                </c:pt>
                <c:pt idx="15">
                  <c:v>1670.9</c:v>
                </c:pt>
                <c:pt idx="16">
                  <c:v>1773.8000000000002</c:v>
                </c:pt>
                <c:pt idx="17">
                  <c:v>1876.6999999999998</c:v>
                </c:pt>
                <c:pt idx="18">
                  <c:v>1979.6</c:v>
                </c:pt>
                <c:pt idx="19">
                  <c:v>2082.5</c:v>
                </c:pt>
                <c:pt idx="20">
                  <c:v>2185.4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1014.9999999999999</c:v>
                </c:pt>
                <c:pt idx="8">
                  <c:v>1131</c:v>
                </c:pt>
                <c:pt idx="9">
                  <c:v>1247</c:v>
                </c:pt>
                <c:pt idx="10">
                  <c:v>1363</c:v>
                </c:pt>
                <c:pt idx="11">
                  <c:v>1479</c:v>
                </c:pt>
                <c:pt idx="12">
                  <c:v>1595</c:v>
                </c:pt>
                <c:pt idx="13">
                  <c:v>1711</c:v>
                </c:pt>
                <c:pt idx="14">
                  <c:v>1827</c:v>
                </c:pt>
                <c:pt idx="15">
                  <c:v>1943</c:v>
                </c:pt>
                <c:pt idx="16">
                  <c:v>2059</c:v>
                </c:pt>
                <c:pt idx="17">
                  <c:v>2175</c:v>
                </c:pt>
                <c:pt idx="18">
                  <c:v>2291</c:v>
                </c:pt>
                <c:pt idx="19">
                  <c:v>2407</c:v>
                </c:pt>
                <c:pt idx="20">
                  <c:v>2523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736</c:v>
                </c:pt>
                <c:pt idx="13">
                  <c:v>836</c:v>
                </c:pt>
                <c:pt idx="14">
                  <c:v>936</c:v>
                </c:pt>
                <c:pt idx="15">
                  <c:v>1036</c:v>
                </c:pt>
                <c:pt idx="16">
                  <c:v>1136.0000000000002</c:v>
                </c:pt>
                <c:pt idx="17">
                  <c:v>1236</c:v>
                </c:pt>
                <c:pt idx="18">
                  <c:v>1336</c:v>
                </c:pt>
                <c:pt idx="19">
                  <c:v>1436</c:v>
                </c:pt>
                <c:pt idx="20">
                  <c:v>1536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1072.4000000000001</c:v>
                </c:pt>
                <c:pt idx="13">
                  <c:v>1230.1500000000001</c:v>
                </c:pt>
                <c:pt idx="14">
                  <c:v>1387.9</c:v>
                </c:pt>
                <c:pt idx="15">
                  <c:v>1545.65</c:v>
                </c:pt>
                <c:pt idx="16">
                  <c:v>1703.4</c:v>
                </c:pt>
                <c:pt idx="17">
                  <c:v>1861.1499999999999</c:v>
                </c:pt>
                <c:pt idx="18">
                  <c:v>2018.9</c:v>
                </c:pt>
                <c:pt idx="19">
                  <c:v>2176.6499999999996</c:v>
                </c:pt>
                <c:pt idx="20">
                  <c:v>2334.4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1934.75</c:v>
                </c:pt>
                <c:pt idx="14">
                  <c:v>2203.5</c:v>
                </c:pt>
                <c:pt idx="15">
                  <c:v>2472.25</c:v>
                </c:pt>
                <c:pt idx="16">
                  <c:v>2741</c:v>
                </c:pt>
                <c:pt idx="17">
                  <c:v>3009.75</c:v>
                </c:pt>
                <c:pt idx="18">
                  <c:v>3278.5</c:v>
                </c:pt>
                <c:pt idx="19">
                  <c:v>3547.25</c:v>
                </c:pt>
                <c:pt idx="20">
                  <c:v>3816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2245.1999999999998</c:v>
                </c:pt>
                <c:pt idx="14">
                  <c:v>2567.1999999999998</c:v>
                </c:pt>
                <c:pt idx="15">
                  <c:v>2889.2</c:v>
                </c:pt>
                <c:pt idx="16">
                  <c:v>3211.2000000000003</c:v>
                </c:pt>
                <c:pt idx="17">
                  <c:v>3533.2</c:v>
                </c:pt>
                <c:pt idx="18">
                  <c:v>3855.2000000000003</c:v>
                </c:pt>
                <c:pt idx="19">
                  <c:v>4177.2</c:v>
                </c:pt>
                <c:pt idx="20">
                  <c:v>4499.2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-55</c:v>
                </c:pt>
                <c:pt idx="2">
                  <c:v>-110</c:v>
                </c:pt>
                <c:pt idx="3">
                  <c:v>-165</c:v>
                </c:pt>
                <c:pt idx="4">
                  <c:v>-220</c:v>
                </c:pt>
                <c:pt idx="5">
                  <c:v>-275</c:v>
                </c:pt>
                <c:pt idx="6">
                  <c:v>-327.8</c:v>
                </c:pt>
                <c:pt idx="7">
                  <c:v>-380.59999999999997</c:v>
                </c:pt>
                <c:pt idx="8">
                  <c:v>-433.40000000000003</c:v>
                </c:pt>
                <c:pt idx="9">
                  <c:v>-486.20000000000005</c:v>
                </c:pt>
                <c:pt idx="10">
                  <c:v>-539</c:v>
                </c:pt>
                <c:pt idx="11">
                  <c:v>-591.80000000000007</c:v>
                </c:pt>
                <c:pt idx="12">
                  <c:v>-644.59999999999991</c:v>
                </c:pt>
                <c:pt idx="13">
                  <c:v>-697.40000000000009</c:v>
                </c:pt>
                <c:pt idx="14">
                  <c:v>-750.19999999999993</c:v>
                </c:pt>
                <c:pt idx="15">
                  <c:v>-803</c:v>
                </c:pt>
                <c:pt idx="16">
                  <c:v>-855.80000000000007</c:v>
                </c:pt>
                <c:pt idx="17">
                  <c:v>-908.6</c:v>
                </c:pt>
                <c:pt idx="18">
                  <c:v>-961.4</c:v>
                </c:pt>
                <c:pt idx="19">
                  <c:v>-1014.1999999999999</c:v>
                </c:pt>
                <c:pt idx="20">
                  <c:v>-1067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-77.5</c:v>
                </c:pt>
                <c:pt idx="2">
                  <c:v>-155</c:v>
                </c:pt>
                <c:pt idx="3">
                  <c:v>-232.5</c:v>
                </c:pt>
                <c:pt idx="4">
                  <c:v>-310</c:v>
                </c:pt>
                <c:pt idx="5">
                  <c:v>-387.5</c:v>
                </c:pt>
                <c:pt idx="6">
                  <c:v>-461.90000000000003</c:v>
                </c:pt>
                <c:pt idx="7">
                  <c:v>-533.20000000000005</c:v>
                </c:pt>
                <c:pt idx="8">
                  <c:v>-604.5</c:v>
                </c:pt>
                <c:pt idx="9">
                  <c:v>-675.80000000000007</c:v>
                </c:pt>
                <c:pt idx="10">
                  <c:v>-747.1</c:v>
                </c:pt>
                <c:pt idx="11">
                  <c:v>-818.40000000000009</c:v>
                </c:pt>
                <c:pt idx="12">
                  <c:v>-889.7</c:v>
                </c:pt>
                <c:pt idx="13">
                  <c:v>-961</c:v>
                </c:pt>
                <c:pt idx="14">
                  <c:v>-1032.3</c:v>
                </c:pt>
                <c:pt idx="15">
                  <c:v>-1103.6000000000001</c:v>
                </c:pt>
                <c:pt idx="16">
                  <c:v>-1174.9000000000001</c:v>
                </c:pt>
                <c:pt idx="17">
                  <c:v>-1246.2</c:v>
                </c:pt>
                <c:pt idx="18">
                  <c:v>-1317.5</c:v>
                </c:pt>
                <c:pt idx="19">
                  <c:v>-1388.8</c:v>
                </c:pt>
                <c:pt idx="20">
                  <c:v>-1460.1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-600</c:v>
                </c:pt>
                <c:pt idx="7">
                  <c:v>-688</c:v>
                </c:pt>
                <c:pt idx="8">
                  <c:v>-776</c:v>
                </c:pt>
                <c:pt idx="9">
                  <c:v>-864</c:v>
                </c:pt>
                <c:pt idx="10">
                  <c:v>-952</c:v>
                </c:pt>
                <c:pt idx="11">
                  <c:v>-1040</c:v>
                </c:pt>
                <c:pt idx="12">
                  <c:v>-1128</c:v>
                </c:pt>
                <c:pt idx="13">
                  <c:v>-1216</c:v>
                </c:pt>
                <c:pt idx="14">
                  <c:v>-1304</c:v>
                </c:pt>
                <c:pt idx="15">
                  <c:v>-1392</c:v>
                </c:pt>
                <c:pt idx="16">
                  <c:v>-1480</c:v>
                </c:pt>
                <c:pt idx="17">
                  <c:v>-1568</c:v>
                </c:pt>
                <c:pt idx="18">
                  <c:v>-1656.0000000000002</c:v>
                </c:pt>
                <c:pt idx="19">
                  <c:v>-1743.9999999999998</c:v>
                </c:pt>
                <c:pt idx="20">
                  <c:v>-1832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-122.5</c:v>
                </c:pt>
                <c:pt idx="2">
                  <c:v>-245</c:v>
                </c:pt>
                <c:pt idx="3">
                  <c:v>-367.5</c:v>
                </c:pt>
                <c:pt idx="4">
                  <c:v>-490</c:v>
                </c:pt>
                <c:pt idx="5">
                  <c:v>-612.5</c:v>
                </c:pt>
                <c:pt idx="6">
                  <c:v>-735</c:v>
                </c:pt>
                <c:pt idx="7">
                  <c:v>-847.69999999999993</c:v>
                </c:pt>
                <c:pt idx="8">
                  <c:v>-950.6</c:v>
                </c:pt>
                <c:pt idx="9">
                  <c:v>-1053.5</c:v>
                </c:pt>
                <c:pt idx="10">
                  <c:v>-1156.4000000000001</c:v>
                </c:pt>
                <c:pt idx="11">
                  <c:v>-1259.3000000000002</c:v>
                </c:pt>
                <c:pt idx="12">
                  <c:v>-1362.1999999999998</c:v>
                </c:pt>
                <c:pt idx="13">
                  <c:v>-1465.1</c:v>
                </c:pt>
                <c:pt idx="14">
                  <c:v>-1568</c:v>
                </c:pt>
                <c:pt idx="15">
                  <c:v>-1670.9</c:v>
                </c:pt>
                <c:pt idx="16">
                  <c:v>-1773.8000000000002</c:v>
                </c:pt>
                <c:pt idx="17">
                  <c:v>-1876.6999999999998</c:v>
                </c:pt>
                <c:pt idx="18">
                  <c:v>-1979.6</c:v>
                </c:pt>
                <c:pt idx="19">
                  <c:v>-2082.5</c:v>
                </c:pt>
                <c:pt idx="20">
                  <c:v>-2185.4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-145</c:v>
                </c:pt>
                <c:pt idx="2">
                  <c:v>-290</c:v>
                </c:pt>
                <c:pt idx="3">
                  <c:v>-435</c:v>
                </c:pt>
                <c:pt idx="4">
                  <c:v>-580</c:v>
                </c:pt>
                <c:pt idx="5">
                  <c:v>-725</c:v>
                </c:pt>
                <c:pt idx="6">
                  <c:v>-870</c:v>
                </c:pt>
                <c:pt idx="7">
                  <c:v>-1014.9999999999999</c:v>
                </c:pt>
                <c:pt idx="8">
                  <c:v>-1131</c:v>
                </c:pt>
                <c:pt idx="9">
                  <c:v>-1247</c:v>
                </c:pt>
                <c:pt idx="10">
                  <c:v>-1363</c:v>
                </c:pt>
                <c:pt idx="11">
                  <c:v>-1479</c:v>
                </c:pt>
                <c:pt idx="12">
                  <c:v>-1595</c:v>
                </c:pt>
                <c:pt idx="13">
                  <c:v>-1711</c:v>
                </c:pt>
                <c:pt idx="14">
                  <c:v>-1827</c:v>
                </c:pt>
                <c:pt idx="15">
                  <c:v>-1943</c:v>
                </c:pt>
                <c:pt idx="16">
                  <c:v>-2059</c:v>
                </c:pt>
                <c:pt idx="17">
                  <c:v>-2175</c:v>
                </c:pt>
                <c:pt idx="18">
                  <c:v>-2291</c:v>
                </c:pt>
                <c:pt idx="19">
                  <c:v>-2407</c:v>
                </c:pt>
                <c:pt idx="20">
                  <c:v>-2523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1076-162E-4C47-9871-BBC094380969}">
  <sheetPr>
    <tabColor rgb="FF31475E"/>
    <pageSetUpPr fitToPage="1"/>
  </sheetPr>
  <dimension ref="A1:H21"/>
  <sheetViews>
    <sheetView showGridLines="0" workbookViewId="0">
      <selection activeCell="G11" sqref="G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82" t="s">
        <v>83</v>
      </c>
      <c r="C2" s="83"/>
      <c r="D2" s="83"/>
      <c r="E2" s="83"/>
      <c r="F2" s="83"/>
      <c r="G2" s="83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19"/>
      <c r="C4" s="6"/>
      <c r="D4" s="9" t="s">
        <v>62</v>
      </c>
      <c r="E4" s="10" t="s">
        <v>58</v>
      </c>
      <c r="F4" s="10" t="s">
        <v>63</v>
      </c>
      <c r="G4" s="11" t="s">
        <v>64</v>
      </c>
      <c r="H4" s="6"/>
    </row>
    <row r="5" spans="1:8" ht="31" customHeight="1">
      <c r="A5" s="6"/>
      <c r="B5" s="19"/>
      <c r="C5" s="6"/>
      <c r="D5" s="20" t="s">
        <v>82</v>
      </c>
      <c r="E5" s="15">
        <v>305</v>
      </c>
      <c r="F5" s="15">
        <v>325</v>
      </c>
      <c r="G5" s="15">
        <v>270</v>
      </c>
      <c r="H5" s="6"/>
    </row>
    <row r="6" spans="1:8" ht="31" customHeight="1">
      <c r="A6" s="6"/>
      <c r="B6" s="84" t="s">
        <v>77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1" customHeight="1">
      <c r="A7" s="6"/>
      <c r="B7" s="84"/>
      <c r="C7" s="6"/>
      <c r="D7" s="12" t="s">
        <v>79</v>
      </c>
      <c r="E7" s="16">
        <v>24</v>
      </c>
      <c r="F7" s="16">
        <v>24</v>
      </c>
      <c r="G7" s="16">
        <v>24</v>
      </c>
      <c r="H7" s="6"/>
    </row>
    <row r="8" spans="1:8" ht="31" customHeight="1">
      <c r="A8" s="6"/>
      <c r="B8" s="8" t="s">
        <v>65</v>
      </c>
      <c r="C8" s="6"/>
      <c r="D8" s="13" t="s">
        <v>80</v>
      </c>
      <c r="E8" s="17">
        <v>10</v>
      </c>
      <c r="F8" s="17">
        <v>20</v>
      </c>
      <c r="G8" s="17">
        <v>20</v>
      </c>
      <c r="H8" s="6"/>
    </row>
    <row r="9" spans="1:8" ht="31" customHeight="1">
      <c r="A9" s="6"/>
      <c r="B9" s="18" t="s">
        <v>78</v>
      </c>
      <c r="C9" s="6"/>
      <c r="D9" s="12" t="s">
        <v>81</v>
      </c>
      <c r="E9" s="16">
        <v>40</v>
      </c>
      <c r="F9" s="16">
        <v>60</v>
      </c>
      <c r="G9" s="16">
        <v>40</v>
      </c>
      <c r="H9" s="6"/>
    </row>
    <row r="10" spans="1:8" ht="31" customHeight="1">
      <c r="A10" s="6"/>
      <c r="B10" s="7"/>
      <c r="C10" s="6"/>
      <c r="D10" s="13" t="s">
        <v>69</v>
      </c>
      <c r="E10" s="14" t="s">
        <v>70</v>
      </c>
      <c r="F10" s="14" t="s">
        <v>71</v>
      </c>
      <c r="G10" s="14" t="s">
        <v>72</v>
      </c>
      <c r="H10" s="6"/>
    </row>
    <row r="11" spans="1:8" ht="31" customHeight="1">
      <c r="A11" s="6"/>
      <c r="B11" s="7"/>
      <c r="C11" s="6"/>
      <c r="D11" s="12" t="s">
        <v>73</v>
      </c>
      <c r="E11" s="21"/>
      <c r="F11" s="16" t="s">
        <v>75</v>
      </c>
      <c r="G11" s="16" t="s">
        <v>75</v>
      </c>
      <c r="H11" s="6"/>
    </row>
    <row r="12" spans="1:8" ht="31" customHeight="1">
      <c r="A12" s="6"/>
      <c r="B12" s="7"/>
      <c r="C12" s="6"/>
      <c r="D12" s="13" t="s">
        <v>74</v>
      </c>
      <c r="E12" s="14" t="s">
        <v>75</v>
      </c>
      <c r="F12" s="14" t="s">
        <v>75</v>
      </c>
      <c r="G12" s="14" t="s">
        <v>75</v>
      </c>
      <c r="H12" s="6"/>
    </row>
    <row r="13" spans="1:8" ht="31" customHeight="1">
      <c r="A13" s="6"/>
      <c r="B13" s="7"/>
      <c r="C13" s="6"/>
      <c r="D13" s="12" t="s">
        <v>76</v>
      </c>
      <c r="E13" s="21"/>
      <c r="F13" s="21"/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81"/>
      <c r="E15" s="81"/>
      <c r="F15" s="81"/>
      <c r="G15" s="81"/>
      <c r="H15" s="6"/>
    </row>
    <row r="16" spans="1:8" ht="22" customHeight="1">
      <c r="A16" s="6"/>
      <c r="B16" s="6"/>
      <c r="C16" s="6"/>
      <c r="D16" s="81"/>
      <c r="E16" s="81"/>
      <c r="F16" s="81"/>
      <c r="G16" s="81"/>
      <c r="H16" s="6"/>
    </row>
    <row r="17" spans="1:8" ht="22" customHeight="1">
      <c r="A17" s="6"/>
      <c r="B17" s="6"/>
      <c r="C17" s="6"/>
      <c r="D17" s="66"/>
      <c r="E17" s="81"/>
      <c r="F17" s="81"/>
      <c r="G17" s="81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81B4-D931-43F0-8F2F-9E6943E0CB9F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E4" sqref="E4:M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6" t="s">
        <v>46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95</v>
      </c>
      <c r="D4" s="1"/>
      <c r="E4" s="85"/>
      <c r="F4" s="85"/>
      <c r="G4" s="85"/>
      <c r="H4" s="85"/>
      <c r="I4" s="85"/>
      <c r="J4" s="85"/>
      <c r="K4" s="85"/>
      <c r="L4" s="85"/>
      <c r="M4" s="8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5" t="s">
        <v>57</v>
      </c>
      <c r="C6" s="24" t="s">
        <v>58</v>
      </c>
      <c r="D6" s="1"/>
      <c r="E6" s="1"/>
      <c r="F6" s="70" t="s">
        <v>18</v>
      </c>
      <c r="G6" s="69"/>
      <c r="H6" s="69"/>
      <c r="I6" s="69"/>
      <c r="J6" s="69"/>
      <c r="K6" s="1"/>
      <c r="L6" s="1"/>
      <c r="M6" s="1"/>
      <c r="N6" s="1"/>
      <c r="O6" s="1"/>
    </row>
    <row r="7" spans="1:15" ht="28" customHeight="1">
      <c r="A7" s="1"/>
      <c r="B7" s="26" t="s">
        <v>7</v>
      </c>
      <c r="C7" s="27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3" t="s">
        <v>9</v>
      </c>
      <c r="C8" s="27">
        <v>-4</v>
      </c>
      <c r="D8" s="1"/>
      <c r="E8" s="1"/>
      <c r="F8" s="1" t="s">
        <v>19</v>
      </c>
      <c r="G8" s="73"/>
      <c r="H8" s="73"/>
      <c r="I8" s="86">
        <f>IF(C18="OK",Samples!F165*MIN(C10,Samples!G165)+Samples!I165*MAX(0,C10-Samples!G165)+Samples!J165*MAX(0,C10-Samples!K165),"检查输入")</f>
        <v>3181.44</v>
      </c>
      <c r="J8" s="87"/>
      <c r="K8" s="1"/>
      <c r="L8" s="1"/>
      <c r="M8" s="1"/>
      <c r="N8" s="1"/>
      <c r="O8" s="1"/>
    </row>
    <row r="9" spans="1:15" ht="28" customHeight="1">
      <c r="A9" s="1"/>
      <c r="B9" s="26" t="s">
        <v>20</v>
      </c>
      <c r="C9" s="27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5" t="s">
        <v>21</v>
      </c>
      <c r="C10" s="28">
        <v>1</v>
      </c>
      <c r="D10" s="1"/>
      <c r="E10" s="1"/>
      <c r="F10" s="1" t="s">
        <v>22</v>
      </c>
      <c r="G10" s="73"/>
      <c r="H10" s="73"/>
      <c r="I10" s="86">
        <f>IF(C18="OK",Samples!M165*MIN(C10,Samples!N165)+Samples!P165*MAX(0,C10-Samples!N165),"检查输入")</f>
        <v>1832</v>
      </c>
      <c r="J10" s="87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5" t="s">
        <v>23</v>
      </c>
      <c r="C13" s="29">
        <f>Parameters!D23</f>
        <v>24</v>
      </c>
      <c r="D13" s="1"/>
      <c r="E13" s="1"/>
      <c r="F13" s="70" t="s">
        <v>47</v>
      </c>
      <c r="G13" s="69"/>
      <c r="H13" s="69"/>
      <c r="I13" s="69"/>
      <c r="J13" s="69"/>
      <c r="K13" s="1"/>
      <c r="L13" s="1"/>
      <c r="M13" s="1"/>
      <c r="N13" s="1"/>
      <c r="O13" s="1"/>
    </row>
    <row r="14" spans="1:15" ht="28" customHeight="1">
      <c r="A14" s="1"/>
      <c r="B14" s="30" t="s">
        <v>24</v>
      </c>
      <c r="C14" s="31">
        <f>IF(C6="RA65",Parameters!D27,Parameters!D24)</f>
        <v>10</v>
      </c>
      <c r="D14" s="1"/>
      <c r="E14" s="1"/>
      <c r="F14" s="88" t="s">
        <v>10</v>
      </c>
      <c r="G14" s="72"/>
      <c r="H14" s="72"/>
      <c r="I14" s="32">
        <f>Samples!F165</f>
        <v>2400</v>
      </c>
      <c r="J14" s="23" t="s">
        <v>11</v>
      </c>
      <c r="K14" s="1"/>
      <c r="L14" s="1"/>
      <c r="M14" s="1"/>
      <c r="N14" s="1"/>
      <c r="O14" s="1"/>
    </row>
    <row r="15" spans="1:15" ht="28" customHeight="1">
      <c r="A15" s="1"/>
      <c r="B15" s="25" t="s">
        <v>25</v>
      </c>
      <c r="C15" s="29">
        <f>IF(C6="RA85",Parameters!D26,Parameters!D25)</f>
        <v>40</v>
      </c>
      <c r="D15" s="1"/>
      <c r="E15" s="1"/>
      <c r="F15" s="73" t="s">
        <v>26</v>
      </c>
      <c r="G15" s="65"/>
      <c r="H15" s="65"/>
      <c r="I15" s="33">
        <f>Samples!I165</f>
        <v>2280</v>
      </c>
      <c r="J15" s="26" t="s">
        <v>11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1" t="s">
        <v>48</v>
      </c>
      <c r="G16" s="72"/>
      <c r="H16" s="72"/>
      <c r="I16" s="32">
        <f>Samples!J165</f>
        <v>2240</v>
      </c>
      <c r="J16" s="23" t="s">
        <v>11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1" t="s">
        <v>27</v>
      </c>
      <c r="G17" s="65"/>
      <c r="H17" s="65"/>
      <c r="I17" s="33">
        <f>Samples!L165</f>
        <v>4520</v>
      </c>
      <c r="J17" s="26" t="s">
        <v>11</v>
      </c>
      <c r="K17" s="1"/>
      <c r="L17" s="1"/>
      <c r="M17" s="1"/>
      <c r="N17" s="1"/>
      <c r="O17" s="1"/>
    </row>
    <row r="18" spans="1:15" ht="28" customHeight="1">
      <c r="A18" s="1"/>
      <c r="B18" s="25" t="s">
        <v>28</v>
      </c>
      <c r="C18" s="34" t="str">
        <f>IF(AND(OR(C4="Type-A",C4="Type-B"),OR(C6="RA65",C6="RA85",C6="RA85/2"),COUNT(C7:C10)=4,C7&gt;=-C13,C7&lt;=0,C8&gt;=-C14,C8&lt;=0,C9&gt;=-C15,C9&lt;=0,C10&gt;=0,INT(C7)=C7,INT(C8)=C8,INT(C9)=C9),"OK","检查输入")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88" t="s">
        <v>15</v>
      </c>
      <c r="G19" s="72"/>
      <c r="H19" s="72"/>
      <c r="I19" s="32">
        <f>Samples!M165</f>
        <v>2000</v>
      </c>
      <c r="J19" s="23" t="s">
        <v>11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3" t="s">
        <v>29</v>
      </c>
      <c r="G20" s="65"/>
      <c r="H20" s="65"/>
      <c r="I20" s="33">
        <f>Samples!P165</f>
        <v>1760</v>
      </c>
      <c r="J20" s="26" t="s">
        <v>11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1" t="s">
        <v>44</v>
      </c>
      <c r="G22" s="72"/>
      <c r="H22" s="72"/>
      <c r="I22" s="35">
        <f>Samples!G165</f>
        <v>0.12</v>
      </c>
      <c r="J22" s="23" t="s">
        <v>12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1" t="s">
        <v>45</v>
      </c>
      <c r="G23" s="65"/>
      <c r="H23" s="65"/>
      <c r="I23" s="36">
        <f>Samples!K165</f>
        <v>0.60399999999999998</v>
      </c>
      <c r="J23" s="26" t="s">
        <v>12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88" t="s">
        <v>16</v>
      </c>
      <c r="G24" s="72"/>
      <c r="H24" s="72"/>
      <c r="I24" s="35">
        <f>Samples!N165</f>
        <v>0.3</v>
      </c>
      <c r="J24" s="23" t="s">
        <v>12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89" t="s">
        <v>84</v>
      </c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"RA65,RA85,RA85/2"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08E1E-BB83-4FAB-9B85-6A933F74EEA6}">
  <sheetPr>
    <tabColor rgb="FF31475E"/>
  </sheetPr>
  <dimension ref="A1:O42"/>
  <sheetViews>
    <sheetView showGridLines="0" zoomScale="65" zoomScaleNormal="145" workbookViewId="0">
      <pane ySplit="4" topLeftCell="A11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6" t="s">
        <v>53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5"/>
      <c r="F4" s="85"/>
      <c r="G4" s="85"/>
      <c r="H4" s="85"/>
      <c r="I4" s="85"/>
      <c r="J4" s="85"/>
      <c r="K4" s="85"/>
      <c r="L4" s="85"/>
      <c r="M4" s="8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">
        <v>2</v>
      </c>
      <c r="C6" s="27">
        <v>-10</v>
      </c>
      <c r="D6" s="1"/>
      <c r="E6" s="66"/>
      <c r="F6" s="66"/>
      <c r="G6" s="66"/>
      <c r="H6" s="66"/>
      <c r="I6" s="66"/>
      <c r="J6" s="66"/>
      <c r="K6" s="66"/>
      <c r="L6" s="66"/>
      <c r="M6" s="6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B7FAA-4A83-4EBB-A9C1-8C78098AF5F6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D73" sqref="D73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6" t="s">
        <v>54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4</v>
      </c>
      <c r="D4" s="1"/>
      <c r="E4" s="85"/>
      <c r="F4" s="85"/>
      <c r="G4" s="85"/>
      <c r="H4" s="85"/>
      <c r="I4" s="85"/>
      <c r="J4" s="85"/>
      <c r="K4" s="85"/>
      <c r="L4" s="85"/>
      <c r="M4" s="8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">
        <v>3</v>
      </c>
      <c r="C6" s="27">
        <v>-12</v>
      </c>
      <c r="D6" s="1"/>
      <c r="E6" s="66"/>
      <c r="F6" s="66"/>
      <c r="G6" s="66"/>
      <c r="H6" s="66"/>
      <c r="I6" s="66"/>
      <c r="J6" s="66"/>
      <c r="K6" s="66"/>
      <c r="L6" s="66"/>
      <c r="M6" s="6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300F9-F1E8-493D-ADC4-34E5C268D5C1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6" t="s">
        <v>55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5"/>
      <c r="F4" s="85"/>
      <c r="G4" s="85"/>
      <c r="H4" s="85"/>
      <c r="I4" s="85"/>
      <c r="J4" s="85"/>
      <c r="K4" s="85"/>
      <c r="L4" s="85"/>
      <c r="M4" s="8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955B-9F2D-48B4-AAAE-C4131CF361C6}">
  <sheetPr>
    <tabColor rgb="FF31475E"/>
  </sheetPr>
  <dimension ref="A1:O42"/>
  <sheetViews>
    <sheetView showGridLines="0" zoomScale="56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6" t="s">
        <v>56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85"/>
      <c r="F4" s="85"/>
      <c r="G4" s="85"/>
      <c r="H4" s="85"/>
      <c r="I4" s="85"/>
      <c r="J4" s="85"/>
      <c r="K4" s="85"/>
      <c r="L4" s="85"/>
      <c r="M4" s="8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E7CBC-9EAC-42F3-AA4E-F4395790A23E}">
  <sheetPr>
    <tabColor rgb="FFC49A32"/>
  </sheetPr>
  <dimension ref="A1:O41"/>
  <sheetViews>
    <sheetView showGridLines="0" tabSelected="1" zoomScale="111" workbookViewId="0">
      <pane ySplit="4" topLeftCell="A6" activePane="bottomLeft" state="frozen"/>
      <selection pane="bottomLeft" activeCell="H19" sqref="H19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66" t="s">
        <v>49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1"/>
    </row>
    <row r="3" spans="1:15" ht="24" customHeight="1">
      <c r="A3" s="1"/>
      <c r="B3" s="67" t="s">
        <v>84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69" t="s">
        <v>1</v>
      </c>
      <c r="E5" s="69"/>
      <c r="F5" s="69"/>
      <c r="G5" s="69"/>
      <c r="H5" s="69"/>
      <c r="I5" s="1"/>
      <c r="J5" s="69" t="s">
        <v>4</v>
      </c>
      <c r="K5" s="69"/>
      <c r="L5" s="69"/>
      <c r="M5" s="69"/>
      <c r="N5" s="69"/>
      <c r="O5" s="1"/>
    </row>
    <row r="6" spans="1:15" ht="30" customHeight="1">
      <c r="A6" s="1"/>
      <c r="B6" s="37" t="s">
        <v>5</v>
      </c>
      <c r="C6" s="37" t="s">
        <v>6</v>
      </c>
      <c r="D6" s="38">
        <v>0</v>
      </c>
      <c r="E6" s="38">
        <v>0.25</v>
      </c>
      <c r="F6" s="38">
        <v>0.5</v>
      </c>
      <c r="G6" s="38">
        <v>0.75</v>
      </c>
      <c r="H6" s="38">
        <v>1</v>
      </c>
      <c r="I6" s="2"/>
      <c r="J6" s="38">
        <f>D6</f>
        <v>0</v>
      </c>
      <c r="K6" s="38">
        <f>E6</f>
        <v>0.25</v>
      </c>
      <c r="L6" s="38">
        <f>F6</f>
        <v>0.5</v>
      </c>
      <c r="M6" s="38">
        <f>G6</f>
        <v>0.75</v>
      </c>
      <c r="N6" s="38">
        <f>H6</f>
        <v>1</v>
      </c>
      <c r="O6" s="1"/>
    </row>
    <row r="7" spans="1:15" ht="29" customHeight="1">
      <c r="A7" s="1"/>
      <c r="B7" s="23" t="s">
        <v>7</v>
      </c>
      <c r="C7" s="25" t="s">
        <v>8</v>
      </c>
      <c r="D7" s="29">
        <f>(D$6-1)*$D$23</f>
        <v>-24</v>
      </c>
      <c r="E7" s="29">
        <f>(E$6-1)*$D$23</f>
        <v>-18</v>
      </c>
      <c r="F7" s="29">
        <f>(F$6-1)*$D$23</f>
        <v>-12</v>
      </c>
      <c r="G7" s="29">
        <f>(G$6-1)*$D$23</f>
        <v>-6</v>
      </c>
      <c r="H7" s="29">
        <f>(H$6-1)*$D$23</f>
        <v>0</v>
      </c>
      <c r="I7" s="1"/>
      <c r="J7" s="29">
        <f>(J$6-1)*$D$23</f>
        <v>-24</v>
      </c>
      <c r="K7" s="29">
        <f>(K$6-1)*$D$23</f>
        <v>-18</v>
      </c>
      <c r="L7" s="29">
        <f>(L$6-1)*$D$23</f>
        <v>-12</v>
      </c>
      <c r="M7" s="29">
        <f>(M$6-1)*$D$23</f>
        <v>-6</v>
      </c>
      <c r="N7" s="29">
        <f>(N$6-1)*$D$23</f>
        <v>0</v>
      </c>
      <c r="O7" s="1"/>
    </row>
    <row r="8" spans="1:15" ht="29" customHeight="1">
      <c r="A8" s="1"/>
      <c r="B8" s="26" t="s">
        <v>9</v>
      </c>
      <c r="C8" s="30" t="s">
        <v>8</v>
      </c>
      <c r="D8" s="31">
        <f>(D$6-1)*$D$24</f>
        <v>-20</v>
      </c>
      <c r="E8" s="31">
        <f>(E$6-1)*$D$24</f>
        <v>-15</v>
      </c>
      <c r="F8" s="31">
        <f>(F$6-1)*$D$24</f>
        <v>-10</v>
      </c>
      <c r="G8" s="31">
        <f>(G$6-1)*$D$24</f>
        <v>-5</v>
      </c>
      <c r="H8" s="31">
        <f>(H$6-1)*$D$24</f>
        <v>0</v>
      </c>
      <c r="I8" s="1"/>
      <c r="J8" s="31">
        <f>(J$6-1)*$D$24</f>
        <v>-20</v>
      </c>
      <c r="K8" s="31">
        <f>(K$6-1)*$D$24</f>
        <v>-15</v>
      </c>
      <c r="L8" s="31">
        <f>(L$6-1)*$D$24</f>
        <v>-10</v>
      </c>
      <c r="M8" s="31">
        <f>(M$6-1)*$D$24</f>
        <v>-5</v>
      </c>
      <c r="N8" s="31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3" t="s">
        <v>10</v>
      </c>
      <c r="C10" s="23" t="s">
        <v>11</v>
      </c>
      <c r="D10" s="27">
        <v>1200</v>
      </c>
      <c r="E10" s="39">
        <f>(D10+F10)/2</f>
        <v>1800</v>
      </c>
      <c r="F10" s="27">
        <v>2400</v>
      </c>
      <c r="G10" s="39">
        <f>(F10+H10)/2</f>
        <v>3000</v>
      </c>
      <c r="H10" s="27">
        <v>3600</v>
      </c>
      <c r="I10" s="1"/>
      <c r="J10" s="27">
        <v>1800</v>
      </c>
      <c r="K10" s="39">
        <f>(J10+L10)/2</f>
        <v>2400</v>
      </c>
      <c r="L10" s="27">
        <v>3000</v>
      </c>
      <c r="M10" s="39">
        <f>(L10+N10)/2</f>
        <v>3600</v>
      </c>
      <c r="N10" s="27">
        <v>4200</v>
      </c>
      <c r="O10" s="1"/>
    </row>
    <row r="11" spans="1:15" ht="29" customHeight="1">
      <c r="A11" s="1"/>
      <c r="B11" s="30" t="s">
        <v>44</v>
      </c>
      <c r="C11" s="26" t="s">
        <v>12</v>
      </c>
      <c r="D11" s="40">
        <v>0.12</v>
      </c>
      <c r="E11" s="36">
        <f>(D11+F11)/2</f>
        <v>0.12</v>
      </c>
      <c r="F11" s="40">
        <v>0.12</v>
      </c>
      <c r="G11" s="36">
        <f>(F11+H11)/2</f>
        <v>0.12</v>
      </c>
      <c r="H11" s="40">
        <v>0.12</v>
      </c>
      <c r="I11" s="1"/>
      <c r="J11" s="40">
        <v>0.25</v>
      </c>
      <c r="K11" s="36">
        <f>(J11+L11)/2</f>
        <v>0.3</v>
      </c>
      <c r="L11" s="40">
        <v>0.35</v>
      </c>
      <c r="M11" s="36">
        <f>(L11+N11)/2</f>
        <v>0.4</v>
      </c>
      <c r="N11" s="40">
        <v>0.45</v>
      </c>
      <c r="O11" s="1"/>
    </row>
    <row r="12" spans="1:15" ht="29" customHeight="1">
      <c r="A12" s="1"/>
      <c r="B12" s="23" t="s">
        <v>13</v>
      </c>
      <c r="C12" s="25" t="s">
        <v>14</v>
      </c>
      <c r="D12" s="40">
        <v>1</v>
      </c>
      <c r="E12" s="35">
        <f>(D12+F12)/2</f>
        <v>0.97499999999999998</v>
      </c>
      <c r="F12" s="40">
        <v>0.95</v>
      </c>
      <c r="G12" s="35">
        <f>(F12+H12)/2</f>
        <v>0.92500000000000004</v>
      </c>
      <c r="H12" s="40">
        <v>0.9</v>
      </c>
      <c r="I12" s="1"/>
      <c r="J12" s="40">
        <v>0.62</v>
      </c>
      <c r="K12" s="35">
        <f>(J12+L12)/2</f>
        <v>0.6</v>
      </c>
      <c r="L12" s="40">
        <v>0.57999999999999996</v>
      </c>
      <c r="M12" s="35">
        <f>(L12+N12)/2</f>
        <v>0.56000000000000005</v>
      </c>
      <c r="N12" s="40">
        <v>0.54</v>
      </c>
      <c r="O12" s="1"/>
    </row>
    <row r="13" spans="1:15" ht="29" customHeight="1">
      <c r="A13" s="1"/>
      <c r="B13" s="30" t="s">
        <v>50</v>
      </c>
      <c r="C13" s="26" t="s">
        <v>11</v>
      </c>
      <c r="D13" s="27">
        <v>800</v>
      </c>
      <c r="E13" s="41">
        <f>(D13+F13)/2</f>
        <v>1400</v>
      </c>
      <c r="F13" s="27">
        <v>2000</v>
      </c>
      <c r="G13" s="41">
        <f>(F13+H13)/2</f>
        <v>2600</v>
      </c>
      <c r="H13" s="27">
        <v>3200</v>
      </c>
      <c r="I13" s="1"/>
      <c r="J13" s="27">
        <v>500</v>
      </c>
      <c r="K13" s="41">
        <f>(J13+L13)/2</f>
        <v>500</v>
      </c>
      <c r="L13" s="27">
        <v>500</v>
      </c>
      <c r="M13" s="41">
        <f>(L13+N13)/2</f>
        <v>500</v>
      </c>
      <c r="N13" s="27">
        <v>500</v>
      </c>
      <c r="O13" s="1"/>
    </row>
    <row r="14" spans="1:15" ht="29" customHeight="1">
      <c r="A14" s="1"/>
      <c r="B14" s="25" t="s">
        <v>45</v>
      </c>
      <c r="C14" s="23" t="s">
        <v>12</v>
      </c>
      <c r="D14" s="40">
        <v>0.57999999999999996</v>
      </c>
      <c r="E14" s="40">
        <v>0.59</v>
      </c>
      <c r="F14" s="40">
        <v>0.6</v>
      </c>
      <c r="G14" s="40">
        <v>0.61</v>
      </c>
      <c r="H14" s="40">
        <v>0.62</v>
      </c>
      <c r="I14" s="1"/>
      <c r="J14" s="42">
        <f>$L$14</f>
        <v>0.6</v>
      </c>
      <c r="K14" s="42">
        <f>$L$14</f>
        <v>0.6</v>
      </c>
      <c r="L14" s="40">
        <v>0.6</v>
      </c>
      <c r="M14" s="42">
        <f>$L$14</f>
        <v>0.6</v>
      </c>
      <c r="N14" s="42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3" t="s">
        <v>51</v>
      </c>
      <c r="C16" s="37" t="s">
        <v>8</v>
      </c>
      <c r="D16" s="43">
        <f>(D$6-1)*$D$25</f>
        <v>-40</v>
      </c>
      <c r="E16" s="43">
        <f>(E$6-1)*$D$25</f>
        <v>-30</v>
      </c>
      <c r="F16" s="43">
        <f>(F$6-1)*$D$25</f>
        <v>-20</v>
      </c>
      <c r="G16" s="43">
        <f>(G$6-1)*$D$25</f>
        <v>-10</v>
      </c>
      <c r="H16" s="43">
        <f>(H$6-1)*$D$25</f>
        <v>0</v>
      </c>
      <c r="I16" s="1"/>
      <c r="J16" s="43">
        <f>(J$6-1)*$D$25</f>
        <v>-40</v>
      </c>
      <c r="K16" s="43">
        <f>(K$6-1)*$D$25</f>
        <v>-30</v>
      </c>
      <c r="L16" s="43">
        <f>(L$6-1)*$D$25</f>
        <v>-20</v>
      </c>
      <c r="M16" s="43">
        <f>(M$6-1)*$D$25</f>
        <v>-10</v>
      </c>
      <c r="N16" s="43">
        <f>(N$6-1)*$D$25</f>
        <v>0</v>
      </c>
      <c r="O16" s="1"/>
    </row>
    <row r="17" spans="1:15" ht="29" customHeight="1">
      <c r="A17" s="1"/>
      <c r="B17" s="23" t="s">
        <v>15</v>
      </c>
      <c r="C17" s="23" t="s">
        <v>11</v>
      </c>
      <c r="D17" s="27">
        <v>1100</v>
      </c>
      <c r="E17" s="39">
        <f>(D17+F17)/2</f>
        <v>1550</v>
      </c>
      <c r="F17" s="27">
        <v>2000</v>
      </c>
      <c r="G17" s="39">
        <f>(F17+H17)/2</f>
        <v>2450</v>
      </c>
      <c r="H17" s="27">
        <v>2900</v>
      </c>
      <c r="I17" s="1"/>
      <c r="J17" s="27">
        <v>1600</v>
      </c>
      <c r="K17" s="39">
        <f>(J17+L17)/2</f>
        <v>2050</v>
      </c>
      <c r="L17" s="27">
        <v>2500</v>
      </c>
      <c r="M17" s="39">
        <f>(L17+N17)/2</f>
        <v>2950</v>
      </c>
      <c r="N17" s="27">
        <v>3400</v>
      </c>
      <c r="O17" s="1"/>
    </row>
    <row r="18" spans="1:15" ht="29" customHeight="1">
      <c r="A18" s="1"/>
      <c r="B18" s="26" t="s">
        <v>16</v>
      </c>
      <c r="C18" s="26" t="s">
        <v>12</v>
      </c>
      <c r="D18" s="40">
        <v>0.25</v>
      </c>
      <c r="E18" s="36">
        <f>(D18+F18)/2</f>
        <v>0.27500000000000002</v>
      </c>
      <c r="F18" s="40">
        <v>0.3</v>
      </c>
      <c r="G18" s="36">
        <f>(F18+H18)/2</f>
        <v>0.32499999999999996</v>
      </c>
      <c r="H18" s="40">
        <v>0.35</v>
      </c>
      <c r="I18" s="1"/>
      <c r="J18" s="40">
        <v>0.2</v>
      </c>
      <c r="K18" s="36">
        <f>(J18+L18)/2</f>
        <v>0.22500000000000001</v>
      </c>
      <c r="L18" s="40">
        <v>0.25</v>
      </c>
      <c r="M18" s="36">
        <f>(L18+N18)/2</f>
        <v>0.27500000000000002</v>
      </c>
      <c r="N18" s="40">
        <v>0.3</v>
      </c>
      <c r="O18" s="1"/>
    </row>
    <row r="19" spans="1:15" ht="29" customHeight="1">
      <c r="A19" s="1"/>
      <c r="B19" s="23" t="s">
        <v>17</v>
      </c>
      <c r="C19" s="25" t="s">
        <v>14</v>
      </c>
      <c r="D19" s="40">
        <v>0.96</v>
      </c>
      <c r="E19" s="35">
        <f>(D19+F19)/2</f>
        <v>0.91999999999999993</v>
      </c>
      <c r="F19" s="40">
        <v>0.88</v>
      </c>
      <c r="G19" s="35">
        <f>(F19+H19)/2</f>
        <v>0.84000000000000008</v>
      </c>
      <c r="H19" s="40">
        <v>0.8</v>
      </c>
      <c r="I19" s="1"/>
      <c r="J19" s="40">
        <v>0.66</v>
      </c>
      <c r="K19" s="35">
        <f>(J19+L19)/2</f>
        <v>0.62</v>
      </c>
      <c r="L19" s="40">
        <v>0.57999999999999996</v>
      </c>
      <c r="M19" s="35">
        <f>(L19+N19)/2</f>
        <v>0.54</v>
      </c>
      <c r="N19" s="40">
        <v>0.5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70" t="s">
        <v>52</v>
      </c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1"/>
    </row>
    <row r="23" spans="1:15" ht="29" customHeight="1">
      <c r="A23" s="1"/>
      <c r="B23" s="71" t="s">
        <v>59</v>
      </c>
      <c r="C23" s="72"/>
      <c r="D23" s="29">
        <v>24</v>
      </c>
      <c r="E23" s="1"/>
      <c r="F23" s="74" t="s">
        <v>85</v>
      </c>
      <c r="G23" s="75"/>
      <c r="H23" s="75"/>
      <c r="I23" s="75"/>
      <c r="J23" s="75"/>
      <c r="K23" s="75"/>
      <c r="L23" s="75"/>
      <c r="M23" s="75"/>
      <c r="N23" s="75"/>
      <c r="O23" s="1"/>
    </row>
    <row r="24" spans="1:15" ht="29" customHeight="1">
      <c r="A24" s="1"/>
      <c r="B24" s="1" t="s">
        <v>86</v>
      </c>
      <c r="C24" s="65"/>
      <c r="D24" s="31">
        <v>20</v>
      </c>
      <c r="E24" s="1"/>
      <c r="F24" s="75"/>
      <c r="G24" s="75"/>
      <c r="H24" s="75"/>
      <c r="I24" s="75"/>
      <c r="J24" s="75"/>
      <c r="K24" s="75"/>
      <c r="L24" s="75"/>
      <c r="M24" s="75"/>
      <c r="N24" s="75"/>
      <c r="O24" s="1"/>
    </row>
    <row r="25" spans="1:15" ht="29" customHeight="1">
      <c r="A25" s="1"/>
      <c r="B25" s="71" t="s">
        <v>60</v>
      </c>
      <c r="C25" s="72"/>
      <c r="D25" s="29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73" t="s">
        <v>61</v>
      </c>
      <c r="C26" s="65"/>
      <c r="D26" s="31">
        <v>60</v>
      </c>
      <c r="E26" s="1"/>
      <c r="F26" s="76" t="s">
        <v>87</v>
      </c>
      <c r="G26" s="68"/>
      <c r="H26" s="68"/>
      <c r="I26" s="68"/>
      <c r="J26" s="68"/>
      <c r="K26" s="68"/>
      <c r="L26" s="68"/>
      <c r="M26" s="68"/>
      <c r="N26" s="68"/>
      <c r="O26" s="1"/>
    </row>
    <row r="27" spans="1:15" ht="29" customHeight="1">
      <c r="A27" s="1"/>
      <c r="B27" s="1" t="s">
        <v>88</v>
      </c>
      <c r="C27" s="65"/>
      <c r="D27" s="31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78" t="s">
        <v>89</v>
      </c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1"/>
    </row>
    <row r="29" spans="1:15" ht="23.15" customHeight="1">
      <c r="A29" s="1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1"/>
    </row>
    <row r="30" spans="1:15" ht="31" customHeight="1">
      <c r="A30" s="1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1"/>
    </row>
    <row r="31" spans="1:15" ht="23.15" customHeight="1">
      <c r="A31" s="1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1"/>
    </row>
    <row r="32" spans="1:15" ht="23.15" customHeight="1">
      <c r="A32" s="1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1"/>
    </row>
    <row r="33" spans="1:15" ht="23.15" customHeight="1">
      <c r="A33" s="1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1"/>
    </row>
    <row r="34" spans="1:15" ht="23.15" customHeight="1">
      <c r="A34" s="1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1"/>
    </row>
    <row r="35" spans="1:15" ht="23.15" customHeight="1">
      <c r="A35" s="1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B332A-2C6E-481C-890D-8B5D85D2F769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2" t="s">
        <v>90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3"/>
      <c r="Q1" s="93"/>
      <c r="R1" s="93"/>
      <c r="S1" s="93"/>
      <c r="T1" s="93"/>
      <c r="U1" s="93"/>
      <c r="V1" s="93"/>
    </row>
    <row r="2" spans="1:22" ht="22" customHeight="1">
      <c r="A2" s="1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45" t="s">
        <v>30</v>
      </c>
      <c r="C4" s="46" t="s">
        <v>31</v>
      </c>
      <c r="D4" s="46" t="s">
        <v>32</v>
      </c>
      <c r="E4" s="46" t="s">
        <v>33</v>
      </c>
      <c r="F4" s="46" t="s">
        <v>10</v>
      </c>
      <c r="G4" s="45" t="s">
        <v>44</v>
      </c>
      <c r="H4" s="45" t="s">
        <v>34</v>
      </c>
      <c r="I4" s="46" t="s">
        <v>26</v>
      </c>
      <c r="J4" s="46" t="s">
        <v>35</v>
      </c>
      <c r="K4" s="45" t="s">
        <v>45</v>
      </c>
      <c r="L4" s="45" t="s">
        <v>36</v>
      </c>
      <c r="M4" s="46" t="s">
        <v>15</v>
      </c>
      <c r="N4" s="46" t="s">
        <v>16</v>
      </c>
      <c r="O4" s="45" t="s">
        <v>37</v>
      </c>
      <c r="P4" s="47" t="s">
        <v>29</v>
      </c>
      <c r="Q4" s="48" t="s">
        <v>38</v>
      </c>
      <c r="R4" s="48" t="s">
        <v>39</v>
      </c>
      <c r="S4" s="48" t="s">
        <v>40</v>
      </c>
      <c r="T4" s="48" t="s">
        <v>41</v>
      </c>
      <c r="U4" s="48" t="s">
        <v>42</v>
      </c>
      <c r="V4" s="48" t="s">
        <v>43</v>
      </c>
    </row>
    <row r="5" spans="1:22" ht="25" customHeight="1">
      <c r="A5" s="1"/>
      <c r="B5" s="49" t="str">
        <f>"c "&amp;C5</f>
        <v>c -24</v>
      </c>
      <c r="C5" s="49">
        <f>Parameters!D7</f>
        <v>-24</v>
      </c>
      <c r="D5" s="49">
        <f>'LSC Sweep'!$C$6</f>
        <v>-10</v>
      </c>
      <c r="E5" s="49">
        <f>Parameters!D16</f>
        <v>-40</v>
      </c>
      <c r="F5" s="49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1200</v>
      </c>
      <c r="G5" s="49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0.12</v>
      </c>
      <c r="H5" s="49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9">
        <f>F5*H5</f>
        <v>1200</v>
      </c>
      <c r="J5" s="49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2000</v>
      </c>
      <c r="K5" s="49">
        <f>IF('LSC Sweep'!$C$4="Type-B",Parameters!$L$14,INDEX(Parameters!$D$14:$H$14,1,R5)+(INDEX(Parameters!$D$14:$H$14,1,R5+1)-INDEX(Parameters!$D$14:$H$14,1,R5))*U5)</f>
        <v>0.6</v>
      </c>
      <c r="L5" s="49">
        <f>I5+J5</f>
        <v>3200</v>
      </c>
      <c r="M5" s="49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1100</v>
      </c>
      <c r="N5" s="49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0.25</v>
      </c>
      <c r="O5" s="49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0.96</v>
      </c>
      <c r="P5" s="50">
        <f>M5*O5</f>
        <v>1056</v>
      </c>
      <c r="Q5" s="50">
        <f>MIN(4,MAX(1,INT((1+C5/Parameters!$D$23)*4)+1))</f>
        <v>1</v>
      </c>
      <c r="R5" s="50">
        <f>MIN(4,MAX(1,INT((1+D5/Parameters!$D$24)*4)+1))</f>
        <v>3</v>
      </c>
      <c r="S5" s="50">
        <f>MIN(4,MAX(1,INT((1+E5/Parameters!$D$25)*4)+1))</f>
        <v>1</v>
      </c>
      <c r="T5" s="50">
        <f>MAX(0,MIN(1,(1+C5/Parameters!$D$23)*4-(Q5-1)))</f>
        <v>0</v>
      </c>
      <c r="U5" s="50">
        <f>MAX(0,MIN(1,(1+D5/Parameters!$D$24)*4-(R5-1)))</f>
        <v>0</v>
      </c>
      <c r="V5" s="50">
        <f>MAX(0,MIN(1,(1+E5/Parameters!$D$25)*4-(S5-1)))</f>
        <v>0</v>
      </c>
    </row>
    <row r="6" spans="1:22" ht="25" customHeight="1">
      <c r="A6" s="1"/>
      <c r="B6" s="51" t="str">
        <f>"c "&amp;C6</f>
        <v>c -18</v>
      </c>
      <c r="C6" s="51">
        <f>Parameters!E7</f>
        <v>-18</v>
      </c>
      <c r="D6" s="51">
        <f>'LSC Sweep'!$C$6</f>
        <v>-10</v>
      </c>
      <c r="E6" s="51">
        <f>Parameters!E16</f>
        <v>-30</v>
      </c>
      <c r="F6" s="51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1800</v>
      </c>
      <c r="G6" s="51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0.12</v>
      </c>
      <c r="H6" s="51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0.97499999999999998</v>
      </c>
      <c r="I6" s="51">
        <f>F6*H6</f>
        <v>1755</v>
      </c>
      <c r="J6" s="51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2000</v>
      </c>
      <c r="K6" s="51">
        <f>IF('LSC Sweep'!$C$4="Type-B",Parameters!$L$14,INDEX(Parameters!$D$14:$H$14,1,R6)+(INDEX(Parameters!$D$14:$H$14,1,R6+1)-INDEX(Parameters!$D$14:$H$14,1,R6))*U6)</f>
        <v>0.6</v>
      </c>
      <c r="L6" s="51">
        <f>I6+J6</f>
        <v>3755</v>
      </c>
      <c r="M6" s="51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1550</v>
      </c>
      <c r="N6" s="51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0.27500000000000002</v>
      </c>
      <c r="O6" s="51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0.91999999999999993</v>
      </c>
      <c r="P6" s="52">
        <f>M6*O6</f>
        <v>1426</v>
      </c>
      <c r="Q6" s="52">
        <f>MIN(4,MAX(1,INT((1+C6/Parameters!$D$23)*4)+1))</f>
        <v>2</v>
      </c>
      <c r="R6" s="52">
        <f>MIN(4,MAX(1,INT((1+D6/Parameters!$D$24)*4)+1))</f>
        <v>3</v>
      </c>
      <c r="S6" s="52">
        <f>MIN(4,MAX(1,INT((1+E6/Parameters!$D$25)*4)+1))</f>
        <v>2</v>
      </c>
      <c r="T6" s="52">
        <f>MAX(0,MIN(1,(1+C6/Parameters!$D$23)*4-(Q6-1)))</f>
        <v>0</v>
      </c>
      <c r="U6" s="52">
        <f>MAX(0,MIN(1,(1+D6/Parameters!$D$24)*4-(R6-1)))</f>
        <v>0</v>
      </c>
      <c r="V6" s="52">
        <f>MAX(0,MIN(1,(1+E6/Parameters!$D$25)*4-(S6-1)))</f>
        <v>0</v>
      </c>
    </row>
    <row r="7" spans="1:22" ht="25" customHeight="1">
      <c r="A7" s="1"/>
      <c r="B7" s="49" t="str">
        <f>"c "&amp;C7</f>
        <v>c -12</v>
      </c>
      <c r="C7" s="49">
        <f>Parameters!F7</f>
        <v>-12</v>
      </c>
      <c r="D7" s="49">
        <f>'LSC Sweep'!$C$6</f>
        <v>-10</v>
      </c>
      <c r="E7" s="49">
        <f>Parameters!F16</f>
        <v>-20</v>
      </c>
      <c r="F7" s="49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2400</v>
      </c>
      <c r="G7" s="49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0.12</v>
      </c>
      <c r="H7" s="49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0.95</v>
      </c>
      <c r="I7" s="49">
        <f>F7*H7</f>
        <v>2280</v>
      </c>
      <c r="J7" s="49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2000</v>
      </c>
      <c r="K7" s="49">
        <f>IF('LSC Sweep'!$C$4="Type-B",Parameters!$L$14,INDEX(Parameters!$D$14:$H$14,1,R7)+(INDEX(Parameters!$D$14:$H$14,1,R7+1)-INDEX(Parameters!$D$14:$H$14,1,R7))*U7)</f>
        <v>0.6</v>
      </c>
      <c r="L7" s="49">
        <f>I7+J7</f>
        <v>4280</v>
      </c>
      <c r="M7" s="49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2000</v>
      </c>
      <c r="N7" s="49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0.3</v>
      </c>
      <c r="O7" s="49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0.88</v>
      </c>
      <c r="P7" s="50">
        <f>M7*O7</f>
        <v>1760</v>
      </c>
      <c r="Q7" s="50">
        <f>MIN(4,MAX(1,INT((1+C7/Parameters!$D$23)*4)+1))</f>
        <v>3</v>
      </c>
      <c r="R7" s="50">
        <f>MIN(4,MAX(1,INT((1+D7/Parameters!$D$24)*4)+1))</f>
        <v>3</v>
      </c>
      <c r="S7" s="50">
        <f>MIN(4,MAX(1,INT((1+E7/Parameters!$D$25)*4)+1))</f>
        <v>3</v>
      </c>
      <c r="T7" s="50">
        <f>MAX(0,MIN(1,(1+C7/Parameters!$D$23)*4-(Q7-1)))</f>
        <v>0</v>
      </c>
      <c r="U7" s="50">
        <f>MAX(0,MIN(1,(1+D7/Parameters!$D$24)*4-(R7-1)))</f>
        <v>0</v>
      </c>
      <c r="V7" s="50">
        <f>MAX(0,MIN(1,(1+E7/Parameters!$D$25)*4-(S7-1)))</f>
        <v>0</v>
      </c>
    </row>
    <row r="8" spans="1:22" ht="25" customHeight="1">
      <c r="A8" s="1"/>
      <c r="B8" s="51" t="str">
        <f>"c "&amp;C8</f>
        <v>c -6</v>
      </c>
      <c r="C8" s="51">
        <f>Parameters!G7</f>
        <v>-6</v>
      </c>
      <c r="D8" s="51">
        <f>'LSC Sweep'!$C$6</f>
        <v>-10</v>
      </c>
      <c r="E8" s="51">
        <f>Parameters!G16</f>
        <v>-10</v>
      </c>
      <c r="F8" s="51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3000</v>
      </c>
      <c r="G8" s="51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0.12</v>
      </c>
      <c r="H8" s="51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0.92500000000000004</v>
      </c>
      <c r="I8" s="51">
        <f>F8*H8</f>
        <v>2775</v>
      </c>
      <c r="J8" s="51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2000</v>
      </c>
      <c r="K8" s="51">
        <f>IF('LSC Sweep'!$C$4="Type-B",Parameters!$L$14,INDEX(Parameters!$D$14:$H$14,1,R8)+(INDEX(Parameters!$D$14:$H$14,1,R8+1)-INDEX(Parameters!$D$14:$H$14,1,R8))*U8)</f>
        <v>0.6</v>
      </c>
      <c r="L8" s="51">
        <f>I8+J8</f>
        <v>4775</v>
      </c>
      <c r="M8" s="51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2450</v>
      </c>
      <c r="N8" s="51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0.32499999999999996</v>
      </c>
      <c r="O8" s="51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0.84000000000000008</v>
      </c>
      <c r="P8" s="52">
        <f>M8*O8</f>
        <v>2058</v>
      </c>
      <c r="Q8" s="52">
        <f>MIN(4,MAX(1,INT((1+C8/Parameters!$D$23)*4)+1))</f>
        <v>4</v>
      </c>
      <c r="R8" s="52">
        <f>MIN(4,MAX(1,INT((1+D8/Parameters!$D$24)*4)+1))</f>
        <v>3</v>
      </c>
      <c r="S8" s="52">
        <f>MIN(4,MAX(1,INT((1+E8/Parameters!$D$25)*4)+1))</f>
        <v>4</v>
      </c>
      <c r="T8" s="52">
        <f>MAX(0,MIN(1,(1+C8/Parameters!$D$23)*4-(Q8-1)))</f>
        <v>0</v>
      </c>
      <c r="U8" s="52">
        <f>MAX(0,MIN(1,(1+D8/Parameters!$D$24)*4-(R8-1)))</f>
        <v>0</v>
      </c>
      <c r="V8" s="52">
        <f>MAX(0,MIN(1,(1+E8/Parameters!$D$25)*4-(S8-1)))</f>
        <v>0</v>
      </c>
    </row>
    <row r="9" spans="1:22" ht="25" customHeight="1">
      <c r="A9" s="1"/>
      <c r="B9" s="49" t="str">
        <f>"c "&amp;C9</f>
        <v>c 0</v>
      </c>
      <c r="C9" s="49">
        <f>Parameters!H7</f>
        <v>0</v>
      </c>
      <c r="D9" s="49">
        <f>'LSC Sweep'!$C$6</f>
        <v>-10</v>
      </c>
      <c r="E9" s="49">
        <f>Parameters!H16</f>
        <v>0</v>
      </c>
      <c r="F9" s="49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3600</v>
      </c>
      <c r="G9" s="49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0.12</v>
      </c>
      <c r="H9" s="49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49">
        <f>F9*H9</f>
        <v>3240</v>
      </c>
      <c r="J9" s="49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2000</v>
      </c>
      <c r="K9" s="49">
        <f>IF('LSC Sweep'!$C$4="Type-B",Parameters!$L$14,INDEX(Parameters!$D$14:$H$14,1,R9)+(INDEX(Parameters!$D$14:$H$14,1,R9+1)-INDEX(Parameters!$D$14:$H$14,1,R9))*U9)</f>
        <v>0.6</v>
      </c>
      <c r="L9" s="49">
        <f>I9+J9</f>
        <v>5240</v>
      </c>
      <c r="M9" s="49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2900</v>
      </c>
      <c r="N9" s="49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0.35</v>
      </c>
      <c r="O9" s="49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0">
        <f>M9*O9</f>
        <v>2320</v>
      </c>
      <c r="Q9" s="50">
        <f>MIN(4,MAX(1,INT((1+C9/Parameters!$D$23)*4)+1))</f>
        <v>4</v>
      </c>
      <c r="R9" s="50">
        <f>MIN(4,MAX(1,INT((1+D9/Parameters!$D$24)*4)+1))</f>
        <v>3</v>
      </c>
      <c r="S9" s="50">
        <f>MIN(4,MAX(1,INT((1+E9/Parameters!$D$25)*4)+1))</f>
        <v>4</v>
      </c>
      <c r="T9" s="50">
        <f>MAX(0,MIN(1,(1+C9/Parameters!$D$23)*4-(Q9-1)))</f>
        <v>1</v>
      </c>
      <c r="U9" s="50">
        <f>MAX(0,MIN(1,(1+D9/Parameters!$D$24)*4-(R9-1)))</f>
        <v>0</v>
      </c>
      <c r="V9" s="50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3" t="s">
        <v>21</v>
      </c>
      <c r="C13" s="54" t="str">
        <f>B5</f>
        <v>c -24</v>
      </c>
      <c r="D13" s="54" t="str">
        <f>B6</f>
        <v>c -18</v>
      </c>
      <c r="E13" s="54" t="str">
        <f>B7</f>
        <v>c -12</v>
      </c>
      <c r="F13" s="54" t="str">
        <f>B8</f>
        <v>c -6</v>
      </c>
      <c r="G13" s="54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5">
        <v>0</v>
      </c>
      <c r="C14" s="55">
        <f t="shared" ref="C14:C34" si="0">$F$5*MIN($B14,$G$5)+$I$5*MAX(0,$B14-$G$5)+$J$5*MAX(0,$B14-$K$5)</f>
        <v>0</v>
      </c>
      <c r="D14" s="55">
        <f t="shared" ref="D14:D34" si="1">$F$6*MIN($B14,$G$6)+$I$6*MAX(0,$B14-$G$6)+$J$6*MAX(0,$B14-$K$6)</f>
        <v>0</v>
      </c>
      <c r="E14" s="55">
        <f t="shared" ref="E14:E34" si="2">$F$7*MIN($B14,$G$7)+$I$7*MAX(0,$B14-$G$7)+$J$7*MAX(0,$B14-$K$7)</f>
        <v>0</v>
      </c>
      <c r="F14" s="55">
        <f t="shared" ref="F14:F34" si="3">$F$8*MIN($B14,$G$8)+$I$8*MAX(0,$B14-$G$8)+$J$8*MAX(0,$B14-$K$8)</f>
        <v>0</v>
      </c>
      <c r="G14" s="55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6">
        <v>0.05</v>
      </c>
      <c r="C15" s="56">
        <f t="shared" si="0"/>
        <v>60</v>
      </c>
      <c r="D15" s="56">
        <f t="shared" si="1"/>
        <v>90</v>
      </c>
      <c r="E15" s="56">
        <f t="shared" si="2"/>
        <v>120</v>
      </c>
      <c r="F15" s="56">
        <f t="shared" si="3"/>
        <v>150</v>
      </c>
      <c r="G15" s="56">
        <f t="shared" si="4"/>
        <v>180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5">
        <v>0.1</v>
      </c>
      <c r="C16" s="55">
        <f t="shared" si="0"/>
        <v>120</v>
      </c>
      <c r="D16" s="55">
        <f t="shared" si="1"/>
        <v>180</v>
      </c>
      <c r="E16" s="55">
        <f t="shared" si="2"/>
        <v>240</v>
      </c>
      <c r="F16" s="55">
        <f t="shared" si="3"/>
        <v>300</v>
      </c>
      <c r="G16" s="55">
        <f t="shared" si="4"/>
        <v>360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6">
        <v>0.15</v>
      </c>
      <c r="C17" s="56">
        <f t="shared" si="0"/>
        <v>180</v>
      </c>
      <c r="D17" s="56">
        <f t="shared" si="1"/>
        <v>268.64999999999998</v>
      </c>
      <c r="E17" s="56">
        <f t="shared" si="2"/>
        <v>356.4</v>
      </c>
      <c r="F17" s="56">
        <f t="shared" si="3"/>
        <v>443.25</v>
      </c>
      <c r="G17" s="56">
        <f t="shared" si="4"/>
        <v>529.20000000000005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5">
        <v>0.2</v>
      </c>
      <c r="C18" s="55">
        <f t="shared" si="0"/>
        <v>240</v>
      </c>
      <c r="D18" s="55">
        <f t="shared" si="1"/>
        <v>356.40000000000003</v>
      </c>
      <c r="E18" s="55">
        <f t="shared" si="2"/>
        <v>470.40000000000003</v>
      </c>
      <c r="F18" s="55">
        <f t="shared" si="3"/>
        <v>582</v>
      </c>
      <c r="G18" s="55">
        <f t="shared" si="4"/>
        <v>691.2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6">
        <v>0.25</v>
      </c>
      <c r="C19" s="56">
        <f t="shared" si="0"/>
        <v>300</v>
      </c>
      <c r="D19" s="56">
        <f t="shared" si="1"/>
        <v>444.15</v>
      </c>
      <c r="E19" s="56">
        <f t="shared" si="2"/>
        <v>584.40000000000009</v>
      </c>
      <c r="F19" s="56">
        <f t="shared" si="3"/>
        <v>720.75</v>
      </c>
      <c r="G19" s="56">
        <f t="shared" si="4"/>
        <v>853.2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5">
        <v>0.3</v>
      </c>
      <c r="C20" s="55">
        <f t="shared" si="0"/>
        <v>360</v>
      </c>
      <c r="D20" s="55">
        <f t="shared" si="1"/>
        <v>531.9</v>
      </c>
      <c r="E20" s="55">
        <f t="shared" si="2"/>
        <v>698.4</v>
      </c>
      <c r="F20" s="55">
        <f t="shared" si="3"/>
        <v>859.5</v>
      </c>
      <c r="G20" s="55">
        <f t="shared" si="4"/>
        <v>1015.1999999999999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6">
        <v>0.35</v>
      </c>
      <c r="C21" s="56">
        <f t="shared" si="0"/>
        <v>420</v>
      </c>
      <c r="D21" s="56">
        <f t="shared" si="1"/>
        <v>619.65</v>
      </c>
      <c r="E21" s="56">
        <f t="shared" si="2"/>
        <v>812.4</v>
      </c>
      <c r="F21" s="56">
        <f t="shared" si="3"/>
        <v>998.25</v>
      </c>
      <c r="G21" s="56">
        <f t="shared" si="4"/>
        <v>1177.1999999999998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5">
        <v>0.4</v>
      </c>
      <c r="C22" s="55">
        <f t="shared" si="0"/>
        <v>480.00000000000006</v>
      </c>
      <c r="D22" s="55">
        <f t="shared" si="1"/>
        <v>707.40000000000009</v>
      </c>
      <c r="E22" s="55">
        <f t="shared" si="2"/>
        <v>926.40000000000009</v>
      </c>
      <c r="F22" s="55">
        <f t="shared" si="3"/>
        <v>1137</v>
      </c>
      <c r="G22" s="55">
        <f t="shared" si="4"/>
        <v>1339.2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6">
        <v>0.45</v>
      </c>
      <c r="C23" s="56">
        <f t="shared" si="0"/>
        <v>540</v>
      </c>
      <c r="D23" s="56">
        <f t="shared" si="1"/>
        <v>795.15</v>
      </c>
      <c r="E23" s="56">
        <f t="shared" si="2"/>
        <v>1040.4000000000001</v>
      </c>
      <c r="F23" s="56">
        <f t="shared" si="3"/>
        <v>1275.75</v>
      </c>
      <c r="G23" s="56">
        <f t="shared" si="4"/>
        <v>1501.2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5">
        <v>0.5</v>
      </c>
      <c r="C24" s="55">
        <f t="shared" si="0"/>
        <v>600</v>
      </c>
      <c r="D24" s="55">
        <f t="shared" si="1"/>
        <v>882.9</v>
      </c>
      <c r="E24" s="55">
        <f t="shared" si="2"/>
        <v>1154.4000000000001</v>
      </c>
      <c r="F24" s="55">
        <f t="shared" si="3"/>
        <v>1414.5</v>
      </c>
      <c r="G24" s="55">
        <f t="shared" si="4"/>
        <v>1663.2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6">
        <v>0.55000000000000004</v>
      </c>
      <c r="C25" s="56">
        <f t="shared" si="0"/>
        <v>660.00000000000011</v>
      </c>
      <c r="D25" s="56">
        <f t="shared" si="1"/>
        <v>970.65000000000009</v>
      </c>
      <c r="E25" s="56">
        <f t="shared" si="2"/>
        <v>1268.4000000000001</v>
      </c>
      <c r="F25" s="56">
        <f t="shared" si="3"/>
        <v>1553.2500000000002</v>
      </c>
      <c r="G25" s="56">
        <f t="shared" si="4"/>
        <v>1825.2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5">
        <v>0.6</v>
      </c>
      <c r="C26" s="55">
        <f t="shared" si="0"/>
        <v>720</v>
      </c>
      <c r="D26" s="55">
        <f t="shared" si="1"/>
        <v>1058.4000000000001</v>
      </c>
      <c r="E26" s="55">
        <f t="shared" si="2"/>
        <v>1382.3999999999999</v>
      </c>
      <c r="F26" s="55">
        <f t="shared" si="3"/>
        <v>1692</v>
      </c>
      <c r="G26" s="55">
        <f t="shared" si="4"/>
        <v>1987.2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6">
        <v>0.65</v>
      </c>
      <c r="C27" s="56">
        <f t="shared" si="0"/>
        <v>880.00000000000011</v>
      </c>
      <c r="D27" s="56">
        <f t="shared" si="1"/>
        <v>1246.1500000000001</v>
      </c>
      <c r="E27" s="56">
        <f t="shared" si="2"/>
        <v>1596.4</v>
      </c>
      <c r="F27" s="56">
        <f t="shared" si="3"/>
        <v>1930.75</v>
      </c>
      <c r="G27" s="56">
        <f t="shared" si="4"/>
        <v>2249.1999999999998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5">
        <v>0.7</v>
      </c>
      <c r="C28" s="55">
        <f t="shared" si="0"/>
        <v>1040</v>
      </c>
      <c r="D28" s="55">
        <f t="shared" si="1"/>
        <v>1433.9</v>
      </c>
      <c r="E28" s="55">
        <f t="shared" si="2"/>
        <v>1810.3999999999999</v>
      </c>
      <c r="F28" s="55">
        <f t="shared" si="3"/>
        <v>2169.5</v>
      </c>
      <c r="G28" s="55">
        <f t="shared" si="4"/>
        <v>2511.1999999999998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6">
        <v>0.75</v>
      </c>
      <c r="C29" s="56">
        <f t="shared" si="0"/>
        <v>1200</v>
      </c>
      <c r="D29" s="56">
        <f t="shared" si="1"/>
        <v>1621.65</v>
      </c>
      <c r="E29" s="56">
        <f t="shared" si="2"/>
        <v>2024.4</v>
      </c>
      <c r="F29" s="56">
        <f t="shared" si="3"/>
        <v>2408.25</v>
      </c>
      <c r="G29" s="56">
        <f t="shared" si="4"/>
        <v>2773.2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5">
        <v>0.8</v>
      </c>
      <c r="C30" s="55">
        <f t="shared" si="0"/>
        <v>1360.0000000000002</v>
      </c>
      <c r="D30" s="55">
        <f t="shared" si="1"/>
        <v>1809.4</v>
      </c>
      <c r="E30" s="55">
        <f t="shared" si="2"/>
        <v>2238.4</v>
      </c>
      <c r="F30" s="55">
        <f t="shared" si="3"/>
        <v>2647</v>
      </c>
      <c r="G30" s="55">
        <f t="shared" si="4"/>
        <v>3035.2000000000003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6">
        <v>0.85</v>
      </c>
      <c r="C31" s="56">
        <f t="shared" si="0"/>
        <v>1520</v>
      </c>
      <c r="D31" s="56">
        <f t="shared" si="1"/>
        <v>1997.1499999999999</v>
      </c>
      <c r="E31" s="56">
        <f t="shared" si="2"/>
        <v>2452.3999999999996</v>
      </c>
      <c r="F31" s="56">
        <f t="shared" si="3"/>
        <v>2885.75</v>
      </c>
      <c r="G31" s="56">
        <f t="shared" si="4"/>
        <v>3297.2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5">
        <v>0.9</v>
      </c>
      <c r="C32" s="55">
        <f t="shared" si="0"/>
        <v>1680</v>
      </c>
      <c r="D32" s="55">
        <f t="shared" si="1"/>
        <v>2184.9</v>
      </c>
      <c r="E32" s="55">
        <f t="shared" si="2"/>
        <v>2666.4</v>
      </c>
      <c r="F32" s="55">
        <f t="shared" si="3"/>
        <v>3124.5</v>
      </c>
      <c r="G32" s="55">
        <f t="shared" si="4"/>
        <v>3559.2000000000003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6">
        <v>0.95</v>
      </c>
      <c r="C33" s="56">
        <f t="shared" si="0"/>
        <v>1840</v>
      </c>
      <c r="D33" s="56">
        <f t="shared" si="1"/>
        <v>2372.6499999999996</v>
      </c>
      <c r="E33" s="56">
        <f t="shared" si="2"/>
        <v>2880.3999999999996</v>
      </c>
      <c r="F33" s="56">
        <f t="shared" si="3"/>
        <v>3363.25</v>
      </c>
      <c r="G33" s="56">
        <f t="shared" si="4"/>
        <v>3821.2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5">
        <v>1</v>
      </c>
      <c r="C34" s="55">
        <f t="shared" si="0"/>
        <v>2000</v>
      </c>
      <c r="D34" s="55">
        <f t="shared" si="1"/>
        <v>2560.4</v>
      </c>
      <c r="E34" s="55">
        <f t="shared" si="2"/>
        <v>3094.4</v>
      </c>
      <c r="F34" s="55">
        <f t="shared" si="3"/>
        <v>3602</v>
      </c>
      <c r="G34" s="55">
        <f t="shared" si="4"/>
        <v>4083.2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2" t="s">
        <v>91</v>
      </c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3"/>
      <c r="Q41" s="93"/>
      <c r="R41" s="93"/>
      <c r="S41" s="93"/>
      <c r="T41" s="93"/>
      <c r="U41" s="93"/>
      <c r="V41" s="93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48" t="s">
        <v>30</v>
      </c>
      <c r="C44" s="47" t="s">
        <v>31</v>
      </c>
      <c r="D44" s="47" t="s">
        <v>32</v>
      </c>
      <c r="E44" s="47" t="s">
        <v>33</v>
      </c>
      <c r="F44" s="47" t="s">
        <v>10</v>
      </c>
      <c r="G44" s="48" t="s">
        <v>44</v>
      </c>
      <c r="H44" s="48" t="s">
        <v>34</v>
      </c>
      <c r="I44" s="47" t="s">
        <v>26</v>
      </c>
      <c r="J44" s="47" t="s">
        <v>35</v>
      </c>
      <c r="K44" s="48" t="s">
        <v>45</v>
      </c>
      <c r="L44" s="48" t="s">
        <v>36</v>
      </c>
      <c r="M44" s="47" t="s">
        <v>15</v>
      </c>
      <c r="N44" s="47" t="s">
        <v>16</v>
      </c>
      <c r="O44" s="48" t="s">
        <v>37</v>
      </c>
      <c r="P44" s="47" t="s">
        <v>29</v>
      </c>
      <c r="Q44" s="48" t="s">
        <v>38</v>
      </c>
      <c r="R44" s="48" t="s">
        <v>39</v>
      </c>
      <c r="S44" s="48" t="s">
        <v>40</v>
      </c>
      <c r="T44" s="48" t="s">
        <v>41</v>
      </c>
      <c r="U44" s="48" t="s">
        <v>42</v>
      </c>
      <c r="V44" s="48" t="s">
        <v>43</v>
      </c>
    </row>
    <row r="45" spans="1:22" ht="25" customHeight="1">
      <c r="B45" s="50" t="str">
        <f>"C "&amp;D45</f>
        <v>C -20</v>
      </c>
      <c r="C45" s="50">
        <f>'HSC Sweep'!$C$6</f>
        <v>-12</v>
      </c>
      <c r="D45" s="50">
        <f>Parameters!D8</f>
        <v>-20</v>
      </c>
      <c r="E45" s="50">
        <f>Parameters!D16</f>
        <v>-40</v>
      </c>
      <c r="F45" s="50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3000</v>
      </c>
      <c r="G45" s="50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0.25</v>
      </c>
      <c r="H45" s="50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0.57999999999999996</v>
      </c>
      <c r="I45" s="50">
        <f>F45*H45</f>
        <v>1739.9999999999998</v>
      </c>
      <c r="J45" s="50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50">
        <f>IF('HSC Sweep'!$C$4="Type-B",Parameters!$L$14,INDEX(Parameters!$D$14:$H$14,1,R45)+(INDEX(Parameters!$D$14:$H$14,1,R45+1)-INDEX(Parameters!$D$14:$H$14,1,R45))*U45)</f>
        <v>0.6</v>
      </c>
      <c r="L45" s="50">
        <f>I45+J45</f>
        <v>2240</v>
      </c>
      <c r="M45" s="50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1600</v>
      </c>
      <c r="N45" s="50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50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0.66</v>
      </c>
      <c r="P45" s="50">
        <f>M45*O45</f>
        <v>1056</v>
      </c>
      <c r="Q45" s="50">
        <f>MIN(4,MAX(1,INT((1+C45/Parameters!$D$23)*4)+1))</f>
        <v>3</v>
      </c>
      <c r="R45" s="50">
        <f>MIN(4,MAX(1,INT((1+D45/Parameters!$D$24)*4)+1))</f>
        <v>1</v>
      </c>
      <c r="S45" s="50">
        <f>MIN(4,MAX(1,INT((1+E45/Parameters!$D$25)*4)+1))</f>
        <v>1</v>
      </c>
      <c r="T45" s="50">
        <f>MAX(0,MIN(1,(1+C45/Parameters!$D$23)*4-(Q45-1)))</f>
        <v>0</v>
      </c>
      <c r="U45" s="50">
        <f>MAX(0,MIN(1,(1+D45/Parameters!$D$24)*4-(R45-1)))</f>
        <v>0</v>
      </c>
      <c r="V45" s="50">
        <f>MAX(0,MIN(1,(1+E45/Parameters!$D$25)*4-(S45-1)))</f>
        <v>0</v>
      </c>
    </row>
    <row r="46" spans="1:22" ht="25" customHeight="1">
      <c r="B46" s="52" t="str">
        <f>"C "&amp;D46</f>
        <v>C -15</v>
      </c>
      <c r="C46" s="52">
        <f>'HSC Sweep'!$C$6</f>
        <v>-12</v>
      </c>
      <c r="D46" s="52">
        <f>Parameters!E8</f>
        <v>-15</v>
      </c>
      <c r="E46" s="52">
        <f>Parameters!E16</f>
        <v>-30</v>
      </c>
      <c r="F46" s="52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3000</v>
      </c>
      <c r="G46" s="52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0.3</v>
      </c>
      <c r="H46" s="52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0.57999999999999996</v>
      </c>
      <c r="I46" s="52">
        <f>F46*H46</f>
        <v>1739.9999999999998</v>
      </c>
      <c r="J46" s="52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500</v>
      </c>
      <c r="K46" s="52">
        <f>IF('HSC Sweep'!$C$4="Type-B",Parameters!$L$14,INDEX(Parameters!$D$14:$H$14,1,R46)+(INDEX(Parameters!$D$14:$H$14,1,R46+1)-INDEX(Parameters!$D$14:$H$14,1,R46))*U46)</f>
        <v>0.6</v>
      </c>
      <c r="L46" s="52">
        <f>I46+J46</f>
        <v>2240</v>
      </c>
      <c r="M46" s="52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2050</v>
      </c>
      <c r="N46" s="52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52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0.62</v>
      </c>
      <c r="P46" s="52">
        <f>M46*O46</f>
        <v>1271</v>
      </c>
      <c r="Q46" s="52">
        <f>MIN(4,MAX(1,INT((1+C46/Parameters!$D$23)*4)+1))</f>
        <v>3</v>
      </c>
      <c r="R46" s="52">
        <f>MIN(4,MAX(1,INT((1+D46/Parameters!$D$24)*4)+1))</f>
        <v>2</v>
      </c>
      <c r="S46" s="52">
        <f>MIN(4,MAX(1,INT((1+E46/Parameters!$D$25)*4)+1))</f>
        <v>2</v>
      </c>
      <c r="T46" s="52">
        <f>MAX(0,MIN(1,(1+C46/Parameters!$D$23)*4-(Q46-1)))</f>
        <v>0</v>
      </c>
      <c r="U46" s="52">
        <f>MAX(0,MIN(1,(1+D46/Parameters!$D$24)*4-(R46-1)))</f>
        <v>0</v>
      </c>
      <c r="V46" s="52">
        <f>MAX(0,MIN(1,(1+E46/Parameters!$D$25)*4-(S46-1)))</f>
        <v>0</v>
      </c>
    </row>
    <row r="47" spans="1:22" ht="25" customHeight="1">
      <c r="B47" s="50" t="str">
        <f>"C "&amp;D47</f>
        <v>C -10</v>
      </c>
      <c r="C47" s="50">
        <f>'HSC Sweep'!$C$6</f>
        <v>-12</v>
      </c>
      <c r="D47" s="50">
        <f>Parameters!F8</f>
        <v>-10</v>
      </c>
      <c r="E47" s="50">
        <f>Parameters!F16</f>
        <v>-20</v>
      </c>
      <c r="F47" s="50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3000</v>
      </c>
      <c r="G47" s="50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0.35</v>
      </c>
      <c r="H47" s="50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0.57999999999999996</v>
      </c>
      <c r="I47" s="50">
        <f>F47*H47</f>
        <v>1739.9999999999998</v>
      </c>
      <c r="J47" s="50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500</v>
      </c>
      <c r="K47" s="50">
        <f>IF('HSC Sweep'!$C$4="Type-B",Parameters!$L$14,INDEX(Parameters!$D$14:$H$14,1,R47)+(INDEX(Parameters!$D$14:$H$14,1,R47+1)-INDEX(Parameters!$D$14:$H$14,1,R47))*U47)</f>
        <v>0.6</v>
      </c>
      <c r="L47" s="50">
        <f>I47+J47</f>
        <v>2240</v>
      </c>
      <c r="M47" s="50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2500</v>
      </c>
      <c r="N47" s="50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50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0.57999999999999996</v>
      </c>
      <c r="P47" s="50">
        <f>M47*O47</f>
        <v>1450</v>
      </c>
      <c r="Q47" s="50">
        <f>MIN(4,MAX(1,INT((1+C47/Parameters!$D$23)*4)+1))</f>
        <v>3</v>
      </c>
      <c r="R47" s="50">
        <f>MIN(4,MAX(1,INT((1+D47/Parameters!$D$24)*4)+1))</f>
        <v>3</v>
      </c>
      <c r="S47" s="50">
        <f>MIN(4,MAX(1,INT((1+E47/Parameters!$D$25)*4)+1))</f>
        <v>3</v>
      </c>
      <c r="T47" s="50">
        <f>MAX(0,MIN(1,(1+C47/Parameters!$D$23)*4-(Q47-1)))</f>
        <v>0</v>
      </c>
      <c r="U47" s="50">
        <f>MAX(0,MIN(1,(1+D47/Parameters!$D$24)*4-(R47-1)))</f>
        <v>0</v>
      </c>
      <c r="V47" s="50">
        <f>MAX(0,MIN(1,(1+E47/Parameters!$D$25)*4-(S47-1)))</f>
        <v>0</v>
      </c>
    </row>
    <row r="48" spans="1:22" ht="25" customHeight="1">
      <c r="B48" s="52" t="str">
        <f>"C "&amp;D48</f>
        <v>C -5</v>
      </c>
      <c r="C48" s="52">
        <f>'HSC Sweep'!$C$6</f>
        <v>-12</v>
      </c>
      <c r="D48" s="52">
        <f>Parameters!G8</f>
        <v>-5</v>
      </c>
      <c r="E48" s="52">
        <f>Parameters!G16</f>
        <v>-10</v>
      </c>
      <c r="F48" s="52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3000</v>
      </c>
      <c r="G48" s="52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0.4</v>
      </c>
      <c r="H48" s="52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0.57999999999999996</v>
      </c>
      <c r="I48" s="52">
        <f>F48*H48</f>
        <v>1739.9999999999998</v>
      </c>
      <c r="J48" s="52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500</v>
      </c>
      <c r="K48" s="52">
        <f>IF('HSC Sweep'!$C$4="Type-B",Parameters!$L$14,INDEX(Parameters!$D$14:$H$14,1,R48)+(INDEX(Parameters!$D$14:$H$14,1,R48+1)-INDEX(Parameters!$D$14:$H$14,1,R48))*U48)</f>
        <v>0.6</v>
      </c>
      <c r="L48" s="52">
        <f>I48+J48</f>
        <v>2240</v>
      </c>
      <c r="M48" s="52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2950</v>
      </c>
      <c r="N48" s="52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52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0.54</v>
      </c>
      <c r="P48" s="52">
        <f>M48*O48</f>
        <v>1593</v>
      </c>
      <c r="Q48" s="52">
        <f>MIN(4,MAX(1,INT((1+C48/Parameters!$D$23)*4)+1))</f>
        <v>3</v>
      </c>
      <c r="R48" s="52">
        <f>MIN(4,MAX(1,INT((1+D48/Parameters!$D$24)*4)+1))</f>
        <v>4</v>
      </c>
      <c r="S48" s="52">
        <f>MIN(4,MAX(1,INT((1+E48/Parameters!$D$25)*4)+1))</f>
        <v>4</v>
      </c>
      <c r="T48" s="52">
        <f>MAX(0,MIN(1,(1+C48/Parameters!$D$23)*4-(Q48-1)))</f>
        <v>0</v>
      </c>
      <c r="U48" s="52">
        <f>MAX(0,MIN(1,(1+D48/Parameters!$D$24)*4-(R48-1)))</f>
        <v>0</v>
      </c>
      <c r="V48" s="52">
        <f>MAX(0,MIN(1,(1+E48/Parameters!$D$25)*4-(S48-1)))</f>
        <v>0</v>
      </c>
    </row>
    <row r="49" spans="2:22" ht="25" customHeight="1">
      <c r="B49" s="50" t="str">
        <f>"C "&amp;D49</f>
        <v>C 0</v>
      </c>
      <c r="C49" s="50">
        <f>'HSC Sweep'!$C$6</f>
        <v>-12</v>
      </c>
      <c r="D49" s="50">
        <f>Parameters!H8</f>
        <v>0</v>
      </c>
      <c r="E49" s="50">
        <f>Parameters!H16</f>
        <v>0</v>
      </c>
      <c r="F49" s="50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3000</v>
      </c>
      <c r="G49" s="50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0.45</v>
      </c>
      <c r="H49" s="50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0.57999999999999996</v>
      </c>
      <c r="I49" s="50">
        <f>F49*H49</f>
        <v>1739.9999999999998</v>
      </c>
      <c r="J49" s="50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500</v>
      </c>
      <c r="K49" s="50">
        <f>IF('HSC Sweep'!$C$4="Type-B",Parameters!$L$14,INDEX(Parameters!$D$14:$H$14,1,R49)+(INDEX(Parameters!$D$14:$H$14,1,R49+1)-INDEX(Parameters!$D$14:$H$14,1,R49))*U49)</f>
        <v>0.6</v>
      </c>
      <c r="L49" s="50">
        <f>I49+J49</f>
        <v>2240</v>
      </c>
      <c r="M49" s="50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3400</v>
      </c>
      <c r="N49" s="50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50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0.5</v>
      </c>
      <c r="P49" s="50">
        <f>M49*O49</f>
        <v>1700</v>
      </c>
      <c r="Q49" s="50">
        <f>MIN(4,MAX(1,INT((1+C49/Parameters!$D$23)*4)+1))</f>
        <v>3</v>
      </c>
      <c r="R49" s="50">
        <f>MIN(4,MAX(1,INT((1+D49/Parameters!$D$24)*4)+1))</f>
        <v>4</v>
      </c>
      <c r="S49" s="50">
        <f>MIN(4,MAX(1,INT((1+E49/Parameters!$D$25)*4)+1))</f>
        <v>4</v>
      </c>
      <c r="T49" s="50">
        <f>MAX(0,MIN(1,(1+C49/Parameters!$D$23)*4-(Q49-1)))</f>
        <v>0</v>
      </c>
      <c r="U49" s="50">
        <f>MAX(0,MIN(1,(1+D49/Parameters!$D$24)*4-(R49-1)))</f>
        <v>1</v>
      </c>
      <c r="V49" s="50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7" t="s">
        <v>21</v>
      </c>
      <c r="C53" s="58" t="str">
        <f>B45</f>
        <v>C -20</v>
      </c>
      <c r="D53" s="58" t="str">
        <f>B46</f>
        <v>C -15</v>
      </c>
      <c r="E53" s="58" t="str">
        <f>B47</f>
        <v>C -10</v>
      </c>
      <c r="F53" s="58" t="str">
        <f>B48</f>
        <v>C -5</v>
      </c>
      <c r="G53" s="58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9">
        <v>0</v>
      </c>
      <c r="C54" s="59">
        <f t="shared" ref="C54:C74" si="5">$F$45*MIN($B54,$G$45)+$I$45*MAX(0,$B54-$G$45)+$J$45*MAX(0,$B54-$K$45)</f>
        <v>0</v>
      </c>
      <c r="D54" s="59">
        <f t="shared" ref="D54:D74" si="6">$F$46*MIN($B54,$G$46)+$I$46*MAX(0,$B54-$G$46)+$J$46*MAX(0,$B54-$K$46)</f>
        <v>0</v>
      </c>
      <c r="E54" s="59">
        <f t="shared" ref="E54:E74" si="7">$F$47*MIN($B54,$G$47)+$I$47*MAX(0,$B54-$G$47)+$J$47*MAX(0,$B54-$K$47)</f>
        <v>0</v>
      </c>
      <c r="F54" s="59">
        <f t="shared" ref="F54:F74" si="8">$F$48*MIN($B54,$G$48)+$I$48*MAX(0,$B54-$G$48)+$J$48*MAX(0,$B54-$K$48)</f>
        <v>0</v>
      </c>
      <c r="G54" s="59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0">
        <v>0.05</v>
      </c>
      <c r="C55" s="60">
        <f t="shared" si="5"/>
        <v>150</v>
      </c>
      <c r="D55" s="60">
        <f t="shared" si="6"/>
        <v>150</v>
      </c>
      <c r="E55" s="60">
        <f t="shared" si="7"/>
        <v>150</v>
      </c>
      <c r="F55" s="60">
        <f t="shared" si="8"/>
        <v>150</v>
      </c>
      <c r="G55" s="60">
        <f t="shared" si="9"/>
        <v>150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9">
        <v>0.1</v>
      </c>
      <c r="C56" s="59">
        <f t="shared" si="5"/>
        <v>300</v>
      </c>
      <c r="D56" s="59">
        <f t="shared" si="6"/>
        <v>300</v>
      </c>
      <c r="E56" s="59">
        <f t="shared" si="7"/>
        <v>300</v>
      </c>
      <c r="F56" s="59">
        <f t="shared" si="8"/>
        <v>300</v>
      </c>
      <c r="G56" s="59">
        <f t="shared" si="9"/>
        <v>300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0">
        <v>0.15</v>
      </c>
      <c r="C57" s="60">
        <f t="shared" si="5"/>
        <v>450</v>
      </c>
      <c r="D57" s="60">
        <f t="shared" si="6"/>
        <v>450</v>
      </c>
      <c r="E57" s="60">
        <f t="shared" si="7"/>
        <v>450</v>
      </c>
      <c r="F57" s="60">
        <f t="shared" si="8"/>
        <v>450</v>
      </c>
      <c r="G57" s="60">
        <f t="shared" si="9"/>
        <v>450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9">
        <v>0.2</v>
      </c>
      <c r="C58" s="59">
        <f t="shared" si="5"/>
        <v>600</v>
      </c>
      <c r="D58" s="59">
        <f t="shared" si="6"/>
        <v>600</v>
      </c>
      <c r="E58" s="59">
        <f t="shared" si="7"/>
        <v>600</v>
      </c>
      <c r="F58" s="59">
        <f t="shared" si="8"/>
        <v>600</v>
      </c>
      <c r="G58" s="59">
        <f t="shared" si="9"/>
        <v>600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0">
        <v>0.25</v>
      </c>
      <c r="C59" s="60">
        <f t="shared" si="5"/>
        <v>750</v>
      </c>
      <c r="D59" s="60">
        <f t="shared" si="6"/>
        <v>750</v>
      </c>
      <c r="E59" s="60">
        <f t="shared" si="7"/>
        <v>750</v>
      </c>
      <c r="F59" s="60">
        <f t="shared" si="8"/>
        <v>750</v>
      </c>
      <c r="G59" s="60">
        <f t="shared" si="9"/>
        <v>750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9">
        <v>0.3</v>
      </c>
      <c r="C60" s="59">
        <f t="shared" si="5"/>
        <v>837</v>
      </c>
      <c r="D60" s="59">
        <f t="shared" si="6"/>
        <v>900</v>
      </c>
      <c r="E60" s="59">
        <f t="shared" si="7"/>
        <v>900</v>
      </c>
      <c r="F60" s="59">
        <f t="shared" si="8"/>
        <v>900</v>
      </c>
      <c r="G60" s="59">
        <f t="shared" si="9"/>
        <v>900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0">
        <v>0.35</v>
      </c>
      <c r="C61" s="60">
        <f t="shared" si="5"/>
        <v>924</v>
      </c>
      <c r="D61" s="60">
        <f t="shared" si="6"/>
        <v>987</v>
      </c>
      <c r="E61" s="60">
        <f t="shared" si="7"/>
        <v>1050</v>
      </c>
      <c r="F61" s="60">
        <f t="shared" si="8"/>
        <v>1050</v>
      </c>
      <c r="G61" s="60">
        <f t="shared" si="9"/>
        <v>1050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9">
        <v>0.4</v>
      </c>
      <c r="C62" s="59">
        <f t="shared" si="5"/>
        <v>1011</v>
      </c>
      <c r="D62" s="59">
        <f t="shared" si="6"/>
        <v>1074</v>
      </c>
      <c r="E62" s="59">
        <f t="shared" si="7"/>
        <v>1137</v>
      </c>
      <c r="F62" s="59">
        <f t="shared" si="8"/>
        <v>1200</v>
      </c>
      <c r="G62" s="59">
        <f t="shared" si="9"/>
        <v>1200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0">
        <v>0.45</v>
      </c>
      <c r="C63" s="60">
        <f t="shared" si="5"/>
        <v>1098</v>
      </c>
      <c r="D63" s="60">
        <f t="shared" si="6"/>
        <v>1161</v>
      </c>
      <c r="E63" s="60">
        <f t="shared" si="7"/>
        <v>1224</v>
      </c>
      <c r="F63" s="60">
        <f t="shared" si="8"/>
        <v>1287</v>
      </c>
      <c r="G63" s="60">
        <f t="shared" si="9"/>
        <v>1350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9">
        <v>0.5</v>
      </c>
      <c r="C64" s="59">
        <f t="shared" si="5"/>
        <v>1185</v>
      </c>
      <c r="D64" s="59">
        <f t="shared" si="6"/>
        <v>1248</v>
      </c>
      <c r="E64" s="59">
        <f t="shared" si="7"/>
        <v>1311</v>
      </c>
      <c r="F64" s="59">
        <f t="shared" si="8"/>
        <v>1374</v>
      </c>
      <c r="G64" s="59">
        <f t="shared" si="9"/>
        <v>1437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0">
        <v>0.55000000000000004</v>
      </c>
      <c r="C65" s="60">
        <f t="shared" si="5"/>
        <v>1272</v>
      </c>
      <c r="D65" s="60">
        <f t="shared" si="6"/>
        <v>1335</v>
      </c>
      <c r="E65" s="60">
        <f t="shared" si="7"/>
        <v>1398</v>
      </c>
      <c r="F65" s="60">
        <f t="shared" si="8"/>
        <v>1461</v>
      </c>
      <c r="G65" s="60">
        <f t="shared" si="9"/>
        <v>1524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9">
        <v>0.6</v>
      </c>
      <c r="C66" s="59">
        <f t="shared" si="5"/>
        <v>1359</v>
      </c>
      <c r="D66" s="59">
        <f t="shared" si="6"/>
        <v>1422</v>
      </c>
      <c r="E66" s="59">
        <f t="shared" si="7"/>
        <v>1485</v>
      </c>
      <c r="F66" s="59">
        <f t="shared" si="8"/>
        <v>1548</v>
      </c>
      <c r="G66" s="59">
        <f t="shared" si="9"/>
        <v>1611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0">
        <v>0.65</v>
      </c>
      <c r="C67" s="60">
        <f t="shared" si="5"/>
        <v>1471</v>
      </c>
      <c r="D67" s="60">
        <f t="shared" si="6"/>
        <v>1534</v>
      </c>
      <c r="E67" s="60">
        <f t="shared" si="7"/>
        <v>1597</v>
      </c>
      <c r="F67" s="60">
        <f t="shared" si="8"/>
        <v>1660</v>
      </c>
      <c r="G67" s="60">
        <f t="shared" si="9"/>
        <v>1723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9">
        <v>0.7</v>
      </c>
      <c r="C68" s="59">
        <f t="shared" si="5"/>
        <v>1582.9999999999998</v>
      </c>
      <c r="D68" s="59">
        <f t="shared" si="6"/>
        <v>1646</v>
      </c>
      <c r="E68" s="59">
        <f t="shared" si="7"/>
        <v>1709</v>
      </c>
      <c r="F68" s="59">
        <f t="shared" si="8"/>
        <v>1771.9999999999998</v>
      </c>
      <c r="G68" s="59">
        <f t="shared" si="9"/>
        <v>1834.9999999999998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0">
        <v>0.75</v>
      </c>
      <c r="C69" s="60">
        <f t="shared" si="5"/>
        <v>1695</v>
      </c>
      <c r="D69" s="60">
        <f t="shared" si="6"/>
        <v>1758</v>
      </c>
      <c r="E69" s="60">
        <f t="shared" si="7"/>
        <v>1821</v>
      </c>
      <c r="F69" s="60">
        <f t="shared" si="8"/>
        <v>1884</v>
      </c>
      <c r="G69" s="60">
        <f t="shared" si="9"/>
        <v>1947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9">
        <v>0.8</v>
      </c>
      <c r="C70" s="59">
        <f t="shared" si="5"/>
        <v>1807</v>
      </c>
      <c r="D70" s="59">
        <f t="shared" si="6"/>
        <v>1870</v>
      </c>
      <c r="E70" s="59">
        <f t="shared" si="7"/>
        <v>1933</v>
      </c>
      <c r="F70" s="59">
        <f t="shared" si="8"/>
        <v>1996</v>
      </c>
      <c r="G70" s="59">
        <f t="shared" si="9"/>
        <v>2059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0">
        <v>0.85</v>
      </c>
      <c r="C71" s="60">
        <f t="shared" si="5"/>
        <v>1918.9999999999998</v>
      </c>
      <c r="D71" s="60">
        <f t="shared" si="6"/>
        <v>1982</v>
      </c>
      <c r="E71" s="60">
        <f t="shared" si="7"/>
        <v>2045</v>
      </c>
      <c r="F71" s="60">
        <f t="shared" si="8"/>
        <v>2108</v>
      </c>
      <c r="G71" s="60">
        <f t="shared" si="9"/>
        <v>2171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9">
        <v>0.9</v>
      </c>
      <c r="C72" s="59">
        <f t="shared" si="5"/>
        <v>2031</v>
      </c>
      <c r="D72" s="59">
        <f t="shared" si="6"/>
        <v>2094</v>
      </c>
      <c r="E72" s="59">
        <f t="shared" si="7"/>
        <v>2157</v>
      </c>
      <c r="F72" s="59">
        <f t="shared" si="8"/>
        <v>2220</v>
      </c>
      <c r="G72" s="59">
        <f t="shared" si="9"/>
        <v>2283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0">
        <v>0.95</v>
      </c>
      <c r="C73" s="60">
        <f t="shared" si="5"/>
        <v>2143</v>
      </c>
      <c r="D73" s="60">
        <f t="shared" si="6"/>
        <v>2206</v>
      </c>
      <c r="E73" s="60">
        <f t="shared" si="7"/>
        <v>2269</v>
      </c>
      <c r="F73" s="60">
        <f t="shared" si="8"/>
        <v>2332</v>
      </c>
      <c r="G73" s="60">
        <f t="shared" si="9"/>
        <v>2395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9">
        <v>1</v>
      </c>
      <c r="C74" s="59">
        <f t="shared" si="5"/>
        <v>2255</v>
      </c>
      <c r="D74" s="59">
        <f t="shared" si="6"/>
        <v>2318</v>
      </c>
      <c r="E74" s="59">
        <f t="shared" si="7"/>
        <v>2381</v>
      </c>
      <c r="F74" s="59">
        <f t="shared" si="8"/>
        <v>2444</v>
      </c>
      <c r="G74" s="59">
        <f t="shared" si="9"/>
        <v>2507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3" t="s">
        <v>92</v>
      </c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48" t="s">
        <v>30</v>
      </c>
      <c r="C84" s="47" t="s">
        <v>31</v>
      </c>
      <c r="D84" s="47" t="s">
        <v>32</v>
      </c>
      <c r="E84" s="47" t="s">
        <v>33</v>
      </c>
      <c r="F84" s="47" t="s">
        <v>10</v>
      </c>
      <c r="G84" s="48" t="s">
        <v>44</v>
      </c>
      <c r="H84" s="48" t="s">
        <v>34</v>
      </c>
      <c r="I84" s="47" t="s">
        <v>26</v>
      </c>
      <c r="J84" s="47" t="s">
        <v>35</v>
      </c>
      <c r="K84" s="48" t="s">
        <v>45</v>
      </c>
      <c r="L84" s="48" t="s">
        <v>36</v>
      </c>
      <c r="M84" s="47" t="s">
        <v>15</v>
      </c>
      <c r="N84" s="47" t="s">
        <v>16</v>
      </c>
      <c r="O84" s="48" t="s">
        <v>37</v>
      </c>
      <c r="P84" s="47" t="s">
        <v>29</v>
      </c>
      <c r="Q84" s="48" t="s">
        <v>38</v>
      </c>
      <c r="R84" s="48" t="s">
        <v>39</v>
      </c>
      <c r="S84" s="48" t="s">
        <v>40</v>
      </c>
      <c r="T84" s="48" t="s">
        <v>41</v>
      </c>
      <c r="U84" s="48" t="s">
        <v>42</v>
      </c>
      <c r="V84" s="48" t="s">
        <v>43</v>
      </c>
    </row>
    <row r="85" spans="2:22" ht="25" customHeight="1">
      <c r="B85" s="50" t="str">
        <f>"R "&amp;E85</f>
        <v>R -40</v>
      </c>
      <c r="C85" s="50">
        <f>Parameters!D7</f>
        <v>-24</v>
      </c>
      <c r="D85" s="50">
        <f>Parameters!D8</f>
        <v>-20</v>
      </c>
      <c r="E85" s="50">
        <f>Parameters!D16</f>
        <v>-40</v>
      </c>
      <c r="F85" s="50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50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50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0">
        <f>F85*H85</f>
        <v>1200</v>
      </c>
      <c r="J85" s="50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800</v>
      </c>
      <c r="K85" s="50">
        <f>IF('LSR Sweep'!$C$4="Type-B",Parameters!$L$14,INDEX(Parameters!$D$14:$H$14,1,R85)+(INDEX(Parameters!$D$14:$H$14,1,R85+1)-INDEX(Parameters!$D$14:$H$14,1,R85))*U85)</f>
        <v>0.57999999999999996</v>
      </c>
      <c r="L85" s="50">
        <f>I85+J85</f>
        <v>2000</v>
      </c>
      <c r="M85" s="50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50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0.25</v>
      </c>
      <c r="O85" s="50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50">
        <f>M85*O85</f>
        <v>1056</v>
      </c>
      <c r="Q85" s="50">
        <f>MIN(4,MAX(1,INT((1+C85/Parameters!$D$23)*4)+1))</f>
        <v>1</v>
      </c>
      <c r="R85" s="50">
        <f>MIN(4,MAX(1,INT((1+D85/Parameters!$D$24)*4)+1))</f>
        <v>1</v>
      </c>
      <c r="S85" s="50">
        <f>MIN(4,MAX(1,INT((1+E85/Parameters!$D$25)*4)+1))</f>
        <v>1</v>
      </c>
      <c r="T85" s="50">
        <f>MAX(0,MIN(1,(1+C85/Parameters!$D$23)*4-(Q85-1)))</f>
        <v>0</v>
      </c>
      <c r="U85" s="50">
        <f>MAX(0,MIN(1,(1+D85/Parameters!$D$24)*4-(R85-1)))</f>
        <v>0</v>
      </c>
      <c r="V85" s="50">
        <f>MAX(0,MIN(1,(1+E85/Parameters!$D$25)*4-(S85-1)))</f>
        <v>0</v>
      </c>
    </row>
    <row r="86" spans="2:22" ht="25" customHeight="1">
      <c r="B86" s="52" t="str">
        <f>"R "&amp;E86</f>
        <v>R -30</v>
      </c>
      <c r="C86" s="52">
        <f>Parameters!E7</f>
        <v>-18</v>
      </c>
      <c r="D86" s="52">
        <f>Parameters!E8</f>
        <v>-15</v>
      </c>
      <c r="E86" s="52">
        <f>Parameters!E16</f>
        <v>-30</v>
      </c>
      <c r="F86" s="52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52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52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52">
        <f>F86*H86</f>
        <v>1755</v>
      </c>
      <c r="J86" s="52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1400</v>
      </c>
      <c r="K86" s="52">
        <f>IF('LSR Sweep'!$C$4="Type-B",Parameters!$L$14,INDEX(Parameters!$D$14:$H$14,1,R86)+(INDEX(Parameters!$D$14:$H$14,1,R86+1)-INDEX(Parameters!$D$14:$H$14,1,R86))*U86)</f>
        <v>0.59</v>
      </c>
      <c r="L86" s="52">
        <f>I86+J86</f>
        <v>3155</v>
      </c>
      <c r="M86" s="52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52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0.27500000000000002</v>
      </c>
      <c r="O86" s="52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52">
        <f>M86*O86</f>
        <v>1426</v>
      </c>
      <c r="Q86" s="52">
        <f>MIN(4,MAX(1,INT((1+C86/Parameters!$D$23)*4)+1))</f>
        <v>2</v>
      </c>
      <c r="R86" s="52">
        <f>MIN(4,MAX(1,INT((1+D86/Parameters!$D$24)*4)+1))</f>
        <v>2</v>
      </c>
      <c r="S86" s="52">
        <f>MIN(4,MAX(1,INT((1+E86/Parameters!$D$25)*4)+1))</f>
        <v>2</v>
      </c>
      <c r="T86" s="52">
        <f>MAX(0,MIN(1,(1+C86/Parameters!$D$23)*4-(Q86-1)))</f>
        <v>0</v>
      </c>
      <c r="U86" s="52">
        <f>MAX(0,MIN(1,(1+D86/Parameters!$D$24)*4-(R86-1)))</f>
        <v>0</v>
      </c>
      <c r="V86" s="52">
        <f>MAX(0,MIN(1,(1+E86/Parameters!$D$25)*4-(S86-1)))</f>
        <v>0</v>
      </c>
    </row>
    <row r="87" spans="2:22" ht="25" customHeight="1">
      <c r="B87" s="50" t="str">
        <f>"R "&amp;E87</f>
        <v>R -20</v>
      </c>
      <c r="C87" s="50">
        <f>Parameters!F7</f>
        <v>-12</v>
      </c>
      <c r="D87" s="50">
        <f>Parameters!F8</f>
        <v>-10</v>
      </c>
      <c r="E87" s="50">
        <f>Parameters!F16</f>
        <v>-20</v>
      </c>
      <c r="F87" s="50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50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50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50">
        <f>F87*H87</f>
        <v>2280</v>
      </c>
      <c r="J87" s="50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50">
        <f>IF('LSR Sweep'!$C$4="Type-B",Parameters!$L$14,INDEX(Parameters!$D$14:$H$14,1,R87)+(INDEX(Parameters!$D$14:$H$14,1,R87+1)-INDEX(Parameters!$D$14:$H$14,1,R87))*U87)</f>
        <v>0.6</v>
      </c>
      <c r="L87" s="50">
        <f>I87+J87</f>
        <v>4280</v>
      </c>
      <c r="M87" s="50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50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0.3</v>
      </c>
      <c r="O87" s="50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50">
        <f>M87*O87</f>
        <v>1760</v>
      </c>
      <c r="Q87" s="50">
        <f>MIN(4,MAX(1,INT((1+C87/Parameters!$D$23)*4)+1))</f>
        <v>3</v>
      </c>
      <c r="R87" s="50">
        <f>MIN(4,MAX(1,INT((1+D87/Parameters!$D$24)*4)+1))</f>
        <v>3</v>
      </c>
      <c r="S87" s="50">
        <f>MIN(4,MAX(1,INT((1+E87/Parameters!$D$25)*4)+1))</f>
        <v>3</v>
      </c>
      <c r="T87" s="50">
        <f>MAX(0,MIN(1,(1+C87/Parameters!$D$23)*4-(Q87-1)))</f>
        <v>0</v>
      </c>
      <c r="U87" s="50">
        <f>MAX(0,MIN(1,(1+D87/Parameters!$D$24)*4-(R87-1)))</f>
        <v>0</v>
      </c>
      <c r="V87" s="50">
        <f>MAX(0,MIN(1,(1+E87/Parameters!$D$25)*4-(S87-1)))</f>
        <v>0</v>
      </c>
    </row>
    <row r="88" spans="2:22" ht="25" customHeight="1">
      <c r="B88" s="52" t="str">
        <f>"R "&amp;E88</f>
        <v>R -10</v>
      </c>
      <c r="C88" s="52">
        <f>Parameters!G7</f>
        <v>-6</v>
      </c>
      <c r="D88" s="52">
        <f>Parameters!G8</f>
        <v>-5</v>
      </c>
      <c r="E88" s="52">
        <f>Parameters!G16</f>
        <v>-10</v>
      </c>
      <c r="F88" s="52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52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52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52">
        <f>F88*H88</f>
        <v>2775</v>
      </c>
      <c r="J88" s="52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2600</v>
      </c>
      <c r="K88" s="52">
        <f>IF('LSR Sweep'!$C$4="Type-B",Parameters!$L$14,INDEX(Parameters!$D$14:$H$14,1,R88)+(INDEX(Parameters!$D$14:$H$14,1,R88+1)-INDEX(Parameters!$D$14:$H$14,1,R88))*U88)</f>
        <v>0.61</v>
      </c>
      <c r="L88" s="52">
        <f>I88+J88</f>
        <v>5375</v>
      </c>
      <c r="M88" s="52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52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0.32499999999999996</v>
      </c>
      <c r="O88" s="52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52">
        <f>M88*O88</f>
        <v>2058</v>
      </c>
      <c r="Q88" s="52">
        <f>MIN(4,MAX(1,INT((1+C88/Parameters!$D$23)*4)+1))</f>
        <v>4</v>
      </c>
      <c r="R88" s="52">
        <f>MIN(4,MAX(1,INT((1+D88/Parameters!$D$24)*4)+1))</f>
        <v>4</v>
      </c>
      <c r="S88" s="52">
        <f>MIN(4,MAX(1,INT((1+E88/Parameters!$D$25)*4)+1))</f>
        <v>4</v>
      </c>
      <c r="T88" s="52">
        <f>MAX(0,MIN(1,(1+C88/Parameters!$D$23)*4-(Q88-1)))</f>
        <v>0</v>
      </c>
      <c r="U88" s="52">
        <f>MAX(0,MIN(1,(1+D88/Parameters!$D$24)*4-(R88-1)))</f>
        <v>0</v>
      </c>
      <c r="V88" s="52">
        <f>MAX(0,MIN(1,(1+E88/Parameters!$D$25)*4-(S88-1)))</f>
        <v>0</v>
      </c>
    </row>
    <row r="89" spans="2:22" ht="25" customHeight="1">
      <c r="B89" s="50" t="str">
        <f>"R "&amp;E89</f>
        <v>R 0</v>
      </c>
      <c r="C89" s="50">
        <f>Parameters!H7</f>
        <v>0</v>
      </c>
      <c r="D89" s="50">
        <f>Parameters!H8</f>
        <v>0</v>
      </c>
      <c r="E89" s="50">
        <f>Parameters!H16</f>
        <v>0</v>
      </c>
      <c r="F89" s="50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50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50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50">
        <f>F89*H89</f>
        <v>3240</v>
      </c>
      <c r="J89" s="50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3200</v>
      </c>
      <c r="K89" s="50">
        <f>IF('LSR Sweep'!$C$4="Type-B",Parameters!$L$14,INDEX(Parameters!$D$14:$H$14,1,R89)+(INDEX(Parameters!$D$14:$H$14,1,R89+1)-INDEX(Parameters!$D$14:$H$14,1,R89))*U89)</f>
        <v>0.62</v>
      </c>
      <c r="L89" s="50">
        <f>I89+J89</f>
        <v>6440</v>
      </c>
      <c r="M89" s="50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50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0.35</v>
      </c>
      <c r="O89" s="50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0">
        <f>M89*O89</f>
        <v>2320</v>
      </c>
      <c r="Q89" s="50">
        <f>MIN(4,MAX(1,INT((1+C89/Parameters!$D$23)*4)+1))</f>
        <v>4</v>
      </c>
      <c r="R89" s="50">
        <f>MIN(4,MAX(1,INT((1+D89/Parameters!$D$24)*4)+1))</f>
        <v>4</v>
      </c>
      <c r="S89" s="50">
        <f>MIN(4,MAX(1,INT((1+E89/Parameters!$D$25)*4)+1))</f>
        <v>4</v>
      </c>
      <c r="T89" s="50">
        <f>MAX(0,MIN(1,(1+C89/Parameters!$D$23)*4-(Q89-1)))</f>
        <v>1</v>
      </c>
      <c r="U89" s="50">
        <f>MAX(0,MIN(1,(1+D89/Parameters!$D$24)*4-(R89-1)))</f>
        <v>1</v>
      </c>
      <c r="V89" s="50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7" t="s">
        <v>21</v>
      </c>
      <c r="C93" s="58" t="str">
        <f>B85</f>
        <v>R -40</v>
      </c>
      <c r="D93" s="58" t="str">
        <f>B86</f>
        <v>R -30</v>
      </c>
      <c r="E93" s="58" t="str">
        <f>B87</f>
        <v>R -20</v>
      </c>
      <c r="F93" s="58" t="str">
        <f>B88</f>
        <v>R -10</v>
      </c>
      <c r="G93" s="58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9">
        <v>0</v>
      </c>
      <c r="C94" s="59">
        <f t="shared" ref="C94:C114" si="10">$M$85*MIN($B94,$N$85)+$P$85*MAX(0,$B94-$N$85)</f>
        <v>0</v>
      </c>
      <c r="D94" s="59">
        <f t="shared" ref="D94:D114" si="11">$M$86*MIN($B94,$N$86)+$P$86*MAX(0,$B94-$N$86)</f>
        <v>0</v>
      </c>
      <c r="E94" s="59">
        <f t="shared" ref="E94:E114" si="12">$M$87*MIN($B94,$N$87)+$P$87*MAX(0,$B94-$N$87)</f>
        <v>0</v>
      </c>
      <c r="F94" s="59">
        <f t="shared" ref="F94:F114" si="13">$M$88*MIN($B94,$N$88)+$P$88*MAX(0,$B94-$N$88)</f>
        <v>0</v>
      </c>
      <c r="G94" s="59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0">
        <v>0.05</v>
      </c>
      <c r="C95" s="60">
        <f t="shared" si="10"/>
        <v>55</v>
      </c>
      <c r="D95" s="60">
        <f t="shared" si="11"/>
        <v>77.5</v>
      </c>
      <c r="E95" s="60">
        <f t="shared" si="12"/>
        <v>100</v>
      </c>
      <c r="F95" s="60">
        <f t="shared" si="13"/>
        <v>122.5</v>
      </c>
      <c r="G95" s="60">
        <f t="shared" si="14"/>
        <v>145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9">
        <v>0.1</v>
      </c>
      <c r="C96" s="59">
        <f t="shared" si="10"/>
        <v>110</v>
      </c>
      <c r="D96" s="59">
        <f t="shared" si="11"/>
        <v>155</v>
      </c>
      <c r="E96" s="59">
        <f t="shared" si="12"/>
        <v>200</v>
      </c>
      <c r="F96" s="59">
        <f t="shared" si="13"/>
        <v>245</v>
      </c>
      <c r="G96" s="59">
        <f t="shared" si="14"/>
        <v>290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0">
        <v>0.15</v>
      </c>
      <c r="C97" s="60">
        <f t="shared" si="10"/>
        <v>165</v>
      </c>
      <c r="D97" s="60">
        <f t="shared" si="11"/>
        <v>232.5</v>
      </c>
      <c r="E97" s="60">
        <f t="shared" si="12"/>
        <v>300</v>
      </c>
      <c r="F97" s="60">
        <f t="shared" si="13"/>
        <v>367.5</v>
      </c>
      <c r="G97" s="60">
        <f t="shared" si="14"/>
        <v>435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9">
        <v>0.2</v>
      </c>
      <c r="C98" s="59">
        <f t="shared" si="10"/>
        <v>220</v>
      </c>
      <c r="D98" s="59">
        <f t="shared" si="11"/>
        <v>310</v>
      </c>
      <c r="E98" s="59">
        <f t="shared" si="12"/>
        <v>400</v>
      </c>
      <c r="F98" s="59">
        <f t="shared" si="13"/>
        <v>490</v>
      </c>
      <c r="G98" s="59">
        <f t="shared" si="14"/>
        <v>580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0">
        <v>0.25</v>
      </c>
      <c r="C99" s="60">
        <f t="shared" si="10"/>
        <v>275</v>
      </c>
      <c r="D99" s="60">
        <f t="shared" si="11"/>
        <v>387.5</v>
      </c>
      <c r="E99" s="60">
        <f t="shared" si="12"/>
        <v>500</v>
      </c>
      <c r="F99" s="60">
        <f t="shared" si="13"/>
        <v>612.5</v>
      </c>
      <c r="G99" s="60">
        <f t="shared" si="14"/>
        <v>725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9">
        <v>0.3</v>
      </c>
      <c r="C100" s="59">
        <f t="shared" si="10"/>
        <v>327.8</v>
      </c>
      <c r="D100" s="59">
        <f t="shared" si="11"/>
        <v>461.90000000000003</v>
      </c>
      <c r="E100" s="59">
        <f t="shared" si="12"/>
        <v>600</v>
      </c>
      <c r="F100" s="59">
        <f t="shared" si="13"/>
        <v>735</v>
      </c>
      <c r="G100" s="59">
        <f t="shared" si="14"/>
        <v>870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0">
        <v>0.35</v>
      </c>
      <c r="C101" s="60">
        <f t="shared" si="10"/>
        <v>380.59999999999997</v>
      </c>
      <c r="D101" s="60">
        <f t="shared" si="11"/>
        <v>533.20000000000005</v>
      </c>
      <c r="E101" s="60">
        <f t="shared" si="12"/>
        <v>688</v>
      </c>
      <c r="F101" s="60">
        <f t="shared" si="13"/>
        <v>847.69999999999993</v>
      </c>
      <c r="G101" s="60">
        <f t="shared" si="14"/>
        <v>1014.9999999999999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9">
        <v>0.4</v>
      </c>
      <c r="C102" s="59">
        <f t="shared" si="10"/>
        <v>433.40000000000003</v>
      </c>
      <c r="D102" s="59">
        <f t="shared" si="11"/>
        <v>604.5</v>
      </c>
      <c r="E102" s="59">
        <f t="shared" si="12"/>
        <v>776</v>
      </c>
      <c r="F102" s="59">
        <f t="shared" si="13"/>
        <v>950.6</v>
      </c>
      <c r="G102" s="59">
        <f t="shared" si="14"/>
        <v>1131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0">
        <v>0.45</v>
      </c>
      <c r="C103" s="60">
        <f t="shared" si="10"/>
        <v>486.20000000000005</v>
      </c>
      <c r="D103" s="60">
        <f t="shared" si="11"/>
        <v>675.80000000000007</v>
      </c>
      <c r="E103" s="60">
        <f t="shared" si="12"/>
        <v>864</v>
      </c>
      <c r="F103" s="60">
        <f t="shared" si="13"/>
        <v>1053.5</v>
      </c>
      <c r="G103" s="60">
        <f t="shared" si="14"/>
        <v>1247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9">
        <v>0.5</v>
      </c>
      <c r="C104" s="59">
        <f t="shared" si="10"/>
        <v>539</v>
      </c>
      <c r="D104" s="59">
        <f t="shared" si="11"/>
        <v>747.1</v>
      </c>
      <c r="E104" s="59">
        <f t="shared" si="12"/>
        <v>952</v>
      </c>
      <c r="F104" s="59">
        <f t="shared" si="13"/>
        <v>1156.4000000000001</v>
      </c>
      <c r="G104" s="59">
        <f t="shared" si="14"/>
        <v>1363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0">
        <v>0.55000000000000004</v>
      </c>
      <c r="C105" s="60">
        <f t="shared" si="10"/>
        <v>591.80000000000007</v>
      </c>
      <c r="D105" s="60">
        <f t="shared" si="11"/>
        <v>818.40000000000009</v>
      </c>
      <c r="E105" s="60">
        <f t="shared" si="12"/>
        <v>1040</v>
      </c>
      <c r="F105" s="60">
        <f t="shared" si="13"/>
        <v>1259.3000000000002</v>
      </c>
      <c r="G105" s="60">
        <f t="shared" si="14"/>
        <v>1479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9">
        <v>0.6</v>
      </c>
      <c r="C106" s="59">
        <f t="shared" si="10"/>
        <v>644.59999999999991</v>
      </c>
      <c r="D106" s="59">
        <f t="shared" si="11"/>
        <v>889.7</v>
      </c>
      <c r="E106" s="59">
        <f t="shared" si="12"/>
        <v>1128</v>
      </c>
      <c r="F106" s="59">
        <f t="shared" si="13"/>
        <v>1362.1999999999998</v>
      </c>
      <c r="G106" s="59">
        <f t="shared" si="14"/>
        <v>1595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0">
        <v>0.65</v>
      </c>
      <c r="C107" s="60">
        <f t="shared" si="10"/>
        <v>697.40000000000009</v>
      </c>
      <c r="D107" s="60">
        <f t="shared" si="11"/>
        <v>961</v>
      </c>
      <c r="E107" s="60">
        <f t="shared" si="12"/>
        <v>1216</v>
      </c>
      <c r="F107" s="60">
        <f t="shared" si="13"/>
        <v>1465.1</v>
      </c>
      <c r="G107" s="60">
        <f t="shared" si="14"/>
        <v>1711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9">
        <v>0.7</v>
      </c>
      <c r="C108" s="59">
        <f t="shared" si="10"/>
        <v>750.19999999999993</v>
      </c>
      <c r="D108" s="59">
        <f t="shared" si="11"/>
        <v>1032.3</v>
      </c>
      <c r="E108" s="59">
        <f t="shared" si="12"/>
        <v>1304</v>
      </c>
      <c r="F108" s="59">
        <f t="shared" si="13"/>
        <v>1568</v>
      </c>
      <c r="G108" s="59">
        <f t="shared" si="14"/>
        <v>1827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0">
        <v>0.75</v>
      </c>
      <c r="C109" s="60">
        <f t="shared" si="10"/>
        <v>803</v>
      </c>
      <c r="D109" s="60">
        <f t="shared" si="11"/>
        <v>1103.6000000000001</v>
      </c>
      <c r="E109" s="60">
        <f t="shared" si="12"/>
        <v>1392</v>
      </c>
      <c r="F109" s="60">
        <f t="shared" si="13"/>
        <v>1670.9</v>
      </c>
      <c r="G109" s="60">
        <f t="shared" si="14"/>
        <v>1943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9">
        <v>0.8</v>
      </c>
      <c r="C110" s="59">
        <f t="shared" si="10"/>
        <v>855.80000000000007</v>
      </c>
      <c r="D110" s="59">
        <f t="shared" si="11"/>
        <v>1174.9000000000001</v>
      </c>
      <c r="E110" s="59">
        <f t="shared" si="12"/>
        <v>1480</v>
      </c>
      <c r="F110" s="59">
        <f t="shared" si="13"/>
        <v>1773.8000000000002</v>
      </c>
      <c r="G110" s="59">
        <f t="shared" si="14"/>
        <v>2059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0">
        <v>0.85</v>
      </c>
      <c r="C111" s="60">
        <f t="shared" si="10"/>
        <v>908.6</v>
      </c>
      <c r="D111" s="60">
        <f t="shared" si="11"/>
        <v>1246.2</v>
      </c>
      <c r="E111" s="60">
        <f t="shared" si="12"/>
        <v>1568</v>
      </c>
      <c r="F111" s="60">
        <f t="shared" si="13"/>
        <v>1876.6999999999998</v>
      </c>
      <c r="G111" s="60">
        <f t="shared" si="14"/>
        <v>2175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9">
        <v>0.9</v>
      </c>
      <c r="C112" s="59">
        <f t="shared" si="10"/>
        <v>961.4</v>
      </c>
      <c r="D112" s="59">
        <f t="shared" si="11"/>
        <v>1317.5</v>
      </c>
      <c r="E112" s="59">
        <f t="shared" si="12"/>
        <v>1656.0000000000002</v>
      </c>
      <c r="F112" s="59">
        <f t="shared" si="13"/>
        <v>1979.6</v>
      </c>
      <c r="G112" s="59">
        <f t="shared" si="14"/>
        <v>2291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0">
        <v>0.95</v>
      </c>
      <c r="C113" s="60">
        <f t="shared" si="10"/>
        <v>1014.1999999999999</v>
      </c>
      <c r="D113" s="60">
        <f t="shared" si="11"/>
        <v>1388.8</v>
      </c>
      <c r="E113" s="60">
        <f t="shared" si="12"/>
        <v>1743.9999999999998</v>
      </c>
      <c r="F113" s="60">
        <f t="shared" si="13"/>
        <v>2082.5</v>
      </c>
      <c r="G113" s="60">
        <f t="shared" si="14"/>
        <v>2407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9">
        <v>1</v>
      </c>
      <c r="C114" s="59">
        <f t="shared" si="10"/>
        <v>1067</v>
      </c>
      <c r="D114" s="59">
        <f t="shared" si="11"/>
        <v>1460.1</v>
      </c>
      <c r="E114" s="59">
        <f t="shared" si="12"/>
        <v>1832</v>
      </c>
      <c r="F114" s="59">
        <f t="shared" si="13"/>
        <v>2185.4</v>
      </c>
      <c r="G114" s="59">
        <f t="shared" si="14"/>
        <v>2523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3" t="s">
        <v>93</v>
      </c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48" t="s">
        <v>30</v>
      </c>
      <c r="C124" s="47" t="s">
        <v>31</v>
      </c>
      <c r="D124" s="47" t="s">
        <v>32</v>
      </c>
      <c r="E124" s="47" t="s">
        <v>33</v>
      </c>
      <c r="F124" s="47" t="s">
        <v>10</v>
      </c>
      <c r="G124" s="48" t="s">
        <v>44</v>
      </c>
      <c r="H124" s="48" t="s">
        <v>34</v>
      </c>
      <c r="I124" s="47" t="s">
        <v>26</v>
      </c>
      <c r="J124" s="47" t="s">
        <v>35</v>
      </c>
      <c r="K124" s="48" t="s">
        <v>45</v>
      </c>
      <c r="L124" s="48" t="s">
        <v>36</v>
      </c>
      <c r="M124" s="47" t="s">
        <v>15</v>
      </c>
      <c r="N124" s="47" t="s">
        <v>16</v>
      </c>
      <c r="O124" s="48" t="s">
        <v>37</v>
      </c>
      <c r="P124" s="47" t="s">
        <v>29</v>
      </c>
      <c r="Q124" s="48" t="s">
        <v>38</v>
      </c>
      <c r="R124" s="48" t="s">
        <v>39</v>
      </c>
      <c r="S124" s="48" t="s">
        <v>40</v>
      </c>
      <c r="T124" s="48" t="s">
        <v>41</v>
      </c>
      <c r="U124" s="48" t="s">
        <v>42</v>
      </c>
      <c r="V124" s="48" t="s">
        <v>43</v>
      </c>
    </row>
    <row r="125" spans="2:22" ht="25" customHeight="1">
      <c r="B125" s="50" t="str">
        <f>"c "&amp;C125&amp;" / C "&amp;D125</f>
        <v>c -24 / C -20</v>
      </c>
      <c r="C125" s="50">
        <f>Parameters!D7</f>
        <v>-24</v>
      </c>
      <c r="D125" s="50">
        <f>Parameters!D8</f>
        <v>-20</v>
      </c>
      <c r="E125" s="50">
        <f>Parameters!D16</f>
        <v>-40</v>
      </c>
      <c r="F125" s="50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1200</v>
      </c>
      <c r="G125" s="50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50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0">
        <f>F125*H125</f>
        <v>1200</v>
      </c>
      <c r="J125" s="50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800</v>
      </c>
      <c r="K125" s="50">
        <f>IF('Full Sweep'!$C$4="Type-B",Parameters!$L$14,INDEX(Parameters!$D$14:$H$14,1,R125)+(INDEX(Parameters!$D$14:$H$14,1,R125+1)-INDEX(Parameters!$D$14:$H$14,1,R125))*U125)</f>
        <v>0.57999999999999996</v>
      </c>
      <c r="L125" s="50">
        <f>I125+J125</f>
        <v>2000</v>
      </c>
      <c r="M125" s="50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1100</v>
      </c>
      <c r="N125" s="50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0.25</v>
      </c>
      <c r="O125" s="50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0.96</v>
      </c>
      <c r="P125" s="50">
        <f>M125*O125</f>
        <v>1056</v>
      </c>
      <c r="Q125" s="50">
        <f>MIN(4,MAX(1,INT((1+C125/Parameters!$D$23)*4)+1))</f>
        <v>1</v>
      </c>
      <c r="R125" s="50">
        <f>MIN(4,MAX(1,INT((1+D125/Parameters!$D$24)*4)+1))</f>
        <v>1</v>
      </c>
      <c r="S125" s="50">
        <f>MIN(4,MAX(1,INT((1+E125/Parameters!$D$25)*4)+1))</f>
        <v>1</v>
      </c>
      <c r="T125" s="50">
        <f>MAX(0,MIN(1,(1+C125/Parameters!$D$23)*4-(Q125-1)))</f>
        <v>0</v>
      </c>
      <c r="U125" s="50">
        <f>MAX(0,MIN(1,(1+D125/Parameters!$D$24)*4-(R125-1)))</f>
        <v>0</v>
      </c>
      <c r="V125" s="50">
        <f>MAX(0,MIN(1,(1+E125/Parameters!$D$25)*4-(S125-1)))</f>
        <v>0</v>
      </c>
    </row>
    <row r="126" spans="2:22" ht="25" customHeight="1">
      <c r="B126" s="52" t="str">
        <f>"c "&amp;C126&amp;" / C "&amp;D126</f>
        <v>c -18 / C -15</v>
      </c>
      <c r="C126" s="52">
        <f>Parameters!E7</f>
        <v>-18</v>
      </c>
      <c r="D126" s="52">
        <f>Parameters!E8</f>
        <v>-15</v>
      </c>
      <c r="E126" s="52">
        <f>Parameters!E16</f>
        <v>-30</v>
      </c>
      <c r="F126" s="52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1800</v>
      </c>
      <c r="G126" s="52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52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52">
        <f>F126*H126</f>
        <v>1755</v>
      </c>
      <c r="J126" s="52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1400</v>
      </c>
      <c r="K126" s="52">
        <f>IF('Full Sweep'!$C$4="Type-B",Parameters!$L$14,INDEX(Parameters!$D$14:$H$14,1,R126)+(INDEX(Parameters!$D$14:$H$14,1,R126+1)-INDEX(Parameters!$D$14:$H$14,1,R126))*U126)</f>
        <v>0.59</v>
      </c>
      <c r="L126" s="52">
        <f>I126+J126</f>
        <v>3155</v>
      </c>
      <c r="M126" s="52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1550</v>
      </c>
      <c r="N126" s="52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0.27500000000000002</v>
      </c>
      <c r="O126" s="52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0.91999999999999993</v>
      </c>
      <c r="P126" s="52">
        <f>M126*O126</f>
        <v>1426</v>
      </c>
      <c r="Q126" s="52">
        <f>MIN(4,MAX(1,INT((1+C126/Parameters!$D$23)*4)+1))</f>
        <v>2</v>
      </c>
      <c r="R126" s="52">
        <f>MIN(4,MAX(1,INT((1+D126/Parameters!$D$24)*4)+1))</f>
        <v>2</v>
      </c>
      <c r="S126" s="52">
        <f>MIN(4,MAX(1,INT((1+E126/Parameters!$D$25)*4)+1))</f>
        <v>2</v>
      </c>
      <c r="T126" s="52">
        <f>MAX(0,MIN(1,(1+C126/Parameters!$D$23)*4-(Q126-1)))</f>
        <v>0</v>
      </c>
      <c r="U126" s="52">
        <f>MAX(0,MIN(1,(1+D126/Parameters!$D$24)*4-(R126-1)))</f>
        <v>0</v>
      </c>
      <c r="V126" s="52">
        <f>MAX(0,MIN(1,(1+E126/Parameters!$D$25)*4-(S126-1)))</f>
        <v>0</v>
      </c>
    </row>
    <row r="127" spans="2:22" ht="25" customHeight="1">
      <c r="B127" s="50" t="str">
        <f>"c "&amp;C127&amp;" / C "&amp;D127</f>
        <v>c -12 / C -10</v>
      </c>
      <c r="C127" s="50">
        <f>Parameters!F7</f>
        <v>-12</v>
      </c>
      <c r="D127" s="50">
        <f>Parameters!F8</f>
        <v>-10</v>
      </c>
      <c r="E127" s="50">
        <f>Parameters!F16</f>
        <v>-20</v>
      </c>
      <c r="F127" s="50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2400</v>
      </c>
      <c r="G127" s="50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50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50">
        <f>F127*H127</f>
        <v>2280</v>
      </c>
      <c r="J127" s="50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50">
        <f>IF('Full Sweep'!$C$4="Type-B",Parameters!$L$14,INDEX(Parameters!$D$14:$H$14,1,R127)+(INDEX(Parameters!$D$14:$H$14,1,R127+1)-INDEX(Parameters!$D$14:$H$14,1,R127))*U127)</f>
        <v>0.6</v>
      </c>
      <c r="L127" s="50">
        <f>I127+J127</f>
        <v>4280</v>
      </c>
      <c r="M127" s="50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50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0.3</v>
      </c>
      <c r="O127" s="50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50">
        <f>M127*O127</f>
        <v>1760</v>
      </c>
      <c r="Q127" s="50">
        <f>MIN(4,MAX(1,INT((1+C127/Parameters!$D$23)*4)+1))</f>
        <v>3</v>
      </c>
      <c r="R127" s="50">
        <f>MIN(4,MAX(1,INT((1+D127/Parameters!$D$24)*4)+1))</f>
        <v>3</v>
      </c>
      <c r="S127" s="50">
        <f>MIN(4,MAX(1,INT((1+E127/Parameters!$D$25)*4)+1))</f>
        <v>3</v>
      </c>
      <c r="T127" s="50">
        <f>MAX(0,MIN(1,(1+C127/Parameters!$D$23)*4-(Q127-1)))</f>
        <v>0</v>
      </c>
      <c r="U127" s="50">
        <f>MAX(0,MIN(1,(1+D127/Parameters!$D$24)*4-(R127-1)))</f>
        <v>0</v>
      </c>
      <c r="V127" s="50">
        <f>MAX(0,MIN(1,(1+E127/Parameters!$D$25)*4-(S127-1)))</f>
        <v>0</v>
      </c>
    </row>
    <row r="128" spans="2:22" ht="25" customHeight="1">
      <c r="B128" s="52" t="str">
        <f>"c "&amp;C128&amp;" / C "&amp;D128</f>
        <v>c -6 / C -5</v>
      </c>
      <c r="C128" s="52">
        <f>Parameters!G7</f>
        <v>-6</v>
      </c>
      <c r="D128" s="52">
        <f>Parameters!G8</f>
        <v>-5</v>
      </c>
      <c r="E128" s="52">
        <f>Parameters!G16</f>
        <v>-10</v>
      </c>
      <c r="F128" s="52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3000</v>
      </c>
      <c r="G128" s="52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52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52">
        <f>F128*H128</f>
        <v>2775</v>
      </c>
      <c r="J128" s="52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2600</v>
      </c>
      <c r="K128" s="52">
        <f>IF('Full Sweep'!$C$4="Type-B",Parameters!$L$14,INDEX(Parameters!$D$14:$H$14,1,R128)+(INDEX(Parameters!$D$14:$H$14,1,R128+1)-INDEX(Parameters!$D$14:$H$14,1,R128))*U128)</f>
        <v>0.61</v>
      </c>
      <c r="L128" s="52">
        <f>I128+J128</f>
        <v>5375</v>
      </c>
      <c r="M128" s="52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2450</v>
      </c>
      <c r="N128" s="52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0.32499999999999996</v>
      </c>
      <c r="O128" s="52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52">
        <f>M128*O128</f>
        <v>2058</v>
      </c>
      <c r="Q128" s="52">
        <f>MIN(4,MAX(1,INT((1+C128/Parameters!$D$23)*4)+1))</f>
        <v>4</v>
      </c>
      <c r="R128" s="52">
        <f>MIN(4,MAX(1,INT((1+D128/Parameters!$D$24)*4)+1))</f>
        <v>4</v>
      </c>
      <c r="S128" s="52">
        <f>MIN(4,MAX(1,INT((1+E128/Parameters!$D$25)*4)+1))</f>
        <v>4</v>
      </c>
      <c r="T128" s="52">
        <f>MAX(0,MIN(1,(1+C128/Parameters!$D$23)*4-(Q128-1)))</f>
        <v>0</v>
      </c>
      <c r="U128" s="52">
        <f>MAX(0,MIN(1,(1+D128/Parameters!$D$24)*4-(R128-1)))</f>
        <v>0</v>
      </c>
      <c r="V128" s="52">
        <f>MAX(0,MIN(1,(1+E128/Parameters!$D$25)*4-(S128-1)))</f>
        <v>0</v>
      </c>
    </row>
    <row r="129" spans="2:22" ht="25" customHeight="1">
      <c r="B129" s="50" t="str">
        <f>"c "&amp;C129&amp;" / C "&amp;D129</f>
        <v>c 0 / C 0</v>
      </c>
      <c r="C129" s="50">
        <f>Parameters!H7</f>
        <v>0</v>
      </c>
      <c r="D129" s="50">
        <f>Parameters!H8</f>
        <v>0</v>
      </c>
      <c r="E129" s="50">
        <f>Parameters!H16</f>
        <v>0</v>
      </c>
      <c r="F129" s="50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3600</v>
      </c>
      <c r="G129" s="50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50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50">
        <f>F129*H129</f>
        <v>3240</v>
      </c>
      <c r="J129" s="50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3200</v>
      </c>
      <c r="K129" s="50">
        <f>IF('Full Sweep'!$C$4="Type-B",Parameters!$L$14,INDEX(Parameters!$D$14:$H$14,1,R129)+(INDEX(Parameters!$D$14:$H$14,1,R129+1)-INDEX(Parameters!$D$14:$H$14,1,R129))*U129)</f>
        <v>0.62</v>
      </c>
      <c r="L129" s="50">
        <f>I129+J129</f>
        <v>6440</v>
      </c>
      <c r="M129" s="50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2900</v>
      </c>
      <c r="N129" s="50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0.35</v>
      </c>
      <c r="O129" s="50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0">
        <f>M129*O129</f>
        <v>2320</v>
      </c>
      <c r="Q129" s="50">
        <f>MIN(4,MAX(1,INT((1+C129/Parameters!$D$23)*4)+1))</f>
        <v>4</v>
      </c>
      <c r="R129" s="50">
        <f>MIN(4,MAX(1,INT((1+D129/Parameters!$D$24)*4)+1))</f>
        <v>4</v>
      </c>
      <c r="S129" s="50">
        <f>MIN(4,MAX(1,INT((1+E129/Parameters!$D$25)*4)+1))</f>
        <v>4</v>
      </c>
      <c r="T129" s="50">
        <f>MAX(0,MIN(1,(1+C129/Parameters!$D$23)*4-(Q129-1)))</f>
        <v>1</v>
      </c>
      <c r="U129" s="50">
        <f>MAX(0,MIN(1,(1+D129/Parameters!$D$24)*4-(R129-1)))</f>
        <v>1</v>
      </c>
      <c r="V129" s="50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7" t="s">
        <v>21</v>
      </c>
      <c r="C133" s="58" t="str">
        <f>B125</f>
        <v>c -24 / C -20</v>
      </c>
      <c r="D133" s="58" t="str">
        <f>B126</f>
        <v>c -18 / C -15</v>
      </c>
      <c r="E133" s="58" t="str">
        <f>B127</f>
        <v>c -12 / C -10</v>
      </c>
      <c r="F133" s="58" t="str">
        <f>B128</f>
        <v>c -6 / C -5</v>
      </c>
      <c r="G133" s="58" t="str">
        <f>B129</f>
        <v>c 0 / C 0</v>
      </c>
      <c r="H133" s="58" t="str">
        <f>"R "&amp;E125</f>
        <v>R -40</v>
      </c>
      <c r="I133" s="58" t="str">
        <f>"R "&amp;E126</f>
        <v>R -30</v>
      </c>
      <c r="J133" s="58" t="str">
        <f>"R "&amp;E127</f>
        <v>R -20</v>
      </c>
      <c r="K133" s="58" t="str">
        <f>"R "&amp;E128</f>
        <v>R -10</v>
      </c>
      <c r="L133" s="58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9">
        <v>0</v>
      </c>
      <c r="C134" s="59">
        <f t="shared" ref="C134:C154" si="15">$F$125*MIN($B134,$G$125)+$I$125*MAX(0,$B134-$G$125)+$J$125*MAX(0,$B134-$K$125)</f>
        <v>0</v>
      </c>
      <c r="D134" s="59">
        <f t="shared" ref="D134:D154" si="16">$F$126*MIN($B134,$G$126)+$I$126*MAX(0,$B134-$G$126)+$J$126*MAX(0,$B134-$K$126)</f>
        <v>0</v>
      </c>
      <c r="E134" s="59">
        <f t="shared" ref="E134:E154" si="17">$F$127*MIN($B134,$G$127)+$I$127*MAX(0,$B134-$G$127)+$J$127*MAX(0,$B134-$K$127)</f>
        <v>0</v>
      </c>
      <c r="F134" s="59">
        <f t="shared" ref="F134:F154" si="18">$F$128*MIN($B134,$G$128)+$I$128*MAX(0,$B134-$G$128)+$J$128*MAX(0,$B134-$K$128)</f>
        <v>0</v>
      </c>
      <c r="G134" s="59">
        <f t="shared" ref="G134:G154" si="19">$F$129*MIN($B134,$G$129)+$I$129*MAX(0,$B134-$G$129)+$J$129*MAX(0,$B134-$K$129)</f>
        <v>0</v>
      </c>
      <c r="H134" s="59">
        <f t="shared" ref="H134:H154" si="20">-($M$125*MIN($B134,$N$125)+$P$125*MAX(0,$B134-$N$125))</f>
        <v>0</v>
      </c>
      <c r="I134" s="59">
        <f t="shared" ref="I134:I154" si="21">-($M$126*MIN($B134,$N$126)+$P$126*MAX(0,$B134-$N$126))</f>
        <v>0</v>
      </c>
      <c r="J134" s="59">
        <f t="shared" ref="J134:J154" si="22">-($M$127*MIN($B134,$N$127)+$P$127*MAX(0,$B134-$N$127))</f>
        <v>0</v>
      </c>
      <c r="K134" s="59">
        <f t="shared" ref="K134:K154" si="23">-($M$128*MIN($B134,$N$128)+$P$128*MAX(0,$B134-$N$128))</f>
        <v>0</v>
      </c>
      <c r="L134" s="59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0">
        <v>0.05</v>
      </c>
      <c r="C135" s="60">
        <f t="shared" si="15"/>
        <v>60</v>
      </c>
      <c r="D135" s="60">
        <f t="shared" si="16"/>
        <v>90</v>
      </c>
      <c r="E135" s="60">
        <f t="shared" si="17"/>
        <v>120</v>
      </c>
      <c r="F135" s="60">
        <f t="shared" si="18"/>
        <v>150</v>
      </c>
      <c r="G135" s="60">
        <f t="shared" si="19"/>
        <v>180</v>
      </c>
      <c r="H135" s="60">
        <f t="shared" si="20"/>
        <v>-55</v>
      </c>
      <c r="I135" s="60">
        <f t="shared" si="21"/>
        <v>-77.5</v>
      </c>
      <c r="J135" s="60">
        <f t="shared" si="22"/>
        <v>-100</v>
      </c>
      <c r="K135" s="60">
        <f t="shared" si="23"/>
        <v>-122.5</v>
      </c>
      <c r="L135" s="60">
        <f t="shared" si="24"/>
        <v>-145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9">
        <v>0.1</v>
      </c>
      <c r="C136" s="59">
        <f t="shared" si="15"/>
        <v>120</v>
      </c>
      <c r="D136" s="59">
        <f t="shared" si="16"/>
        <v>180</v>
      </c>
      <c r="E136" s="59">
        <f t="shared" si="17"/>
        <v>240</v>
      </c>
      <c r="F136" s="59">
        <f t="shared" si="18"/>
        <v>300</v>
      </c>
      <c r="G136" s="59">
        <f t="shared" si="19"/>
        <v>360</v>
      </c>
      <c r="H136" s="59">
        <f t="shared" si="20"/>
        <v>-110</v>
      </c>
      <c r="I136" s="59">
        <f t="shared" si="21"/>
        <v>-155</v>
      </c>
      <c r="J136" s="59">
        <f t="shared" si="22"/>
        <v>-200</v>
      </c>
      <c r="K136" s="59">
        <f t="shared" si="23"/>
        <v>-245</v>
      </c>
      <c r="L136" s="59">
        <f t="shared" si="24"/>
        <v>-290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0">
        <v>0.15</v>
      </c>
      <c r="C137" s="60">
        <f t="shared" si="15"/>
        <v>180</v>
      </c>
      <c r="D137" s="60">
        <f t="shared" si="16"/>
        <v>268.64999999999998</v>
      </c>
      <c r="E137" s="60">
        <f t="shared" si="17"/>
        <v>356.4</v>
      </c>
      <c r="F137" s="60">
        <f t="shared" si="18"/>
        <v>443.25</v>
      </c>
      <c r="G137" s="60">
        <f t="shared" si="19"/>
        <v>529.20000000000005</v>
      </c>
      <c r="H137" s="60">
        <f t="shared" si="20"/>
        <v>-165</v>
      </c>
      <c r="I137" s="60">
        <f t="shared" si="21"/>
        <v>-232.5</v>
      </c>
      <c r="J137" s="60">
        <f t="shared" si="22"/>
        <v>-300</v>
      </c>
      <c r="K137" s="60">
        <f t="shared" si="23"/>
        <v>-367.5</v>
      </c>
      <c r="L137" s="60">
        <f t="shared" si="24"/>
        <v>-435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9">
        <v>0.2</v>
      </c>
      <c r="C138" s="59">
        <f t="shared" si="15"/>
        <v>240</v>
      </c>
      <c r="D138" s="59">
        <f t="shared" si="16"/>
        <v>356.40000000000003</v>
      </c>
      <c r="E138" s="59">
        <f t="shared" si="17"/>
        <v>470.40000000000003</v>
      </c>
      <c r="F138" s="59">
        <f t="shared" si="18"/>
        <v>582</v>
      </c>
      <c r="G138" s="59">
        <f t="shared" si="19"/>
        <v>691.2</v>
      </c>
      <c r="H138" s="59">
        <f t="shared" si="20"/>
        <v>-220</v>
      </c>
      <c r="I138" s="59">
        <f t="shared" si="21"/>
        <v>-310</v>
      </c>
      <c r="J138" s="59">
        <f t="shared" si="22"/>
        <v>-400</v>
      </c>
      <c r="K138" s="59">
        <f t="shared" si="23"/>
        <v>-490</v>
      </c>
      <c r="L138" s="59">
        <f t="shared" si="24"/>
        <v>-580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0">
        <v>0.25</v>
      </c>
      <c r="C139" s="60">
        <f t="shared" si="15"/>
        <v>300</v>
      </c>
      <c r="D139" s="60">
        <f t="shared" si="16"/>
        <v>444.15</v>
      </c>
      <c r="E139" s="60">
        <f t="shared" si="17"/>
        <v>584.40000000000009</v>
      </c>
      <c r="F139" s="60">
        <f t="shared" si="18"/>
        <v>720.75</v>
      </c>
      <c r="G139" s="60">
        <f t="shared" si="19"/>
        <v>853.2</v>
      </c>
      <c r="H139" s="60">
        <f t="shared" si="20"/>
        <v>-275</v>
      </c>
      <c r="I139" s="60">
        <f t="shared" si="21"/>
        <v>-387.5</v>
      </c>
      <c r="J139" s="60">
        <f t="shared" si="22"/>
        <v>-500</v>
      </c>
      <c r="K139" s="60">
        <f t="shared" si="23"/>
        <v>-612.5</v>
      </c>
      <c r="L139" s="60">
        <f t="shared" si="24"/>
        <v>-725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9">
        <v>0.3</v>
      </c>
      <c r="C140" s="59">
        <f t="shared" si="15"/>
        <v>360</v>
      </c>
      <c r="D140" s="59">
        <f t="shared" si="16"/>
        <v>531.9</v>
      </c>
      <c r="E140" s="59">
        <f t="shared" si="17"/>
        <v>698.4</v>
      </c>
      <c r="F140" s="59">
        <f t="shared" si="18"/>
        <v>859.5</v>
      </c>
      <c r="G140" s="59">
        <f t="shared" si="19"/>
        <v>1015.1999999999999</v>
      </c>
      <c r="H140" s="59">
        <f t="shared" si="20"/>
        <v>-327.8</v>
      </c>
      <c r="I140" s="59">
        <f t="shared" si="21"/>
        <v>-461.90000000000003</v>
      </c>
      <c r="J140" s="59">
        <f t="shared" si="22"/>
        <v>-600</v>
      </c>
      <c r="K140" s="59">
        <f t="shared" si="23"/>
        <v>-735</v>
      </c>
      <c r="L140" s="59">
        <f t="shared" si="24"/>
        <v>-870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0">
        <v>0.35</v>
      </c>
      <c r="C141" s="60">
        <f t="shared" si="15"/>
        <v>420</v>
      </c>
      <c r="D141" s="60">
        <f t="shared" si="16"/>
        <v>619.65</v>
      </c>
      <c r="E141" s="60">
        <f t="shared" si="17"/>
        <v>812.4</v>
      </c>
      <c r="F141" s="60">
        <f t="shared" si="18"/>
        <v>998.25</v>
      </c>
      <c r="G141" s="60">
        <f t="shared" si="19"/>
        <v>1177.1999999999998</v>
      </c>
      <c r="H141" s="60">
        <f t="shared" si="20"/>
        <v>-380.59999999999997</v>
      </c>
      <c r="I141" s="60">
        <f t="shared" si="21"/>
        <v>-533.20000000000005</v>
      </c>
      <c r="J141" s="60">
        <f t="shared" si="22"/>
        <v>-688</v>
      </c>
      <c r="K141" s="60">
        <f t="shared" si="23"/>
        <v>-847.69999999999993</v>
      </c>
      <c r="L141" s="60">
        <f t="shared" si="24"/>
        <v>-1014.9999999999999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9">
        <v>0.4</v>
      </c>
      <c r="C142" s="59">
        <f t="shared" si="15"/>
        <v>480.00000000000006</v>
      </c>
      <c r="D142" s="59">
        <f t="shared" si="16"/>
        <v>707.40000000000009</v>
      </c>
      <c r="E142" s="59">
        <f t="shared" si="17"/>
        <v>926.40000000000009</v>
      </c>
      <c r="F142" s="59">
        <f t="shared" si="18"/>
        <v>1137</v>
      </c>
      <c r="G142" s="59">
        <f t="shared" si="19"/>
        <v>1339.2</v>
      </c>
      <c r="H142" s="59">
        <f t="shared" si="20"/>
        <v>-433.40000000000003</v>
      </c>
      <c r="I142" s="59">
        <f t="shared" si="21"/>
        <v>-604.5</v>
      </c>
      <c r="J142" s="59">
        <f t="shared" si="22"/>
        <v>-776</v>
      </c>
      <c r="K142" s="59">
        <f t="shared" si="23"/>
        <v>-950.6</v>
      </c>
      <c r="L142" s="59">
        <f t="shared" si="24"/>
        <v>-1131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0">
        <v>0.45</v>
      </c>
      <c r="C143" s="60">
        <f t="shared" si="15"/>
        <v>540</v>
      </c>
      <c r="D143" s="60">
        <f t="shared" si="16"/>
        <v>795.15</v>
      </c>
      <c r="E143" s="60">
        <f t="shared" si="17"/>
        <v>1040.4000000000001</v>
      </c>
      <c r="F143" s="60">
        <f t="shared" si="18"/>
        <v>1275.75</v>
      </c>
      <c r="G143" s="60">
        <f t="shared" si="19"/>
        <v>1501.2</v>
      </c>
      <c r="H143" s="60">
        <f t="shared" si="20"/>
        <v>-486.20000000000005</v>
      </c>
      <c r="I143" s="60">
        <f t="shared" si="21"/>
        <v>-675.80000000000007</v>
      </c>
      <c r="J143" s="60">
        <f t="shared" si="22"/>
        <v>-864</v>
      </c>
      <c r="K143" s="60">
        <f t="shared" si="23"/>
        <v>-1053.5</v>
      </c>
      <c r="L143" s="60">
        <f t="shared" si="24"/>
        <v>-1247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9">
        <v>0.5</v>
      </c>
      <c r="C144" s="59">
        <f t="shared" si="15"/>
        <v>600</v>
      </c>
      <c r="D144" s="59">
        <f t="shared" si="16"/>
        <v>882.9</v>
      </c>
      <c r="E144" s="59">
        <f t="shared" si="17"/>
        <v>1154.4000000000001</v>
      </c>
      <c r="F144" s="59">
        <f t="shared" si="18"/>
        <v>1414.5</v>
      </c>
      <c r="G144" s="59">
        <f t="shared" si="19"/>
        <v>1663.2</v>
      </c>
      <c r="H144" s="59">
        <f t="shared" si="20"/>
        <v>-539</v>
      </c>
      <c r="I144" s="59">
        <f t="shared" si="21"/>
        <v>-747.1</v>
      </c>
      <c r="J144" s="59">
        <f t="shared" si="22"/>
        <v>-952</v>
      </c>
      <c r="K144" s="59">
        <f t="shared" si="23"/>
        <v>-1156.4000000000001</v>
      </c>
      <c r="L144" s="59">
        <f t="shared" si="24"/>
        <v>-1363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0">
        <v>0.55000000000000004</v>
      </c>
      <c r="C145" s="60">
        <f t="shared" si="15"/>
        <v>660.00000000000011</v>
      </c>
      <c r="D145" s="60">
        <f t="shared" si="16"/>
        <v>970.65000000000009</v>
      </c>
      <c r="E145" s="60">
        <f t="shared" si="17"/>
        <v>1268.4000000000001</v>
      </c>
      <c r="F145" s="60">
        <f t="shared" si="18"/>
        <v>1553.2500000000002</v>
      </c>
      <c r="G145" s="60">
        <f t="shared" si="19"/>
        <v>1825.2</v>
      </c>
      <c r="H145" s="60">
        <f t="shared" si="20"/>
        <v>-591.80000000000007</v>
      </c>
      <c r="I145" s="60">
        <f t="shared" si="21"/>
        <v>-818.40000000000009</v>
      </c>
      <c r="J145" s="60">
        <f t="shared" si="22"/>
        <v>-1040</v>
      </c>
      <c r="K145" s="60">
        <f t="shared" si="23"/>
        <v>-1259.3000000000002</v>
      </c>
      <c r="L145" s="60">
        <f t="shared" si="24"/>
        <v>-1479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9">
        <v>0.6</v>
      </c>
      <c r="C146" s="59">
        <f t="shared" si="15"/>
        <v>736</v>
      </c>
      <c r="D146" s="59">
        <f t="shared" si="16"/>
        <v>1072.4000000000001</v>
      </c>
      <c r="E146" s="59">
        <f t="shared" si="17"/>
        <v>1382.3999999999999</v>
      </c>
      <c r="F146" s="59">
        <f t="shared" si="18"/>
        <v>1692</v>
      </c>
      <c r="G146" s="59">
        <f t="shared" si="19"/>
        <v>1987.2</v>
      </c>
      <c r="H146" s="59">
        <f t="shared" si="20"/>
        <v>-644.59999999999991</v>
      </c>
      <c r="I146" s="59">
        <f t="shared" si="21"/>
        <v>-889.7</v>
      </c>
      <c r="J146" s="59">
        <f t="shared" si="22"/>
        <v>-1128</v>
      </c>
      <c r="K146" s="59">
        <f t="shared" si="23"/>
        <v>-1362.1999999999998</v>
      </c>
      <c r="L146" s="59">
        <f t="shared" si="24"/>
        <v>-1595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0">
        <v>0.65</v>
      </c>
      <c r="C147" s="60">
        <f t="shared" si="15"/>
        <v>836</v>
      </c>
      <c r="D147" s="60">
        <f t="shared" si="16"/>
        <v>1230.1500000000001</v>
      </c>
      <c r="E147" s="60">
        <f t="shared" si="17"/>
        <v>1596.4</v>
      </c>
      <c r="F147" s="60">
        <f t="shared" si="18"/>
        <v>1934.75</v>
      </c>
      <c r="G147" s="60">
        <f t="shared" si="19"/>
        <v>2245.1999999999998</v>
      </c>
      <c r="H147" s="60">
        <f t="shared" si="20"/>
        <v>-697.40000000000009</v>
      </c>
      <c r="I147" s="60">
        <f t="shared" si="21"/>
        <v>-961</v>
      </c>
      <c r="J147" s="60">
        <f t="shared" si="22"/>
        <v>-1216</v>
      </c>
      <c r="K147" s="60">
        <f t="shared" si="23"/>
        <v>-1465.1</v>
      </c>
      <c r="L147" s="60">
        <f t="shared" si="24"/>
        <v>-1711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9">
        <v>0.7</v>
      </c>
      <c r="C148" s="59">
        <f t="shared" si="15"/>
        <v>936</v>
      </c>
      <c r="D148" s="59">
        <f t="shared" si="16"/>
        <v>1387.9</v>
      </c>
      <c r="E148" s="59">
        <f t="shared" si="17"/>
        <v>1810.3999999999999</v>
      </c>
      <c r="F148" s="59">
        <f t="shared" si="18"/>
        <v>2203.5</v>
      </c>
      <c r="G148" s="59">
        <f t="shared" si="19"/>
        <v>2567.1999999999998</v>
      </c>
      <c r="H148" s="59">
        <f t="shared" si="20"/>
        <v>-750.19999999999993</v>
      </c>
      <c r="I148" s="59">
        <f t="shared" si="21"/>
        <v>-1032.3</v>
      </c>
      <c r="J148" s="59">
        <f t="shared" si="22"/>
        <v>-1304</v>
      </c>
      <c r="K148" s="59">
        <f t="shared" si="23"/>
        <v>-1568</v>
      </c>
      <c r="L148" s="59">
        <f t="shared" si="24"/>
        <v>-1827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0">
        <v>0.75</v>
      </c>
      <c r="C149" s="60">
        <f t="shared" si="15"/>
        <v>1036</v>
      </c>
      <c r="D149" s="60">
        <f t="shared" si="16"/>
        <v>1545.65</v>
      </c>
      <c r="E149" s="60">
        <f t="shared" si="17"/>
        <v>2024.4</v>
      </c>
      <c r="F149" s="60">
        <f t="shared" si="18"/>
        <v>2472.25</v>
      </c>
      <c r="G149" s="60">
        <f t="shared" si="19"/>
        <v>2889.2</v>
      </c>
      <c r="H149" s="60">
        <f t="shared" si="20"/>
        <v>-803</v>
      </c>
      <c r="I149" s="60">
        <f t="shared" si="21"/>
        <v>-1103.6000000000001</v>
      </c>
      <c r="J149" s="60">
        <f t="shared" si="22"/>
        <v>-1392</v>
      </c>
      <c r="K149" s="60">
        <f t="shared" si="23"/>
        <v>-1670.9</v>
      </c>
      <c r="L149" s="60">
        <f t="shared" si="24"/>
        <v>-1943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9">
        <v>0.8</v>
      </c>
      <c r="C150" s="59">
        <f t="shared" si="15"/>
        <v>1136.0000000000002</v>
      </c>
      <c r="D150" s="59">
        <f t="shared" si="16"/>
        <v>1703.4</v>
      </c>
      <c r="E150" s="59">
        <f t="shared" si="17"/>
        <v>2238.4</v>
      </c>
      <c r="F150" s="59">
        <f t="shared" si="18"/>
        <v>2741</v>
      </c>
      <c r="G150" s="59">
        <f t="shared" si="19"/>
        <v>3211.2000000000003</v>
      </c>
      <c r="H150" s="59">
        <f t="shared" si="20"/>
        <v>-855.80000000000007</v>
      </c>
      <c r="I150" s="59">
        <f t="shared" si="21"/>
        <v>-1174.9000000000001</v>
      </c>
      <c r="J150" s="59">
        <f t="shared" si="22"/>
        <v>-1480</v>
      </c>
      <c r="K150" s="59">
        <f t="shared" si="23"/>
        <v>-1773.8000000000002</v>
      </c>
      <c r="L150" s="59">
        <f t="shared" si="24"/>
        <v>-2059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0">
        <v>0.85</v>
      </c>
      <c r="C151" s="60">
        <f t="shared" si="15"/>
        <v>1236</v>
      </c>
      <c r="D151" s="60">
        <f t="shared" si="16"/>
        <v>1861.1499999999999</v>
      </c>
      <c r="E151" s="60">
        <f t="shared" si="17"/>
        <v>2452.3999999999996</v>
      </c>
      <c r="F151" s="60">
        <f t="shared" si="18"/>
        <v>3009.75</v>
      </c>
      <c r="G151" s="60">
        <f t="shared" si="19"/>
        <v>3533.2</v>
      </c>
      <c r="H151" s="60">
        <f t="shared" si="20"/>
        <v>-908.6</v>
      </c>
      <c r="I151" s="60">
        <f t="shared" si="21"/>
        <v>-1246.2</v>
      </c>
      <c r="J151" s="60">
        <f t="shared" si="22"/>
        <v>-1568</v>
      </c>
      <c r="K151" s="60">
        <f t="shared" si="23"/>
        <v>-1876.6999999999998</v>
      </c>
      <c r="L151" s="60">
        <f t="shared" si="24"/>
        <v>-2175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9">
        <v>0.9</v>
      </c>
      <c r="C152" s="59">
        <f t="shared" si="15"/>
        <v>1336</v>
      </c>
      <c r="D152" s="59">
        <f t="shared" si="16"/>
        <v>2018.9</v>
      </c>
      <c r="E152" s="59">
        <f t="shared" si="17"/>
        <v>2666.4</v>
      </c>
      <c r="F152" s="59">
        <f t="shared" si="18"/>
        <v>3278.5</v>
      </c>
      <c r="G152" s="59">
        <f t="shared" si="19"/>
        <v>3855.2000000000003</v>
      </c>
      <c r="H152" s="59">
        <f t="shared" si="20"/>
        <v>-961.4</v>
      </c>
      <c r="I152" s="59">
        <f t="shared" si="21"/>
        <v>-1317.5</v>
      </c>
      <c r="J152" s="59">
        <f t="shared" si="22"/>
        <v>-1656.0000000000002</v>
      </c>
      <c r="K152" s="59">
        <f t="shared" si="23"/>
        <v>-1979.6</v>
      </c>
      <c r="L152" s="59">
        <f t="shared" si="24"/>
        <v>-2291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0">
        <v>0.95</v>
      </c>
      <c r="C153" s="60">
        <f t="shared" si="15"/>
        <v>1436</v>
      </c>
      <c r="D153" s="60">
        <f t="shared" si="16"/>
        <v>2176.6499999999996</v>
      </c>
      <c r="E153" s="60">
        <f t="shared" si="17"/>
        <v>2880.3999999999996</v>
      </c>
      <c r="F153" s="60">
        <f t="shared" si="18"/>
        <v>3547.25</v>
      </c>
      <c r="G153" s="60">
        <f t="shared" si="19"/>
        <v>4177.2</v>
      </c>
      <c r="H153" s="60">
        <f t="shared" si="20"/>
        <v>-1014.1999999999999</v>
      </c>
      <c r="I153" s="60">
        <f t="shared" si="21"/>
        <v>-1388.8</v>
      </c>
      <c r="J153" s="60">
        <f t="shared" si="22"/>
        <v>-1743.9999999999998</v>
      </c>
      <c r="K153" s="60">
        <f t="shared" si="23"/>
        <v>-2082.5</v>
      </c>
      <c r="L153" s="60">
        <f t="shared" si="24"/>
        <v>-2407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9">
        <v>1</v>
      </c>
      <c r="C154" s="59">
        <f t="shared" si="15"/>
        <v>1536</v>
      </c>
      <c r="D154" s="59">
        <f t="shared" si="16"/>
        <v>2334.4</v>
      </c>
      <c r="E154" s="59">
        <f t="shared" si="17"/>
        <v>3094.4</v>
      </c>
      <c r="F154" s="59">
        <f t="shared" si="18"/>
        <v>3816</v>
      </c>
      <c r="G154" s="59">
        <f t="shared" si="19"/>
        <v>4499.2</v>
      </c>
      <c r="H154" s="59">
        <f t="shared" si="20"/>
        <v>-1067</v>
      </c>
      <c r="I154" s="59">
        <f t="shared" si="21"/>
        <v>-1460.1</v>
      </c>
      <c r="J154" s="59">
        <f t="shared" si="22"/>
        <v>-1832</v>
      </c>
      <c r="K154" s="59">
        <f t="shared" si="23"/>
        <v>-2185.4</v>
      </c>
      <c r="L154" s="59">
        <f t="shared" si="24"/>
        <v>-2523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4" t="s">
        <v>94</v>
      </c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</row>
    <row r="164" spans="2:22" ht="44" customHeight="1">
      <c r="B164" s="61" t="s">
        <v>30</v>
      </c>
      <c r="C164" s="62" t="s">
        <v>31</v>
      </c>
      <c r="D164" s="62" t="s">
        <v>32</v>
      </c>
      <c r="E164" s="62" t="s">
        <v>33</v>
      </c>
      <c r="F164" s="62" t="s">
        <v>10</v>
      </c>
      <c r="G164" s="61" t="s">
        <v>44</v>
      </c>
      <c r="H164" s="61" t="s">
        <v>34</v>
      </c>
      <c r="I164" s="62" t="s">
        <v>26</v>
      </c>
      <c r="J164" s="62" t="s">
        <v>35</v>
      </c>
      <c r="K164" s="61" t="s">
        <v>45</v>
      </c>
      <c r="L164" s="61" t="s">
        <v>36</v>
      </c>
      <c r="M164" s="62" t="s">
        <v>15</v>
      </c>
      <c r="N164" s="62" t="s">
        <v>16</v>
      </c>
      <c r="O164" s="61" t="s">
        <v>37</v>
      </c>
      <c r="P164" s="62" t="s">
        <v>29</v>
      </c>
      <c r="Q164" s="61" t="s">
        <v>38</v>
      </c>
      <c r="R164" s="61" t="s">
        <v>39</v>
      </c>
      <c r="S164" s="61" t="s">
        <v>40</v>
      </c>
      <c r="T164" s="61" t="s">
        <v>41</v>
      </c>
      <c r="U164" s="61" t="s">
        <v>42</v>
      </c>
      <c r="V164" s="61" t="s">
        <v>43</v>
      </c>
    </row>
    <row r="165" spans="2:22" ht="25" customHeight="1">
      <c r="B165" s="64"/>
      <c r="C165" s="63">
        <f>Calculator!C7</f>
        <v>-12</v>
      </c>
      <c r="D165" s="63">
        <f>Calculator!C8</f>
        <v>-4</v>
      </c>
      <c r="E165" s="63">
        <f>Calculator!C9</f>
        <v>-20</v>
      </c>
      <c r="F165" s="63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2400</v>
      </c>
      <c r="G165" s="63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 s="63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0.95</v>
      </c>
      <c r="I165" s="63">
        <f>F165*H165</f>
        <v>2280</v>
      </c>
      <c r="J165" s="63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2240</v>
      </c>
      <c r="K165" s="63">
        <f>IF(Calculator!$C$4="Type-B",Parameters!$L$14,INDEX(Parameters!$D$14:$H$14,1,R165)+(INDEX(Parameters!$D$14:$H$14,1,R165+1)-INDEX(Parameters!$D$14:$H$14,1,R165))*U165)</f>
        <v>0.60399999999999998</v>
      </c>
      <c r="L165" s="63">
        <f>I165+J165</f>
        <v>4520</v>
      </c>
      <c r="M165" s="63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 s="63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0.3</v>
      </c>
      <c r="O165" s="63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0.88</v>
      </c>
      <c r="P165" s="63">
        <f>M165*O165</f>
        <v>1760</v>
      </c>
      <c r="Q165" s="63">
        <f>MIN(4,MAX(1,INT((1+C165/Parameters!$D$23)*4)+1))</f>
        <v>3</v>
      </c>
      <c r="R165" s="63">
        <f>MIN(4,MAX(1,INT((1+D165/Calculator!$C$14)*4)+1))</f>
        <v>3</v>
      </c>
      <c r="S165" s="63">
        <f>MIN(4,MAX(1,INT((1+E165/Calculator!$C$15)*4)+1))</f>
        <v>3</v>
      </c>
      <c r="T165" s="63">
        <f>MAX(0,MIN(1,(1+C165/Parameters!$D$23)*4-(Q165-1)))</f>
        <v>0</v>
      </c>
      <c r="U165" s="63">
        <f>MAX(0,MIN(1,(1+D165/Calculator!$C$14)*4-(R165-1)))</f>
        <v>0.39999999999999991</v>
      </c>
      <c r="V165" s="63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2026-10-25T16:26:04Z</dcterms:modified>
</cp:coreProperties>
</file>