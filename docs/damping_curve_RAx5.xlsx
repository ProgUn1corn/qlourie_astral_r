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un1corn\UserSpace\Games\Steam_Library\common\BeamNG_Userdata\current\mods\unpacked\un1corn_qlourie_astral_r\docs\"/>
    </mc:Choice>
  </mc:AlternateContent>
  <xr:revisionPtr revIDLastSave="0" documentId="13_ncr:1_{666FCB08-1A34-41E7-A62D-545374C5B247}" xr6:coauthVersionLast="47" xr6:coauthVersionMax="47" xr10:uidLastSave="{00000000-0000-0000-0000-000000000000}"/>
  <bookViews>
    <workbookView xWindow="-120" yWindow="-120" windowWidth="38640" windowHeight="21120" activeTab="5" xr2:uid="{00000000-000D-0000-FFFF-FFFF00000000}"/>
  </bookViews>
  <sheets>
    <sheet name="Calculator" sheetId="6" r:id="rId1"/>
    <sheet name="LSC Sweep" sheetId="1" r:id="rId2"/>
    <sheet name="HSC Sweep" sheetId="2" r:id="rId3"/>
    <sheet name="LSR Sweep" sheetId="3" r:id="rId4"/>
    <sheet name="Full Sweep" sheetId="4" r:id="rId5"/>
    <sheet name="Parameters" sheetId="5" r:id="rId6"/>
    <sheet name="Samples" sheetId="7" r:id="rId7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2" i="5" l="1"/>
  <c r="E165" i="7"/>
  <c r="D165" i="7"/>
  <c r="C165" i="7"/>
  <c r="C49" i="7"/>
  <c r="C48" i="7"/>
  <c r="C47" i="7"/>
  <c r="C46" i="7"/>
  <c r="C45" i="7"/>
  <c r="Q45" i="7" s="1"/>
  <c r="D9" i="7"/>
  <c r="D8" i="7"/>
  <c r="D7" i="7"/>
  <c r="D6" i="7"/>
  <c r="D5" i="7"/>
  <c r="C15" i="6"/>
  <c r="C14" i="6"/>
  <c r="C13" i="6"/>
  <c r="M19" i="5"/>
  <c r="K19" i="5"/>
  <c r="G19" i="5"/>
  <c r="E19" i="5"/>
  <c r="M18" i="5"/>
  <c r="K18" i="5"/>
  <c r="G18" i="5"/>
  <c r="E18" i="5"/>
  <c r="M17" i="5"/>
  <c r="K17" i="5"/>
  <c r="G17" i="5"/>
  <c r="E17" i="5"/>
  <c r="H16" i="5"/>
  <c r="E49" i="7" s="1"/>
  <c r="G16" i="5"/>
  <c r="E48" i="7" s="1"/>
  <c r="F16" i="5"/>
  <c r="E47" i="7" s="1"/>
  <c r="E16" i="5"/>
  <c r="E46" i="7" s="1"/>
  <c r="D16" i="5"/>
  <c r="N14" i="5"/>
  <c r="M14" i="5"/>
  <c r="K14" i="5"/>
  <c r="J14" i="5"/>
  <c r="M13" i="5"/>
  <c r="K13" i="5"/>
  <c r="G13" i="5"/>
  <c r="E13" i="5"/>
  <c r="M12" i="5"/>
  <c r="K12" i="5"/>
  <c r="G12" i="5"/>
  <c r="M11" i="5"/>
  <c r="K11" i="5"/>
  <c r="G11" i="5"/>
  <c r="E11" i="5"/>
  <c r="M10" i="5"/>
  <c r="K10" i="5"/>
  <c r="G10" i="5"/>
  <c r="E10" i="5"/>
  <c r="H8" i="5"/>
  <c r="D49" i="7" s="1"/>
  <c r="B49" i="7" s="1"/>
  <c r="G53" i="7" s="1"/>
  <c r="G8" i="5"/>
  <c r="D48" i="7" s="1"/>
  <c r="B48" i="7" s="1"/>
  <c r="F53" i="7" s="1"/>
  <c r="F8" i="5"/>
  <c r="D47" i="7" s="1"/>
  <c r="B47" i="7" s="1"/>
  <c r="E53" i="7" s="1"/>
  <c r="E8" i="5"/>
  <c r="D46" i="7" s="1"/>
  <c r="D8" i="5"/>
  <c r="H7" i="5"/>
  <c r="G7" i="5"/>
  <c r="F7" i="5"/>
  <c r="E7" i="5"/>
  <c r="D7" i="5"/>
  <c r="N6" i="5"/>
  <c r="M6" i="5"/>
  <c r="L6" i="5"/>
  <c r="K6" i="5"/>
  <c r="J6" i="5"/>
  <c r="C18" i="6" l="1"/>
  <c r="S165" i="7"/>
  <c r="V165" i="7" s="1"/>
  <c r="R165" i="7"/>
  <c r="U165" i="7" s="1"/>
  <c r="Q165" i="7"/>
  <c r="T165" i="7" s="1"/>
  <c r="S49" i="7"/>
  <c r="V49" i="7" s="1"/>
  <c r="R49" i="7"/>
  <c r="Q49" i="7"/>
  <c r="T49" i="7" s="1"/>
  <c r="S48" i="7"/>
  <c r="V48" i="7" s="1"/>
  <c r="R48" i="7"/>
  <c r="Q48" i="7"/>
  <c r="T48" i="7" s="1"/>
  <c r="S47" i="7"/>
  <c r="V47" i="7" s="1"/>
  <c r="R47" i="7"/>
  <c r="Q47" i="7"/>
  <c r="T47" i="7" s="1"/>
  <c r="S46" i="7"/>
  <c r="V46" i="7" s="1"/>
  <c r="R46" i="7"/>
  <c r="B46" i="7"/>
  <c r="D53" i="7" s="1"/>
  <c r="Q46" i="7"/>
  <c r="T46" i="7" s="1"/>
  <c r="T45" i="7"/>
  <c r="R9" i="7"/>
  <c r="U9" i="7" s="1"/>
  <c r="R8" i="7"/>
  <c r="U8" i="7" s="1"/>
  <c r="R7" i="7"/>
  <c r="U7" i="7" s="1"/>
  <c r="R6" i="7"/>
  <c r="U6" i="7" s="1"/>
  <c r="R5" i="7"/>
  <c r="U5" i="7" s="1"/>
  <c r="E129" i="7"/>
  <c r="E9" i="7"/>
  <c r="E89" i="7"/>
  <c r="E88" i="7"/>
  <c r="E128" i="7"/>
  <c r="E8" i="7"/>
  <c r="E7" i="7"/>
  <c r="E127" i="7"/>
  <c r="E87" i="7"/>
  <c r="E126" i="7"/>
  <c r="E6" i="7"/>
  <c r="E86" i="7"/>
  <c r="E85" i="7"/>
  <c r="E45" i="7"/>
  <c r="E5" i="7"/>
  <c r="E125" i="7"/>
  <c r="D129" i="7"/>
  <c r="D89" i="7"/>
  <c r="D88" i="7"/>
  <c r="D128" i="7"/>
  <c r="D127" i="7"/>
  <c r="D87" i="7"/>
  <c r="D126" i="7"/>
  <c r="D86" i="7"/>
  <c r="D85" i="7"/>
  <c r="D125" i="7"/>
  <c r="D45" i="7"/>
  <c r="C9" i="7"/>
  <c r="C129" i="7"/>
  <c r="C89" i="7"/>
  <c r="C8" i="7"/>
  <c r="C88" i="7"/>
  <c r="C128" i="7"/>
  <c r="C87" i="7"/>
  <c r="C127" i="7"/>
  <c r="C7" i="7"/>
  <c r="C6" i="7"/>
  <c r="C86" i="7"/>
  <c r="C126" i="7"/>
  <c r="C85" i="7"/>
  <c r="C125" i="7"/>
  <c r="C5" i="7"/>
  <c r="N16" i="5"/>
  <c r="N8" i="5"/>
  <c r="N7" i="5"/>
  <c r="M16" i="5"/>
  <c r="M8" i="5"/>
  <c r="M7" i="5"/>
  <c r="L8" i="5"/>
  <c r="L16" i="5"/>
  <c r="L7" i="5"/>
  <c r="K8" i="5"/>
  <c r="K7" i="5"/>
  <c r="K16" i="5"/>
  <c r="J8" i="5"/>
  <c r="J7" i="5"/>
  <c r="J16" i="5"/>
  <c r="U49" i="7" l="1"/>
  <c r="G49" i="7" s="1"/>
  <c r="U48" i="7"/>
  <c r="G48" i="7" s="1"/>
  <c r="U47" i="7"/>
  <c r="G47" i="7" s="1"/>
  <c r="U46" i="7"/>
  <c r="G46" i="7" s="1"/>
  <c r="F45" i="7"/>
  <c r="H45" i="7"/>
  <c r="M165" i="7"/>
  <c r="N165" i="7"/>
  <c r="I24" i="6" s="1"/>
  <c r="O165" i="7"/>
  <c r="J165" i="7"/>
  <c r="I16" i="6" s="1"/>
  <c r="K165" i="7"/>
  <c r="I23" i="6" s="1"/>
  <c r="F165" i="7"/>
  <c r="G165" i="7"/>
  <c r="I22" i="6" s="1"/>
  <c r="H165" i="7"/>
  <c r="N49" i="7"/>
  <c r="M49" i="7"/>
  <c r="O49" i="7"/>
  <c r="F49" i="7"/>
  <c r="H49" i="7"/>
  <c r="M48" i="7"/>
  <c r="N48" i="7"/>
  <c r="O48" i="7"/>
  <c r="F48" i="7"/>
  <c r="H48" i="7"/>
  <c r="N47" i="7"/>
  <c r="O47" i="7"/>
  <c r="M47" i="7"/>
  <c r="F47" i="7"/>
  <c r="H47" i="7"/>
  <c r="M46" i="7"/>
  <c r="O46" i="7"/>
  <c r="N46" i="7"/>
  <c r="H46" i="7"/>
  <c r="F46" i="7"/>
  <c r="J9" i="7"/>
  <c r="K9" i="7"/>
  <c r="J8" i="7"/>
  <c r="K8" i="7"/>
  <c r="J7" i="7"/>
  <c r="K7" i="7"/>
  <c r="K6" i="7"/>
  <c r="J6" i="7"/>
  <c r="J5" i="7"/>
  <c r="K5" i="7"/>
  <c r="S129" i="7"/>
  <c r="V129" i="7" s="1"/>
  <c r="L133" i="7"/>
  <c r="S9" i="7"/>
  <c r="V9" i="7" s="1"/>
  <c r="S89" i="7"/>
  <c r="V89" i="7" s="1"/>
  <c r="B89" i="7"/>
  <c r="G93" i="7" s="1"/>
  <c r="S88" i="7"/>
  <c r="V88" i="7" s="1"/>
  <c r="B88" i="7"/>
  <c r="F93" i="7" s="1"/>
  <c r="S128" i="7"/>
  <c r="V128" i="7" s="1"/>
  <c r="K133" i="7"/>
  <c r="S8" i="7"/>
  <c r="V8" i="7" s="1"/>
  <c r="S7" i="7"/>
  <c r="V7" i="7" s="1"/>
  <c r="S127" i="7"/>
  <c r="V127" i="7" s="1"/>
  <c r="J133" i="7"/>
  <c r="B87" i="7"/>
  <c r="E93" i="7" s="1"/>
  <c r="S87" i="7"/>
  <c r="V87" i="7" s="1"/>
  <c r="S126" i="7"/>
  <c r="V126" i="7" s="1"/>
  <c r="I133" i="7"/>
  <c r="S6" i="7"/>
  <c r="V6" i="7" s="1"/>
  <c r="S86" i="7"/>
  <c r="V86" i="7" s="1"/>
  <c r="B86" i="7"/>
  <c r="D93" i="7" s="1"/>
  <c r="S85" i="7"/>
  <c r="V85" i="7" s="1"/>
  <c r="B85" i="7"/>
  <c r="C93" i="7" s="1"/>
  <c r="S45" i="7"/>
  <c r="V45" i="7" s="1"/>
  <c r="S5" i="7"/>
  <c r="V5" i="7" s="1"/>
  <c r="S125" i="7"/>
  <c r="V125" i="7" s="1"/>
  <c r="H133" i="7"/>
  <c r="R129" i="7"/>
  <c r="U129" i="7" s="1"/>
  <c r="R89" i="7"/>
  <c r="U89" i="7" s="1"/>
  <c r="R88" i="7"/>
  <c r="U88" i="7" s="1"/>
  <c r="R128" i="7"/>
  <c r="U128" i="7" s="1"/>
  <c r="R127" i="7"/>
  <c r="U127" i="7" s="1"/>
  <c r="R87" i="7"/>
  <c r="U87" i="7" s="1"/>
  <c r="R126" i="7"/>
  <c r="U126" i="7" s="1"/>
  <c r="R86" i="7"/>
  <c r="U86" i="7" s="1"/>
  <c r="R85" i="7"/>
  <c r="U85" i="7" s="1"/>
  <c r="R125" i="7"/>
  <c r="U125" i="7" s="1"/>
  <c r="R45" i="7"/>
  <c r="B45" i="7"/>
  <c r="C53" i="7" s="1"/>
  <c r="Q9" i="7"/>
  <c r="T9" i="7" s="1"/>
  <c r="B9" i="7"/>
  <c r="G13" i="7" s="1"/>
  <c r="B129" i="7"/>
  <c r="G133" i="7" s="1"/>
  <c r="Q129" i="7"/>
  <c r="T129" i="7" s="1"/>
  <c r="Q89" i="7"/>
  <c r="T89" i="7" s="1"/>
  <c r="Q8" i="7"/>
  <c r="T8" i="7" s="1"/>
  <c r="B8" i="7"/>
  <c r="F13" i="7" s="1"/>
  <c r="Q88" i="7"/>
  <c r="T88" i="7" s="1"/>
  <c r="B128" i="7"/>
  <c r="F133" i="7" s="1"/>
  <c r="Q128" i="7"/>
  <c r="T128" i="7" s="1"/>
  <c r="Q87" i="7"/>
  <c r="T87" i="7" s="1"/>
  <c r="B127" i="7"/>
  <c r="E133" i="7" s="1"/>
  <c r="Q127" i="7"/>
  <c r="T127" i="7" s="1"/>
  <c r="Q7" i="7"/>
  <c r="T7" i="7" s="1"/>
  <c r="B7" i="7"/>
  <c r="E13" i="7" s="1"/>
  <c r="Q6" i="7"/>
  <c r="T6" i="7" s="1"/>
  <c r="B6" i="7"/>
  <c r="D13" i="7" s="1"/>
  <c r="Q86" i="7"/>
  <c r="T86" i="7" s="1"/>
  <c r="Q126" i="7"/>
  <c r="T126" i="7" s="1"/>
  <c r="B126" i="7"/>
  <c r="D133" i="7" s="1"/>
  <c r="Q85" i="7"/>
  <c r="T85" i="7" s="1"/>
  <c r="B125" i="7"/>
  <c r="C133" i="7" s="1"/>
  <c r="Q125" i="7"/>
  <c r="T125" i="7" s="1"/>
  <c r="B5" i="7"/>
  <c r="C13" i="7" s="1"/>
  <c r="Q5" i="7"/>
  <c r="T5" i="7" s="1"/>
  <c r="J48" i="7" l="1"/>
  <c r="K48" i="7"/>
  <c r="K46" i="7"/>
  <c r="J46" i="7"/>
  <c r="K49" i="7"/>
  <c r="J49" i="7"/>
  <c r="K47" i="7"/>
  <c r="J47" i="7"/>
  <c r="U45" i="7"/>
  <c r="K45" i="7" s="1"/>
  <c r="I45" i="7"/>
  <c r="P47" i="7"/>
  <c r="P165" i="7"/>
  <c r="I19" i="6"/>
  <c r="I165" i="7"/>
  <c r="I8" i="6" s="1"/>
  <c r="I14" i="6"/>
  <c r="I49" i="7"/>
  <c r="I48" i="7"/>
  <c r="I47" i="7"/>
  <c r="I46" i="7"/>
  <c r="O129" i="7"/>
  <c r="M129" i="7"/>
  <c r="N129" i="7"/>
  <c r="M9" i="7"/>
  <c r="N9" i="7"/>
  <c r="O9" i="7"/>
  <c r="M89" i="7"/>
  <c r="N89" i="7"/>
  <c r="O89" i="7"/>
  <c r="M88" i="7"/>
  <c r="N88" i="7"/>
  <c r="O88" i="7"/>
  <c r="O128" i="7"/>
  <c r="N128" i="7"/>
  <c r="M128" i="7"/>
  <c r="M8" i="7"/>
  <c r="N8" i="7"/>
  <c r="O8" i="7"/>
  <c r="N7" i="7"/>
  <c r="M7" i="7"/>
  <c r="O7" i="7"/>
  <c r="N127" i="7"/>
  <c r="M127" i="7"/>
  <c r="O127" i="7"/>
  <c r="M87" i="7"/>
  <c r="O87" i="7"/>
  <c r="N87" i="7"/>
  <c r="O126" i="7"/>
  <c r="N126" i="7"/>
  <c r="M126" i="7"/>
  <c r="O6" i="7"/>
  <c r="M6" i="7"/>
  <c r="N6" i="7"/>
  <c r="O86" i="7"/>
  <c r="M86" i="7"/>
  <c r="N86" i="7"/>
  <c r="O85" i="7"/>
  <c r="M85" i="7"/>
  <c r="N85" i="7"/>
  <c r="N45" i="7"/>
  <c r="M45" i="7"/>
  <c r="O45" i="7"/>
  <c r="N5" i="7"/>
  <c r="M5" i="7"/>
  <c r="O5" i="7"/>
  <c r="M125" i="7"/>
  <c r="N125" i="7"/>
  <c r="O125" i="7"/>
  <c r="J129" i="7"/>
  <c r="K129" i="7"/>
  <c r="J89" i="7"/>
  <c r="K89" i="7"/>
  <c r="J88" i="7"/>
  <c r="K88" i="7"/>
  <c r="K128" i="7"/>
  <c r="J128" i="7"/>
  <c r="J127" i="7"/>
  <c r="K127" i="7"/>
  <c r="K87" i="7"/>
  <c r="J87" i="7"/>
  <c r="K126" i="7"/>
  <c r="J126" i="7"/>
  <c r="J86" i="7"/>
  <c r="K86" i="7"/>
  <c r="K85" i="7"/>
  <c r="J85" i="7"/>
  <c r="J125" i="7"/>
  <c r="K125" i="7"/>
  <c r="F9" i="7"/>
  <c r="G9" i="7"/>
  <c r="H9" i="7"/>
  <c r="G129" i="7"/>
  <c r="H129" i="7"/>
  <c r="F129" i="7"/>
  <c r="F89" i="7"/>
  <c r="G89" i="7"/>
  <c r="H89" i="7"/>
  <c r="G8" i="7"/>
  <c r="F8" i="7"/>
  <c r="H8" i="7"/>
  <c r="F88" i="7"/>
  <c r="G88" i="7"/>
  <c r="H88" i="7"/>
  <c r="F128" i="7"/>
  <c r="G128" i="7"/>
  <c r="H128" i="7"/>
  <c r="F87" i="7"/>
  <c r="H87" i="7"/>
  <c r="G87" i="7"/>
  <c r="F127" i="7"/>
  <c r="H127" i="7"/>
  <c r="G127" i="7"/>
  <c r="F7" i="7"/>
  <c r="H7" i="7"/>
  <c r="G7" i="7"/>
  <c r="F6" i="7"/>
  <c r="H6" i="7"/>
  <c r="G6" i="7"/>
  <c r="H86" i="7"/>
  <c r="F86" i="7"/>
  <c r="G86" i="7"/>
  <c r="H126" i="7"/>
  <c r="F126" i="7"/>
  <c r="G126" i="7"/>
  <c r="H85" i="7"/>
  <c r="G85" i="7"/>
  <c r="F85" i="7"/>
  <c r="G125" i="7"/>
  <c r="H125" i="7"/>
  <c r="F125" i="7"/>
  <c r="F5" i="7"/>
  <c r="H5" i="7"/>
  <c r="G5" i="7"/>
  <c r="P49" i="7"/>
  <c r="P48" i="7"/>
  <c r="P46" i="7"/>
  <c r="D56" i="7" l="1"/>
  <c r="J45" i="7"/>
  <c r="L45" i="7" s="1"/>
  <c r="G45" i="7"/>
  <c r="F60" i="7"/>
  <c r="F61" i="7"/>
  <c r="F74" i="7"/>
  <c r="F54" i="7"/>
  <c r="F59" i="7"/>
  <c r="F68" i="7"/>
  <c r="D65" i="7"/>
  <c r="D69" i="7"/>
  <c r="G66" i="7"/>
  <c r="G61" i="7"/>
  <c r="E54" i="7"/>
  <c r="E56" i="7"/>
  <c r="E59" i="7"/>
  <c r="E68" i="7"/>
  <c r="E69" i="7"/>
  <c r="E73" i="7"/>
  <c r="E55" i="7"/>
  <c r="G69" i="7"/>
  <c r="G65" i="7"/>
  <c r="I85" i="7"/>
  <c r="L85" i="7" s="1"/>
  <c r="D55" i="7"/>
  <c r="D59" i="7"/>
  <c r="D60" i="7"/>
  <c r="D62" i="7"/>
  <c r="D64" i="7"/>
  <c r="D66" i="7"/>
  <c r="D67" i="7"/>
  <c r="D68" i="7"/>
  <c r="D72" i="7"/>
  <c r="D74" i="7"/>
  <c r="G73" i="7"/>
  <c r="G58" i="7"/>
  <c r="G59" i="7"/>
  <c r="G64" i="7"/>
  <c r="G72" i="7"/>
  <c r="G54" i="7"/>
  <c r="E58" i="7"/>
  <c r="E67" i="7"/>
  <c r="P7" i="7"/>
  <c r="P6" i="7"/>
  <c r="G62" i="7"/>
  <c r="G74" i="7"/>
  <c r="F65" i="7"/>
  <c r="F66" i="7"/>
  <c r="I86" i="7"/>
  <c r="L86" i="7" s="1"/>
  <c r="L49" i="7"/>
  <c r="G55" i="7"/>
  <c r="G56" i="7"/>
  <c r="G63" i="7"/>
  <c r="G67" i="7"/>
  <c r="G68" i="7"/>
  <c r="G70" i="7"/>
  <c r="G71" i="7"/>
  <c r="G57" i="7"/>
  <c r="G60" i="7"/>
  <c r="F55" i="7"/>
  <c r="F69" i="7"/>
  <c r="L47" i="7"/>
  <c r="E72" i="7"/>
  <c r="E61" i="7"/>
  <c r="E64" i="7"/>
  <c r="E70" i="7"/>
  <c r="E71" i="7"/>
  <c r="E57" i="7"/>
  <c r="E63" i="7"/>
  <c r="E60" i="7"/>
  <c r="E62" i="7"/>
  <c r="E65" i="7"/>
  <c r="E66" i="7"/>
  <c r="E74" i="7"/>
  <c r="L165" i="7"/>
  <c r="I17" i="6" s="1"/>
  <c r="I15" i="6"/>
  <c r="P129" i="7"/>
  <c r="L134" i="7" s="1"/>
  <c r="P89" i="7"/>
  <c r="G95" i="7" s="1"/>
  <c r="P88" i="7"/>
  <c r="P128" i="7"/>
  <c r="P127" i="7"/>
  <c r="P87" i="7"/>
  <c r="P126" i="7"/>
  <c r="P86" i="7"/>
  <c r="P85" i="7"/>
  <c r="P125" i="7"/>
  <c r="I9" i="7"/>
  <c r="I129" i="7"/>
  <c r="I8" i="7"/>
  <c r="F14" i="7" s="1"/>
  <c r="I128" i="7"/>
  <c r="I127" i="7"/>
  <c r="E134" i="7" s="1"/>
  <c r="I7" i="7"/>
  <c r="I6" i="7"/>
  <c r="I126" i="7"/>
  <c r="D136" i="7" s="1"/>
  <c r="I125" i="7"/>
  <c r="C134" i="7" s="1"/>
  <c r="I5" i="7"/>
  <c r="P45" i="7"/>
  <c r="I89" i="7"/>
  <c r="L89" i="7" s="1"/>
  <c r="I88" i="7"/>
  <c r="L88" i="7" s="1"/>
  <c r="P8" i="7"/>
  <c r="P5" i="7"/>
  <c r="I87" i="7"/>
  <c r="L87" i="7" s="1"/>
  <c r="P9" i="7"/>
  <c r="I20" i="6"/>
  <c r="I10" i="6"/>
  <c r="L48" i="7"/>
  <c r="F57" i="7"/>
  <c r="F70" i="7"/>
  <c r="F73" i="7"/>
  <c r="F62" i="7"/>
  <c r="F71" i="7"/>
  <c r="F64" i="7"/>
  <c r="F56" i="7"/>
  <c r="F58" i="7"/>
  <c r="F72" i="7"/>
  <c r="F63" i="7"/>
  <c r="F67" i="7"/>
  <c r="L46" i="7"/>
  <c r="D63" i="7"/>
  <c r="D58" i="7"/>
  <c r="D71" i="7"/>
  <c r="D70" i="7"/>
  <c r="D73" i="7"/>
  <c r="D54" i="7"/>
  <c r="D57" i="7"/>
  <c r="D61" i="7"/>
  <c r="C66" i="7" l="1"/>
  <c r="C57" i="7"/>
  <c r="C54" i="7"/>
  <c r="C71" i="7"/>
  <c r="C70" i="7"/>
  <c r="C73" i="7"/>
  <c r="C58" i="7"/>
  <c r="C65" i="7"/>
  <c r="C67" i="7"/>
  <c r="C55" i="7"/>
  <c r="C74" i="7"/>
  <c r="C59" i="7"/>
  <c r="C69" i="7"/>
  <c r="C63" i="7"/>
  <c r="C56" i="7"/>
  <c r="C60" i="7"/>
  <c r="C72" i="7"/>
  <c r="C64" i="7"/>
  <c r="C62" i="7"/>
  <c r="C61" i="7"/>
  <c r="C68" i="7"/>
  <c r="C14" i="7"/>
  <c r="C15" i="7"/>
  <c r="C105" i="7"/>
  <c r="C109" i="7"/>
  <c r="C108" i="7"/>
  <c r="C99" i="7"/>
  <c r="C97" i="7"/>
  <c r="D29" i="7"/>
  <c r="D30" i="7"/>
  <c r="H136" i="7"/>
  <c r="H134" i="7"/>
  <c r="H139" i="7"/>
  <c r="G94" i="7"/>
  <c r="G96" i="7"/>
  <c r="E101" i="7"/>
  <c r="E103" i="7"/>
  <c r="E104" i="7"/>
  <c r="J135" i="7"/>
  <c r="J134" i="7"/>
  <c r="C98" i="7"/>
  <c r="C100" i="7"/>
  <c r="C104" i="7"/>
  <c r="C107" i="7"/>
  <c r="G135" i="7"/>
  <c r="G137" i="7"/>
  <c r="D103" i="7"/>
  <c r="D112" i="7"/>
  <c r="D114" i="7"/>
  <c r="D99" i="7"/>
  <c r="D100" i="7"/>
  <c r="F15" i="7"/>
  <c r="F16" i="7"/>
  <c r="F17" i="7"/>
  <c r="F18" i="7"/>
  <c r="F19" i="7"/>
  <c r="F134" i="7"/>
  <c r="F135" i="7"/>
  <c r="I136" i="7"/>
  <c r="I137" i="7"/>
  <c r="I140" i="7"/>
  <c r="F154" i="7"/>
  <c r="F137" i="7"/>
  <c r="F138" i="7"/>
  <c r="F139" i="7"/>
  <c r="C135" i="7"/>
  <c r="C140" i="7"/>
  <c r="C16" i="7"/>
  <c r="C17" i="7"/>
  <c r="C18" i="7"/>
  <c r="C19" i="7"/>
  <c r="C33" i="7"/>
  <c r="C34" i="7"/>
  <c r="D137" i="7"/>
  <c r="D138" i="7"/>
  <c r="D139" i="7"/>
  <c r="D141" i="7"/>
  <c r="D151" i="7"/>
  <c r="D152" i="7"/>
  <c r="D153" i="7"/>
  <c r="D154" i="7"/>
  <c r="E98" i="7"/>
  <c r="E105" i="7"/>
  <c r="E113" i="7"/>
  <c r="E106" i="7"/>
  <c r="E107" i="7"/>
  <c r="E114" i="7"/>
  <c r="E97" i="7"/>
  <c r="D105" i="7"/>
  <c r="D108" i="7"/>
  <c r="D109" i="7"/>
  <c r="D101" i="7"/>
  <c r="D102" i="7"/>
  <c r="D106" i="7"/>
  <c r="G138" i="7"/>
  <c r="G139" i="7"/>
  <c r="G141" i="7"/>
  <c r="D142" i="7"/>
  <c r="D143" i="7"/>
  <c r="D144" i="7"/>
  <c r="D145" i="7"/>
  <c r="D146" i="7"/>
  <c r="D147" i="7"/>
  <c r="D148" i="7"/>
  <c r="D150" i="7"/>
  <c r="D149" i="7"/>
  <c r="L135" i="7"/>
  <c r="L136" i="7"/>
  <c r="L138" i="7"/>
  <c r="L141" i="7"/>
  <c r="L142" i="7"/>
  <c r="L143" i="7"/>
  <c r="L144" i="7"/>
  <c r="L145" i="7"/>
  <c r="L146" i="7"/>
  <c r="L151" i="7"/>
  <c r="L152" i="7"/>
  <c r="L154" i="7"/>
  <c r="L153" i="7"/>
  <c r="L137" i="7"/>
  <c r="L139" i="7"/>
  <c r="L140" i="7"/>
  <c r="K140" i="7"/>
  <c r="K137" i="7"/>
  <c r="K139" i="7"/>
  <c r="H140" i="7"/>
  <c r="H141" i="7"/>
  <c r="H142" i="7"/>
  <c r="H143" i="7"/>
  <c r="H153" i="7"/>
  <c r="H154" i="7"/>
  <c r="H135" i="7"/>
  <c r="H137" i="7"/>
  <c r="H138" i="7"/>
  <c r="C103" i="7"/>
  <c r="C111" i="7"/>
  <c r="C114" i="7"/>
  <c r="C94" i="7"/>
  <c r="C95" i="7"/>
  <c r="C96" i="7"/>
  <c r="I141" i="7"/>
  <c r="I142" i="7"/>
  <c r="I143" i="7"/>
  <c r="I144" i="7"/>
  <c r="I145" i="7"/>
  <c r="I146" i="7"/>
  <c r="I147" i="7"/>
  <c r="I148" i="7"/>
  <c r="I149" i="7"/>
  <c r="I150" i="7"/>
  <c r="I151" i="7"/>
  <c r="I152" i="7"/>
  <c r="I153" i="7"/>
  <c r="I154" i="7"/>
  <c r="G142" i="7"/>
  <c r="G143" i="7"/>
  <c r="G144" i="7"/>
  <c r="C141" i="7"/>
  <c r="C142" i="7"/>
  <c r="C143" i="7"/>
  <c r="C144" i="7"/>
  <c r="C146" i="7"/>
  <c r="C147" i="7"/>
  <c r="C148" i="7"/>
  <c r="C149" i="7"/>
  <c r="C150" i="7"/>
  <c r="C151" i="7"/>
  <c r="C152" i="7"/>
  <c r="C153" i="7"/>
  <c r="C154" i="7"/>
  <c r="C136" i="7"/>
  <c r="D110" i="7"/>
  <c r="D113" i="7"/>
  <c r="D94" i="7"/>
  <c r="D95" i="7"/>
  <c r="D96" i="7"/>
  <c r="H144" i="7"/>
  <c r="H145" i="7"/>
  <c r="H146" i="7"/>
  <c r="H147" i="7"/>
  <c r="H148" i="7"/>
  <c r="H149" i="7"/>
  <c r="H150" i="7"/>
  <c r="H151" i="7"/>
  <c r="H152" i="7"/>
  <c r="L147" i="7"/>
  <c r="L148" i="7"/>
  <c r="L149" i="7"/>
  <c r="L150" i="7"/>
  <c r="G145" i="7"/>
  <c r="G146" i="7"/>
  <c r="G147" i="7"/>
  <c r="G148" i="7"/>
  <c r="G149" i="7"/>
  <c r="G150" i="7"/>
  <c r="G151" i="7"/>
  <c r="G152" i="7"/>
  <c r="G153" i="7"/>
  <c r="G154" i="7"/>
  <c r="G14" i="7"/>
  <c r="G15" i="7"/>
  <c r="G97" i="7"/>
  <c r="G98" i="7"/>
  <c r="J138" i="7"/>
  <c r="J139" i="7"/>
  <c r="J140" i="7"/>
  <c r="J141" i="7"/>
  <c r="J142" i="7"/>
  <c r="J153" i="7"/>
  <c r="D27" i="7"/>
  <c r="D31" i="7"/>
  <c r="D32" i="7"/>
  <c r="D33" i="7"/>
  <c r="D34" i="7"/>
  <c r="K141" i="7"/>
  <c r="K142" i="7"/>
  <c r="K143" i="7"/>
  <c r="K144" i="7"/>
  <c r="K145" i="7"/>
  <c r="K146" i="7"/>
  <c r="K147" i="7"/>
  <c r="K148" i="7"/>
  <c r="K149" i="7"/>
  <c r="K150" i="7"/>
  <c r="K151" i="7"/>
  <c r="K152" i="7"/>
  <c r="K153" i="7"/>
  <c r="K154" i="7"/>
  <c r="J143" i="7"/>
  <c r="J144" i="7"/>
  <c r="J145" i="7"/>
  <c r="J146" i="7"/>
  <c r="J147" i="7"/>
  <c r="J148" i="7"/>
  <c r="J149" i="7"/>
  <c r="J150" i="7"/>
  <c r="J151" i="7"/>
  <c r="J152" i="7"/>
  <c r="J154" i="7"/>
  <c r="G16" i="7"/>
  <c r="G17" i="7"/>
  <c r="G18" i="7"/>
  <c r="G19" i="7"/>
  <c r="G20" i="7"/>
  <c r="G21" i="7"/>
  <c r="G32" i="7"/>
  <c r="G33" i="7"/>
  <c r="G34" i="7"/>
  <c r="G103" i="7"/>
  <c r="G108" i="7"/>
  <c r="G113" i="7"/>
  <c r="G105" i="7"/>
  <c r="G106" i="7"/>
  <c r="G110" i="7"/>
  <c r="G111" i="7"/>
  <c r="G112" i="7"/>
  <c r="G99" i="7"/>
  <c r="G100" i="7"/>
  <c r="G107" i="7"/>
  <c r="G114" i="7"/>
  <c r="G101" i="7"/>
  <c r="G104" i="7"/>
  <c r="G109" i="7"/>
  <c r="G102" i="7"/>
  <c r="E135" i="7"/>
  <c r="E138" i="7"/>
  <c r="L125" i="7"/>
  <c r="C138" i="7"/>
  <c r="C139" i="7"/>
  <c r="C145" i="7"/>
  <c r="C137" i="7"/>
  <c r="L5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F97" i="7"/>
  <c r="F94" i="7"/>
  <c r="F95" i="7"/>
  <c r="F96" i="7"/>
  <c r="F106" i="7"/>
  <c r="F112" i="7"/>
  <c r="F113" i="7"/>
  <c r="F99" i="7"/>
  <c r="F102" i="7"/>
  <c r="F109" i="7"/>
  <c r="F101" i="7"/>
  <c r="F108" i="7"/>
  <c r="F98" i="7"/>
  <c r="F100" i="7"/>
  <c r="F103" i="7"/>
  <c r="F104" i="7"/>
  <c r="F105" i="7"/>
  <c r="F107" i="7"/>
  <c r="F110" i="7"/>
  <c r="F111" i="7"/>
  <c r="F114" i="7"/>
  <c r="G136" i="7"/>
  <c r="G140" i="7"/>
  <c r="L8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20" i="7"/>
  <c r="E34" i="7"/>
  <c r="E14" i="7"/>
  <c r="E15" i="7"/>
  <c r="E16" i="7"/>
  <c r="E17" i="7"/>
  <c r="E18" i="7"/>
  <c r="E19" i="7"/>
  <c r="E20" i="7"/>
  <c r="E21" i="7"/>
  <c r="E22" i="7"/>
  <c r="E23" i="7"/>
  <c r="E24" i="7"/>
  <c r="E25" i="7"/>
  <c r="E26" i="7"/>
  <c r="E27" i="7"/>
  <c r="E28" i="7"/>
  <c r="K134" i="7"/>
  <c r="K135" i="7"/>
  <c r="K136" i="7"/>
  <c r="K138" i="7"/>
  <c r="L127" i="7"/>
  <c r="E139" i="7"/>
  <c r="E140" i="7"/>
  <c r="E141" i="7"/>
  <c r="E142" i="7"/>
  <c r="E143" i="7"/>
  <c r="E144" i="7"/>
  <c r="E145" i="7"/>
  <c r="E146" i="7"/>
  <c r="E147" i="7"/>
  <c r="E148" i="7"/>
  <c r="E149" i="7"/>
  <c r="E150" i="7"/>
  <c r="E151" i="7"/>
  <c r="E152" i="7"/>
  <c r="E153" i="7"/>
  <c r="E154" i="7"/>
  <c r="E136" i="7"/>
  <c r="E137" i="7"/>
  <c r="J137" i="7"/>
  <c r="J136" i="7"/>
  <c r="E99" i="7"/>
  <c r="E100" i="7"/>
  <c r="E102" i="7"/>
  <c r="E110" i="7"/>
  <c r="E111" i="7"/>
  <c r="E108" i="7"/>
  <c r="E109" i="7"/>
  <c r="E112" i="7"/>
  <c r="E96" i="7"/>
  <c r="E94" i="7"/>
  <c r="E95" i="7"/>
  <c r="I134" i="7"/>
  <c r="I135" i="7"/>
  <c r="I138" i="7"/>
  <c r="I139" i="7"/>
  <c r="D97" i="7"/>
  <c r="D107" i="7"/>
  <c r="D111" i="7"/>
  <c r="D98" i="7"/>
  <c r="D104" i="7"/>
  <c r="C113" i="7"/>
  <c r="C101" i="7"/>
  <c r="C102" i="7"/>
  <c r="C106" i="7"/>
  <c r="C110" i="7"/>
  <c r="C112" i="7"/>
  <c r="L9" i="7"/>
  <c r="G29" i="7"/>
  <c r="G25" i="7"/>
  <c r="G28" i="7"/>
  <c r="G27" i="7"/>
  <c r="G26" i="7"/>
  <c r="G22" i="7"/>
  <c r="G31" i="7"/>
  <c r="G23" i="7"/>
  <c r="G24" i="7"/>
  <c r="G30" i="7"/>
  <c r="L129" i="7"/>
  <c r="G134" i="7"/>
  <c r="L128" i="7"/>
  <c r="F141" i="7"/>
  <c r="F136" i="7"/>
  <c r="F142" i="7"/>
  <c r="F148" i="7"/>
  <c r="F151" i="7"/>
  <c r="F146" i="7"/>
  <c r="F149" i="7"/>
  <c r="F152" i="7"/>
  <c r="F144" i="7"/>
  <c r="F140" i="7"/>
  <c r="F143" i="7"/>
  <c r="F145" i="7"/>
  <c r="F147" i="7"/>
  <c r="F150" i="7"/>
  <c r="F153" i="7"/>
  <c r="L7" i="7"/>
  <c r="E31" i="7"/>
  <c r="E30" i="7"/>
  <c r="E33" i="7"/>
  <c r="E29" i="7"/>
  <c r="E32" i="7"/>
  <c r="L6" i="7"/>
  <c r="D21" i="7"/>
  <c r="D24" i="7"/>
  <c r="D28" i="7"/>
  <c r="D26" i="7"/>
  <c r="D23" i="7"/>
  <c r="D20" i="7"/>
  <c r="D18" i="7"/>
  <c r="D14" i="7"/>
  <c r="D16" i="7"/>
  <c r="D15" i="7"/>
  <c r="D17" i="7"/>
  <c r="D19" i="7"/>
  <c r="D22" i="7"/>
  <c r="D25" i="7"/>
  <c r="L126" i="7"/>
  <c r="D134" i="7"/>
  <c r="D140" i="7"/>
  <c r="D135" i="7"/>
</calcChain>
</file>

<file path=xl/sharedStrings.xml><?xml version="1.0" encoding="utf-8"?>
<sst xmlns="http://schemas.openxmlformats.org/spreadsheetml/2006/main" count="220" uniqueCount="90">
  <si>
    <t>Valving</t>
  </si>
  <si>
    <t>Type-A</t>
  </si>
  <si>
    <t>固定 HSC</t>
  </si>
  <si>
    <t>LSC：最软 / 25% / 默认 / 75% / 最硬</t>
  </si>
  <si>
    <t>轴速 0～1 m/s · 每 0.05 m/s 一点 · 直线连接 · 详细计算与采样位于 Samples</t>
  </si>
  <si>
    <t>固定 LSC</t>
  </si>
  <si>
    <t>HSC：最软 / 25% / 默认 / 75% / 最硬</t>
  </si>
  <si>
    <t>LSR：−40 / −30 / −20 / −10 / 0 R；图中显示回弹力大小。</t>
  </si>
  <si>
    <t>压缩与回弹各五条：最软 / 25% / 默认 / 75% / 最硬。</t>
  </si>
  <si>
    <t>Type-B</t>
  </si>
  <si>
    <t>调节位置</t>
  </si>
  <si>
    <t>比例</t>
  </si>
  <si>
    <t>LSC · c</t>
  </si>
  <si>
    <t>格</t>
  </si>
  <si>
    <t>HSC · C</t>
  </si>
  <si>
    <t>bump1</t>
  </si>
  <si>
    <t>N·s/m</t>
  </si>
  <si>
    <t>m/s</t>
  </si>
  <si>
    <t>bump2 / bump1</t>
  </si>
  <si>
    <t>倍率</t>
  </si>
  <si>
    <t>rebound</t>
  </si>
  <si>
    <t>Rebound knee</t>
  </si>
  <si>
    <t>HSrebound / rebound</t>
  </si>
  <si>
    <t>0 为最硬；负数为从全关退出的格数。</t>
  </si>
  <si>
    <t>bump2 = bump1 × 中间段倍率；总高速系数 = bump2 + HSbump。</t>
  </si>
  <si>
    <t>回弹力 = rebound × MIN(v, Rebound knee) + HSrebound × MAX(0, v − Rebound knee)。</t>
  </si>
  <si>
    <t>LSC 只调斜率；Type-A 的 HSC 调第二 knee，Type-B 的 HSC 调第一 knee。</t>
  </si>
  <si>
    <t>研究来源：chatgpt-conversation://6a9ed043-7848-83e8-9d36-6e63c8202898</t>
  </si>
  <si>
    <t>当前输入 · 阻尼力大小</t>
  </si>
  <si>
    <t>压缩力 (N)</t>
  </si>
  <si>
    <t>LSR · R</t>
  </si>
  <si>
    <t>轴速 (m/s)</t>
  </si>
  <si>
    <t>回弹力 (N)</t>
  </si>
  <si>
    <t>c 总格数</t>
  </si>
  <si>
    <t>C 总格数</t>
  </si>
  <si>
    <t>R 总格数</t>
  </si>
  <si>
    <t>bump2</t>
  </si>
  <si>
    <t>总高速系数</t>
  </si>
  <si>
    <t>输入检查</t>
  </si>
  <si>
    <t>HSrebound</t>
  </si>
  <si>
    <t>计算器支持任意非负轴速；Sweep 图维持 0～1 m/s。倍率和膝点由所选阀系插值得到。</t>
  </si>
  <si>
    <t>曲线</t>
  </si>
  <si>
    <t>c</t>
  </si>
  <si>
    <t>C</t>
  </si>
  <si>
    <t>R</t>
  </si>
  <si>
    <t>bump2 倍率</t>
  </si>
  <si>
    <t>HSbump</t>
  </si>
  <si>
    <t>总 HS 系数</t>
  </si>
  <si>
    <t>HSR 倍率</t>
  </si>
  <si>
    <t>LSC 区间</t>
  </si>
  <si>
    <t>HSC 区间</t>
  </si>
  <si>
    <t>LSR 区间</t>
  </si>
  <si>
    <t>LSC 区间位置</t>
  </si>
  <si>
    <t>HSC 区间位置</t>
  </si>
  <si>
    <t>LSR 区间位置</t>
  </si>
  <si>
    <t>Calculator · 插值参数</t>
  </si>
  <si>
    <t>第一 knee</t>
  </si>
  <si>
    <t>第二 knee</t>
  </si>
  <si>
    <t>压缩力 = bump1 × MIN(v, 第一 knee) + bump2 × MAX(0, v − 第一 knee) + HSbump × MAX(0, v − 第二 knee)。</t>
  </si>
  <si>
    <t>Type-B：第一 knee 由 HSC 控制；第二 knee 固定，统一在 L14 调整。Type-A 调节关系保持原样。</t>
  </si>
  <si>
    <t>CTM Racing · RAx5 · Damping Calculator</t>
  </si>
  <si>
    <t>RA65 / RA85 · 砂石拉力 · c / C / R 调节与阻尼力计算</t>
  </si>
  <si>
    <t>当前曲线参数</t>
  </si>
  <si>
    <t>HSbump · 高速增量</t>
  </si>
  <si>
    <t>CTM Racing · RAx5 · Valving Parameters</t>
  </si>
  <si>
    <t>HSbump · 高速增量</t>
  </si>
  <si>
    <t>LSR · R（RA65）</t>
  </si>
  <si>
    <t>Adjusters · 调节格数</t>
  </si>
  <si>
    <t>Model · 基础阻尼模型</t>
  </si>
  <si>
    <t>理论曲线采用连续分段接续假设；仅计算基础阻尼，不包含气体支撑、弹簧、HBS/HRS 或 LRS/DSV。</t>
  </si>
  <si>
    <t>CTM Racing · RAx5 · LSC Sweep · 读取对应 Sweep 页的阀系选择</t>
  </si>
  <si>
    <t>CTM Racing · RAx5 · HSC Sweep · 读取对应 Sweep 页的阀系选择</t>
  </si>
  <si>
    <t>CTM Racing · RAx5 · LSR Sweep · 读取对应 Sweep 页的阀系选择</t>
  </si>
  <si>
    <t>CTM Racing · RAx5 · Full Sweep · 读取对应 Sweep 页的阀系选择</t>
  </si>
  <si>
    <t>CTM Racing · RAx5 · LSC Sweep</t>
  </si>
  <si>
    <t>砂石拉力 · Type-A / Type-B 阀系；各页独立选择。</t>
  </si>
  <si>
    <t>CTM Racing · RAx5 · HSC Sweep</t>
  </si>
  <si>
    <t>砂石拉力 · Type-A / Type-B 阀系；各页独立选择。</t>
  </si>
  <si>
    <t>CTM Racing · RAx5 · LSR Sweep</t>
  </si>
  <si>
    <t>砂石拉力 · Type-A / Type-B 阀系；各页独立选择。</t>
  </si>
  <si>
    <t>CTM Racing · RAx5 · Full Sweep</t>
  </si>
  <si>
    <t>砂石拉力 · Type-A / Type-B 阀系；各页独立选择。</t>
  </si>
  <si>
    <t>避震器型号</t>
  </si>
  <si>
    <t>RA65</t>
  </si>
  <si>
    <t>RA65 / RA85 / RA85/2 · 砂石拉力系列；黄色单元格为可编辑标定。</t>
  </si>
  <si>
    <t>LSC · 全系列</t>
  </si>
  <si>
    <t>HSC · 全系列</t>
  </si>
  <si>
    <t>LSR · RA65 / 8系改型</t>
  </si>
  <si>
    <t>LSR · RA85</t>
  </si>
  <si>
    <t>RA65 与 RA85/2：40 格回弹；RA85：60 格。Sweep 采用 40 格标尺，型号在计算器选择。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</si>
</sst>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"/>
  </numFmts>
  <fonts count="13">
    <font>
      <sz val="11"/>
      <name val="Carlito"/>
    </font>
    <font>
      <sz val="11"/>
      <color rgb="FF283C50"/>
      <name val="Arial"/>
      <family val="2"/>
    </font>
    <font>
      <b/>
      <sz val="20"/>
      <color rgb="FF283C50"/>
      <name val="Arial"/>
      <family val="2"/>
    </font>
    <font>
      <sz val="11"/>
      <color rgb="FF667B91"/>
      <name val="Arial"/>
      <family val="2"/>
    </font>
    <font>
      <b/>
      <sz val="11"/>
      <color rgb="FFFFFFFF"/>
      <name val="Arial"/>
      <family val="2"/>
    </font>
    <font>
      <sz val="11"/>
      <color rgb="FF195DB1"/>
      <name val="Arial"/>
      <family val="2"/>
    </font>
    <font>
      <sz val="10"/>
      <color rgb="FF283C50"/>
      <name val="Arial"/>
      <family val="2"/>
    </font>
    <font>
      <sz val="10"/>
      <color rgb="FF667B91"/>
      <name val="Arial"/>
      <family val="2"/>
    </font>
    <font>
      <b/>
      <sz val="10"/>
      <color rgb="FFFFFFFF"/>
      <name val="Arial"/>
      <family val="2"/>
    </font>
    <font>
      <b/>
      <sz val="10"/>
      <color rgb="FF283C50"/>
      <name val="Arial"/>
      <family val="2"/>
    </font>
    <font>
      <b/>
      <sz val="11"/>
      <color rgb="FFFFFFFF"/>
      <name val="Carlito"/>
    </font>
    <font>
      <b/>
      <sz val="18"/>
      <color rgb="FF283C50"/>
      <name val="Arial"/>
      <family val="2"/>
    </font>
    <font>
      <sz val="9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rgb="FF31475E"/>
      </patternFill>
    </fill>
    <fill>
      <patternFill patternType="solid">
        <fgColor rgb="FFFFF2CC"/>
      </patternFill>
    </fill>
    <fill>
      <patternFill patternType="solid">
        <fgColor rgb="FFF0F4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2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9" fontId="1" fillId="0" borderId="0" xfId="0" applyNumberFormat="1" applyFont="1" applyAlignment="1">
      <alignment vertical="center"/>
    </xf>
    <xf numFmtId="1" fontId="5" fillId="3" borderId="0" xfId="0" applyNumberFormat="1" applyFont="1" applyFill="1" applyAlignment="1">
      <alignment vertical="center"/>
    </xf>
    <xf numFmtId="176" fontId="5" fillId="3" borderId="0" xfId="0" applyNumberFormat="1" applyFont="1" applyFill="1" applyAlignment="1">
      <alignment vertical="center"/>
    </xf>
    <xf numFmtId="176" fontId="1" fillId="0" borderId="0" xfId="0" applyNumberFormat="1" applyFont="1" applyAlignment="1">
      <alignment vertical="center"/>
    </xf>
    <xf numFmtId="1" fontId="1" fillId="0" borderId="0" xfId="0" applyNumberFormat="1" applyFont="1" applyAlignment="1">
      <alignment vertical="center"/>
    </xf>
    <xf numFmtId="0" fontId="6" fillId="0" borderId="0" xfId="0" applyFont="1" applyAlignment="1">
      <alignment vertical="center"/>
    </xf>
    <xf numFmtId="0" fontId="6" fillId="0" borderId="0" xfId="0" applyFont="1"/>
    <xf numFmtId="49" fontId="5" fillId="3" borderId="0" xfId="0" applyNumberFormat="1" applyFont="1" applyFill="1" applyAlignment="1">
      <alignment vertical="center"/>
    </xf>
    <xf numFmtId="0" fontId="8" fillId="2" borderId="0" xfId="0" applyFont="1" applyFill="1" applyAlignment="1">
      <alignment vertical="center"/>
    </xf>
    <xf numFmtId="0" fontId="8" fillId="2" borderId="0" xfId="0" applyFont="1" applyFill="1"/>
    <xf numFmtId="0" fontId="9" fillId="4" borderId="0" xfId="0" applyFont="1" applyFill="1" applyAlignment="1">
      <alignment vertical="center" wrapText="1"/>
    </xf>
    <xf numFmtId="0" fontId="9" fillId="4" borderId="0" xfId="0" applyFont="1" applyFill="1" applyAlignment="1">
      <alignment wrapText="1"/>
    </xf>
    <xf numFmtId="2" fontId="6" fillId="0" borderId="0" xfId="0" applyNumberFormat="1" applyFont="1" applyAlignment="1">
      <alignment vertical="center"/>
    </xf>
    <xf numFmtId="2" fontId="6" fillId="0" borderId="0" xfId="0" applyNumberFormat="1" applyFont="1"/>
    <xf numFmtId="2" fontId="5" fillId="3" borderId="0" xfId="0" applyNumberFormat="1" applyFont="1" applyFill="1" applyAlignment="1">
      <alignment vertical="center"/>
    </xf>
    <xf numFmtId="2" fontId="11" fillId="0" borderId="0" xfId="0" applyNumberFormat="1" applyFont="1" applyAlignment="1">
      <alignment vertical="center"/>
    </xf>
    <xf numFmtId="2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vertical="center"/>
    </xf>
    <xf numFmtId="0" fontId="1" fillId="0" borderId="0" xfId="0" applyFont="1" applyAlignment="1">
      <alignment vertical="center" wrapText="1"/>
    </xf>
    <xf numFmtId="0" fontId="6" fillId="0" borderId="0" xfId="0" applyFont="1" applyAlignment="1">
      <alignment vertical="center"/>
    </xf>
    <xf numFmtId="0" fontId="6" fillId="0" borderId="0" xfId="0" applyFont="1" applyAlignment="1">
      <alignment vertical="center" wrapText="1"/>
    </xf>
    <xf numFmtId="2" fontId="11" fillId="0" borderId="0" xfId="0" applyNumberFormat="1" applyFont="1" applyAlignment="1">
      <alignment vertical="center"/>
    </xf>
    <xf numFmtId="0" fontId="7" fillId="0" borderId="0" xfId="0" applyFont="1" applyAlignment="1">
      <alignment vertical="center"/>
    </xf>
    <xf numFmtId="0" fontId="8" fillId="2" borderId="0" xfId="0" applyFont="1" applyFill="1" applyAlignment="1">
      <alignment vertical="center"/>
    </xf>
    <xf numFmtId="0" fontId="8" fillId="2" borderId="0" xfId="0" applyFont="1" applyFill="1"/>
    <xf numFmtId="0" fontId="10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Arial"/>
                <a:cs typeface="Arial"/>
              </a:rPr>
              <a:t>RAx5 · LSC Sweep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6.8048319697382301E-2"/>
          <c:y val="7.3917036182427995E-2"/>
          <c:w val="0.910220497500702"/>
          <c:h val="0.8712959822553098"/>
        </c:manualLayout>
      </c:layout>
      <c:scatterChart>
        <c:scatterStyle val="lineMarker"/>
        <c:varyColors val="1"/>
        <c:ser>
          <c:idx val="0"/>
          <c:order val="0"/>
          <c:tx>
            <c:strRef>
              <c:f>Samples!$C$13</c:f>
              <c:strCache>
                <c:ptCount val="1"/>
                <c:pt idx="0">
                  <c:v>c -24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Samples!$C$14:$C$34</c:f>
              <c:numCache>
                <c:formatCode>0.00</c:formatCode>
                <c:ptCount val="21"/>
                <c:pt idx="0">
                  <c:v>0</c:v>
                </c:pt>
                <c:pt idx="1">
                  <c:v>90</c:v>
                </c:pt>
                <c:pt idx="2">
                  <c:v>180</c:v>
                </c:pt>
                <c:pt idx="3">
                  <c:v>270</c:v>
                </c:pt>
                <c:pt idx="4">
                  <c:v>360</c:v>
                </c:pt>
                <c:pt idx="5">
                  <c:v>450</c:v>
                </c:pt>
                <c:pt idx="6">
                  <c:v>540</c:v>
                </c:pt>
                <c:pt idx="7">
                  <c:v>630</c:v>
                </c:pt>
                <c:pt idx="8">
                  <c:v>685.80000000000007</c:v>
                </c:pt>
                <c:pt idx="9">
                  <c:v>741.6</c:v>
                </c:pt>
                <c:pt idx="10">
                  <c:v>797.40000000000009</c:v>
                </c:pt>
                <c:pt idx="11">
                  <c:v>853.2</c:v>
                </c:pt>
                <c:pt idx="12">
                  <c:v>909</c:v>
                </c:pt>
                <c:pt idx="13">
                  <c:v>989.80000000000007</c:v>
                </c:pt>
                <c:pt idx="14">
                  <c:v>1070.5999999999999</c:v>
                </c:pt>
                <c:pt idx="15">
                  <c:v>1151.4000000000001</c:v>
                </c:pt>
                <c:pt idx="16">
                  <c:v>1232.2</c:v>
                </c:pt>
                <c:pt idx="17">
                  <c:v>1313</c:v>
                </c:pt>
                <c:pt idx="18">
                  <c:v>1393.8000000000002</c:v>
                </c:pt>
                <c:pt idx="19">
                  <c:v>1474.6</c:v>
                </c:pt>
                <c:pt idx="20">
                  <c:v>1555.4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B975-4EAE-9176-DBF0ADD42898}"/>
            </c:ext>
          </c:extLst>
        </c:ser>
        <c:ser>
          <c:idx val="1"/>
          <c:order val="1"/>
          <c:tx>
            <c:strRef>
              <c:f>Samples!$D$13</c:f>
              <c:strCache>
                <c:ptCount val="1"/>
                <c:pt idx="0">
                  <c:v>c -18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Samples!$D$14:$D$34</c:f>
              <c:numCache>
                <c:formatCode>0.00</c:formatCode>
                <c:ptCount val="21"/>
                <c:pt idx="0">
                  <c:v>0</c:v>
                </c:pt>
                <c:pt idx="1">
                  <c:v>120</c:v>
                </c:pt>
                <c:pt idx="2">
                  <c:v>240</c:v>
                </c:pt>
                <c:pt idx="3">
                  <c:v>360</c:v>
                </c:pt>
                <c:pt idx="4">
                  <c:v>480</c:v>
                </c:pt>
                <c:pt idx="5">
                  <c:v>600</c:v>
                </c:pt>
                <c:pt idx="6">
                  <c:v>720</c:v>
                </c:pt>
                <c:pt idx="7">
                  <c:v>840</c:v>
                </c:pt>
                <c:pt idx="8">
                  <c:v>912</c:v>
                </c:pt>
                <c:pt idx="9">
                  <c:v>984</c:v>
                </c:pt>
                <c:pt idx="10">
                  <c:v>1056</c:v>
                </c:pt>
                <c:pt idx="11">
                  <c:v>1128</c:v>
                </c:pt>
                <c:pt idx="12">
                  <c:v>1200</c:v>
                </c:pt>
                <c:pt idx="13">
                  <c:v>1297</c:v>
                </c:pt>
                <c:pt idx="14">
                  <c:v>1394</c:v>
                </c:pt>
                <c:pt idx="15">
                  <c:v>1491</c:v>
                </c:pt>
                <c:pt idx="16">
                  <c:v>1588</c:v>
                </c:pt>
                <c:pt idx="17">
                  <c:v>1685</c:v>
                </c:pt>
                <c:pt idx="18">
                  <c:v>1782</c:v>
                </c:pt>
                <c:pt idx="19">
                  <c:v>1879</c:v>
                </c:pt>
                <c:pt idx="20">
                  <c:v>1976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B975-4EAE-9176-DBF0ADD42898}"/>
            </c:ext>
          </c:extLst>
        </c:ser>
        <c:ser>
          <c:idx val="2"/>
          <c:order val="2"/>
          <c:tx>
            <c:strRef>
              <c:f>Samples!$E$13</c:f>
              <c:strCache>
                <c:ptCount val="1"/>
                <c:pt idx="0">
                  <c:v>c -12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Samples!$E$14:$E$34</c:f>
              <c:numCache>
                <c:formatCode>0.00</c:formatCode>
                <c:ptCount val="21"/>
                <c:pt idx="0">
                  <c:v>0</c:v>
                </c:pt>
                <c:pt idx="1">
                  <c:v>150</c:v>
                </c:pt>
                <c:pt idx="2">
                  <c:v>300</c:v>
                </c:pt>
                <c:pt idx="3">
                  <c:v>450</c:v>
                </c:pt>
                <c:pt idx="4">
                  <c:v>600</c:v>
                </c:pt>
                <c:pt idx="5">
                  <c:v>750</c:v>
                </c:pt>
                <c:pt idx="6">
                  <c:v>900</c:v>
                </c:pt>
                <c:pt idx="7">
                  <c:v>1050</c:v>
                </c:pt>
                <c:pt idx="8">
                  <c:v>1137</c:v>
                </c:pt>
                <c:pt idx="9">
                  <c:v>1224</c:v>
                </c:pt>
                <c:pt idx="10">
                  <c:v>1311</c:v>
                </c:pt>
                <c:pt idx="11">
                  <c:v>1398</c:v>
                </c:pt>
                <c:pt idx="12">
                  <c:v>1485</c:v>
                </c:pt>
                <c:pt idx="13">
                  <c:v>1597</c:v>
                </c:pt>
                <c:pt idx="14">
                  <c:v>1709</c:v>
                </c:pt>
                <c:pt idx="15">
                  <c:v>1821</c:v>
                </c:pt>
                <c:pt idx="16">
                  <c:v>1933</c:v>
                </c:pt>
                <c:pt idx="17">
                  <c:v>2045</c:v>
                </c:pt>
                <c:pt idx="18">
                  <c:v>2157</c:v>
                </c:pt>
                <c:pt idx="19">
                  <c:v>2269</c:v>
                </c:pt>
                <c:pt idx="20">
                  <c:v>2381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B975-4EAE-9176-DBF0ADD42898}"/>
            </c:ext>
          </c:extLst>
        </c:ser>
        <c:ser>
          <c:idx val="3"/>
          <c:order val="3"/>
          <c:tx>
            <c:strRef>
              <c:f>Samples!$F$13</c:f>
              <c:strCache>
                <c:ptCount val="1"/>
                <c:pt idx="0">
                  <c:v>c -6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Samples!$F$14:$F$34</c:f>
              <c:numCache>
                <c:formatCode>0.00</c:formatCode>
                <c:ptCount val="21"/>
                <c:pt idx="0">
                  <c:v>0</c:v>
                </c:pt>
                <c:pt idx="1">
                  <c:v>180</c:v>
                </c:pt>
                <c:pt idx="2">
                  <c:v>360</c:v>
                </c:pt>
                <c:pt idx="3">
                  <c:v>540</c:v>
                </c:pt>
                <c:pt idx="4">
                  <c:v>720</c:v>
                </c:pt>
                <c:pt idx="5">
                  <c:v>900</c:v>
                </c:pt>
                <c:pt idx="6">
                  <c:v>1080</c:v>
                </c:pt>
                <c:pt idx="7">
                  <c:v>1260</c:v>
                </c:pt>
                <c:pt idx="8">
                  <c:v>1360.8000000000002</c:v>
                </c:pt>
                <c:pt idx="9">
                  <c:v>1461.6000000000001</c:v>
                </c:pt>
                <c:pt idx="10">
                  <c:v>1562.4</c:v>
                </c:pt>
                <c:pt idx="11">
                  <c:v>1663.2000000000003</c:v>
                </c:pt>
                <c:pt idx="12">
                  <c:v>1764</c:v>
                </c:pt>
                <c:pt idx="13">
                  <c:v>1889.8000000000002</c:v>
                </c:pt>
                <c:pt idx="14">
                  <c:v>2015.6</c:v>
                </c:pt>
                <c:pt idx="15">
                  <c:v>2141.4</c:v>
                </c:pt>
                <c:pt idx="16">
                  <c:v>2267.2000000000003</c:v>
                </c:pt>
                <c:pt idx="17">
                  <c:v>2393</c:v>
                </c:pt>
                <c:pt idx="18">
                  <c:v>2518.8000000000002</c:v>
                </c:pt>
                <c:pt idx="19">
                  <c:v>2644.6000000000004</c:v>
                </c:pt>
                <c:pt idx="20">
                  <c:v>2770.4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B975-4EAE-9176-DBF0ADD42898}"/>
            </c:ext>
          </c:extLst>
        </c:ser>
        <c:ser>
          <c:idx val="4"/>
          <c:order val="4"/>
          <c:tx>
            <c:strRef>
              <c:f>Samples!$G$13</c:f>
              <c:strCache>
                <c:ptCount val="1"/>
                <c:pt idx="0">
                  <c:v>c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Samples!$G$14:$G$34</c:f>
              <c:numCache>
                <c:formatCode>0.00</c:formatCode>
                <c:ptCount val="21"/>
                <c:pt idx="0">
                  <c:v>0</c:v>
                </c:pt>
                <c:pt idx="1">
                  <c:v>210</c:v>
                </c:pt>
                <c:pt idx="2">
                  <c:v>420</c:v>
                </c:pt>
                <c:pt idx="3">
                  <c:v>630</c:v>
                </c:pt>
                <c:pt idx="4">
                  <c:v>840</c:v>
                </c:pt>
                <c:pt idx="5">
                  <c:v>1050</c:v>
                </c:pt>
                <c:pt idx="6">
                  <c:v>1260</c:v>
                </c:pt>
                <c:pt idx="7">
                  <c:v>1470</c:v>
                </c:pt>
                <c:pt idx="8">
                  <c:v>1583.4</c:v>
                </c:pt>
                <c:pt idx="9">
                  <c:v>1696.8000000000002</c:v>
                </c:pt>
                <c:pt idx="10">
                  <c:v>1810.2</c:v>
                </c:pt>
                <c:pt idx="11">
                  <c:v>1923.6000000000001</c:v>
                </c:pt>
                <c:pt idx="12">
                  <c:v>2037</c:v>
                </c:pt>
                <c:pt idx="13">
                  <c:v>2175.4</c:v>
                </c:pt>
                <c:pt idx="14">
                  <c:v>2313.8000000000002</c:v>
                </c:pt>
                <c:pt idx="15">
                  <c:v>2452.1999999999998</c:v>
                </c:pt>
                <c:pt idx="16">
                  <c:v>2590.6000000000004</c:v>
                </c:pt>
                <c:pt idx="17">
                  <c:v>2729</c:v>
                </c:pt>
                <c:pt idx="18">
                  <c:v>2867.4</c:v>
                </c:pt>
                <c:pt idx="19">
                  <c:v>3005.8</c:v>
                </c:pt>
                <c:pt idx="20">
                  <c:v>3144.2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B975-4EAE-9176-DBF0ADD428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Bump 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1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Shaft speed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Arial"/>
                <a:cs typeface="Arial"/>
              </a:rPr>
              <a:t>RAx5 · HSC Sweep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Samples!$C$53</c:f>
              <c:strCache>
                <c:ptCount val="1"/>
                <c:pt idx="0">
                  <c:v>C -20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Samples!$C$54:$C$74</c:f>
              <c:numCache>
                <c:formatCode>0.00</c:formatCode>
                <c:ptCount val="21"/>
                <c:pt idx="0">
                  <c:v>0</c:v>
                </c:pt>
                <c:pt idx="1">
                  <c:v>150</c:v>
                </c:pt>
                <c:pt idx="2">
                  <c:v>300</c:v>
                </c:pt>
                <c:pt idx="3">
                  <c:v>450</c:v>
                </c:pt>
                <c:pt idx="4">
                  <c:v>600</c:v>
                </c:pt>
                <c:pt idx="5">
                  <c:v>750</c:v>
                </c:pt>
                <c:pt idx="6">
                  <c:v>837</c:v>
                </c:pt>
                <c:pt idx="7">
                  <c:v>924</c:v>
                </c:pt>
                <c:pt idx="8">
                  <c:v>1011</c:v>
                </c:pt>
                <c:pt idx="9">
                  <c:v>1098</c:v>
                </c:pt>
                <c:pt idx="10">
                  <c:v>1185</c:v>
                </c:pt>
                <c:pt idx="11">
                  <c:v>1272</c:v>
                </c:pt>
                <c:pt idx="12">
                  <c:v>1359</c:v>
                </c:pt>
                <c:pt idx="13">
                  <c:v>1471</c:v>
                </c:pt>
                <c:pt idx="14">
                  <c:v>1582.9999999999998</c:v>
                </c:pt>
                <c:pt idx="15">
                  <c:v>1695</c:v>
                </c:pt>
                <c:pt idx="16">
                  <c:v>1807</c:v>
                </c:pt>
                <c:pt idx="17">
                  <c:v>1918.9999999999998</c:v>
                </c:pt>
                <c:pt idx="18">
                  <c:v>2031</c:v>
                </c:pt>
                <c:pt idx="19">
                  <c:v>2143</c:v>
                </c:pt>
                <c:pt idx="20">
                  <c:v>2255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3DE3-4A9C-9A72-046886D36836}"/>
            </c:ext>
          </c:extLst>
        </c:ser>
        <c:ser>
          <c:idx val="1"/>
          <c:order val="1"/>
          <c:tx>
            <c:strRef>
              <c:f>Samples!$D$53</c:f>
              <c:strCache>
                <c:ptCount val="1"/>
                <c:pt idx="0">
                  <c:v>C -15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Samples!$D$54:$D$74</c:f>
              <c:numCache>
                <c:formatCode>0.00</c:formatCode>
                <c:ptCount val="21"/>
                <c:pt idx="0">
                  <c:v>0</c:v>
                </c:pt>
                <c:pt idx="1">
                  <c:v>150</c:v>
                </c:pt>
                <c:pt idx="2">
                  <c:v>300</c:v>
                </c:pt>
                <c:pt idx="3">
                  <c:v>450</c:v>
                </c:pt>
                <c:pt idx="4">
                  <c:v>600</c:v>
                </c:pt>
                <c:pt idx="5">
                  <c:v>750</c:v>
                </c:pt>
                <c:pt idx="6">
                  <c:v>900</c:v>
                </c:pt>
                <c:pt idx="7">
                  <c:v>987</c:v>
                </c:pt>
                <c:pt idx="8">
                  <c:v>1074</c:v>
                </c:pt>
                <c:pt idx="9">
                  <c:v>1161</c:v>
                </c:pt>
                <c:pt idx="10">
                  <c:v>1248</c:v>
                </c:pt>
                <c:pt idx="11">
                  <c:v>1335</c:v>
                </c:pt>
                <c:pt idx="12">
                  <c:v>1422</c:v>
                </c:pt>
                <c:pt idx="13">
                  <c:v>1534</c:v>
                </c:pt>
                <c:pt idx="14">
                  <c:v>1646</c:v>
                </c:pt>
                <c:pt idx="15">
                  <c:v>1758</c:v>
                </c:pt>
                <c:pt idx="16">
                  <c:v>1870</c:v>
                </c:pt>
                <c:pt idx="17">
                  <c:v>1982</c:v>
                </c:pt>
                <c:pt idx="18">
                  <c:v>2094</c:v>
                </c:pt>
                <c:pt idx="19">
                  <c:v>2206</c:v>
                </c:pt>
                <c:pt idx="20">
                  <c:v>2318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3DE3-4A9C-9A72-046886D36836}"/>
            </c:ext>
          </c:extLst>
        </c:ser>
        <c:ser>
          <c:idx val="2"/>
          <c:order val="2"/>
          <c:tx>
            <c:strRef>
              <c:f>Samples!$E$53</c:f>
              <c:strCache>
                <c:ptCount val="1"/>
                <c:pt idx="0">
                  <c:v>C -10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Samples!$E$54:$E$74</c:f>
              <c:numCache>
                <c:formatCode>0.00</c:formatCode>
                <c:ptCount val="21"/>
                <c:pt idx="0">
                  <c:v>0</c:v>
                </c:pt>
                <c:pt idx="1">
                  <c:v>150</c:v>
                </c:pt>
                <c:pt idx="2">
                  <c:v>300</c:v>
                </c:pt>
                <c:pt idx="3">
                  <c:v>450</c:v>
                </c:pt>
                <c:pt idx="4">
                  <c:v>600</c:v>
                </c:pt>
                <c:pt idx="5">
                  <c:v>750</c:v>
                </c:pt>
                <c:pt idx="6">
                  <c:v>900</c:v>
                </c:pt>
                <c:pt idx="7">
                  <c:v>1050</c:v>
                </c:pt>
                <c:pt idx="8">
                  <c:v>1137</c:v>
                </c:pt>
                <c:pt idx="9">
                  <c:v>1224</c:v>
                </c:pt>
                <c:pt idx="10">
                  <c:v>1311</c:v>
                </c:pt>
                <c:pt idx="11">
                  <c:v>1398</c:v>
                </c:pt>
                <c:pt idx="12">
                  <c:v>1485</c:v>
                </c:pt>
                <c:pt idx="13">
                  <c:v>1597</c:v>
                </c:pt>
                <c:pt idx="14">
                  <c:v>1709</c:v>
                </c:pt>
                <c:pt idx="15">
                  <c:v>1821</c:v>
                </c:pt>
                <c:pt idx="16">
                  <c:v>1933</c:v>
                </c:pt>
                <c:pt idx="17">
                  <c:v>2045</c:v>
                </c:pt>
                <c:pt idx="18">
                  <c:v>2157</c:v>
                </c:pt>
                <c:pt idx="19">
                  <c:v>2269</c:v>
                </c:pt>
                <c:pt idx="20">
                  <c:v>2381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3DE3-4A9C-9A72-046886D36836}"/>
            </c:ext>
          </c:extLst>
        </c:ser>
        <c:ser>
          <c:idx val="3"/>
          <c:order val="3"/>
          <c:tx>
            <c:strRef>
              <c:f>Samples!$F$53</c:f>
              <c:strCache>
                <c:ptCount val="1"/>
                <c:pt idx="0">
                  <c:v>C -5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Samples!$F$54:$F$74</c:f>
              <c:numCache>
                <c:formatCode>0.00</c:formatCode>
                <c:ptCount val="21"/>
                <c:pt idx="0">
                  <c:v>0</c:v>
                </c:pt>
                <c:pt idx="1">
                  <c:v>150</c:v>
                </c:pt>
                <c:pt idx="2">
                  <c:v>300</c:v>
                </c:pt>
                <c:pt idx="3">
                  <c:v>450</c:v>
                </c:pt>
                <c:pt idx="4">
                  <c:v>600</c:v>
                </c:pt>
                <c:pt idx="5">
                  <c:v>750</c:v>
                </c:pt>
                <c:pt idx="6">
                  <c:v>900</c:v>
                </c:pt>
                <c:pt idx="7">
                  <c:v>1050</c:v>
                </c:pt>
                <c:pt idx="8">
                  <c:v>1200</c:v>
                </c:pt>
                <c:pt idx="9">
                  <c:v>1287</c:v>
                </c:pt>
                <c:pt idx="10">
                  <c:v>1374</c:v>
                </c:pt>
                <c:pt idx="11">
                  <c:v>1461</c:v>
                </c:pt>
                <c:pt idx="12">
                  <c:v>1548</c:v>
                </c:pt>
                <c:pt idx="13">
                  <c:v>1660</c:v>
                </c:pt>
                <c:pt idx="14">
                  <c:v>1771.9999999999998</c:v>
                </c:pt>
                <c:pt idx="15">
                  <c:v>1884</c:v>
                </c:pt>
                <c:pt idx="16">
                  <c:v>1996</c:v>
                </c:pt>
                <c:pt idx="17">
                  <c:v>2108</c:v>
                </c:pt>
                <c:pt idx="18">
                  <c:v>2220</c:v>
                </c:pt>
                <c:pt idx="19">
                  <c:v>2332</c:v>
                </c:pt>
                <c:pt idx="20">
                  <c:v>2444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3DE3-4A9C-9A72-046886D36836}"/>
            </c:ext>
          </c:extLst>
        </c:ser>
        <c:ser>
          <c:idx val="4"/>
          <c:order val="4"/>
          <c:tx>
            <c:strRef>
              <c:f>Samples!$G$53</c:f>
              <c:strCache>
                <c:ptCount val="1"/>
                <c:pt idx="0">
                  <c:v>C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Samples!$G$54:$G$74</c:f>
              <c:numCache>
                <c:formatCode>0.00</c:formatCode>
                <c:ptCount val="21"/>
                <c:pt idx="0">
                  <c:v>0</c:v>
                </c:pt>
                <c:pt idx="1">
                  <c:v>150</c:v>
                </c:pt>
                <c:pt idx="2">
                  <c:v>300</c:v>
                </c:pt>
                <c:pt idx="3">
                  <c:v>450</c:v>
                </c:pt>
                <c:pt idx="4">
                  <c:v>600</c:v>
                </c:pt>
                <c:pt idx="5">
                  <c:v>750</c:v>
                </c:pt>
                <c:pt idx="6">
                  <c:v>900</c:v>
                </c:pt>
                <c:pt idx="7">
                  <c:v>1050</c:v>
                </c:pt>
                <c:pt idx="8">
                  <c:v>1200</c:v>
                </c:pt>
                <c:pt idx="9">
                  <c:v>1350</c:v>
                </c:pt>
                <c:pt idx="10">
                  <c:v>1437</c:v>
                </c:pt>
                <c:pt idx="11">
                  <c:v>1524</c:v>
                </c:pt>
                <c:pt idx="12">
                  <c:v>1611</c:v>
                </c:pt>
                <c:pt idx="13">
                  <c:v>1723</c:v>
                </c:pt>
                <c:pt idx="14">
                  <c:v>1834.9999999999998</c:v>
                </c:pt>
                <c:pt idx="15">
                  <c:v>1947</c:v>
                </c:pt>
                <c:pt idx="16">
                  <c:v>2059</c:v>
                </c:pt>
                <c:pt idx="17">
                  <c:v>2171</c:v>
                </c:pt>
                <c:pt idx="18">
                  <c:v>2283</c:v>
                </c:pt>
                <c:pt idx="19">
                  <c:v>2395</c:v>
                </c:pt>
                <c:pt idx="20">
                  <c:v>2507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3DE3-4A9C-9A72-046886D368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Bump 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1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Shaft speed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Arial"/>
                <a:cs typeface="Arial"/>
              </a:rPr>
              <a:t>RAx5 · LSR Sweep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Samples!$C$93</c:f>
              <c:strCache>
                <c:ptCount val="1"/>
                <c:pt idx="0">
                  <c:v>R -40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Samples!$C$94:$C$114</c:f>
              <c:numCache>
                <c:formatCode>0.00</c:formatCode>
                <c:ptCount val="21"/>
                <c:pt idx="0">
                  <c:v>0</c:v>
                </c:pt>
                <c:pt idx="1">
                  <c:v>55</c:v>
                </c:pt>
                <c:pt idx="2">
                  <c:v>110</c:v>
                </c:pt>
                <c:pt idx="3">
                  <c:v>165</c:v>
                </c:pt>
                <c:pt idx="4">
                  <c:v>220</c:v>
                </c:pt>
                <c:pt idx="5">
                  <c:v>274.12</c:v>
                </c:pt>
                <c:pt idx="6">
                  <c:v>326.91999999999996</c:v>
                </c:pt>
                <c:pt idx="7">
                  <c:v>379.71999999999997</c:v>
                </c:pt>
                <c:pt idx="8">
                  <c:v>432.52</c:v>
                </c:pt>
                <c:pt idx="9">
                  <c:v>485.32</c:v>
                </c:pt>
                <c:pt idx="10">
                  <c:v>538.12</c:v>
                </c:pt>
                <c:pt idx="11">
                  <c:v>590.92000000000007</c:v>
                </c:pt>
                <c:pt idx="12">
                  <c:v>643.72</c:v>
                </c:pt>
                <c:pt idx="13">
                  <c:v>696.52</c:v>
                </c:pt>
                <c:pt idx="14">
                  <c:v>749.31999999999994</c:v>
                </c:pt>
                <c:pt idx="15">
                  <c:v>802.12</c:v>
                </c:pt>
                <c:pt idx="16">
                  <c:v>854.92000000000007</c:v>
                </c:pt>
                <c:pt idx="17">
                  <c:v>907.72</c:v>
                </c:pt>
                <c:pt idx="18">
                  <c:v>960.5200000000001</c:v>
                </c:pt>
                <c:pt idx="19">
                  <c:v>1013.3199999999999</c:v>
                </c:pt>
                <c:pt idx="20">
                  <c:v>1066.1199999999999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050F-42F4-B30D-15FBBF3D7859}"/>
            </c:ext>
          </c:extLst>
        </c:ser>
        <c:ser>
          <c:idx val="1"/>
          <c:order val="1"/>
          <c:tx>
            <c:strRef>
              <c:f>Samples!$D$93</c:f>
              <c:strCache>
                <c:ptCount val="1"/>
                <c:pt idx="0">
                  <c:v>R -30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Samples!$D$94:$D$114</c:f>
              <c:numCache>
                <c:formatCode>0.00</c:formatCode>
                <c:ptCount val="21"/>
                <c:pt idx="0">
                  <c:v>0</c:v>
                </c:pt>
                <c:pt idx="1">
                  <c:v>77.5</c:v>
                </c:pt>
                <c:pt idx="2">
                  <c:v>155</c:v>
                </c:pt>
                <c:pt idx="3">
                  <c:v>232.5</c:v>
                </c:pt>
                <c:pt idx="4">
                  <c:v>310</c:v>
                </c:pt>
                <c:pt idx="5">
                  <c:v>387.5</c:v>
                </c:pt>
                <c:pt idx="6">
                  <c:v>459.41999999999996</c:v>
                </c:pt>
                <c:pt idx="7">
                  <c:v>530.72</c:v>
                </c:pt>
                <c:pt idx="8">
                  <c:v>602.02</c:v>
                </c:pt>
                <c:pt idx="9">
                  <c:v>673.31999999999994</c:v>
                </c:pt>
                <c:pt idx="10">
                  <c:v>744.62</c:v>
                </c:pt>
                <c:pt idx="11">
                  <c:v>815.92000000000007</c:v>
                </c:pt>
                <c:pt idx="12">
                  <c:v>887.22</c:v>
                </c:pt>
                <c:pt idx="13">
                  <c:v>958.52</c:v>
                </c:pt>
                <c:pt idx="14">
                  <c:v>1029.82</c:v>
                </c:pt>
                <c:pt idx="15">
                  <c:v>1101.1199999999999</c:v>
                </c:pt>
                <c:pt idx="16">
                  <c:v>1172.42</c:v>
                </c:pt>
                <c:pt idx="17">
                  <c:v>1243.7199999999998</c:v>
                </c:pt>
                <c:pt idx="18">
                  <c:v>1315.02</c:v>
                </c:pt>
                <c:pt idx="19">
                  <c:v>1386.32</c:v>
                </c:pt>
                <c:pt idx="20">
                  <c:v>1457.62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050F-42F4-B30D-15FBBF3D7859}"/>
            </c:ext>
          </c:extLst>
        </c:ser>
        <c:ser>
          <c:idx val="2"/>
          <c:order val="2"/>
          <c:tx>
            <c:strRef>
              <c:f>Samples!$E$93</c:f>
              <c:strCache>
                <c:ptCount val="1"/>
                <c:pt idx="0">
                  <c:v>R -20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Samples!$E$94:$E$114</c:f>
              <c:numCache>
                <c:formatCode>0.00</c:formatCode>
                <c:ptCount val="21"/>
                <c:pt idx="0">
                  <c:v>0</c:v>
                </c:pt>
                <c:pt idx="1">
                  <c:v>100</c:v>
                </c:pt>
                <c:pt idx="2">
                  <c:v>200</c:v>
                </c:pt>
                <c:pt idx="3">
                  <c:v>300</c:v>
                </c:pt>
                <c:pt idx="4">
                  <c:v>400</c:v>
                </c:pt>
                <c:pt idx="5">
                  <c:v>500</c:v>
                </c:pt>
                <c:pt idx="6">
                  <c:v>595.19999999999993</c:v>
                </c:pt>
                <c:pt idx="7">
                  <c:v>683.19999999999993</c:v>
                </c:pt>
                <c:pt idx="8">
                  <c:v>771.2</c:v>
                </c:pt>
                <c:pt idx="9">
                  <c:v>859.2</c:v>
                </c:pt>
                <c:pt idx="10">
                  <c:v>947.19999999999993</c:v>
                </c:pt>
                <c:pt idx="11">
                  <c:v>1035.2</c:v>
                </c:pt>
                <c:pt idx="12">
                  <c:v>1123.1999999999998</c:v>
                </c:pt>
                <c:pt idx="13">
                  <c:v>1211.2</c:v>
                </c:pt>
                <c:pt idx="14">
                  <c:v>1299.1999999999998</c:v>
                </c:pt>
                <c:pt idx="15">
                  <c:v>1387.1999999999998</c:v>
                </c:pt>
                <c:pt idx="16">
                  <c:v>1475.2</c:v>
                </c:pt>
                <c:pt idx="17">
                  <c:v>1563.1999999999998</c:v>
                </c:pt>
                <c:pt idx="18">
                  <c:v>1651.2</c:v>
                </c:pt>
                <c:pt idx="19">
                  <c:v>1739.1999999999998</c:v>
                </c:pt>
                <c:pt idx="20">
                  <c:v>1827.2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050F-42F4-B30D-15FBBF3D7859}"/>
            </c:ext>
          </c:extLst>
        </c:ser>
        <c:ser>
          <c:idx val="3"/>
          <c:order val="3"/>
          <c:tx>
            <c:strRef>
              <c:f>Samples!$F$93</c:f>
              <c:strCache>
                <c:ptCount val="1"/>
                <c:pt idx="0">
                  <c:v>R -10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Samples!$F$94:$F$114</c:f>
              <c:numCache>
                <c:formatCode>0.00</c:formatCode>
                <c:ptCount val="21"/>
                <c:pt idx="0">
                  <c:v>0</c:v>
                </c:pt>
                <c:pt idx="1">
                  <c:v>122.5</c:v>
                </c:pt>
                <c:pt idx="2">
                  <c:v>245</c:v>
                </c:pt>
                <c:pt idx="3">
                  <c:v>367.5</c:v>
                </c:pt>
                <c:pt idx="4">
                  <c:v>490</c:v>
                </c:pt>
                <c:pt idx="5">
                  <c:v>612.5</c:v>
                </c:pt>
                <c:pt idx="6">
                  <c:v>735</c:v>
                </c:pt>
                <c:pt idx="7">
                  <c:v>839.86</c:v>
                </c:pt>
                <c:pt idx="8">
                  <c:v>942.76</c:v>
                </c:pt>
                <c:pt idx="9">
                  <c:v>1045.6600000000001</c:v>
                </c:pt>
                <c:pt idx="10">
                  <c:v>1148.56</c:v>
                </c:pt>
                <c:pt idx="11">
                  <c:v>1251.46</c:v>
                </c:pt>
                <c:pt idx="12">
                  <c:v>1354.3600000000001</c:v>
                </c:pt>
                <c:pt idx="13">
                  <c:v>1457.2600000000002</c:v>
                </c:pt>
                <c:pt idx="14">
                  <c:v>1560.1599999999999</c:v>
                </c:pt>
                <c:pt idx="15">
                  <c:v>1663.06</c:v>
                </c:pt>
                <c:pt idx="16">
                  <c:v>1765.96</c:v>
                </c:pt>
                <c:pt idx="17">
                  <c:v>1868.8600000000001</c:v>
                </c:pt>
                <c:pt idx="18">
                  <c:v>1971.7600000000002</c:v>
                </c:pt>
                <c:pt idx="19">
                  <c:v>2074.66</c:v>
                </c:pt>
                <c:pt idx="20">
                  <c:v>2177.56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050F-42F4-B30D-15FBBF3D7859}"/>
            </c:ext>
          </c:extLst>
        </c:ser>
        <c:ser>
          <c:idx val="4"/>
          <c:order val="4"/>
          <c:tx>
            <c:strRef>
              <c:f>Samples!$G$93</c:f>
              <c:strCache>
                <c:ptCount val="1"/>
                <c:pt idx="0">
                  <c:v>R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Samples!$G$94:$G$114</c:f>
              <c:numCache>
                <c:formatCode>0.00</c:formatCode>
                <c:ptCount val="21"/>
                <c:pt idx="0">
                  <c:v>0</c:v>
                </c:pt>
                <c:pt idx="1">
                  <c:v>145</c:v>
                </c:pt>
                <c:pt idx="2">
                  <c:v>290</c:v>
                </c:pt>
                <c:pt idx="3">
                  <c:v>435</c:v>
                </c:pt>
                <c:pt idx="4">
                  <c:v>580</c:v>
                </c:pt>
                <c:pt idx="5">
                  <c:v>725</c:v>
                </c:pt>
                <c:pt idx="6">
                  <c:v>870</c:v>
                </c:pt>
                <c:pt idx="7">
                  <c:v>1003.3999999999999</c:v>
                </c:pt>
                <c:pt idx="8">
                  <c:v>1119.4000000000001</c:v>
                </c:pt>
                <c:pt idx="9">
                  <c:v>1235.4000000000001</c:v>
                </c:pt>
                <c:pt idx="10">
                  <c:v>1351.4</c:v>
                </c:pt>
                <c:pt idx="11">
                  <c:v>1467.4</c:v>
                </c:pt>
                <c:pt idx="12">
                  <c:v>1583.3999999999999</c:v>
                </c:pt>
                <c:pt idx="13">
                  <c:v>1699.4</c:v>
                </c:pt>
                <c:pt idx="14">
                  <c:v>1815.3999999999999</c:v>
                </c:pt>
                <c:pt idx="15">
                  <c:v>1931.4</c:v>
                </c:pt>
                <c:pt idx="16">
                  <c:v>2047.4</c:v>
                </c:pt>
                <c:pt idx="17">
                  <c:v>2163.4</c:v>
                </c:pt>
                <c:pt idx="18">
                  <c:v>2279.4</c:v>
                </c:pt>
                <c:pt idx="19">
                  <c:v>2395.3999999999996</c:v>
                </c:pt>
                <c:pt idx="20">
                  <c:v>2511.3999999999996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050F-42F4-B30D-15FBBF3D78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Rebound 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50112"/>
        <c:crosses val="autoZero"/>
        <c:crossBetween val="midCat"/>
        <c:majorUnit val="1000"/>
      </c:valAx>
      <c:valAx>
        <c:axId val="48650112"/>
        <c:scaling>
          <c:orientation val="minMax"/>
          <c:max val="1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Extension speed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Arial"/>
                <a:cs typeface="Arial"/>
              </a:rPr>
              <a:t>RAx5 · Compression (+) / Rebound (−)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Samples!$C$133</c:f>
              <c:strCache>
                <c:ptCount val="1"/>
                <c:pt idx="0">
                  <c:v>c -24 / C -20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Samples!$C$134:$C$154</c:f>
              <c:numCache>
                <c:formatCode>0.00</c:formatCode>
                <c:ptCount val="21"/>
                <c:pt idx="0">
                  <c:v>0</c:v>
                </c:pt>
                <c:pt idx="1">
                  <c:v>90</c:v>
                </c:pt>
                <c:pt idx="2">
                  <c:v>180</c:v>
                </c:pt>
                <c:pt idx="3">
                  <c:v>270</c:v>
                </c:pt>
                <c:pt idx="4">
                  <c:v>360</c:v>
                </c:pt>
                <c:pt idx="5">
                  <c:v>450</c:v>
                </c:pt>
                <c:pt idx="6">
                  <c:v>505.8</c:v>
                </c:pt>
                <c:pt idx="7">
                  <c:v>561.6</c:v>
                </c:pt>
                <c:pt idx="8">
                  <c:v>617.40000000000009</c:v>
                </c:pt>
                <c:pt idx="9">
                  <c:v>673.2</c:v>
                </c:pt>
                <c:pt idx="10">
                  <c:v>729</c:v>
                </c:pt>
                <c:pt idx="11">
                  <c:v>784.80000000000007</c:v>
                </c:pt>
                <c:pt idx="12">
                  <c:v>840.59999999999991</c:v>
                </c:pt>
                <c:pt idx="13">
                  <c:v>921.40000000000009</c:v>
                </c:pt>
                <c:pt idx="14">
                  <c:v>1002.1999999999999</c:v>
                </c:pt>
                <c:pt idx="15">
                  <c:v>1083</c:v>
                </c:pt>
                <c:pt idx="16">
                  <c:v>1163.8000000000002</c:v>
                </c:pt>
                <c:pt idx="17">
                  <c:v>1244.5999999999999</c:v>
                </c:pt>
                <c:pt idx="18">
                  <c:v>1325.4</c:v>
                </c:pt>
                <c:pt idx="19">
                  <c:v>1406.1999999999998</c:v>
                </c:pt>
                <c:pt idx="20">
                  <c:v>1487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4E88-40AE-8203-698A1E1AB78F}"/>
            </c:ext>
          </c:extLst>
        </c:ser>
        <c:ser>
          <c:idx val="1"/>
          <c:order val="1"/>
          <c:tx>
            <c:strRef>
              <c:f>Samples!$D$133</c:f>
              <c:strCache>
                <c:ptCount val="1"/>
                <c:pt idx="0">
                  <c:v>c -18 / C -15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Samples!$D$134:$D$154</c:f>
              <c:numCache>
                <c:formatCode>0.00</c:formatCode>
                <c:ptCount val="21"/>
                <c:pt idx="0">
                  <c:v>0</c:v>
                </c:pt>
                <c:pt idx="1">
                  <c:v>120</c:v>
                </c:pt>
                <c:pt idx="2">
                  <c:v>240</c:v>
                </c:pt>
                <c:pt idx="3">
                  <c:v>360</c:v>
                </c:pt>
                <c:pt idx="4">
                  <c:v>480</c:v>
                </c:pt>
                <c:pt idx="5">
                  <c:v>600</c:v>
                </c:pt>
                <c:pt idx="6">
                  <c:v>720</c:v>
                </c:pt>
                <c:pt idx="7">
                  <c:v>792</c:v>
                </c:pt>
                <c:pt idx="8">
                  <c:v>864</c:v>
                </c:pt>
                <c:pt idx="9">
                  <c:v>936</c:v>
                </c:pt>
                <c:pt idx="10">
                  <c:v>1008</c:v>
                </c:pt>
                <c:pt idx="11">
                  <c:v>1080</c:v>
                </c:pt>
                <c:pt idx="12">
                  <c:v>1152</c:v>
                </c:pt>
                <c:pt idx="13">
                  <c:v>1249</c:v>
                </c:pt>
                <c:pt idx="14">
                  <c:v>1346</c:v>
                </c:pt>
                <c:pt idx="15">
                  <c:v>1443</c:v>
                </c:pt>
                <c:pt idx="16">
                  <c:v>1540</c:v>
                </c:pt>
                <c:pt idx="17">
                  <c:v>1637</c:v>
                </c:pt>
                <c:pt idx="18">
                  <c:v>1734</c:v>
                </c:pt>
                <c:pt idx="19">
                  <c:v>1831</c:v>
                </c:pt>
                <c:pt idx="20">
                  <c:v>1928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4E88-40AE-8203-698A1E1AB78F}"/>
            </c:ext>
          </c:extLst>
        </c:ser>
        <c:ser>
          <c:idx val="2"/>
          <c:order val="2"/>
          <c:tx>
            <c:strRef>
              <c:f>Samples!$E$133</c:f>
              <c:strCache>
                <c:ptCount val="1"/>
                <c:pt idx="0">
                  <c:v>c -12 / C -10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Samples!$E$134:$E$154</c:f>
              <c:numCache>
                <c:formatCode>0.00</c:formatCode>
                <c:ptCount val="21"/>
                <c:pt idx="0">
                  <c:v>0</c:v>
                </c:pt>
                <c:pt idx="1">
                  <c:v>150</c:v>
                </c:pt>
                <c:pt idx="2">
                  <c:v>300</c:v>
                </c:pt>
                <c:pt idx="3">
                  <c:v>450</c:v>
                </c:pt>
                <c:pt idx="4">
                  <c:v>600</c:v>
                </c:pt>
                <c:pt idx="5">
                  <c:v>750</c:v>
                </c:pt>
                <c:pt idx="6">
                  <c:v>900</c:v>
                </c:pt>
                <c:pt idx="7">
                  <c:v>1050</c:v>
                </c:pt>
                <c:pt idx="8">
                  <c:v>1137</c:v>
                </c:pt>
                <c:pt idx="9">
                  <c:v>1224</c:v>
                </c:pt>
                <c:pt idx="10">
                  <c:v>1311</c:v>
                </c:pt>
                <c:pt idx="11">
                  <c:v>1398</c:v>
                </c:pt>
                <c:pt idx="12">
                  <c:v>1485</c:v>
                </c:pt>
                <c:pt idx="13">
                  <c:v>1597</c:v>
                </c:pt>
                <c:pt idx="14">
                  <c:v>1709</c:v>
                </c:pt>
                <c:pt idx="15">
                  <c:v>1821</c:v>
                </c:pt>
                <c:pt idx="16">
                  <c:v>1933</c:v>
                </c:pt>
                <c:pt idx="17">
                  <c:v>2045</c:v>
                </c:pt>
                <c:pt idx="18">
                  <c:v>2157</c:v>
                </c:pt>
                <c:pt idx="19">
                  <c:v>2269</c:v>
                </c:pt>
                <c:pt idx="20">
                  <c:v>2381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4E88-40AE-8203-698A1E1AB78F}"/>
            </c:ext>
          </c:extLst>
        </c:ser>
        <c:ser>
          <c:idx val="3"/>
          <c:order val="3"/>
          <c:tx>
            <c:strRef>
              <c:f>Samples!$F$133</c:f>
              <c:strCache>
                <c:ptCount val="1"/>
                <c:pt idx="0">
                  <c:v>c -6 / C -5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Samples!$F$134:$F$154</c:f>
              <c:numCache>
                <c:formatCode>0.00</c:formatCode>
                <c:ptCount val="21"/>
                <c:pt idx="0">
                  <c:v>0</c:v>
                </c:pt>
                <c:pt idx="1">
                  <c:v>180</c:v>
                </c:pt>
                <c:pt idx="2">
                  <c:v>360</c:v>
                </c:pt>
                <c:pt idx="3">
                  <c:v>540</c:v>
                </c:pt>
                <c:pt idx="4">
                  <c:v>720</c:v>
                </c:pt>
                <c:pt idx="5">
                  <c:v>900</c:v>
                </c:pt>
                <c:pt idx="6">
                  <c:v>1080</c:v>
                </c:pt>
                <c:pt idx="7">
                  <c:v>1260</c:v>
                </c:pt>
                <c:pt idx="8">
                  <c:v>1440</c:v>
                </c:pt>
                <c:pt idx="9">
                  <c:v>1540.8</c:v>
                </c:pt>
                <c:pt idx="10">
                  <c:v>1641.6</c:v>
                </c:pt>
                <c:pt idx="11">
                  <c:v>1742.4</c:v>
                </c:pt>
                <c:pt idx="12">
                  <c:v>1843.1999999999998</c:v>
                </c:pt>
                <c:pt idx="13">
                  <c:v>1969</c:v>
                </c:pt>
                <c:pt idx="14">
                  <c:v>2094.7999999999997</c:v>
                </c:pt>
                <c:pt idx="15">
                  <c:v>2220.6</c:v>
                </c:pt>
                <c:pt idx="16">
                  <c:v>2346.4</c:v>
                </c:pt>
                <c:pt idx="17">
                  <c:v>2472.1999999999998</c:v>
                </c:pt>
                <c:pt idx="18">
                  <c:v>2598</c:v>
                </c:pt>
                <c:pt idx="19">
                  <c:v>2723.8</c:v>
                </c:pt>
                <c:pt idx="20">
                  <c:v>2849.6000000000004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4E88-40AE-8203-698A1E1AB78F}"/>
            </c:ext>
          </c:extLst>
        </c:ser>
        <c:ser>
          <c:idx val="4"/>
          <c:order val="4"/>
          <c:tx>
            <c:strRef>
              <c:f>Samples!$G$133</c:f>
              <c:strCache>
                <c:ptCount val="1"/>
                <c:pt idx="0">
                  <c:v>c 0 / C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Samples!$G$134:$G$154</c:f>
              <c:numCache>
                <c:formatCode>0.00</c:formatCode>
                <c:ptCount val="21"/>
                <c:pt idx="0">
                  <c:v>0</c:v>
                </c:pt>
                <c:pt idx="1">
                  <c:v>210</c:v>
                </c:pt>
                <c:pt idx="2">
                  <c:v>420</c:v>
                </c:pt>
                <c:pt idx="3">
                  <c:v>630</c:v>
                </c:pt>
                <c:pt idx="4">
                  <c:v>840</c:v>
                </c:pt>
                <c:pt idx="5">
                  <c:v>1050</c:v>
                </c:pt>
                <c:pt idx="6">
                  <c:v>1260</c:v>
                </c:pt>
                <c:pt idx="7">
                  <c:v>1470</c:v>
                </c:pt>
                <c:pt idx="8">
                  <c:v>1680</c:v>
                </c:pt>
                <c:pt idx="9">
                  <c:v>1890</c:v>
                </c:pt>
                <c:pt idx="10">
                  <c:v>2003.4</c:v>
                </c:pt>
                <c:pt idx="11">
                  <c:v>2116.8000000000002</c:v>
                </c:pt>
                <c:pt idx="12">
                  <c:v>2230.1999999999998</c:v>
                </c:pt>
                <c:pt idx="13">
                  <c:v>2368.6</c:v>
                </c:pt>
                <c:pt idx="14">
                  <c:v>2507</c:v>
                </c:pt>
                <c:pt idx="15">
                  <c:v>2645.4</c:v>
                </c:pt>
                <c:pt idx="16">
                  <c:v>2783.8</c:v>
                </c:pt>
                <c:pt idx="17">
                  <c:v>2922.2</c:v>
                </c:pt>
                <c:pt idx="18">
                  <c:v>3060.6</c:v>
                </c:pt>
                <c:pt idx="19">
                  <c:v>3199</c:v>
                </c:pt>
                <c:pt idx="20">
                  <c:v>3337.4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4E88-40AE-8203-698A1E1AB78F}"/>
            </c:ext>
          </c:extLst>
        </c:ser>
        <c:ser>
          <c:idx val="5"/>
          <c:order val="5"/>
          <c:tx>
            <c:strRef>
              <c:f>Samples!$H$133</c:f>
              <c:strCache>
                <c:ptCount val="1"/>
                <c:pt idx="0">
                  <c:v>R -40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Samples!$H$134:$H$154</c:f>
              <c:numCache>
                <c:formatCode>0.00</c:formatCode>
                <c:ptCount val="21"/>
                <c:pt idx="0">
                  <c:v>0</c:v>
                </c:pt>
                <c:pt idx="1">
                  <c:v>-80</c:v>
                </c:pt>
                <c:pt idx="2">
                  <c:v>-160</c:v>
                </c:pt>
                <c:pt idx="3">
                  <c:v>-240</c:v>
                </c:pt>
                <c:pt idx="4">
                  <c:v>-320</c:v>
                </c:pt>
                <c:pt idx="5">
                  <c:v>-372.8</c:v>
                </c:pt>
                <c:pt idx="6">
                  <c:v>-425.59999999999997</c:v>
                </c:pt>
                <c:pt idx="7">
                  <c:v>-478.4</c:v>
                </c:pt>
                <c:pt idx="8">
                  <c:v>-531.20000000000005</c:v>
                </c:pt>
                <c:pt idx="9">
                  <c:v>-584</c:v>
                </c:pt>
                <c:pt idx="10">
                  <c:v>-636.79999999999995</c:v>
                </c:pt>
                <c:pt idx="11">
                  <c:v>-689.6</c:v>
                </c:pt>
                <c:pt idx="12">
                  <c:v>-742.4</c:v>
                </c:pt>
                <c:pt idx="13">
                  <c:v>-795.2</c:v>
                </c:pt>
                <c:pt idx="14">
                  <c:v>-847.99999999999989</c:v>
                </c:pt>
                <c:pt idx="15">
                  <c:v>-900.80000000000007</c:v>
                </c:pt>
                <c:pt idx="16">
                  <c:v>-953.60000000000014</c:v>
                </c:pt>
                <c:pt idx="17">
                  <c:v>-1006.3999999999999</c:v>
                </c:pt>
                <c:pt idx="18">
                  <c:v>-1059.1999999999998</c:v>
                </c:pt>
                <c:pt idx="19">
                  <c:v>-1112</c:v>
                </c:pt>
                <c:pt idx="20">
                  <c:v>-1164.8000000000002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5-4E88-40AE-8203-698A1E1AB78F}"/>
            </c:ext>
          </c:extLst>
        </c:ser>
        <c:ser>
          <c:idx val="6"/>
          <c:order val="6"/>
          <c:tx>
            <c:strRef>
              <c:f>Samples!$I$133</c:f>
              <c:strCache>
                <c:ptCount val="1"/>
                <c:pt idx="0">
                  <c:v>R -30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Samples!$I$134:$I$154</c:f>
              <c:numCache>
                <c:formatCode>0.00</c:formatCode>
                <c:ptCount val="21"/>
                <c:pt idx="0">
                  <c:v>0</c:v>
                </c:pt>
                <c:pt idx="1">
                  <c:v>-102.5</c:v>
                </c:pt>
                <c:pt idx="2">
                  <c:v>-205</c:v>
                </c:pt>
                <c:pt idx="3">
                  <c:v>-307.5</c:v>
                </c:pt>
                <c:pt idx="4">
                  <c:v>-410</c:v>
                </c:pt>
                <c:pt idx="5">
                  <c:v>-493.02499999999998</c:v>
                </c:pt>
                <c:pt idx="6">
                  <c:v>-556.57499999999993</c:v>
                </c:pt>
                <c:pt idx="7">
                  <c:v>-620.125</c:v>
                </c:pt>
                <c:pt idx="8">
                  <c:v>-683.67499999999995</c:v>
                </c:pt>
                <c:pt idx="9">
                  <c:v>-747.22500000000002</c:v>
                </c:pt>
                <c:pt idx="10">
                  <c:v>-810.77500000000009</c:v>
                </c:pt>
                <c:pt idx="11">
                  <c:v>-874.32500000000005</c:v>
                </c:pt>
                <c:pt idx="12">
                  <c:v>-937.875</c:v>
                </c:pt>
                <c:pt idx="13">
                  <c:v>-1001.4250000000001</c:v>
                </c:pt>
                <c:pt idx="14">
                  <c:v>-1064.9749999999999</c:v>
                </c:pt>
                <c:pt idx="15">
                  <c:v>-1128.5250000000001</c:v>
                </c:pt>
                <c:pt idx="16">
                  <c:v>-1192.075</c:v>
                </c:pt>
                <c:pt idx="17">
                  <c:v>-1255.625</c:v>
                </c:pt>
                <c:pt idx="18">
                  <c:v>-1319.1750000000002</c:v>
                </c:pt>
                <c:pt idx="19">
                  <c:v>-1382.7249999999999</c:v>
                </c:pt>
                <c:pt idx="20">
                  <c:v>-1446.2750000000001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6-4E88-40AE-8203-698A1E1AB78F}"/>
            </c:ext>
          </c:extLst>
        </c:ser>
        <c:ser>
          <c:idx val="7"/>
          <c:order val="7"/>
          <c:tx>
            <c:strRef>
              <c:f>Samples!$J$133</c:f>
              <c:strCache>
                <c:ptCount val="1"/>
                <c:pt idx="0">
                  <c:v>R -20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Samples!$J$134:$J$154</c:f>
              <c:numCache>
                <c:formatCode>0.00</c:formatCode>
                <c:ptCount val="21"/>
                <c:pt idx="0">
                  <c:v>0</c:v>
                </c:pt>
                <c:pt idx="1">
                  <c:v>-125</c:v>
                </c:pt>
                <c:pt idx="2">
                  <c:v>-250</c:v>
                </c:pt>
                <c:pt idx="3">
                  <c:v>-375</c:v>
                </c:pt>
                <c:pt idx="4">
                  <c:v>-500</c:v>
                </c:pt>
                <c:pt idx="5">
                  <c:v>-625</c:v>
                </c:pt>
                <c:pt idx="6">
                  <c:v>-697.5</c:v>
                </c:pt>
                <c:pt idx="7">
                  <c:v>-770</c:v>
                </c:pt>
                <c:pt idx="8">
                  <c:v>-842.5</c:v>
                </c:pt>
                <c:pt idx="9">
                  <c:v>-915</c:v>
                </c:pt>
                <c:pt idx="10">
                  <c:v>-987.5</c:v>
                </c:pt>
                <c:pt idx="11">
                  <c:v>-1060</c:v>
                </c:pt>
                <c:pt idx="12">
                  <c:v>-1132.5</c:v>
                </c:pt>
                <c:pt idx="13">
                  <c:v>-1205</c:v>
                </c:pt>
                <c:pt idx="14">
                  <c:v>-1277.5</c:v>
                </c:pt>
                <c:pt idx="15">
                  <c:v>-1350</c:v>
                </c:pt>
                <c:pt idx="16">
                  <c:v>-1422.5</c:v>
                </c:pt>
                <c:pt idx="17">
                  <c:v>-1495</c:v>
                </c:pt>
                <c:pt idx="18">
                  <c:v>-1567.5</c:v>
                </c:pt>
                <c:pt idx="19">
                  <c:v>-1640</c:v>
                </c:pt>
                <c:pt idx="20">
                  <c:v>-1712.5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7-4E88-40AE-8203-698A1E1AB78F}"/>
            </c:ext>
          </c:extLst>
        </c:ser>
        <c:ser>
          <c:idx val="8"/>
          <c:order val="8"/>
          <c:tx>
            <c:strRef>
              <c:f>Samples!$K$133</c:f>
              <c:strCache>
                <c:ptCount val="1"/>
                <c:pt idx="0">
                  <c:v>R -10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Samples!$K$134:$K$154</c:f>
              <c:numCache>
                <c:formatCode>0.00</c:formatCode>
                <c:ptCount val="21"/>
                <c:pt idx="0">
                  <c:v>0</c:v>
                </c:pt>
                <c:pt idx="1">
                  <c:v>-147.5</c:v>
                </c:pt>
                <c:pt idx="2">
                  <c:v>-295</c:v>
                </c:pt>
                <c:pt idx="3">
                  <c:v>-442.5</c:v>
                </c:pt>
                <c:pt idx="4">
                  <c:v>-590</c:v>
                </c:pt>
                <c:pt idx="5">
                  <c:v>-737.5</c:v>
                </c:pt>
                <c:pt idx="6">
                  <c:v>-851.07500000000005</c:v>
                </c:pt>
                <c:pt idx="7">
                  <c:v>-930.72500000000002</c:v>
                </c:pt>
                <c:pt idx="8">
                  <c:v>-1010.3750000000001</c:v>
                </c:pt>
                <c:pt idx="9">
                  <c:v>-1090.0250000000001</c:v>
                </c:pt>
                <c:pt idx="10">
                  <c:v>-1169.6750000000002</c:v>
                </c:pt>
                <c:pt idx="11">
                  <c:v>-1249.3250000000003</c:v>
                </c:pt>
                <c:pt idx="12">
                  <c:v>-1328.9749999999999</c:v>
                </c:pt>
                <c:pt idx="13">
                  <c:v>-1408.625</c:v>
                </c:pt>
                <c:pt idx="14">
                  <c:v>-1488.2750000000001</c:v>
                </c:pt>
                <c:pt idx="15">
                  <c:v>-1567.9250000000002</c:v>
                </c:pt>
                <c:pt idx="16">
                  <c:v>-1647.5750000000003</c:v>
                </c:pt>
                <c:pt idx="17">
                  <c:v>-1727.2249999999999</c:v>
                </c:pt>
                <c:pt idx="18">
                  <c:v>-1806.875</c:v>
                </c:pt>
                <c:pt idx="19">
                  <c:v>-1886.5250000000001</c:v>
                </c:pt>
                <c:pt idx="20">
                  <c:v>-1966.1750000000002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8-4E88-40AE-8203-698A1E1AB78F}"/>
            </c:ext>
          </c:extLst>
        </c:ser>
        <c:ser>
          <c:idx val="9"/>
          <c:order val="9"/>
          <c:tx>
            <c:strRef>
              <c:f>Samples!$L$133</c:f>
              <c:strCache>
                <c:ptCount val="1"/>
                <c:pt idx="0">
                  <c:v>R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Samples!$L$134:$L$154</c:f>
              <c:numCache>
                <c:formatCode>0.00</c:formatCode>
                <c:ptCount val="21"/>
                <c:pt idx="0">
                  <c:v>0</c:v>
                </c:pt>
                <c:pt idx="1">
                  <c:v>-170</c:v>
                </c:pt>
                <c:pt idx="2">
                  <c:v>-340</c:v>
                </c:pt>
                <c:pt idx="3">
                  <c:v>-510</c:v>
                </c:pt>
                <c:pt idx="4">
                  <c:v>-680</c:v>
                </c:pt>
                <c:pt idx="5">
                  <c:v>-850</c:v>
                </c:pt>
                <c:pt idx="6">
                  <c:v>-1020</c:v>
                </c:pt>
                <c:pt idx="7">
                  <c:v>-1105</c:v>
                </c:pt>
                <c:pt idx="8">
                  <c:v>-1190</c:v>
                </c:pt>
                <c:pt idx="9">
                  <c:v>-1275</c:v>
                </c:pt>
                <c:pt idx="10">
                  <c:v>-1360</c:v>
                </c:pt>
                <c:pt idx="11">
                  <c:v>-1445</c:v>
                </c:pt>
                <c:pt idx="12">
                  <c:v>-1530</c:v>
                </c:pt>
                <c:pt idx="13">
                  <c:v>-1615</c:v>
                </c:pt>
                <c:pt idx="14">
                  <c:v>-1700</c:v>
                </c:pt>
                <c:pt idx="15">
                  <c:v>-1785</c:v>
                </c:pt>
                <c:pt idx="16">
                  <c:v>-1870</c:v>
                </c:pt>
                <c:pt idx="17">
                  <c:v>-1955</c:v>
                </c:pt>
                <c:pt idx="18">
                  <c:v>-2040</c:v>
                </c:pt>
                <c:pt idx="19">
                  <c:v>-2125</c:v>
                </c:pt>
                <c:pt idx="20">
                  <c:v>-2210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9-4E88-40AE-8203-698A1E1AB7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1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Shaft speed magnitude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14</xdr:col>
      <xdr:colOff>0</xdr:colOff>
      <xdr:row>40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14</xdr:col>
      <xdr:colOff>0</xdr:colOff>
      <xdr:row>40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14</xdr:col>
      <xdr:colOff>0</xdr:colOff>
      <xdr:row>40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14</xdr:col>
      <xdr:colOff>0</xdr:colOff>
      <xdr:row>40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31475E"/>
  </sheetPr>
  <dimension ref="A1:O42"/>
  <sheetViews>
    <sheetView showGridLines="0" zoomScale="115" zoomScaleNormal="115" workbookViewId="0">
      <pane ySplit="4" topLeftCell="A5" activePane="bottomLeft" state="frozen"/>
      <selection pane="bottomLeft" activeCell="C4" sqref="C4"/>
    </sheetView>
  </sheetViews>
  <sheetFormatPr defaultRowHeight="14.25"/>
  <cols>
    <col min="1" max="1" width="2.5" customWidth="1"/>
    <col min="2" max="2" width="21" customWidth="1"/>
    <col min="3" max="3" width="13" customWidth="1"/>
    <col min="4" max="4" width="3" customWidth="1"/>
    <col min="5" max="15" width="10.5" customWidth="1"/>
  </cols>
  <sheetData>
    <row r="1" spans="1:15" ht="23.1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spans="1:15" ht="23.1" customHeight="1">
      <c r="A2" s="2"/>
      <c r="B2" s="1" t="s">
        <v>60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"/>
      <c r="O2" s="2"/>
    </row>
    <row r="3" spans="1:15" ht="23.1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1:15" ht="23.1" customHeight="1">
      <c r="A4" s="2"/>
      <c r="B4" s="2" t="s">
        <v>0</v>
      </c>
      <c r="C4" s="10" t="s">
        <v>9</v>
      </c>
      <c r="D4" s="2"/>
      <c r="E4" s="21" t="s">
        <v>61</v>
      </c>
      <c r="F4" s="21"/>
      <c r="G4" s="21"/>
      <c r="H4" s="21"/>
      <c r="I4" s="21"/>
      <c r="J4" s="21"/>
      <c r="K4" s="21"/>
      <c r="L4" s="21"/>
      <c r="M4" s="21"/>
      <c r="N4" s="2"/>
      <c r="O4" s="2"/>
    </row>
    <row r="5" spans="1:15" ht="23.1" customHeight="1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1:15" ht="23.1" customHeight="1">
      <c r="A6" s="2"/>
      <c r="B6" s="2" t="s">
        <v>82</v>
      </c>
      <c r="C6" s="10" t="s">
        <v>83</v>
      </c>
      <c r="D6" s="2"/>
      <c r="E6" s="2"/>
      <c r="F6" s="22" t="s">
        <v>28</v>
      </c>
      <c r="G6" s="22"/>
      <c r="H6" s="22"/>
      <c r="I6" s="22"/>
      <c r="J6" s="22"/>
      <c r="K6" s="2"/>
      <c r="L6" s="2"/>
      <c r="M6" s="2"/>
      <c r="N6" s="2"/>
      <c r="O6" s="2"/>
    </row>
    <row r="7" spans="1:15" ht="23.1" customHeight="1">
      <c r="A7" s="2"/>
      <c r="B7" s="2" t="s">
        <v>12</v>
      </c>
      <c r="C7" s="4">
        <v>-12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</row>
    <row r="8" spans="1:15" ht="23.1" customHeight="1">
      <c r="A8" s="2"/>
      <c r="B8" s="2" t="s">
        <v>14</v>
      </c>
      <c r="C8" s="4">
        <v>-10</v>
      </c>
      <c r="D8" s="2"/>
      <c r="E8" s="2"/>
      <c r="F8" s="20" t="s">
        <v>29</v>
      </c>
      <c r="G8" s="20"/>
      <c r="H8" s="20"/>
      <c r="I8" s="26">
        <f>IF(C18="OK",Samples!F165*MIN(C10,Samples!G165)+Samples!I165*MAX(0,C10-Samples!G165)+Samples!J165*MAX(0,C10-Samples!K165),"检查输入")</f>
        <v>1597</v>
      </c>
      <c r="J8" s="26"/>
      <c r="K8" s="2"/>
      <c r="L8" s="2"/>
      <c r="M8" s="2"/>
      <c r="N8" s="2"/>
      <c r="O8" s="2"/>
    </row>
    <row r="9" spans="1:15" ht="23.1" customHeight="1">
      <c r="A9" s="2"/>
      <c r="B9" s="2" t="s">
        <v>30</v>
      </c>
      <c r="C9" s="4">
        <v>-20</v>
      </c>
      <c r="D9" s="2"/>
      <c r="E9" s="2"/>
      <c r="F9" s="2"/>
      <c r="G9" s="2"/>
      <c r="H9" s="2"/>
      <c r="I9" s="18"/>
      <c r="J9" s="18"/>
      <c r="K9" s="2"/>
      <c r="L9" s="2"/>
      <c r="M9" s="2"/>
      <c r="N9" s="2"/>
      <c r="O9" s="2"/>
    </row>
    <row r="10" spans="1:15" ht="23.1" customHeight="1">
      <c r="A10" s="2"/>
      <c r="B10" s="2" t="s">
        <v>31</v>
      </c>
      <c r="C10" s="17">
        <v>0.65</v>
      </c>
      <c r="D10" s="2"/>
      <c r="E10" s="2"/>
      <c r="F10" s="20" t="s">
        <v>32</v>
      </c>
      <c r="G10" s="20"/>
      <c r="H10" s="20"/>
      <c r="I10" s="26">
        <f>IF(C18="OK",Samples!M165*MIN(C10,Samples!N165)+Samples!P165*MAX(0,C10-Samples!N165),"检查输入")</f>
        <v>1205</v>
      </c>
      <c r="J10" s="26"/>
      <c r="K10" s="2"/>
      <c r="L10" s="2"/>
      <c r="M10" s="2"/>
      <c r="N10" s="2"/>
      <c r="O10" s="2"/>
    </row>
    <row r="11" spans="1:15" ht="23.1" customHeight="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</row>
    <row r="12" spans="1:15" ht="23.1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</row>
    <row r="13" spans="1:15" ht="23.1" customHeight="1">
      <c r="A13" s="2"/>
      <c r="B13" s="2" t="s">
        <v>33</v>
      </c>
      <c r="C13" s="2">
        <f>Parameters!D23</f>
        <v>24</v>
      </c>
      <c r="D13" s="2"/>
      <c r="E13" s="2"/>
      <c r="F13" s="22" t="s">
        <v>62</v>
      </c>
      <c r="G13" s="22"/>
      <c r="H13" s="22"/>
      <c r="I13" s="22"/>
      <c r="J13" s="22"/>
      <c r="K13" s="2"/>
      <c r="L13" s="2"/>
      <c r="M13" s="2"/>
      <c r="N13" s="2"/>
      <c r="O13" s="2"/>
    </row>
    <row r="14" spans="1:15" ht="23.1" customHeight="1">
      <c r="A14" s="2"/>
      <c r="B14" s="2" t="s">
        <v>34</v>
      </c>
      <c r="C14" s="2">
        <f>Parameters!D24</f>
        <v>20</v>
      </c>
      <c r="D14" s="2"/>
      <c r="E14" s="2"/>
      <c r="F14" s="20" t="s">
        <v>15</v>
      </c>
      <c r="G14" s="20"/>
      <c r="H14" s="20"/>
      <c r="I14" s="19">
        <f>Samples!F165</f>
        <v>3000</v>
      </c>
      <c r="J14" s="2" t="s">
        <v>16</v>
      </c>
      <c r="K14" s="2"/>
      <c r="L14" s="2"/>
      <c r="M14" s="2"/>
      <c r="N14" s="2"/>
      <c r="O14" s="2"/>
    </row>
    <row r="15" spans="1:15" ht="23.1" customHeight="1">
      <c r="A15" s="2"/>
      <c r="B15" s="2" t="s">
        <v>35</v>
      </c>
      <c r="C15" s="2">
        <f>IF(C6="RA85",Parameters!D26,Parameters!D25)</f>
        <v>40</v>
      </c>
      <c r="D15" s="2"/>
      <c r="E15" s="2"/>
      <c r="F15" s="20" t="s">
        <v>36</v>
      </c>
      <c r="G15" s="20"/>
      <c r="H15" s="20"/>
      <c r="I15" s="19">
        <f>Samples!I165</f>
        <v>1739.9999999999998</v>
      </c>
      <c r="J15" s="2" t="s">
        <v>16</v>
      </c>
      <c r="K15" s="2"/>
      <c r="L15" s="2"/>
      <c r="M15" s="2"/>
      <c r="N15" s="2"/>
      <c r="O15" s="2"/>
    </row>
    <row r="16" spans="1:15" ht="23.1" customHeight="1">
      <c r="A16" s="2"/>
      <c r="B16" s="2"/>
      <c r="C16" s="2"/>
      <c r="D16" s="2"/>
      <c r="E16" s="2"/>
      <c r="F16" s="20" t="s">
        <v>63</v>
      </c>
      <c r="G16" s="20"/>
      <c r="H16" s="20"/>
      <c r="I16" s="19">
        <f>Samples!J165</f>
        <v>500</v>
      </c>
      <c r="J16" s="2" t="s">
        <v>16</v>
      </c>
      <c r="K16" s="2"/>
      <c r="L16" s="2"/>
      <c r="M16" s="2"/>
      <c r="N16" s="2"/>
      <c r="O16" s="2"/>
    </row>
    <row r="17" spans="1:15" ht="23.1" customHeight="1">
      <c r="A17" s="2"/>
      <c r="B17" s="2"/>
      <c r="C17" s="2"/>
      <c r="D17" s="2"/>
      <c r="E17" s="2"/>
      <c r="F17" s="20" t="s">
        <v>37</v>
      </c>
      <c r="G17" s="20"/>
      <c r="H17" s="20"/>
      <c r="I17" s="19">
        <f>Samples!L165</f>
        <v>2240</v>
      </c>
      <c r="J17" s="2" t="s">
        <v>16</v>
      </c>
      <c r="K17" s="2"/>
      <c r="L17" s="2"/>
      <c r="M17" s="2"/>
      <c r="N17" s="2"/>
      <c r="O17" s="2"/>
    </row>
    <row r="18" spans="1:15" ht="23.1" customHeight="1">
      <c r="A18" s="2"/>
      <c r="B18" s="2" t="s">
        <v>38</v>
      </c>
      <c r="C18" s="2" t="str">
        <f>IF(AND(OR(C4="Type-A",C4="Type-B"),OR(C6="RA65",C6="RA85",C6="RA85/2"),COUNT(C7:C10)=4,C7&gt;=-C13,C7&lt;=0,C8&gt;=-C14,C8&lt;=0,C9&gt;=-C15,C9&lt;=0,C10&gt;=0,INT(C7)=C7,INT(C8)=C8,INT(C9)=C9),"OK","检查输入")</f>
        <v>OK</v>
      </c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</row>
    <row r="19" spans="1:15" ht="23.1" customHeight="1">
      <c r="A19" s="2"/>
      <c r="B19" s="2"/>
      <c r="C19" s="2"/>
      <c r="D19" s="2"/>
      <c r="E19" s="2"/>
      <c r="F19" s="20" t="s">
        <v>20</v>
      </c>
      <c r="G19" s="20"/>
      <c r="H19" s="20"/>
      <c r="I19" s="19">
        <f>Samples!M165</f>
        <v>2500</v>
      </c>
      <c r="J19" s="2" t="s">
        <v>16</v>
      </c>
      <c r="K19" s="2"/>
      <c r="L19" s="2"/>
      <c r="M19" s="2"/>
      <c r="N19" s="2"/>
      <c r="O19" s="2"/>
    </row>
    <row r="20" spans="1:15" ht="23.1" customHeight="1">
      <c r="A20" s="2"/>
      <c r="B20" s="2"/>
      <c r="C20" s="2"/>
      <c r="D20" s="2"/>
      <c r="E20" s="2"/>
      <c r="F20" s="20" t="s">
        <v>39</v>
      </c>
      <c r="G20" s="20"/>
      <c r="H20" s="20"/>
      <c r="I20" s="19">
        <f>Samples!P165</f>
        <v>1450</v>
      </c>
      <c r="J20" s="2" t="s">
        <v>16</v>
      </c>
      <c r="K20" s="2"/>
      <c r="L20" s="2"/>
      <c r="M20" s="2"/>
      <c r="N20" s="2"/>
      <c r="O20" s="2"/>
    </row>
    <row r="21" spans="1:15" ht="23.1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  <row r="22" spans="1:15" ht="23.1" customHeight="1">
      <c r="A22" s="2"/>
      <c r="B22" s="2"/>
      <c r="C22" s="2"/>
      <c r="D22" s="2"/>
      <c r="E22" s="2"/>
      <c r="F22" s="20" t="s">
        <v>56</v>
      </c>
      <c r="G22" s="20"/>
      <c r="H22" s="20"/>
      <c r="I22" s="6">
        <f>Samples!G165</f>
        <v>0.35</v>
      </c>
      <c r="J22" s="2" t="s">
        <v>17</v>
      </c>
      <c r="K22" s="2"/>
      <c r="L22" s="2"/>
      <c r="M22" s="2"/>
      <c r="N22" s="2"/>
      <c r="O22" s="2"/>
    </row>
    <row r="23" spans="1:15" ht="23.1" customHeight="1">
      <c r="A23" s="2"/>
      <c r="B23" s="2"/>
      <c r="C23" s="2"/>
      <c r="D23" s="2"/>
      <c r="E23" s="2"/>
      <c r="F23" s="20" t="s">
        <v>57</v>
      </c>
      <c r="G23" s="20"/>
      <c r="H23" s="20"/>
      <c r="I23" s="6">
        <f>Samples!K165</f>
        <v>0.6</v>
      </c>
      <c r="J23" s="2" t="s">
        <v>17</v>
      </c>
      <c r="K23" s="2"/>
      <c r="L23" s="2"/>
      <c r="M23" s="2"/>
      <c r="N23" s="2"/>
      <c r="O23" s="2"/>
    </row>
    <row r="24" spans="1:15" ht="23.1" customHeight="1">
      <c r="A24" s="2"/>
      <c r="B24" s="2"/>
      <c r="C24" s="2"/>
      <c r="D24" s="2"/>
      <c r="E24" s="2"/>
      <c r="F24" s="20" t="s">
        <v>21</v>
      </c>
      <c r="G24" s="20"/>
      <c r="H24" s="20"/>
      <c r="I24" s="6">
        <f>Samples!N165</f>
        <v>0.25</v>
      </c>
      <c r="J24" s="2" t="s">
        <v>17</v>
      </c>
      <c r="K24" s="2"/>
      <c r="L24" s="2"/>
      <c r="M24" s="2"/>
      <c r="N24" s="2"/>
      <c r="O24" s="2"/>
    </row>
    <row r="25" spans="1:15" ht="23.1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</row>
    <row r="26" spans="1:15" ht="23.1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</row>
    <row r="27" spans="1:15" ht="23.1" customHeight="1">
      <c r="A27" s="2"/>
      <c r="B27" s="27" t="s">
        <v>40</v>
      </c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"/>
      <c r="O27" s="2"/>
    </row>
    <row r="28" spans="1:15" ht="23.1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</row>
    <row r="29" spans="1:15" ht="23.1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</row>
    <row r="30" spans="1:15" ht="23.1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</row>
    <row r="31" spans="1:15" ht="23.1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</row>
    <row r="32" spans="1:15" ht="23.1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r="33" spans="1:15" ht="23.1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</row>
    <row r="34" spans="1:15" ht="23.1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</row>
    <row r="35" spans="1:15" ht="23.1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</row>
    <row r="36" spans="1:15" ht="23.1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</row>
    <row r="37" spans="1:15" ht="23.1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</row>
    <row r="38" spans="1:15" ht="23.1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 spans="1:15" ht="23.1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</row>
    <row r="40" spans="1:15" ht="23.1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</row>
    <row r="41" spans="1:15" ht="23.1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</row>
    <row r="42" spans="1:15" ht="23.1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</row>
  </sheetData>
  <mergeCells count="18">
    <mergeCell ref="B27:M27"/>
    <mergeCell ref="F19:H19"/>
    <mergeCell ref="F20:H20"/>
    <mergeCell ref="F22:H22"/>
    <mergeCell ref="F23:H23"/>
    <mergeCell ref="F24:H24"/>
    <mergeCell ref="F13:J13"/>
    <mergeCell ref="F14:H14"/>
    <mergeCell ref="F15:H15"/>
    <mergeCell ref="F16:H16"/>
    <mergeCell ref="F17:H17"/>
    <mergeCell ref="B2:M2"/>
    <mergeCell ref="E4:M4"/>
    <mergeCell ref="F6:J6"/>
    <mergeCell ref="F8:H8"/>
    <mergeCell ref="F10:H10"/>
    <mergeCell ref="I8:J8"/>
    <mergeCell ref="I10:J10"/>
  </mergeCells>
  <phoneticPr fontId="12" type="noConversion"/>
  <dataValidations count="6">
    <dataValidation type="list" sqref="C4" xr:uid="{00000000-0002-0000-0500-000000000000}">
      <formula1>"Type-A,Type-B"</formula1>
    </dataValidation>
    <dataValidation type="list" sqref="C6" xr:uid="{00000000-0002-0000-0500-000001000000}">
      <formula1>"RA65,RA85,RA85/2"</formula1>
    </dataValidation>
    <dataValidation type="whole" sqref="C7" xr:uid="{00000000-0002-0000-0500-000002000000}">
      <formula1>-24</formula1>
      <formula2>0</formula2>
    </dataValidation>
    <dataValidation type="whole" sqref="C8" xr:uid="{00000000-0002-0000-0500-000003000000}">
      <formula1>-20</formula1>
      <formula2>0</formula2>
    </dataValidation>
    <dataValidation type="whole" sqref="C9" xr:uid="{00000000-0002-0000-0500-000004000000}">
      <formula1>-C15</formula1>
      <formula2>0</formula2>
    </dataValidation>
    <dataValidation type="decimal" operator="greaterThanOrEqual" sqref="C10" xr:uid="{00000000-0002-0000-0500-000005000000}">
      <formula1>0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1475E"/>
  </sheetPr>
  <dimension ref="A1:O42"/>
  <sheetViews>
    <sheetView showGridLines="0" zoomScale="73" zoomScaleNormal="145" workbookViewId="0">
      <pane ySplit="4" topLeftCell="A14" activePane="bottomLeft" state="frozen"/>
      <selection pane="bottomLeft" activeCell="C4" sqref="C4"/>
    </sheetView>
  </sheetViews>
  <sheetFormatPr defaultRowHeight="14.25"/>
  <cols>
    <col min="1" max="1" width="2.5" customWidth="1"/>
    <col min="2" max="15" width="10.5" customWidth="1"/>
  </cols>
  <sheetData>
    <row r="1" spans="1:15" ht="23.1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spans="1:15" ht="23.1" customHeight="1">
      <c r="A2" s="2"/>
      <c r="B2" s="1" t="s">
        <v>74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"/>
      <c r="O2" s="2"/>
    </row>
    <row r="3" spans="1:15" ht="23.1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1:15" ht="23.1" customHeight="1">
      <c r="A4" s="2"/>
      <c r="B4" s="2" t="s">
        <v>0</v>
      </c>
      <c r="C4" s="10" t="s">
        <v>9</v>
      </c>
      <c r="D4" s="2"/>
      <c r="E4" s="21" t="s">
        <v>75</v>
      </c>
      <c r="F4" s="21"/>
      <c r="G4" s="21"/>
      <c r="H4" s="21"/>
      <c r="I4" s="21"/>
      <c r="J4" s="21"/>
      <c r="K4" s="21"/>
      <c r="L4" s="21"/>
      <c r="M4" s="21"/>
      <c r="N4" s="2"/>
      <c r="O4" s="2"/>
    </row>
    <row r="5" spans="1:15" ht="23.1" customHeight="1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1:15" ht="23.1" customHeight="1">
      <c r="A6" s="2"/>
      <c r="B6" s="2" t="s">
        <v>2</v>
      </c>
      <c r="C6" s="4">
        <v>-10</v>
      </c>
      <c r="D6" s="2"/>
      <c r="E6" s="20" t="s">
        <v>3</v>
      </c>
      <c r="F6" s="20"/>
      <c r="G6" s="20"/>
      <c r="H6" s="20"/>
      <c r="I6" s="20"/>
      <c r="J6" s="20"/>
      <c r="K6" s="20"/>
      <c r="L6" s="20"/>
      <c r="M6" s="20"/>
      <c r="N6" s="2"/>
      <c r="O6" s="2"/>
    </row>
    <row r="7" spans="1:15" ht="23.1" customHeight="1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</row>
    <row r="8" spans="1:15" ht="23.1" customHeight="1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</row>
    <row r="9" spans="1:15" ht="23.1" customHeight="1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</row>
    <row r="10" spans="1:15" ht="23.1" customHeight="1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</row>
    <row r="11" spans="1:15" ht="23.1" customHeight="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</row>
    <row r="12" spans="1:15" ht="23.1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</row>
    <row r="13" spans="1:15" ht="23.1" customHeight="1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</row>
    <row r="14" spans="1:15" ht="23.1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</row>
    <row r="15" spans="1:15" ht="23.1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</row>
    <row r="16" spans="1:15" ht="23.1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</row>
    <row r="17" spans="1:15" ht="23.1" customHeight="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</row>
    <row r="18" spans="1:15" ht="23.1" customHeight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</row>
    <row r="19" spans="1:15" ht="23.1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</row>
    <row r="20" spans="1:15" ht="23.1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 spans="1:15" ht="23.1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  <row r="22" spans="1:15" ht="23.1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</row>
    <row r="23" spans="1:15" ht="23.1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</row>
    <row r="24" spans="1:15" ht="23.1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</row>
    <row r="25" spans="1:15" ht="23.1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</row>
    <row r="26" spans="1:15" ht="23.1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</row>
    <row r="27" spans="1:15" ht="23.1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</row>
    <row r="28" spans="1:15" ht="23.1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</row>
    <row r="29" spans="1:15" ht="23.1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</row>
    <row r="30" spans="1:15" ht="23.1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</row>
    <row r="31" spans="1:15" ht="23.1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</row>
    <row r="32" spans="1:15" ht="23.1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r="33" spans="1:15" ht="23.1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</row>
    <row r="34" spans="1:15" ht="23.1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</row>
    <row r="35" spans="1:15" ht="23.1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</row>
    <row r="36" spans="1:15" ht="23.1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</row>
    <row r="37" spans="1:15" ht="23.1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</row>
    <row r="38" spans="1:15" ht="23.1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 spans="1:15" ht="23.1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</row>
    <row r="40" spans="1:15" ht="23.1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</row>
    <row r="41" spans="1:15" ht="23.1" customHeight="1">
      <c r="A41" s="2"/>
      <c r="B41" s="27" t="s">
        <v>4</v>
      </c>
      <c r="C41" s="27"/>
      <c r="D41" s="27"/>
      <c r="E41" s="27"/>
      <c r="F41" s="27"/>
      <c r="G41" s="27"/>
      <c r="H41" s="27"/>
      <c r="I41" s="27"/>
      <c r="J41" s="27"/>
      <c r="K41" s="27"/>
      <c r="L41" s="27"/>
      <c r="M41" s="27"/>
      <c r="N41" s="2"/>
      <c r="O41" s="2"/>
    </row>
    <row r="42" spans="1:15" ht="23.1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</row>
  </sheetData>
  <mergeCells count="4">
    <mergeCell ref="B2:M2"/>
    <mergeCell ref="E4:M4"/>
    <mergeCell ref="E6:M6"/>
    <mergeCell ref="B41:M41"/>
  </mergeCells>
  <phoneticPr fontId="12" type="noConversion"/>
  <dataValidations count="2">
    <dataValidation type="list" sqref="C4" xr:uid="{00000000-0002-0000-0000-000000000000}">
      <formula1>"Type-A,Type-B"</formula1>
    </dataValidation>
    <dataValidation type="whole" sqref="C6" xr:uid="{00000000-0002-0000-0000-000001000000}">
      <formula1>-20</formula1>
      <formula2>0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31475E"/>
  </sheetPr>
  <dimension ref="A1:O42"/>
  <sheetViews>
    <sheetView showGridLines="0" zoomScale="61" zoomScaleNormal="79" workbookViewId="0">
      <pane ySplit="4" topLeftCell="A6" activePane="bottomLeft" state="frozen"/>
      <selection pane="bottomLeft" activeCell="D73" sqref="D73"/>
    </sheetView>
  </sheetViews>
  <sheetFormatPr defaultRowHeight="14.25"/>
  <cols>
    <col min="1" max="1" width="2.5" customWidth="1"/>
    <col min="2" max="15" width="10.5" customWidth="1"/>
  </cols>
  <sheetData>
    <row r="1" spans="1:15" ht="23.1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spans="1:15" ht="23.1" customHeight="1">
      <c r="A2" s="2"/>
      <c r="B2" s="1" t="s">
        <v>76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"/>
      <c r="O2" s="2"/>
    </row>
    <row r="3" spans="1:15" ht="23.1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1:15" ht="23.1" customHeight="1">
      <c r="A4" s="2"/>
      <c r="B4" s="2" t="s">
        <v>0</v>
      </c>
      <c r="C4" s="10" t="s">
        <v>9</v>
      </c>
      <c r="D4" s="2"/>
      <c r="E4" s="21" t="s">
        <v>77</v>
      </c>
      <c r="F4" s="21"/>
      <c r="G4" s="21"/>
      <c r="H4" s="21"/>
      <c r="I4" s="21"/>
      <c r="J4" s="21"/>
      <c r="K4" s="21"/>
      <c r="L4" s="21"/>
      <c r="M4" s="21"/>
      <c r="N4" s="2"/>
      <c r="O4" s="2"/>
    </row>
    <row r="5" spans="1:15" ht="23.1" customHeight="1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1:15" ht="23.1" customHeight="1">
      <c r="A6" s="2"/>
      <c r="B6" s="2" t="s">
        <v>5</v>
      </c>
      <c r="C6" s="4">
        <v>-12</v>
      </c>
      <c r="D6" s="2"/>
      <c r="E6" s="20" t="s">
        <v>6</v>
      </c>
      <c r="F6" s="20"/>
      <c r="G6" s="20"/>
      <c r="H6" s="20"/>
      <c r="I6" s="20"/>
      <c r="J6" s="20"/>
      <c r="K6" s="20"/>
      <c r="L6" s="20"/>
      <c r="M6" s="20"/>
      <c r="N6" s="2"/>
      <c r="O6" s="2"/>
    </row>
    <row r="7" spans="1:15" ht="23.1" customHeight="1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</row>
    <row r="8" spans="1:15" ht="23.1" customHeight="1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</row>
    <row r="9" spans="1:15" ht="23.1" customHeight="1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</row>
    <row r="10" spans="1:15" ht="23.1" customHeight="1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</row>
    <row r="11" spans="1:15" ht="23.1" customHeight="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</row>
    <row r="12" spans="1:15" ht="23.1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</row>
    <row r="13" spans="1:15" ht="23.1" customHeight="1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</row>
    <row r="14" spans="1:15" ht="23.1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</row>
    <row r="15" spans="1:15" ht="23.1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</row>
    <row r="16" spans="1:15" ht="23.1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</row>
    <row r="17" spans="1:15" ht="23.1" customHeight="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</row>
    <row r="18" spans="1:15" ht="23.1" customHeight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</row>
    <row r="19" spans="1:15" ht="23.1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</row>
    <row r="20" spans="1:15" ht="23.1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 spans="1:15" ht="23.1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  <row r="22" spans="1:15" ht="23.1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</row>
    <row r="23" spans="1:15" ht="23.1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</row>
    <row r="24" spans="1:15" ht="23.1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</row>
    <row r="25" spans="1:15" ht="23.1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</row>
    <row r="26" spans="1:15" ht="23.1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</row>
    <row r="27" spans="1:15" ht="23.1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</row>
    <row r="28" spans="1:15" ht="23.1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</row>
    <row r="29" spans="1:15" ht="23.1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</row>
    <row r="30" spans="1:15" ht="23.1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</row>
    <row r="31" spans="1:15" ht="23.1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</row>
    <row r="32" spans="1:15" ht="23.1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r="33" spans="1:15" ht="23.1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</row>
    <row r="34" spans="1:15" ht="23.1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</row>
    <row r="35" spans="1:15" ht="23.1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</row>
    <row r="36" spans="1:15" ht="23.1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</row>
    <row r="37" spans="1:15" ht="23.1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</row>
    <row r="38" spans="1:15" ht="23.1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 spans="1:15" ht="23.1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</row>
    <row r="40" spans="1:15" ht="23.1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</row>
    <row r="41" spans="1:15" ht="23.1" customHeight="1">
      <c r="A41" s="2"/>
      <c r="B41" s="27" t="s">
        <v>4</v>
      </c>
      <c r="C41" s="27"/>
      <c r="D41" s="27"/>
      <c r="E41" s="27"/>
      <c r="F41" s="27"/>
      <c r="G41" s="27"/>
      <c r="H41" s="27"/>
      <c r="I41" s="27"/>
      <c r="J41" s="27"/>
      <c r="K41" s="27"/>
      <c r="L41" s="27"/>
      <c r="M41" s="27"/>
      <c r="N41" s="2"/>
      <c r="O41" s="2"/>
    </row>
    <row r="42" spans="1:15" ht="23.1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</row>
  </sheetData>
  <mergeCells count="4">
    <mergeCell ref="B2:M2"/>
    <mergeCell ref="E4:M4"/>
    <mergeCell ref="E6:M6"/>
    <mergeCell ref="B41:M41"/>
  </mergeCells>
  <phoneticPr fontId="12" type="noConversion"/>
  <dataValidations count="2">
    <dataValidation type="list" sqref="C4" xr:uid="{00000000-0002-0000-0100-000000000000}">
      <formula1>"Type-A,Type-B"</formula1>
    </dataValidation>
    <dataValidation type="whole" sqref="C6" xr:uid="{00000000-0002-0000-0100-000001000000}">
      <formula1>-24</formula1>
      <formula2>0</formula2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31475E"/>
  </sheetPr>
  <dimension ref="A1:O42"/>
  <sheetViews>
    <sheetView showGridLines="0" zoomScale="85" zoomScaleNormal="85" workbookViewId="0">
      <pane ySplit="4" topLeftCell="A14" activePane="bottomLeft" state="frozen"/>
      <selection pane="bottomLeft" activeCell="C4" sqref="C4"/>
    </sheetView>
  </sheetViews>
  <sheetFormatPr defaultRowHeight="14.25"/>
  <cols>
    <col min="1" max="1" width="2.5" customWidth="1"/>
    <col min="2" max="15" width="10.5" customWidth="1"/>
  </cols>
  <sheetData>
    <row r="1" spans="1:15" ht="23.1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spans="1:15" ht="23.1" customHeight="1">
      <c r="A2" s="2"/>
      <c r="B2" s="1" t="s">
        <v>78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"/>
      <c r="O2" s="2"/>
    </row>
    <row r="3" spans="1:15" ht="23.1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1:15" ht="23.1" customHeight="1">
      <c r="A4" s="2"/>
      <c r="B4" s="2" t="s">
        <v>0</v>
      </c>
      <c r="C4" s="10" t="s">
        <v>1</v>
      </c>
      <c r="D4" s="2"/>
      <c r="E4" s="21" t="s">
        <v>79</v>
      </c>
      <c r="F4" s="21"/>
      <c r="G4" s="21"/>
      <c r="H4" s="21"/>
      <c r="I4" s="21"/>
      <c r="J4" s="21"/>
      <c r="K4" s="21"/>
      <c r="L4" s="21"/>
      <c r="M4" s="21"/>
      <c r="N4" s="2"/>
      <c r="O4" s="2"/>
    </row>
    <row r="5" spans="1:15" ht="23.1" customHeight="1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1:15" ht="23.1" customHeight="1">
      <c r="A6" s="2"/>
      <c r="B6" s="20" t="s">
        <v>7</v>
      </c>
      <c r="C6" s="20"/>
      <c r="D6" s="20"/>
      <c r="E6" s="20"/>
      <c r="F6" s="20"/>
      <c r="G6" s="20"/>
      <c r="H6" s="20"/>
      <c r="I6" s="20"/>
      <c r="J6" s="20"/>
      <c r="K6" s="20"/>
      <c r="L6" s="20"/>
      <c r="M6" s="20"/>
      <c r="N6" s="2"/>
      <c r="O6" s="2"/>
    </row>
    <row r="7" spans="1:15" ht="23.1" customHeight="1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</row>
    <row r="8" spans="1:15" ht="23.1" customHeight="1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</row>
    <row r="9" spans="1:15" ht="23.1" customHeight="1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</row>
    <row r="10" spans="1:15" ht="23.1" customHeight="1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</row>
    <row r="11" spans="1:15" ht="23.1" customHeight="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</row>
    <row r="12" spans="1:15" ht="23.1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</row>
    <row r="13" spans="1:15" ht="23.1" customHeight="1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</row>
    <row r="14" spans="1:15" ht="23.1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</row>
    <row r="15" spans="1:15" ht="23.1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</row>
    <row r="16" spans="1:15" ht="23.1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</row>
    <row r="17" spans="1:15" ht="23.1" customHeight="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</row>
    <row r="18" spans="1:15" ht="23.1" customHeight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</row>
    <row r="19" spans="1:15" ht="23.1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</row>
    <row r="20" spans="1:15" ht="23.1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 spans="1:15" ht="23.1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  <row r="22" spans="1:15" ht="23.1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</row>
    <row r="23" spans="1:15" ht="23.1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</row>
    <row r="24" spans="1:15" ht="23.1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</row>
    <row r="25" spans="1:15" ht="23.1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</row>
    <row r="26" spans="1:15" ht="23.1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</row>
    <row r="27" spans="1:15" ht="23.1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</row>
    <row r="28" spans="1:15" ht="23.1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</row>
    <row r="29" spans="1:15" ht="23.1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</row>
    <row r="30" spans="1:15" ht="23.1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</row>
    <row r="31" spans="1:15" ht="23.1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</row>
    <row r="32" spans="1:15" ht="23.1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r="33" spans="1:15" ht="23.1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</row>
    <row r="34" spans="1:15" ht="23.1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</row>
    <row r="35" spans="1:15" ht="23.1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</row>
    <row r="36" spans="1:15" ht="23.1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</row>
    <row r="37" spans="1:15" ht="23.1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</row>
    <row r="38" spans="1:15" ht="23.1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 spans="1:15" ht="23.1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</row>
    <row r="40" spans="1:15" ht="23.1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</row>
    <row r="41" spans="1:15" ht="23.1" customHeight="1">
      <c r="A41" s="2"/>
      <c r="B41" s="27" t="s">
        <v>4</v>
      </c>
      <c r="C41" s="27"/>
      <c r="D41" s="27"/>
      <c r="E41" s="27"/>
      <c r="F41" s="27"/>
      <c r="G41" s="27"/>
      <c r="H41" s="27"/>
      <c r="I41" s="27"/>
      <c r="J41" s="27"/>
      <c r="K41" s="27"/>
      <c r="L41" s="27"/>
      <c r="M41" s="27"/>
      <c r="N41" s="2"/>
      <c r="O41" s="2"/>
    </row>
    <row r="42" spans="1:15" ht="23.1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</row>
  </sheetData>
  <mergeCells count="4">
    <mergeCell ref="B2:M2"/>
    <mergeCell ref="E4:M4"/>
    <mergeCell ref="B6:M6"/>
    <mergeCell ref="B41:M41"/>
  </mergeCells>
  <phoneticPr fontId="12" type="noConversion"/>
  <dataValidations count="1">
    <dataValidation type="list" sqref="C4" xr:uid="{00000000-0002-0000-0200-000000000000}">
      <formula1>"Type-A,Type-B"</formula1>
    </dataValidation>
  </dataValidation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31475E"/>
  </sheetPr>
  <dimension ref="A1:O42"/>
  <sheetViews>
    <sheetView showGridLines="0" zoomScale="80" workbookViewId="0">
      <pane ySplit="4" topLeftCell="A11" activePane="bottomLeft" state="frozen"/>
      <selection pane="bottomLeft" activeCell="C4" sqref="C4"/>
    </sheetView>
  </sheetViews>
  <sheetFormatPr defaultRowHeight="14.25"/>
  <cols>
    <col min="1" max="1" width="2.5" customWidth="1"/>
    <col min="2" max="15" width="10.5" customWidth="1"/>
  </cols>
  <sheetData>
    <row r="1" spans="1:15" ht="23.1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spans="1:15" ht="23.1" customHeight="1">
      <c r="A2" s="2"/>
      <c r="B2" s="1" t="s">
        <v>80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"/>
      <c r="O2" s="2"/>
    </row>
    <row r="3" spans="1:15" ht="23.1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1:15" ht="23.1" customHeight="1">
      <c r="A4" s="2"/>
      <c r="B4" s="2" t="s">
        <v>0</v>
      </c>
      <c r="C4" s="10" t="s">
        <v>9</v>
      </c>
      <c r="D4" s="2"/>
      <c r="E4" s="21" t="s">
        <v>81</v>
      </c>
      <c r="F4" s="21"/>
      <c r="G4" s="21"/>
      <c r="H4" s="21"/>
      <c r="I4" s="21"/>
      <c r="J4" s="21"/>
      <c r="K4" s="21"/>
      <c r="L4" s="21"/>
      <c r="M4" s="21"/>
      <c r="N4" s="2"/>
      <c r="O4" s="2"/>
    </row>
    <row r="5" spans="1:15" ht="23.1" customHeight="1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1:15" ht="23.1" customHeight="1">
      <c r="A6" s="2"/>
      <c r="B6" s="20" t="s">
        <v>8</v>
      </c>
      <c r="C6" s="20"/>
      <c r="D6" s="20"/>
      <c r="E6" s="20"/>
      <c r="F6" s="20"/>
      <c r="G6" s="20"/>
      <c r="H6" s="20"/>
      <c r="I6" s="20"/>
      <c r="J6" s="20"/>
      <c r="K6" s="20"/>
      <c r="L6" s="20"/>
      <c r="M6" s="20"/>
      <c r="N6" s="2"/>
      <c r="O6" s="2"/>
    </row>
    <row r="7" spans="1:15" ht="23.1" customHeight="1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</row>
    <row r="8" spans="1:15" ht="23.1" customHeight="1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</row>
    <row r="9" spans="1:15" ht="23.1" customHeight="1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</row>
    <row r="10" spans="1:15" ht="23.1" customHeight="1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</row>
    <row r="11" spans="1:15" ht="23.1" customHeight="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</row>
    <row r="12" spans="1:15" ht="23.1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</row>
    <row r="13" spans="1:15" ht="23.1" customHeight="1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</row>
    <row r="14" spans="1:15" ht="23.1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</row>
    <row r="15" spans="1:15" ht="23.1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</row>
    <row r="16" spans="1:15" ht="23.1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</row>
    <row r="17" spans="1:15" ht="23.1" customHeight="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</row>
    <row r="18" spans="1:15" ht="23.1" customHeight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</row>
    <row r="19" spans="1:15" ht="23.1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</row>
    <row r="20" spans="1:15" ht="23.1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 spans="1:15" ht="23.1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  <row r="22" spans="1:15" ht="23.1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</row>
    <row r="23" spans="1:15" ht="23.1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</row>
    <row r="24" spans="1:15" ht="23.1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</row>
    <row r="25" spans="1:15" ht="23.1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</row>
    <row r="26" spans="1:15" ht="23.1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</row>
    <row r="27" spans="1:15" ht="23.1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</row>
    <row r="28" spans="1:15" ht="23.1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</row>
    <row r="29" spans="1:15" ht="23.1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</row>
    <row r="30" spans="1:15" ht="23.1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</row>
    <row r="31" spans="1:15" ht="23.1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</row>
    <row r="32" spans="1:15" ht="23.1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r="33" spans="1:15" ht="23.1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</row>
    <row r="34" spans="1:15" ht="23.1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</row>
    <row r="35" spans="1:15" ht="23.1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</row>
    <row r="36" spans="1:15" ht="23.1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</row>
    <row r="37" spans="1:15" ht="23.1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</row>
    <row r="38" spans="1:15" ht="23.1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 spans="1:15" ht="23.1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</row>
    <row r="40" spans="1:15" ht="23.1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</row>
    <row r="41" spans="1:15" ht="23.1" customHeight="1">
      <c r="A41" s="2"/>
      <c r="B41" s="27" t="s">
        <v>4</v>
      </c>
      <c r="C41" s="27"/>
      <c r="D41" s="27"/>
      <c r="E41" s="27"/>
      <c r="F41" s="27"/>
      <c r="G41" s="27"/>
      <c r="H41" s="27"/>
      <c r="I41" s="27"/>
      <c r="J41" s="27"/>
      <c r="K41" s="27"/>
      <c r="L41" s="27"/>
      <c r="M41" s="27"/>
      <c r="N41" s="2"/>
      <c r="O41" s="2"/>
    </row>
    <row r="42" spans="1:15" ht="23.1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</row>
  </sheetData>
  <mergeCells count="4">
    <mergeCell ref="B2:M2"/>
    <mergeCell ref="E4:M4"/>
    <mergeCell ref="B6:M6"/>
    <mergeCell ref="B41:M41"/>
  </mergeCells>
  <phoneticPr fontId="12" type="noConversion"/>
  <dataValidations count="1">
    <dataValidation type="list" sqref="C4" xr:uid="{00000000-0002-0000-0300-000000000000}">
      <formula1>"Type-A,Type-B"</formula1>
    </dataValidation>
  </dataValidation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C49A32"/>
  </sheetPr>
  <dimension ref="A1:O41"/>
  <sheetViews>
    <sheetView showGridLines="0" tabSelected="1" zoomScale="111" workbookViewId="0">
      <pane ySplit="4" topLeftCell="A5" activePane="bottomLeft" state="frozen"/>
      <selection pane="bottomLeft" activeCell="O15" sqref="O15"/>
    </sheetView>
  </sheetViews>
  <sheetFormatPr defaultRowHeight="14.25"/>
  <cols>
    <col min="1" max="1" width="2.5" customWidth="1"/>
    <col min="2" max="2" width="23" customWidth="1"/>
    <col min="3" max="8" width="10" customWidth="1"/>
    <col min="9" max="9" width="3" customWidth="1"/>
    <col min="10" max="14" width="10" customWidth="1"/>
    <col min="15" max="15" width="10.5" customWidth="1"/>
  </cols>
  <sheetData>
    <row r="1" spans="1:15" ht="23.1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spans="1:15" ht="23.1" customHeight="1">
      <c r="A2" s="2"/>
      <c r="B2" s="1" t="s">
        <v>64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"/>
    </row>
    <row r="3" spans="1:15" ht="23.1" customHeight="1">
      <c r="A3" s="2"/>
      <c r="B3" s="21" t="s">
        <v>84</v>
      </c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"/>
    </row>
    <row r="4" spans="1:15" ht="23.1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</row>
    <row r="5" spans="1:15" ht="23.1" customHeight="1">
      <c r="A5" s="2"/>
      <c r="B5" s="2"/>
      <c r="C5" s="2"/>
      <c r="D5" s="22" t="s">
        <v>1</v>
      </c>
      <c r="E5" s="22"/>
      <c r="F5" s="22"/>
      <c r="G5" s="22"/>
      <c r="H5" s="22"/>
      <c r="I5" s="2"/>
      <c r="J5" s="22" t="s">
        <v>9</v>
      </c>
      <c r="K5" s="22"/>
      <c r="L5" s="22"/>
      <c r="M5" s="22"/>
      <c r="N5" s="22"/>
      <c r="O5" s="2"/>
    </row>
    <row r="6" spans="1:15" ht="23.1" customHeight="1">
      <c r="A6" s="2"/>
      <c r="B6" s="2" t="s">
        <v>10</v>
      </c>
      <c r="C6" s="2" t="s">
        <v>11</v>
      </c>
      <c r="D6" s="3">
        <v>0</v>
      </c>
      <c r="E6" s="3">
        <v>0.25</v>
      </c>
      <c r="F6" s="3">
        <v>0.5</v>
      </c>
      <c r="G6" s="3">
        <v>0.75</v>
      </c>
      <c r="H6" s="3">
        <v>1</v>
      </c>
      <c r="I6" s="3"/>
      <c r="J6" s="3">
        <f>D6</f>
        <v>0</v>
      </c>
      <c r="K6" s="3">
        <f>E6</f>
        <v>0.25</v>
      </c>
      <c r="L6" s="3">
        <f>F6</f>
        <v>0.5</v>
      </c>
      <c r="M6" s="3">
        <f>G6</f>
        <v>0.75</v>
      </c>
      <c r="N6" s="3">
        <f>H6</f>
        <v>1</v>
      </c>
      <c r="O6" s="2"/>
    </row>
    <row r="7" spans="1:15" ht="23.1" customHeight="1">
      <c r="A7" s="2"/>
      <c r="B7" s="2" t="s">
        <v>12</v>
      </c>
      <c r="C7" s="2" t="s">
        <v>13</v>
      </c>
      <c r="D7" s="2">
        <f>(D$6-1)*$D$23</f>
        <v>-24</v>
      </c>
      <c r="E7" s="2">
        <f>(E$6-1)*$D$23</f>
        <v>-18</v>
      </c>
      <c r="F7" s="2">
        <f>(F$6-1)*$D$23</f>
        <v>-12</v>
      </c>
      <c r="G7" s="2">
        <f>(G$6-1)*$D$23</f>
        <v>-6</v>
      </c>
      <c r="H7" s="2">
        <f>(H$6-1)*$D$23</f>
        <v>0</v>
      </c>
      <c r="I7" s="2"/>
      <c r="J7" s="2">
        <f>(J$6-1)*$D$23</f>
        <v>-24</v>
      </c>
      <c r="K7" s="2">
        <f>(K$6-1)*$D$23</f>
        <v>-18</v>
      </c>
      <c r="L7" s="2">
        <f>(L$6-1)*$D$23</f>
        <v>-12</v>
      </c>
      <c r="M7" s="2">
        <f>(M$6-1)*$D$23</f>
        <v>-6</v>
      </c>
      <c r="N7" s="2">
        <f>(N$6-1)*$D$23</f>
        <v>0</v>
      </c>
      <c r="O7" s="2"/>
    </row>
    <row r="8" spans="1:15" ht="23.1" customHeight="1">
      <c r="A8" s="2"/>
      <c r="B8" s="2" t="s">
        <v>14</v>
      </c>
      <c r="C8" s="2" t="s">
        <v>13</v>
      </c>
      <c r="D8" s="2">
        <f>(D$6-1)*$D$24</f>
        <v>-20</v>
      </c>
      <c r="E8" s="2">
        <f>(E$6-1)*$D$24</f>
        <v>-15</v>
      </c>
      <c r="F8" s="2">
        <f>(F$6-1)*$D$24</f>
        <v>-10</v>
      </c>
      <c r="G8" s="2">
        <f>(G$6-1)*$D$24</f>
        <v>-5</v>
      </c>
      <c r="H8" s="2">
        <f>(H$6-1)*$D$24</f>
        <v>0</v>
      </c>
      <c r="I8" s="2"/>
      <c r="J8" s="2">
        <f>(J$6-1)*$D$24</f>
        <v>-20</v>
      </c>
      <c r="K8" s="2">
        <f>(K$6-1)*$D$24</f>
        <v>-15</v>
      </c>
      <c r="L8" s="2">
        <f>(L$6-1)*$D$24</f>
        <v>-10</v>
      </c>
      <c r="M8" s="2">
        <f>(M$6-1)*$D$24</f>
        <v>-5</v>
      </c>
      <c r="N8" s="2">
        <f>(N$6-1)*$D$24</f>
        <v>0</v>
      </c>
      <c r="O8" s="2"/>
    </row>
    <row r="9" spans="1:15" ht="23.1" customHeight="1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</row>
    <row r="10" spans="1:15" ht="23.1" customHeight="1">
      <c r="A10" s="2"/>
      <c r="B10" s="2" t="s">
        <v>15</v>
      </c>
      <c r="C10" s="2" t="s">
        <v>16</v>
      </c>
      <c r="D10" s="4">
        <v>1200</v>
      </c>
      <c r="E10" s="7">
        <f>(D10+F10)/2</f>
        <v>1800</v>
      </c>
      <c r="F10" s="4">
        <v>2400</v>
      </c>
      <c r="G10" s="7">
        <f>(F10+H10)/2</f>
        <v>3000</v>
      </c>
      <c r="H10" s="4">
        <v>3600</v>
      </c>
      <c r="I10" s="2"/>
      <c r="J10" s="4">
        <v>1800</v>
      </c>
      <c r="K10" s="7">
        <f>(J10+L10)/2</f>
        <v>2400</v>
      </c>
      <c r="L10" s="4">
        <v>3000</v>
      </c>
      <c r="M10" s="7">
        <f>(L10+N10)/2</f>
        <v>3600</v>
      </c>
      <c r="N10" s="4">
        <v>4200</v>
      </c>
      <c r="O10" s="2"/>
    </row>
    <row r="11" spans="1:15" ht="23.1" customHeight="1">
      <c r="A11" s="2"/>
      <c r="B11" s="2" t="s">
        <v>56</v>
      </c>
      <c r="C11" s="2" t="s">
        <v>17</v>
      </c>
      <c r="D11" s="5">
        <v>0.12</v>
      </c>
      <c r="E11" s="6">
        <f>(D11+F11)/2</f>
        <v>0.12</v>
      </c>
      <c r="F11" s="5">
        <v>0.12</v>
      </c>
      <c r="G11" s="6">
        <f>(F11+H11)/2</f>
        <v>0.12</v>
      </c>
      <c r="H11" s="5">
        <v>0.12</v>
      </c>
      <c r="I11" s="2"/>
      <c r="J11" s="5">
        <v>0.25</v>
      </c>
      <c r="K11" s="6">
        <f>(J11+L11)/2</f>
        <v>0.3</v>
      </c>
      <c r="L11" s="5">
        <v>0.35</v>
      </c>
      <c r="M11" s="6">
        <f>(L11+N11)/2</f>
        <v>0.4</v>
      </c>
      <c r="N11" s="5">
        <v>0.45</v>
      </c>
      <c r="O11" s="2"/>
    </row>
    <row r="12" spans="1:15" ht="23.1" customHeight="1">
      <c r="A12" s="2"/>
      <c r="B12" s="2" t="s">
        <v>18</v>
      </c>
      <c r="C12" s="2" t="s">
        <v>19</v>
      </c>
      <c r="D12" s="5">
        <v>1</v>
      </c>
      <c r="E12" s="6">
        <f>(D12+F12)/2</f>
        <v>0.97499999999999998</v>
      </c>
      <c r="F12" s="5">
        <v>0.95</v>
      </c>
      <c r="G12" s="6">
        <f>(F12+H12)/2</f>
        <v>0.92500000000000004</v>
      </c>
      <c r="H12" s="5">
        <v>0.9</v>
      </c>
      <c r="I12" s="2"/>
      <c r="J12" s="5">
        <v>0.62</v>
      </c>
      <c r="K12" s="6">
        <f>(J12+L12)/2</f>
        <v>0.6</v>
      </c>
      <c r="L12" s="5">
        <v>0.57999999999999996</v>
      </c>
      <c r="M12" s="6">
        <f>(L12+N12)/2</f>
        <v>0.56000000000000005</v>
      </c>
      <c r="N12" s="5">
        <v>0.54</v>
      </c>
      <c r="O12" s="2"/>
    </row>
    <row r="13" spans="1:15" ht="23.1" customHeight="1">
      <c r="A13" s="2"/>
      <c r="B13" s="2" t="s">
        <v>65</v>
      </c>
      <c r="C13" s="2" t="s">
        <v>16</v>
      </c>
      <c r="D13" s="4">
        <v>800</v>
      </c>
      <c r="E13" s="7">
        <f>(D13+F13)/2</f>
        <v>1400</v>
      </c>
      <c r="F13" s="4">
        <v>2000</v>
      </c>
      <c r="G13" s="7">
        <f>(F13+H13)/2</f>
        <v>2600</v>
      </c>
      <c r="H13" s="4">
        <v>3200</v>
      </c>
      <c r="I13" s="2"/>
      <c r="J13" s="4">
        <v>500</v>
      </c>
      <c r="K13" s="7">
        <f>(J13+L13)/2</f>
        <v>500</v>
      </c>
      <c r="L13" s="4">
        <v>500</v>
      </c>
      <c r="M13" s="7">
        <f>(L13+N13)/2</f>
        <v>500</v>
      </c>
      <c r="N13" s="4">
        <v>500</v>
      </c>
      <c r="O13" s="2"/>
    </row>
    <row r="14" spans="1:15" ht="23.1" customHeight="1">
      <c r="A14" s="2"/>
      <c r="B14" s="2" t="s">
        <v>57</v>
      </c>
      <c r="C14" s="2" t="s">
        <v>17</v>
      </c>
      <c r="D14" s="5">
        <v>0.57999999999999996</v>
      </c>
      <c r="E14" s="5">
        <v>0.59</v>
      </c>
      <c r="F14" s="5">
        <v>0.6</v>
      </c>
      <c r="G14" s="5">
        <v>0.61</v>
      </c>
      <c r="H14" s="5">
        <v>0.62</v>
      </c>
      <c r="I14" s="2"/>
      <c r="J14" s="5">
        <f>$L$14</f>
        <v>0.6</v>
      </c>
      <c r="K14" s="5">
        <f>$L$14</f>
        <v>0.6</v>
      </c>
      <c r="L14" s="5">
        <v>0.6</v>
      </c>
      <c r="M14" s="5">
        <f>$L$14</f>
        <v>0.6</v>
      </c>
      <c r="N14" s="5">
        <f>$L$14</f>
        <v>0.6</v>
      </c>
      <c r="O14" s="2"/>
    </row>
    <row r="15" spans="1:15" ht="23.1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</row>
    <row r="16" spans="1:15" ht="23.1" customHeight="1">
      <c r="A16" s="2"/>
      <c r="B16" s="2" t="s">
        <v>66</v>
      </c>
      <c r="C16" s="2" t="s">
        <v>13</v>
      </c>
      <c r="D16" s="2">
        <f>(D$6-1)*$D$25</f>
        <v>-40</v>
      </c>
      <c r="E16" s="2">
        <f>(E$6-1)*$D$25</f>
        <v>-30</v>
      </c>
      <c r="F16" s="2">
        <f>(F$6-1)*$D$25</f>
        <v>-20</v>
      </c>
      <c r="G16" s="2">
        <f>(G$6-1)*$D$25</f>
        <v>-10</v>
      </c>
      <c r="H16" s="2">
        <f>(H$6-1)*$D$25</f>
        <v>0</v>
      </c>
      <c r="I16" s="2"/>
      <c r="J16" s="2">
        <f>(J$6-1)*$D$25</f>
        <v>-40</v>
      </c>
      <c r="K16" s="2">
        <f>(K$6-1)*$D$25</f>
        <v>-30</v>
      </c>
      <c r="L16" s="2">
        <f>(L$6-1)*$D$25</f>
        <v>-20</v>
      </c>
      <c r="M16" s="2">
        <f>(M$6-1)*$D$25</f>
        <v>-10</v>
      </c>
      <c r="N16" s="2">
        <f>(N$6-1)*$D$25</f>
        <v>0</v>
      </c>
      <c r="O16" s="2"/>
    </row>
    <row r="17" spans="1:15" ht="23.1" customHeight="1">
      <c r="A17" s="2"/>
      <c r="B17" s="2" t="s">
        <v>20</v>
      </c>
      <c r="C17" s="2" t="s">
        <v>16</v>
      </c>
      <c r="D17" s="4">
        <v>1100</v>
      </c>
      <c r="E17" s="7">
        <f>(D17+F17)/2</f>
        <v>1550</v>
      </c>
      <c r="F17" s="4">
        <v>2000</v>
      </c>
      <c r="G17" s="7">
        <f>(F17+H17)/2</f>
        <v>2450</v>
      </c>
      <c r="H17" s="4">
        <v>2900</v>
      </c>
      <c r="I17" s="2"/>
      <c r="J17" s="4">
        <v>1600</v>
      </c>
      <c r="K17" s="7">
        <f>(J17+L17)/2</f>
        <v>2050</v>
      </c>
      <c r="L17" s="4">
        <v>2500</v>
      </c>
      <c r="M17" s="7">
        <f>(L17+N17)/2</f>
        <v>2950</v>
      </c>
      <c r="N17" s="4">
        <v>3400</v>
      </c>
      <c r="O17" s="2"/>
    </row>
    <row r="18" spans="1:15" ht="23.1" customHeight="1">
      <c r="A18" s="2"/>
      <c r="B18" s="2" t="s">
        <v>21</v>
      </c>
      <c r="C18" s="2" t="s">
        <v>17</v>
      </c>
      <c r="D18" s="5">
        <v>0.23</v>
      </c>
      <c r="E18" s="6">
        <f>(D18+F18)/2</f>
        <v>0.255</v>
      </c>
      <c r="F18" s="5">
        <v>0.28000000000000003</v>
      </c>
      <c r="G18" s="6">
        <f>(F18+H18)/2</f>
        <v>0.30500000000000005</v>
      </c>
      <c r="H18" s="5">
        <v>0.33</v>
      </c>
      <c r="I18" s="2"/>
      <c r="J18" s="5">
        <v>0.2</v>
      </c>
      <c r="K18" s="6">
        <f>(J18+L18)/2</f>
        <v>0.22500000000000001</v>
      </c>
      <c r="L18" s="5">
        <v>0.25</v>
      </c>
      <c r="M18" s="6">
        <f>(L18+N18)/2</f>
        <v>0.27500000000000002</v>
      </c>
      <c r="N18" s="5">
        <v>0.3</v>
      </c>
      <c r="O18" s="2"/>
    </row>
    <row r="19" spans="1:15" ht="23.1" customHeight="1">
      <c r="A19" s="2"/>
      <c r="B19" s="2" t="s">
        <v>22</v>
      </c>
      <c r="C19" s="2" t="s">
        <v>19</v>
      </c>
      <c r="D19" s="5">
        <v>0.96</v>
      </c>
      <c r="E19" s="6">
        <f>(D19+F19)/2</f>
        <v>0.91999999999999993</v>
      </c>
      <c r="F19" s="5">
        <v>0.88</v>
      </c>
      <c r="G19" s="6">
        <f>(F19+H19)/2</f>
        <v>0.84000000000000008</v>
      </c>
      <c r="H19" s="5">
        <v>0.8</v>
      </c>
      <c r="I19" s="2"/>
      <c r="J19" s="5">
        <v>0.66</v>
      </c>
      <c r="K19" s="6">
        <f>(J19+L19)/2</f>
        <v>0.62</v>
      </c>
      <c r="L19" s="5">
        <v>0.57999999999999996</v>
      </c>
      <c r="M19" s="6">
        <f>(L19+N19)/2</f>
        <v>0.54</v>
      </c>
      <c r="N19" s="5">
        <v>0.5</v>
      </c>
      <c r="O19" s="2"/>
    </row>
    <row r="20" spans="1:15" ht="23.1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 spans="1:15" ht="23.1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  <row r="22" spans="1:15" ht="23.1" customHeight="1">
      <c r="A22" s="2"/>
      <c r="B22" s="22" t="s">
        <v>67</v>
      </c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"/>
    </row>
    <row r="23" spans="1:15" ht="23.1" customHeight="1">
      <c r="A23" s="2"/>
      <c r="B23" s="20" t="s">
        <v>85</v>
      </c>
      <c r="C23" s="20"/>
      <c r="D23" s="2">
        <v>24</v>
      </c>
      <c r="E23" s="2"/>
      <c r="F23" s="23" t="s">
        <v>89</v>
      </c>
      <c r="G23" s="23"/>
      <c r="H23" s="23"/>
      <c r="I23" s="23"/>
      <c r="J23" s="23"/>
      <c r="K23" s="23"/>
      <c r="L23" s="23"/>
      <c r="M23" s="23"/>
      <c r="N23" s="23"/>
      <c r="O23" s="2"/>
    </row>
    <row r="24" spans="1:15" ht="23.1" customHeight="1">
      <c r="A24" s="2"/>
      <c r="B24" s="20" t="s">
        <v>86</v>
      </c>
      <c r="C24" s="20"/>
      <c r="D24" s="2">
        <v>20</v>
      </c>
      <c r="E24" s="2"/>
      <c r="F24" s="23"/>
      <c r="G24" s="23"/>
      <c r="H24" s="23"/>
      <c r="I24" s="23"/>
      <c r="J24" s="23"/>
      <c r="K24" s="23"/>
      <c r="L24" s="23"/>
      <c r="M24" s="23"/>
      <c r="N24" s="23"/>
      <c r="O24" s="2"/>
    </row>
    <row r="25" spans="1:15" ht="23.1" customHeight="1">
      <c r="A25" s="2"/>
      <c r="B25" s="20" t="s">
        <v>87</v>
      </c>
      <c r="C25" s="20"/>
      <c r="D25" s="2">
        <v>40</v>
      </c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</row>
    <row r="26" spans="1:15" ht="23.1" customHeight="1">
      <c r="A26" s="2"/>
      <c r="B26" s="20" t="s">
        <v>88</v>
      </c>
      <c r="C26" s="20"/>
      <c r="D26" s="2">
        <v>60</v>
      </c>
      <c r="E26" s="2"/>
      <c r="F26" s="20" t="s">
        <v>23</v>
      </c>
      <c r="G26" s="20"/>
      <c r="H26" s="20"/>
      <c r="I26" s="20"/>
      <c r="J26" s="20"/>
      <c r="K26" s="20"/>
      <c r="L26" s="20"/>
      <c r="M26" s="20"/>
      <c r="N26" s="20"/>
      <c r="O26" s="2"/>
    </row>
    <row r="27" spans="1:15" ht="23.1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</row>
    <row r="28" spans="1:15" ht="23.1" customHeight="1">
      <c r="A28" s="2"/>
      <c r="B28" s="22" t="s">
        <v>68</v>
      </c>
      <c r="C28" s="22"/>
      <c r="D28" s="22"/>
      <c r="E28" s="22"/>
      <c r="F28" s="22"/>
      <c r="G28" s="22"/>
      <c r="H28" s="22"/>
      <c r="I28" s="22"/>
      <c r="J28" s="22"/>
      <c r="K28" s="22"/>
      <c r="L28" s="22"/>
      <c r="M28" s="22"/>
      <c r="N28" s="22"/>
      <c r="O28" s="2"/>
    </row>
    <row r="29" spans="1:15" ht="23.1" customHeight="1">
      <c r="A29" s="2"/>
      <c r="B29" s="24" t="s">
        <v>24</v>
      </c>
      <c r="C29" s="24"/>
      <c r="D29" s="24"/>
      <c r="E29" s="24"/>
      <c r="F29" s="24"/>
      <c r="G29" s="24"/>
      <c r="H29" s="24"/>
      <c r="I29" s="24"/>
      <c r="J29" s="24"/>
      <c r="K29" s="24"/>
      <c r="L29" s="24"/>
      <c r="M29" s="24"/>
      <c r="N29" s="24"/>
      <c r="O29" s="2"/>
    </row>
    <row r="30" spans="1:15" ht="30.95" customHeight="1">
      <c r="A30" s="2"/>
      <c r="B30" s="25" t="s">
        <v>58</v>
      </c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"/>
    </row>
    <row r="31" spans="1:15" ht="23.1" customHeight="1">
      <c r="A31" s="2"/>
      <c r="B31" s="24" t="s">
        <v>25</v>
      </c>
      <c r="C31" s="24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"/>
    </row>
    <row r="32" spans="1:15" ht="23.1" customHeight="1">
      <c r="A32" s="2"/>
      <c r="B32" s="24" t="s">
        <v>69</v>
      </c>
      <c r="C32" s="24"/>
      <c r="D32" s="24"/>
      <c r="E32" s="24"/>
      <c r="F32" s="24"/>
      <c r="G32" s="24"/>
      <c r="H32" s="24"/>
      <c r="I32" s="24"/>
      <c r="J32" s="24"/>
      <c r="K32" s="24"/>
      <c r="L32" s="24"/>
      <c r="M32" s="24"/>
      <c r="N32" s="24"/>
      <c r="O32" s="2"/>
    </row>
    <row r="33" spans="1:15" ht="23.1" customHeight="1">
      <c r="A33" s="2"/>
      <c r="B33" s="24" t="s">
        <v>26</v>
      </c>
      <c r="C33" s="24"/>
      <c r="D33" s="24"/>
      <c r="E33" s="24"/>
      <c r="F33" s="24"/>
      <c r="G33" s="24"/>
      <c r="H33" s="24"/>
      <c r="I33" s="24"/>
      <c r="J33" s="24"/>
      <c r="K33" s="24"/>
      <c r="L33" s="24"/>
      <c r="M33" s="24"/>
      <c r="N33" s="24"/>
      <c r="O33" s="2"/>
    </row>
    <row r="34" spans="1:15" ht="23.1" customHeight="1">
      <c r="A34" s="2"/>
      <c r="B34" s="24" t="s">
        <v>59</v>
      </c>
      <c r="C34" s="24"/>
      <c r="D34" s="24"/>
      <c r="E34" s="24"/>
      <c r="F34" s="24"/>
      <c r="G34" s="24"/>
      <c r="H34" s="24"/>
      <c r="I34" s="24"/>
      <c r="J34" s="24"/>
      <c r="K34" s="24"/>
      <c r="L34" s="24"/>
      <c r="M34" s="24"/>
      <c r="N34" s="24"/>
      <c r="O34" s="2"/>
    </row>
    <row r="35" spans="1:15" ht="23.1" customHeight="1">
      <c r="A35" s="2"/>
      <c r="B35" s="24" t="s">
        <v>27</v>
      </c>
      <c r="C35" s="24"/>
      <c r="D35" s="24"/>
      <c r="E35" s="24"/>
      <c r="F35" s="24"/>
      <c r="G35" s="24"/>
      <c r="H35" s="24"/>
      <c r="I35" s="24"/>
      <c r="J35" s="24"/>
      <c r="K35" s="24"/>
      <c r="L35" s="24"/>
      <c r="M35" s="24"/>
      <c r="N35" s="24"/>
      <c r="O35" s="2"/>
    </row>
    <row r="36" spans="1:15" ht="23.1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</row>
    <row r="37" spans="1:15" ht="23.1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</row>
    <row r="38" spans="1:15" ht="23.1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 spans="1:15" ht="23.1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</row>
    <row r="40" spans="1:15" ht="23.1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</row>
    <row r="41" spans="1:15" ht="23.1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</row>
  </sheetData>
  <mergeCells count="19">
    <mergeCell ref="B33:N33"/>
    <mergeCell ref="B34:N34"/>
    <mergeCell ref="B35:N35"/>
    <mergeCell ref="B28:N28"/>
    <mergeCell ref="B29:N29"/>
    <mergeCell ref="B30:N30"/>
    <mergeCell ref="B31:N31"/>
    <mergeCell ref="B32:N32"/>
    <mergeCell ref="B23:C23"/>
    <mergeCell ref="B24:C24"/>
    <mergeCell ref="B25:C25"/>
    <mergeCell ref="B26:C26"/>
    <mergeCell ref="F23:N24"/>
    <mergeCell ref="F26:N26"/>
    <mergeCell ref="B2:N2"/>
    <mergeCell ref="B3:N3"/>
    <mergeCell ref="D5:H5"/>
    <mergeCell ref="J5:N5"/>
    <mergeCell ref="B22:N22"/>
  </mergeCells>
  <phoneticPr fontId="1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3A0AC"/>
  </sheetPr>
  <dimension ref="A1:V165"/>
  <sheetViews>
    <sheetView showGridLines="0" zoomScale="64" workbookViewId="0">
      <pane ySplit="4" topLeftCell="A110" activePane="bottomLeft" state="frozen"/>
      <selection pane="bottomLeft" activeCell="H135" sqref="H135"/>
    </sheetView>
  </sheetViews>
  <sheetFormatPr defaultRowHeight="14.25"/>
  <cols>
    <col min="1" max="1" width="2.5" customWidth="1"/>
    <col min="2" max="2" width="28" customWidth="1"/>
    <col min="3" max="22" width="13" customWidth="1"/>
  </cols>
  <sheetData>
    <row r="1" spans="1:22" ht="21.95" customHeight="1">
      <c r="A1" s="2"/>
      <c r="B1" s="28" t="s">
        <v>70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9"/>
      <c r="Q1" s="29"/>
      <c r="R1" s="29"/>
      <c r="S1" s="29"/>
      <c r="T1" s="29"/>
      <c r="U1" s="29"/>
      <c r="V1" s="29"/>
    </row>
    <row r="2" spans="1:22" ht="21.95" customHeight="1">
      <c r="A2" s="2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9"/>
      <c r="Q2" s="9"/>
      <c r="R2" s="9"/>
      <c r="S2" s="9"/>
      <c r="T2" s="9"/>
      <c r="U2" s="9"/>
      <c r="V2" s="9"/>
    </row>
    <row r="3" spans="1:22" ht="21.95" customHeight="1">
      <c r="A3" s="2"/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9"/>
      <c r="Q3" s="9"/>
      <c r="R3" s="9"/>
      <c r="S3" s="9"/>
      <c r="T3" s="9"/>
      <c r="U3" s="9"/>
      <c r="V3" s="9"/>
    </row>
    <row r="4" spans="1:22" ht="35.1" customHeight="1">
      <c r="A4" s="2"/>
      <c r="B4" s="13" t="s">
        <v>41</v>
      </c>
      <c r="C4" s="13" t="s">
        <v>42</v>
      </c>
      <c r="D4" s="13" t="s">
        <v>43</v>
      </c>
      <c r="E4" s="13" t="s">
        <v>44</v>
      </c>
      <c r="F4" s="13" t="s">
        <v>15</v>
      </c>
      <c r="G4" s="13" t="s">
        <v>56</v>
      </c>
      <c r="H4" s="13" t="s">
        <v>45</v>
      </c>
      <c r="I4" s="13" t="s">
        <v>36</v>
      </c>
      <c r="J4" s="13" t="s">
        <v>46</v>
      </c>
      <c r="K4" s="13" t="s">
        <v>57</v>
      </c>
      <c r="L4" s="13" t="s">
        <v>47</v>
      </c>
      <c r="M4" s="13" t="s">
        <v>20</v>
      </c>
      <c r="N4" s="13" t="s">
        <v>21</v>
      </c>
      <c r="O4" s="13" t="s">
        <v>48</v>
      </c>
      <c r="P4" s="14" t="s">
        <v>39</v>
      </c>
      <c r="Q4" s="14" t="s">
        <v>49</v>
      </c>
      <c r="R4" s="14" t="s">
        <v>50</v>
      </c>
      <c r="S4" s="14" t="s">
        <v>51</v>
      </c>
      <c r="T4" s="14" t="s">
        <v>52</v>
      </c>
      <c r="U4" s="14" t="s">
        <v>53</v>
      </c>
      <c r="V4" s="14" t="s">
        <v>54</v>
      </c>
    </row>
    <row r="5" spans="1:22" ht="21.95" customHeight="1">
      <c r="A5" s="2"/>
      <c r="B5" s="8" t="str">
        <f>"c "&amp;C5</f>
        <v>c -24</v>
      </c>
      <c r="C5" s="8">
        <f>Parameters!D7</f>
        <v>-24</v>
      </c>
      <c r="D5" s="8">
        <f>'LSC Sweep'!$C$6</f>
        <v>-10</v>
      </c>
      <c r="E5" s="8">
        <f>Parameters!D16</f>
        <v>-40</v>
      </c>
      <c r="F5" s="8">
        <f>IF('LSC Sweep'!$C$4="Type-B",INDEX(Parameters!$J$10:$N$10,1,Q5)+(INDEX(Parameters!$J$10:$N$10,1,Q5+1)-INDEX(Parameters!$J$10:$N$10,1,Q5))*T5,INDEX(Parameters!$D$10:$H$10,1,Q5)+(INDEX(Parameters!$D$10:$H$10,1,Q5+1)-INDEX(Parameters!$D$10:$H$10,1,Q5))*T5)</f>
        <v>1800</v>
      </c>
      <c r="G5" s="8">
        <f>IF('LSC Sweep'!$C$4="Type-B",INDEX(Parameters!$J$11:$N$11,1,R5)+(INDEX(Parameters!$J$11:$N$11,1,R5+1)-INDEX(Parameters!$J$11:$N$11,1,R5))*U5,INDEX(Parameters!$D$11:$H$11,1,Q5)+(INDEX(Parameters!$D$11:$H$11,1,Q5+1)-INDEX(Parameters!$D$11:$H$11,1,Q5))*T5)</f>
        <v>0.35</v>
      </c>
      <c r="H5" s="8">
        <f>IF('LSC Sweep'!$C$4="Type-B",INDEX(Parameters!$J$12:$N$12,1,Q5)+(INDEX(Parameters!$J$12:$N$12,1,Q5+1)-INDEX(Parameters!$J$12:$N$12,1,Q5))*T5,INDEX(Parameters!$D$12:$H$12,1,Q5)+(INDEX(Parameters!$D$12:$H$12,1,Q5+1)-INDEX(Parameters!$D$12:$H$12,1,Q5))*T5)</f>
        <v>0.62</v>
      </c>
      <c r="I5" s="8">
        <f>F5*H5</f>
        <v>1116</v>
      </c>
      <c r="J5" s="8">
        <f>IF('LSC Sweep'!$C$4="Type-B",INDEX(Parameters!$J$13:$N$13,1,R5)+(INDEX(Parameters!$J$13:$N$13,1,R5+1)-INDEX(Parameters!$J$13:$N$13,1,R5))*U5,INDEX(Parameters!$D$13:$H$13,1,R5)+(INDEX(Parameters!$D$13:$H$13,1,R5+1)-INDEX(Parameters!$D$13:$H$13,1,R5))*U5)</f>
        <v>500</v>
      </c>
      <c r="K5" s="8">
        <f>IF('LSC Sweep'!$C$4="Type-B",Parameters!$L$14,INDEX(Parameters!$D$14:$H$14,1,R5)+(INDEX(Parameters!$D$14:$H$14,1,R5+1)-INDEX(Parameters!$D$14:$H$14,1,R5))*U5)</f>
        <v>0.6</v>
      </c>
      <c r="L5" s="8">
        <f>I5+J5</f>
        <v>1616</v>
      </c>
      <c r="M5" s="8">
        <f>IF('LSC Sweep'!$C$4="Type-B",INDEX(Parameters!$J$17:$N$17,1,S5)+(INDEX(Parameters!$J$17:$N$17,1,S5+1)-INDEX(Parameters!$J$17:$N$17,1,S5))*V5,INDEX(Parameters!$D$17:$H$17,1,S5)+(INDEX(Parameters!$D$17:$H$17,1,S5+1)-INDEX(Parameters!$D$17:$H$17,1,S5))*V5)</f>
        <v>1600</v>
      </c>
      <c r="N5" s="8">
        <f>IF('LSC Sweep'!$C$4="Type-B",INDEX(Parameters!$J$18:$N$18,1,S5)+(INDEX(Parameters!$J$18:$N$18,1,S5+1)-INDEX(Parameters!$J$18:$N$18,1,S5))*V5,INDEX(Parameters!$D$18:$H$18,1,S5)+(INDEX(Parameters!$D$18:$H$18,1,S5+1)-INDEX(Parameters!$D$18:$H$18,1,S5))*V5)</f>
        <v>0.2</v>
      </c>
      <c r="O5" s="8">
        <f>IF('LSC Sweep'!$C$4="Type-B",INDEX(Parameters!$J$19:$N$19,1,S5)+(INDEX(Parameters!$J$19:$N$19,1,S5+1)-INDEX(Parameters!$J$19:$N$19,1,S5))*V5,INDEX(Parameters!$D$19:$H$19,1,S5)+(INDEX(Parameters!$D$19:$H$19,1,S5+1)-INDEX(Parameters!$D$19:$H$19,1,S5))*V5)</f>
        <v>0.66</v>
      </c>
      <c r="P5" s="9">
        <f>M5*O5</f>
        <v>1056</v>
      </c>
      <c r="Q5" s="9">
        <f>MIN(4,MAX(1,INT((1+C5/Parameters!$D$23)*4)+1))</f>
        <v>1</v>
      </c>
      <c r="R5" s="9">
        <f>MIN(4,MAX(1,INT((1+D5/Parameters!$D$24)*4)+1))</f>
        <v>3</v>
      </c>
      <c r="S5" s="9">
        <f>MIN(4,MAX(1,INT((1+E5/Parameters!$D$25)*4)+1))</f>
        <v>1</v>
      </c>
      <c r="T5" s="9">
        <f>MAX(0,MIN(1,(1+C5/Parameters!$D$23)*4-(Q5-1)))</f>
        <v>0</v>
      </c>
      <c r="U5" s="9">
        <f>MAX(0,MIN(1,(1+D5/Parameters!$D$24)*4-(R5-1)))</f>
        <v>0</v>
      </c>
      <c r="V5" s="9">
        <f>MAX(0,MIN(1,(1+E5/Parameters!$D$25)*4-(S5-1)))</f>
        <v>0</v>
      </c>
    </row>
    <row r="6" spans="1:22" ht="21.95" customHeight="1">
      <c r="A6" s="2"/>
      <c r="B6" s="8" t="str">
        <f>"c "&amp;C6</f>
        <v>c -18</v>
      </c>
      <c r="C6" s="8">
        <f>Parameters!E7</f>
        <v>-18</v>
      </c>
      <c r="D6" s="8">
        <f>'LSC Sweep'!$C$6</f>
        <v>-10</v>
      </c>
      <c r="E6" s="8">
        <f>Parameters!E16</f>
        <v>-30</v>
      </c>
      <c r="F6" s="8">
        <f>IF('LSC Sweep'!$C$4="Type-B",INDEX(Parameters!$J$10:$N$10,1,Q6)+(INDEX(Parameters!$J$10:$N$10,1,Q6+1)-INDEX(Parameters!$J$10:$N$10,1,Q6))*T6,INDEX(Parameters!$D$10:$H$10,1,Q6)+(INDEX(Parameters!$D$10:$H$10,1,Q6+1)-INDEX(Parameters!$D$10:$H$10,1,Q6))*T6)</f>
        <v>2400</v>
      </c>
      <c r="G6" s="8">
        <f>IF('LSC Sweep'!$C$4="Type-B",INDEX(Parameters!$J$11:$N$11,1,R6)+(INDEX(Parameters!$J$11:$N$11,1,R6+1)-INDEX(Parameters!$J$11:$N$11,1,R6))*U6,INDEX(Parameters!$D$11:$H$11,1,Q6)+(INDEX(Parameters!$D$11:$H$11,1,Q6+1)-INDEX(Parameters!$D$11:$H$11,1,Q6))*T6)</f>
        <v>0.35</v>
      </c>
      <c r="H6" s="8">
        <f>IF('LSC Sweep'!$C$4="Type-B",INDEX(Parameters!$J$12:$N$12,1,Q6)+(INDEX(Parameters!$J$12:$N$12,1,Q6+1)-INDEX(Parameters!$J$12:$N$12,1,Q6))*T6,INDEX(Parameters!$D$12:$H$12,1,Q6)+(INDEX(Parameters!$D$12:$H$12,1,Q6+1)-INDEX(Parameters!$D$12:$H$12,1,Q6))*T6)</f>
        <v>0.6</v>
      </c>
      <c r="I6" s="8">
        <f>F6*H6</f>
        <v>1440</v>
      </c>
      <c r="J6" s="8">
        <f>IF('LSC Sweep'!$C$4="Type-B",INDEX(Parameters!$J$13:$N$13,1,R6)+(INDEX(Parameters!$J$13:$N$13,1,R6+1)-INDEX(Parameters!$J$13:$N$13,1,R6))*U6,INDEX(Parameters!$D$13:$H$13,1,R6)+(INDEX(Parameters!$D$13:$H$13,1,R6+1)-INDEX(Parameters!$D$13:$H$13,1,R6))*U6)</f>
        <v>500</v>
      </c>
      <c r="K6" s="8">
        <f>IF('LSC Sweep'!$C$4="Type-B",Parameters!$L$14,INDEX(Parameters!$D$14:$H$14,1,R6)+(INDEX(Parameters!$D$14:$H$14,1,R6+1)-INDEX(Parameters!$D$14:$H$14,1,R6))*U6)</f>
        <v>0.6</v>
      </c>
      <c r="L6" s="8">
        <f>I6+J6</f>
        <v>1940</v>
      </c>
      <c r="M6" s="8">
        <f>IF('LSC Sweep'!$C$4="Type-B",INDEX(Parameters!$J$17:$N$17,1,S6)+(INDEX(Parameters!$J$17:$N$17,1,S6+1)-INDEX(Parameters!$J$17:$N$17,1,S6))*V6,INDEX(Parameters!$D$17:$H$17,1,S6)+(INDEX(Parameters!$D$17:$H$17,1,S6+1)-INDEX(Parameters!$D$17:$H$17,1,S6))*V6)</f>
        <v>2050</v>
      </c>
      <c r="N6" s="8">
        <f>IF('LSC Sweep'!$C$4="Type-B",INDEX(Parameters!$J$18:$N$18,1,S6)+(INDEX(Parameters!$J$18:$N$18,1,S6+1)-INDEX(Parameters!$J$18:$N$18,1,S6))*V6,INDEX(Parameters!$D$18:$H$18,1,S6)+(INDEX(Parameters!$D$18:$H$18,1,S6+1)-INDEX(Parameters!$D$18:$H$18,1,S6))*V6)</f>
        <v>0.22500000000000001</v>
      </c>
      <c r="O6" s="8">
        <f>IF('LSC Sweep'!$C$4="Type-B",INDEX(Parameters!$J$19:$N$19,1,S6)+(INDEX(Parameters!$J$19:$N$19,1,S6+1)-INDEX(Parameters!$J$19:$N$19,1,S6))*V6,INDEX(Parameters!$D$19:$H$19,1,S6)+(INDEX(Parameters!$D$19:$H$19,1,S6+1)-INDEX(Parameters!$D$19:$H$19,1,S6))*V6)</f>
        <v>0.62</v>
      </c>
      <c r="P6" s="9">
        <f>M6*O6</f>
        <v>1271</v>
      </c>
      <c r="Q6" s="9">
        <f>MIN(4,MAX(1,INT((1+C6/Parameters!$D$23)*4)+1))</f>
        <v>2</v>
      </c>
      <c r="R6" s="9">
        <f>MIN(4,MAX(1,INT((1+D6/Parameters!$D$24)*4)+1))</f>
        <v>3</v>
      </c>
      <c r="S6" s="9">
        <f>MIN(4,MAX(1,INT((1+E6/Parameters!$D$25)*4)+1))</f>
        <v>2</v>
      </c>
      <c r="T6" s="9">
        <f>MAX(0,MIN(1,(1+C6/Parameters!$D$23)*4-(Q6-1)))</f>
        <v>0</v>
      </c>
      <c r="U6" s="9">
        <f>MAX(0,MIN(1,(1+D6/Parameters!$D$24)*4-(R6-1)))</f>
        <v>0</v>
      </c>
      <c r="V6" s="9">
        <f>MAX(0,MIN(1,(1+E6/Parameters!$D$25)*4-(S6-1)))</f>
        <v>0</v>
      </c>
    </row>
    <row r="7" spans="1:22" ht="21.95" customHeight="1">
      <c r="A7" s="2"/>
      <c r="B7" s="8" t="str">
        <f>"c "&amp;C7</f>
        <v>c -12</v>
      </c>
      <c r="C7" s="8">
        <f>Parameters!F7</f>
        <v>-12</v>
      </c>
      <c r="D7" s="8">
        <f>'LSC Sweep'!$C$6</f>
        <v>-10</v>
      </c>
      <c r="E7" s="8">
        <f>Parameters!F16</f>
        <v>-20</v>
      </c>
      <c r="F7" s="8">
        <f>IF('LSC Sweep'!$C$4="Type-B",INDEX(Parameters!$J$10:$N$10,1,Q7)+(INDEX(Parameters!$J$10:$N$10,1,Q7+1)-INDEX(Parameters!$J$10:$N$10,1,Q7))*T7,INDEX(Parameters!$D$10:$H$10,1,Q7)+(INDEX(Parameters!$D$10:$H$10,1,Q7+1)-INDEX(Parameters!$D$10:$H$10,1,Q7))*T7)</f>
        <v>3000</v>
      </c>
      <c r="G7" s="8">
        <f>IF('LSC Sweep'!$C$4="Type-B",INDEX(Parameters!$J$11:$N$11,1,R7)+(INDEX(Parameters!$J$11:$N$11,1,R7+1)-INDEX(Parameters!$J$11:$N$11,1,R7))*U7,INDEX(Parameters!$D$11:$H$11,1,Q7)+(INDEX(Parameters!$D$11:$H$11,1,Q7+1)-INDEX(Parameters!$D$11:$H$11,1,Q7))*T7)</f>
        <v>0.35</v>
      </c>
      <c r="H7" s="8">
        <f>IF('LSC Sweep'!$C$4="Type-B",INDEX(Parameters!$J$12:$N$12,1,Q7)+(INDEX(Parameters!$J$12:$N$12,1,Q7+1)-INDEX(Parameters!$J$12:$N$12,1,Q7))*T7,INDEX(Parameters!$D$12:$H$12,1,Q7)+(INDEX(Parameters!$D$12:$H$12,1,Q7+1)-INDEX(Parameters!$D$12:$H$12,1,Q7))*T7)</f>
        <v>0.57999999999999996</v>
      </c>
      <c r="I7" s="8">
        <f>F7*H7</f>
        <v>1739.9999999999998</v>
      </c>
      <c r="J7" s="8">
        <f>IF('LSC Sweep'!$C$4="Type-B",INDEX(Parameters!$J$13:$N$13,1,R7)+(INDEX(Parameters!$J$13:$N$13,1,R7+1)-INDEX(Parameters!$J$13:$N$13,1,R7))*U7,INDEX(Parameters!$D$13:$H$13,1,R7)+(INDEX(Parameters!$D$13:$H$13,1,R7+1)-INDEX(Parameters!$D$13:$H$13,1,R7))*U7)</f>
        <v>500</v>
      </c>
      <c r="K7" s="8">
        <f>IF('LSC Sweep'!$C$4="Type-B",Parameters!$L$14,INDEX(Parameters!$D$14:$H$14,1,R7)+(INDEX(Parameters!$D$14:$H$14,1,R7+1)-INDEX(Parameters!$D$14:$H$14,1,R7))*U7)</f>
        <v>0.6</v>
      </c>
      <c r="L7" s="8">
        <f>I7+J7</f>
        <v>2240</v>
      </c>
      <c r="M7" s="8">
        <f>IF('LSC Sweep'!$C$4="Type-B",INDEX(Parameters!$J$17:$N$17,1,S7)+(INDEX(Parameters!$J$17:$N$17,1,S7+1)-INDEX(Parameters!$J$17:$N$17,1,S7))*V7,INDEX(Parameters!$D$17:$H$17,1,S7)+(INDEX(Parameters!$D$17:$H$17,1,S7+1)-INDEX(Parameters!$D$17:$H$17,1,S7))*V7)</f>
        <v>2500</v>
      </c>
      <c r="N7" s="8">
        <f>IF('LSC Sweep'!$C$4="Type-B",INDEX(Parameters!$J$18:$N$18,1,S7)+(INDEX(Parameters!$J$18:$N$18,1,S7+1)-INDEX(Parameters!$J$18:$N$18,1,S7))*V7,INDEX(Parameters!$D$18:$H$18,1,S7)+(INDEX(Parameters!$D$18:$H$18,1,S7+1)-INDEX(Parameters!$D$18:$H$18,1,S7))*V7)</f>
        <v>0.25</v>
      </c>
      <c r="O7" s="8">
        <f>IF('LSC Sweep'!$C$4="Type-B",INDEX(Parameters!$J$19:$N$19,1,S7)+(INDEX(Parameters!$J$19:$N$19,1,S7+1)-INDEX(Parameters!$J$19:$N$19,1,S7))*V7,INDEX(Parameters!$D$19:$H$19,1,S7)+(INDEX(Parameters!$D$19:$H$19,1,S7+1)-INDEX(Parameters!$D$19:$H$19,1,S7))*V7)</f>
        <v>0.57999999999999996</v>
      </c>
      <c r="P7" s="9">
        <f>M7*O7</f>
        <v>1450</v>
      </c>
      <c r="Q7" s="9">
        <f>MIN(4,MAX(1,INT((1+C7/Parameters!$D$23)*4)+1))</f>
        <v>3</v>
      </c>
      <c r="R7" s="9">
        <f>MIN(4,MAX(1,INT((1+D7/Parameters!$D$24)*4)+1))</f>
        <v>3</v>
      </c>
      <c r="S7" s="9">
        <f>MIN(4,MAX(1,INT((1+E7/Parameters!$D$25)*4)+1))</f>
        <v>3</v>
      </c>
      <c r="T7" s="9">
        <f>MAX(0,MIN(1,(1+C7/Parameters!$D$23)*4-(Q7-1)))</f>
        <v>0</v>
      </c>
      <c r="U7" s="9">
        <f>MAX(0,MIN(1,(1+D7/Parameters!$D$24)*4-(R7-1)))</f>
        <v>0</v>
      </c>
      <c r="V7" s="9">
        <f>MAX(0,MIN(1,(1+E7/Parameters!$D$25)*4-(S7-1)))</f>
        <v>0</v>
      </c>
    </row>
    <row r="8" spans="1:22" ht="21.95" customHeight="1">
      <c r="A8" s="2"/>
      <c r="B8" s="8" t="str">
        <f>"c "&amp;C8</f>
        <v>c -6</v>
      </c>
      <c r="C8" s="8">
        <f>Parameters!G7</f>
        <v>-6</v>
      </c>
      <c r="D8" s="8">
        <f>'LSC Sweep'!$C$6</f>
        <v>-10</v>
      </c>
      <c r="E8" s="8">
        <f>Parameters!G16</f>
        <v>-10</v>
      </c>
      <c r="F8" s="8">
        <f>IF('LSC Sweep'!$C$4="Type-B",INDEX(Parameters!$J$10:$N$10,1,Q8)+(INDEX(Parameters!$J$10:$N$10,1,Q8+1)-INDEX(Parameters!$J$10:$N$10,1,Q8))*T8,INDEX(Parameters!$D$10:$H$10,1,Q8)+(INDEX(Parameters!$D$10:$H$10,1,Q8+1)-INDEX(Parameters!$D$10:$H$10,1,Q8))*T8)</f>
        <v>3600</v>
      </c>
      <c r="G8" s="8">
        <f>IF('LSC Sweep'!$C$4="Type-B",INDEX(Parameters!$J$11:$N$11,1,R8)+(INDEX(Parameters!$J$11:$N$11,1,R8+1)-INDEX(Parameters!$J$11:$N$11,1,R8))*U8,INDEX(Parameters!$D$11:$H$11,1,Q8)+(INDEX(Parameters!$D$11:$H$11,1,Q8+1)-INDEX(Parameters!$D$11:$H$11,1,Q8))*T8)</f>
        <v>0.35</v>
      </c>
      <c r="H8" s="8">
        <f>IF('LSC Sweep'!$C$4="Type-B",INDEX(Parameters!$J$12:$N$12,1,Q8)+(INDEX(Parameters!$J$12:$N$12,1,Q8+1)-INDEX(Parameters!$J$12:$N$12,1,Q8))*T8,INDEX(Parameters!$D$12:$H$12,1,Q8)+(INDEX(Parameters!$D$12:$H$12,1,Q8+1)-INDEX(Parameters!$D$12:$H$12,1,Q8))*T8)</f>
        <v>0.56000000000000005</v>
      </c>
      <c r="I8" s="8">
        <f>F8*H8</f>
        <v>2016.0000000000002</v>
      </c>
      <c r="J8" s="8">
        <f>IF('LSC Sweep'!$C$4="Type-B",INDEX(Parameters!$J$13:$N$13,1,R8)+(INDEX(Parameters!$J$13:$N$13,1,R8+1)-INDEX(Parameters!$J$13:$N$13,1,R8))*U8,INDEX(Parameters!$D$13:$H$13,1,R8)+(INDEX(Parameters!$D$13:$H$13,1,R8+1)-INDEX(Parameters!$D$13:$H$13,1,R8))*U8)</f>
        <v>500</v>
      </c>
      <c r="K8" s="8">
        <f>IF('LSC Sweep'!$C$4="Type-B",Parameters!$L$14,INDEX(Parameters!$D$14:$H$14,1,R8)+(INDEX(Parameters!$D$14:$H$14,1,R8+1)-INDEX(Parameters!$D$14:$H$14,1,R8))*U8)</f>
        <v>0.6</v>
      </c>
      <c r="L8" s="8">
        <f>I8+J8</f>
        <v>2516</v>
      </c>
      <c r="M8" s="8">
        <f>IF('LSC Sweep'!$C$4="Type-B",INDEX(Parameters!$J$17:$N$17,1,S8)+(INDEX(Parameters!$J$17:$N$17,1,S8+1)-INDEX(Parameters!$J$17:$N$17,1,S8))*V8,INDEX(Parameters!$D$17:$H$17,1,S8)+(INDEX(Parameters!$D$17:$H$17,1,S8+1)-INDEX(Parameters!$D$17:$H$17,1,S8))*V8)</f>
        <v>2950</v>
      </c>
      <c r="N8" s="8">
        <f>IF('LSC Sweep'!$C$4="Type-B",INDEX(Parameters!$J$18:$N$18,1,S8)+(INDEX(Parameters!$J$18:$N$18,1,S8+1)-INDEX(Parameters!$J$18:$N$18,1,S8))*V8,INDEX(Parameters!$D$18:$H$18,1,S8)+(INDEX(Parameters!$D$18:$H$18,1,S8+1)-INDEX(Parameters!$D$18:$H$18,1,S8))*V8)</f>
        <v>0.27500000000000002</v>
      </c>
      <c r="O8" s="8">
        <f>IF('LSC Sweep'!$C$4="Type-B",INDEX(Parameters!$J$19:$N$19,1,S8)+(INDEX(Parameters!$J$19:$N$19,1,S8+1)-INDEX(Parameters!$J$19:$N$19,1,S8))*V8,INDEX(Parameters!$D$19:$H$19,1,S8)+(INDEX(Parameters!$D$19:$H$19,1,S8+1)-INDEX(Parameters!$D$19:$H$19,1,S8))*V8)</f>
        <v>0.54</v>
      </c>
      <c r="P8" s="9">
        <f>M8*O8</f>
        <v>1593</v>
      </c>
      <c r="Q8" s="9">
        <f>MIN(4,MAX(1,INT((1+C8/Parameters!$D$23)*4)+1))</f>
        <v>4</v>
      </c>
      <c r="R8" s="9">
        <f>MIN(4,MAX(1,INT((1+D8/Parameters!$D$24)*4)+1))</f>
        <v>3</v>
      </c>
      <c r="S8" s="9">
        <f>MIN(4,MAX(1,INT((1+E8/Parameters!$D$25)*4)+1))</f>
        <v>4</v>
      </c>
      <c r="T8" s="9">
        <f>MAX(0,MIN(1,(1+C8/Parameters!$D$23)*4-(Q8-1)))</f>
        <v>0</v>
      </c>
      <c r="U8" s="9">
        <f>MAX(0,MIN(1,(1+D8/Parameters!$D$24)*4-(R8-1)))</f>
        <v>0</v>
      </c>
      <c r="V8" s="9">
        <f>MAX(0,MIN(1,(1+E8/Parameters!$D$25)*4-(S8-1)))</f>
        <v>0</v>
      </c>
    </row>
    <row r="9" spans="1:22" ht="21.95" customHeight="1">
      <c r="A9" s="2"/>
      <c r="B9" s="8" t="str">
        <f>"c "&amp;C9</f>
        <v>c 0</v>
      </c>
      <c r="C9" s="8">
        <f>Parameters!H7</f>
        <v>0</v>
      </c>
      <c r="D9" s="8">
        <f>'LSC Sweep'!$C$6</f>
        <v>-10</v>
      </c>
      <c r="E9" s="8">
        <f>Parameters!H16</f>
        <v>0</v>
      </c>
      <c r="F9" s="8">
        <f>IF('LSC Sweep'!$C$4="Type-B",INDEX(Parameters!$J$10:$N$10,1,Q9)+(INDEX(Parameters!$J$10:$N$10,1,Q9+1)-INDEX(Parameters!$J$10:$N$10,1,Q9))*T9,INDEX(Parameters!$D$10:$H$10,1,Q9)+(INDEX(Parameters!$D$10:$H$10,1,Q9+1)-INDEX(Parameters!$D$10:$H$10,1,Q9))*T9)</f>
        <v>4200</v>
      </c>
      <c r="G9" s="8">
        <f>IF('LSC Sweep'!$C$4="Type-B",INDEX(Parameters!$J$11:$N$11,1,R9)+(INDEX(Parameters!$J$11:$N$11,1,R9+1)-INDEX(Parameters!$J$11:$N$11,1,R9))*U9,INDEX(Parameters!$D$11:$H$11,1,Q9)+(INDEX(Parameters!$D$11:$H$11,1,Q9+1)-INDEX(Parameters!$D$11:$H$11,1,Q9))*T9)</f>
        <v>0.35</v>
      </c>
      <c r="H9" s="8">
        <f>IF('LSC Sweep'!$C$4="Type-B",INDEX(Parameters!$J$12:$N$12,1,Q9)+(INDEX(Parameters!$J$12:$N$12,1,Q9+1)-INDEX(Parameters!$J$12:$N$12,1,Q9))*T9,INDEX(Parameters!$D$12:$H$12,1,Q9)+(INDEX(Parameters!$D$12:$H$12,1,Q9+1)-INDEX(Parameters!$D$12:$H$12,1,Q9))*T9)</f>
        <v>0.54</v>
      </c>
      <c r="I9" s="8">
        <f>F9*H9</f>
        <v>2268</v>
      </c>
      <c r="J9" s="8">
        <f>IF('LSC Sweep'!$C$4="Type-B",INDEX(Parameters!$J$13:$N$13,1,R9)+(INDEX(Parameters!$J$13:$N$13,1,R9+1)-INDEX(Parameters!$J$13:$N$13,1,R9))*U9,INDEX(Parameters!$D$13:$H$13,1,R9)+(INDEX(Parameters!$D$13:$H$13,1,R9+1)-INDEX(Parameters!$D$13:$H$13,1,R9))*U9)</f>
        <v>500</v>
      </c>
      <c r="K9" s="8">
        <f>IF('LSC Sweep'!$C$4="Type-B",Parameters!$L$14,INDEX(Parameters!$D$14:$H$14,1,R9)+(INDEX(Parameters!$D$14:$H$14,1,R9+1)-INDEX(Parameters!$D$14:$H$14,1,R9))*U9)</f>
        <v>0.6</v>
      </c>
      <c r="L9" s="8">
        <f>I9+J9</f>
        <v>2768</v>
      </c>
      <c r="M9" s="8">
        <f>IF('LSC Sweep'!$C$4="Type-B",INDEX(Parameters!$J$17:$N$17,1,S9)+(INDEX(Parameters!$J$17:$N$17,1,S9+1)-INDEX(Parameters!$J$17:$N$17,1,S9))*V9,INDEX(Parameters!$D$17:$H$17,1,S9)+(INDEX(Parameters!$D$17:$H$17,1,S9+1)-INDEX(Parameters!$D$17:$H$17,1,S9))*V9)</f>
        <v>3400</v>
      </c>
      <c r="N9" s="8">
        <f>IF('LSC Sweep'!$C$4="Type-B",INDEX(Parameters!$J$18:$N$18,1,S9)+(INDEX(Parameters!$J$18:$N$18,1,S9+1)-INDEX(Parameters!$J$18:$N$18,1,S9))*V9,INDEX(Parameters!$D$18:$H$18,1,S9)+(INDEX(Parameters!$D$18:$H$18,1,S9+1)-INDEX(Parameters!$D$18:$H$18,1,S9))*V9)</f>
        <v>0.3</v>
      </c>
      <c r="O9" s="8">
        <f>IF('LSC Sweep'!$C$4="Type-B",INDEX(Parameters!$J$19:$N$19,1,S9)+(INDEX(Parameters!$J$19:$N$19,1,S9+1)-INDEX(Parameters!$J$19:$N$19,1,S9))*V9,INDEX(Parameters!$D$19:$H$19,1,S9)+(INDEX(Parameters!$D$19:$H$19,1,S9+1)-INDEX(Parameters!$D$19:$H$19,1,S9))*V9)</f>
        <v>0.5</v>
      </c>
      <c r="P9" s="9">
        <f>M9*O9</f>
        <v>1700</v>
      </c>
      <c r="Q9" s="9">
        <f>MIN(4,MAX(1,INT((1+C9/Parameters!$D$23)*4)+1))</f>
        <v>4</v>
      </c>
      <c r="R9" s="9">
        <f>MIN(4,MAX(1,INT((1+D9/Parameters!$D$24)*4)+1))</f>
        <v>3</v>
      </c>
      <c r="S9" s="9">
        <f>MIN(4,MAX(1,INT((1+E9/Parameters!$D$25)*4)+1))</f>
        <v>4</v>
      </c>
      <c r="T9" s="9">
        <f>MAX(0,MIN(1,(1+C9/Parameters!$D$23)*4-(Q9-1)))</f>
        <v>1</v>
      </c>
      <c r="U9" s="9">
        <f>MAX(0,MIN(1,(1+D9/Parameters!$D$24)*4-(R9-1)))</f>
        <v>0</v>
      </c>
      <c r="V9" s="9">
        <f>MAX(0,MIN(1,(1+E9/Parameters!$D$25)*4-(S9-1)))</f>
        <v>1</v>
      </c>
    </row>
    <row r="10" spans="1:22" ht="21.95" customHeight="1">
      <c r="A10" s="2"/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9"/>
      <c r="Q10" s="9"/>
      <c r="R10" s="9"/>
      <c r="S10" s="9"/>
      <c r="T10" s="9"/>
      <c r="U10" s="9"/>
      <c r="V10" s="9"/>
    </row>
    <row r="11" spans="1:22" ht="21.95" customHeight="1">
      <c r="A11" s="2"/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9"/>
      <c r="Q11" s="9"/>
      <c r="R11" s="9"/>
      <c r="S11" s="9"/>
      <c r="T11" s="9"/>
      <c r="U11" s="9"/>
      <c r="V11" s="9"/>
    </row>
    <row r="12" spans="1:22" ht="21.95" customHeight="1">
      <c r="A12" s="2"/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9"/>
      <c r="Q12" s="9"/>
      <c r="R12" s="9"/>
      <c r="S12" s="9"/>
      <c r="T12" s="9"/>
      <c r="U12" s="9"/>
      <c r="V12" s="9"/>
    </row>
    <row r="13" spans="1:22" ht="21.95" customHeight="1">
      <c r="A13" s="2"/>
      <c r="B13" s="11" t="s">
        <v>31</v>
      </c>
      <c r="C13" s="11" t="str">
        <f>B5</f>
        <v>c -24</v>
      </c>
      <c r="D13" s="11" t="str">
        <f>B6</f>
        <v>c -18</v>
      </c>
      <c r="E13" s="11" t="str">
        <f>B7</f>
        <v>c -12</v>
      </c>
      <c r="F13" s="11" t="str">
        <f>B8</f>
        <v>c -6</v>
      </c>
      <c r="G13" s="11" t="str">
        <f>B9</f>
        <v>c 0</v>
      </c>
      <c r="H13" s="8"/>
      <c r="I13" s="8"/>
      <c r="J13" s="8"/>
      <c r="K13" s="8"/>
      <c r="L13" s="8"/>
      <c r="M13" s="8"/>
      <c r="N13" s="8"/>
      <c r="O13" s="8"/>
      <c r="P13" s="9"/>
      <c r="Q13" s="9"/>
      <c r="R13" s="9"/>
      <c r="S13" s="9"/>
      <c r="T13" s="9"/>
      <c r="U13" s="9"/>
      <c r="V13" s="9"/>
    </row>
    <row r="14" spans="1:22" ht="21.95" customHeight="1">
      <c r="A14" s="2"/>
      <c r="B14" s="15">
        <v>0</v>
      </c>
      <c r="C14" s="15">
        <f t="shared" ref="C14:C34" si="0">$F$5*MIN($B14,$G$5)+$I$5*MAX(0,$B14-$G$5)+$J$5*MAX(0,$B14-$K$5)</f>
        <v>0</v>
      </c>
      <c r="D14" s="15">
        <f t="shared" ref="D14:D34" si="1">$F$6*MIN($B14,$G$6)+$I$6*MAX(0,$B14-$G$6)+$J$6*MAX(0,$B14-$K$6)</f>
        <v>0</v>
      </c>
      <c r="E14" s="15">
        <f t="shared" ref="E14:E34" si="2">$F$7*MIN($B14,$G$7)+$I$7*MAX(0,$B14-$G$7)+$J$7*MAX(0,$B14-$K$7)</f>
        <v>0</v>
      </c>
      <c r="F14" s="15">
        <f t="shared" ref="F14:F34" si="3">$F$8*MIN($B14,$G$8)+$I$8*MAX(0,$B14-$G$8)+$J$8*MAX(0,$B14-$K$8)</f>
        <v>0</v>
      </c>
      <c r="G14" s="15">
        <f t="shared" ref="G14:G34" si="4">$F$9*MIN($B14,$G$9)+$I$9*MAX(0,$B14-$G$9)+$J$9*MAX(0,$B14-$K$9)</f>
        <v>0</v>
      </c>
      <c r="H14" s="8"/>
      <c r="I14" s="8"/>
      <c r="J14" s="8"/>
      <c r="K14" s="8"/>
      <c r="L14" s="8"/>
      <c r="M14" s="8"/>
      <c r="N14" s="8"/>
      <c r="O14" s="8"/>
      <c r="P14" s="9"/>
      <c r="Q14" s="9"/>
      <c r="R14" s="9"/>
      <c r="S14" s="9"/>
      <c r="T14" s="9"/>
      <c r="U14" s="9"/>
      <c r="V14" s="9"/>
    </row>
    <row r="15" spans="1:22" ht="21.95" customHeight="1">
      <c r="A15" s="2"/>
      <c r="B15" s="15">
        <v>0.05</v>
      </c>
      <c r="C15" s="15">
        <f t="shared" si="0"/>
        <v>90</v>
      </c>
      <c r="D15" s="15">
        <f t="shared" si="1"/>
        <v>120</v>
      </c>
      <c r="E15" s="15">
        <f t="shared" si="2"/>
        <v>150</v>
      </c>
      <c r="F15" s="15">
        <f t="shared" si="3"/>
        <v>180</v>
      </c>
      <c r="G15" s="15">
        <f t="shared" si="4"/>
        <v>210</v>
      </c>
      <c r="H15" s="8"/>
      <c r="I15" s="8"/>
      <c r="J15" s="8"/>
      <c r="K15" s="8"/>
      <c r="L15" s="8"/>
      <c r="M15" s="8"/>
      <c r="N15" s="8"/>
      <c r="O15" s="8"/>
      <c r="P15" s="9"/>
      <c r="Q15" s="9"/>
      <c r="R15" s="9"/>
      <c r="S15" s="9"/>
      <c r="T15" s="9"/>
      <c r="U15" s="9"/>
      <c r="V15" s="9"/>
    </row>
    <row r="16" spans="1:22" ht="21.95" customHeight="1">
      <c r="A16" s="2"/>
      <c r="B16" s="15">
        <v>0.1</v>
      </c>
      <c r="C16" s="15">
        <f t="shared" si="0"/>
        <v>180</v>
      </c>
      <c r="D16" s="15">
        <f t="shared" si="1"/>
        <v>240</v>
      </c>
      <c r="E16" s="15">
        <f t="shared" si="2"/>
        <v>300</v>
      </c>
      <c r="F16" s="15">
        <f t="shared" si="3"/>
        <v>360</v>
      </c>
      <c r="G16" s="15">
        <f t="shared" si="4"/>
        <v>420</v>
      </c>
      <c r="H16" s="8"/>
      <c r="I16" s="8"/>
      <c r="J16" s="8"/>
      <c r="K16" s="8"/>
      <c r="L16" s="8"/>
      <c r="M16" s="8"/>
      <c r="N16" s="8"/>
      <c r="O16" s="8"/>
      <c r="P16" s="9"/>
      <c r="Q16" s="9"/>
      <c r="R16" s="9"/>
      <c r="S16" s="9"/>
      <c r="T16" s="9"/>
      <c r="U16" s="9"/>
      <c r="V16" s="9"/>
    </row>
    <row r="17" spans="1:22" ht="21.95" customHeight="1">
      <c r="A17" s="2"/>
      <c r="B17" s="15">
        <v>0.15</v>
      </c>
      <c r="C17" s="15">
        <f t="shared" si="0"/>
        <v>270</v>
      </c>
      <c r="D17" s="15">
        <f t="shared" si="1"/>
        <v>360</v>
      </c>
      <c r="E17" s="15">
        <f t="shared" si="2"/>
        <v>450</v>
      </c>
      <c r="F17" s="15">
        <f t="shared" si="3"/>
        <v>540</v>
      </c>
      <c r="G17" s="15">
        <f t="shared" si="4"/>
        <v>630</v>
      </c>
      <c r="H17" s="8"/>
      <c r="I17" s="8"/>
      <c r="J17" s="8"/>
      <c r="K17" s="8"/>
      <c r="L17" s="8"/>
      <c r="M17" s="8"/>
      <c r="N17" s="8"/>
      <c r="O17" s="8"/>
      <c r="P17" s="9"/>
      <c r="Q17" s="9"/>
      <c r="R17" s="9"/>
      <c r="S17" s="9"/>
      <c r="T17" s="9"/>
      <c r="U17" s="9"/>
      <c r="V17" s="9"/>
    </row>
    <row r="18" spans="1:22" ht="21.95" customHeight="1">
      <c r="A18" s="2"/>
      <c r="B18" s="15">
        <v>0.2</v>
      </c>
      <c r="C18" s="15">
        <f t="shared" si="0"/>
        <v>360</v>
      </c>
      <c r="D18" s="15">
        <f t="shared" si="1"/>
        <v>480</v>
      </c>
      <c r="E18" s="15">
        <f t="shared" si="2"/>
        <v>600</v>
      </c>
      <c r="F18" s="15">
        <f t="shared" si="3"/>
        <v>720</v>
      </c>
      <c r="G18" s="15">
        <f t="shared" si="4"/>
        <v>840</v>
      </c>
      <c r="H18" s="8"/>
      <c r="I18" s="8"/>
      <c r="J18" s="8"/>
      <c r="K18" s="8"/>
      <c r="L18" s="8"/>
      <c r="M18" s="8"/>
      <c r="N18" s="8"/>
      <c r="O18" s="8"/>
      <c r="P18" s="9"/>
      <c r="Q18" s="9"/>
      <c r="R18" s="9"/>
      <c r="S18" s="9"/>
      <c r="T18" s="9"/>
      <c r="U18" s="9"/>
      <c r="V18" s="9"/>
    </row>
    <row r="19" spans="1:22" ht="21.95" customHeight="1">
      <c r="A19" s="2"/>
      <c r="B19" s="15">
        <v>0.25</v>
      </c>
      <c r="C19" s="15">
        <f t="shared" si="0"/>
        <v>450</v>
      </c>
      <c r="D19" s="15">
        <f t="shared" si="1"/>
        <v>600</v>
      </c>
      <c r="E19" s="15">
        <f t="shared" si="2"/>
        <v>750</v>
      </c>
      <c r="F19" s="15">
        <f t="shared" si="3"/>
        <v>900</v>
      </c>
      <c r="G19" s="15">
        <f t="shared" si="4"/>
        <v>1050</v>
      </c>
      <c r="H19" s="8"/>
      <c r="I19" s="8"/>
      <c r="J19" s="8"/>
      <c r="K19" s="8"/>
      <c r="L19" s="8"/>
      <c r="M19" s="8"/>
      <c r="N19" s="8"/>
      <c r="O19" s="8"/>
      <c r="P19" s="9"/>
      <c r="Q19" s="9"/>
      <c r="R19" s="9"/>
      <c r="S19" s="9"/>
      <c r="T19" s="9"/>
      <c r="U19" s="9"/>
      <c r="V19" s="9"/>
    </row>
    <row r="20" spans="1:22" ht="21.95" customHeight="1">
      <c r="A20" s="2"/>
      <c r="B20" s="15">
        <v>0.3</v>
      </c>
      <c r="C20" s="15">
        <f t="shared" si="0"/>
        <v>540</v>
      </c>
      <c r="D20" s="15">
        <f t="shared" si="1"/>
        <v>720</v>
      </c>
      <c r="E20" s="15">
        <f t="shared" si="2"/>
        <v>900</v>
      </c>
      <c r="F20" s="15">
        <f t="shared" si="3"/>
        <v>1080</v>
      </c>
      <c r="G20" s="15">
        <f t="shared" si="4"/>
        <v>1260</v>
      </c>
      <c r="H20" s="8"/>
      <c r="I20" s="8"/>
      <c r="J20" s="8"/>
      <c r="K20" s="8"/>
      <c r="L20" s="8"/>
      <c r="M20" s="8"/>
      <c r="N20" s="8"/>
      <c r="O20" s="8"/>
      <c r="P20" s="9"/>
      <c r="Q20" s="9"/>
      <c r="R20" s="9"/>
      <c r="S20" s="9"/>
      <c r="T20" s="9"/>
      <c r="U20" s="9"/>
      <c r="V20" s="9"/>
    </row>
    <row r="21" spans="1:22" ht="21.95" customHeight="1">
      <c r="A21" s="2"/>
      <c r="B21" s="15">
        <v>0.35</v>
      </c>
      <c r="C21" s="15">
        <f t="shared" si="0"/>
        <v>630</v>
      </c>
      <c r="D21" s="15">
        <f t="shared" si="1"/>
        <v>840</v>
      </c>
      <c r="E21" s="15">
        <f t="shared" si="2"/>
        <v>1050</v>
      </c>
      <c r="F21" s="15">
        <f t="shared" si="3"/>
        <v>1260</v>
      </c>
      <c r="G21" s="15">
        <f t="shared" si="4"/>
        <v>1470</v>
      </c>
      <c r="H21" s="8"/>
      <c r="I21" s="8"/>
      <c r="J21" s="8"/>
      <c r="K21" s="8"/>
      <c r="L21" s="8"/>
      <c r="M21" s="8"/>
      <c r="N21" s="8"/>
      <c r="O21" s="8"/>
      <c r="P21" s="9"/>
      <c r="Q21" s="9"/>
      <c r="R21" s="9"/>
      <c r="S21" s="9"/>
      <c r="T21" s="9"/>
      <c r="U21" s="9"/>
      <c r="V21" s="9"/>
    </row>
    <row r="22" spans="1:22" ht="21.95" customHeight="1">
      <c r="A22" s="2"/>
      <c r="B22" s="15">
        <v>0.4</v>
      </c>
      <c r="C22" s="15">
        <f t="shared" si="0"/>
        <v>685.80000000000007</v>
      </c>
      <c r="D22" s="15">
        <f t="shared" si="1"/>
        <v>912</v>
      </c>
      <c r="E22" s="15">
        <f t="shared" si="2"/>
        <v>1137</v>
      </c>
      <c r="F22" s="15">
        <f t="shared" si="3"/>
        <v>1360.8000000000002</v>
      </c>
      <c r="G22" s="15">
        <f t="shared" si="4"/>
        <v>1583.4</v>
      </c>
      <c r="H22" s="8"/>
      <c r="I22" s="8"/>
      <c r="J22" s="8"/>
      <c r="K22" s="8"/>
      <c r="L22" s="8"/>
      <c r="M22" s="8"/>
      <c r="N22" s="8"/>
      <c r="O22" s="8"/>
      <c r="P22" s="9"/>
      <c r="Q22" s="9"/>
      <c r="R22" s="9"/>
      <c r="S22" s="9"/>
      <c r="T22" s="9"/>
      <c r="U22" s="9"/>
      <c r="V22" s="9"/>
    </row>
    <row r="23" spans="1:22" ht="21.95" customHeight="1">
      <c r="A23" s="2"/>
      <c r="B23" s="15">
        <v>0.45</v>
      </c>
      <c r="C23" s="15">
        <f t="shared" si="0"/>
        <v>741.6</v>
      </c>
      <c r="D23" s="15">
        <f t="shared" si="1"/>
        <v>984</v>
      </c>
      <c r="E23" s="15">
        <f t="shared" si="2"/>
        <v>1224</v>
      </c>
      <c r="F23" s="15">
        <f t="shared" si="3"/>
        <v>1461.6000000000001</v>
      </c>
      <c r="G23" s="15">
        <f t="shared" si="4"/>
        <v>1696.8000000000002</v>
      </c>
      <c r="H23" s="8"/>
      <c r="I23" s="8"/>
      <c r="J23" s="8"/>
      <c r="K23" s="8"/>
      <c r="L23" s="8"/>
      <c r="M23" s="8"/>
      <c r="N23" s="8"/>
      <c r="O23" s="8"/>
      <c r="P23" s="9"/>
      <c r="Q23" s="9"/>
      <c r="R23" s="9"/>
      <c r="S23" s="9"/>
      <c r="T23" s="9"/>
      <c r="U23" s="9"/>
      <c r="V23" s="9"/>
    </row>
    <row r="24" spans="1:22" ht="21.95" customHeight="1">
      <c r="A24" s="2"/>
      <c r="B24" s="15">
        <v>0.5</v>
      </c>
      <c r="C24" s="15">
        <f t="shared" si="0"/>
        <v>797.40000000000009</v>
      </c>
      <c r="D24" s="15">
        <f t="shared" si="1"/>
        <v>1056</v>
      </c>
      <c r="E24" s="15">
        <f t="shared" si="2"/>
        <v>1311</v>
      </c>
      <c r="F24" s="15">
        <f t="shared" si="3"/>
        <v>1562.4</v>
      </c>
      <c r="G24" s="15">
        <f t="shared" si="4"/>
        <v>1810.2</v>
      </c>
      <c r="H24" s="8"/>
      <c r="I24" s="8"/>
      <c r="J24" s="8"/>
      <c r="K24" s="8"/>
      <c r="L24" s="8"/>
      <c r="M24" s="8"/>
      <c r="N24" s="8"/>
      <c r="O24" s="8"/>
      <c r="P24" s="9"/>
      <c r="Q24" s="9"/>
      <c r="R24" s="9"/>
      <c r="S24" s="9"/>
      <c r="T24" s="9"/>
      <c r="U24" s="9"/>
      <c r="V24" s="9"/>
    </row>
    <row r="25" spans="1:22" ht="21.95" customHeight="1">
      <c r="A25" s="2"/>
      <c r="B25" s="15">
        <v>0.55000000000000004</v>
      </c>
      <c r="C25" s="15">
        <f t="shared" si="0"/>
        <v>853.2</v>
      </c>
      <c r="D25" s="15">
        <f t="shared" si="1"/>
        <v>1128</v>
      </c>
      <c r="E25" s="15">
        <f t="shared" si="2"/>
        <v>1398</v>
      </c>
      <c r="F25" s="15">
        <f t="shared" si="3"/>
        <v>1663.2000000000003</v>
      </c>
      <c r="G25" s="15">
        <f t="shared" si="4"/>
        <v>1923.6000000000001</v>
      </c>
      <c r="H25" s="8"/>
      <c r="I25" s="8"/>
      <c r="J25" s="8"/>
      <c r="K25" s="8"/>
      <c r="L25" s="8"/>
      <c r="M25" s="8"/>
      <c r="N25" s="8"/>
      <c r="O25" s="8"/>
      <c r="P25" s="9"/>
      <c r="Q25" s="9"/>
      <c r="R25" s="9"/>
      <c r="S25" s="9"/>
      <c r="T25" s="9"/>
      <c r="U25" s="9"/>
      <c r="V25" s="9"/>
    </row>
    <row r="26" spans="1:22" ht="21.95" customHeight="1">
      <c r="A26" s="2"/>
      <c r="B26" s="15">
        <v>0.6</v>
      </c>
      <c r="C26" s="15">
        <f t="shared" si="0"/>
        <v>909</v>
      </c>
      <c r="D26" s="15">
        <f t="shared" si="1"/>
        <v>1200</v>
      </c>
      <c r="E26" s="15">
        <f t="shared" si="2"/>
        <v>1485</v>
      </c>
      <c r="F26" s="15">
        <f t="shared" si="3"/>
        <v>1764</v>
      </c>
      <c r="G26" s="15">
        <f t="shared" si="4"/>
        <v>2037</v>
      </c>
      <c r="H26" s="8"/>
      <c r="I26" s="8"/>
      <c r="J26" s="8"/>
      <c r="K26" s="8"/>
      <c r="L26" s="8"/>
      <c r="M26" s="8"/>
      <c r="N26" s="8"/>
      <c r="O26" s="8"/>
      <c r="P26" s="9"/>
      <c r="Q26" s="9"/>
      <c r="R26" s="9"/>
      <c r="S26" s="9"/>
      <c r="T26" s="9"/>
      <c r="U26" s="9"/>
      <c r="V26" s="9"/>
    </row>
    <row r="27" spans="1:22" ht="21.95" customHeight="1">
      <c r="A27" s="2"/>
      <c r="B27" s="15">
        <v>0.65</v>
      </c>
      <c r="C27" s="15">
        <f t="shared" si="0"/>
        <v>989.80000000000007</v>
      </c>
      <c r="D27" s="15">
        <f t="shared" si="1"/>
        <v>1297</v>
      </c>
      <c r="E27" s="15">
        <f t="shared" si="2"/>
        <v>1597</v>
      </c>
      <c r="F27" s="15">
        <f t="shared" si="3"/>
        <v>1889.8000000000002</v>
      </c>
      <c r="G27" s="15">
        <f t="shared" si="4"/>
        <v>2175.4</v>
      </c>
      <c r="H27" s="8"/>
      <c r="I27" s="8"/>
      <c r="J27" s="8"/>
      <c r="K27" s="8"/>
      <c r="L27" s="8"/>
      <c r="M27" s="8"/>
      <c r="N27" s="8"/>
      <c r="O27" s="8"/>
      <c r="P27" s="9"/>
      <c r="Q27" s="9"/>
      <c r="R27" s="9"/>
      <c r="S27" s="9"/>
      <c r="T27" s="9"/>
      <c r="U27" s="9"/>
      <c r="V27" s="9"/>
    </row>
    <row r="28" spans="1:22" ht="21.95" customHeight="1">
      <c r="A28" s="2"/>
      <c r="B28" s="15">
        <v>0.7</v>
      </c>
      <c r="C28" s="15">
        <f t="shared" si="0"/>
        <v>1070.5999999999999</v>
      </c>
      <c r="D28" s="15">
        <f t="shared" si="1"/>
        <v>1394</v>
      </c>
      <c r="E28" s="15">
        <f t="shared" si="2"/>
        <v>1709</v>
      </c>
      <c r="F28" s="15">
        <f t="shared" si="3"/>
        <v>2015.6</v>
      </c>
      <c r="G28" s="15">
        <f t="shared" si="4"/>
        <v>2313.8000000000002</v>
      </c>
      <c r="H28" s="8"/>
      <c r="I28" s="8"/>
      <c r="J28" s="8"/>
      <c r="K28" s="8"/>
      <c r="L28" s="8"/>
      <c r="M28" s="8"/>
      <c r="N28" s="8"/>
      <c r="O28" s="8"/>
      <c r="P28" s="9"/>
      <c r="Q28" s="9"/>
      <c r="R28" s="9"/>
      <c r="S28" s="9"/>
      <c r="T28" s="9"/>
      <c r="U28" s="9"/>
      <c r="V28" s="9"/>
    </row>
    <row r="29" spans="1:22" ht="21.95" customHeight="1">
      <c r="A29" s="2"/>
      <c r="B29" s="15">
        <v>0.75</v>
      </c>
      <c r="C29" s="15">
        <f t="shared" si="0"/>
        <v>1151.4000000000001</v>
      </c>
      <c r="D29" s="15">
        <f t="shared" si="1"/>
        <v>1491</v>
      </c>
      <c r="E29" s="15">
        <f t="shared" si="2"/>
        <v>1821</v>
      </c>
      <c r="F29" s="15">
        <f t="shared" si="3"/>
        <v>2141.4</v>
      </c>
      <c r="G29" s="15">
        <f t="shared" si="4"/>
        <v>2452.1999999999998</v>
      </c>
      <c r="H29" s="8"/>
      <c r="I29" s="8"/>
      <c r="J29" s="8"/>
      <c r="K29" s="8"/>
      <c r="L29" s="8"/>
      <c r="M29" s="8"/>
      <c r="N29" s="8"/>
      <c r="O29" s="8"/>
      <c r="P29" s="9"/>
      <c r="Q29" s="9"/>
      <c r="R29" s="9"/>
      <c r="S29" s="9"/>
      <c r="T29" s="9"/>
      <c r="U29" s="9"/>
      <c r="V29" s="9"/>
    </row>
    <row r="30" spans="1:22" ht="21.95" customHeight="1">
      <c r="A30" s="2"/>
      <c r="B30" s="15">
        <v>0.8</v>
      </c>
      <c r="C30" s="15">
        <f t="shared" si="0"/>
        <v>1232.2</v>
      </c>
      <c r="D30" s="15">
        <f t="shared" si="1"/>
        <v>1588</v>
      </c>
      <c r="E30" s="15">
        <f t="shared" si="2"/>
        <v>1933</v>
      </c>
      <c r="F30" s="15">
        <f t="shared" si="3"/>
        <v>2267.2000000000003</v>
      </c>
      <c r="G30" s="15">
        <f t="shared" si="4"/>
        <v>2590.6000000000004</v>
      </c>
      <c r="H30" s="8"/>
      <c r="I30" s="8"/>
      <c r="J30" s="8"/>
      <c r="K30" s="8"/>
      <c r="L30" s="8"/>
      <c r="M30" s="8"/>
      <c r="N30" s="8"/>
      <c r="O30" s="8"/>
      <c r="P30" s="9"/>
      <c r="Q30" s="9"/>
      <c r="R30" s="9"/>
      <c r="S30" s="9"/>
      <c r="T30" s="9"/>
      <c r="U30" s="9"/>
      <c r="V30" s="9"/>
    </row>
    <row r="31" spans="1:22" ht="21.95" customHeight="1">
      <c r="A31" s="2"/>
      <c r="B31" s="15">
        <v>0.85</v>
      </c>
      <c r="C31" s="15">
        <f t="shared" si="0"/>
        <v>1313</v>
      </c>
      <c r="D31" s="15">
        <f t="shared" si="1"/>
        <v>1685</v>
      </c>
      <c r="E31" s="15">
        <f t="shared" si="2"/>
        <v>2045</v>
      </c>
      <c r="F31" s="15">
        <f t="shared" si="3"/>
        <v>2393</v>
      </c>
      <c r="G31" s="15">
        <f t="shared" si="4"/>
        <v>2729</v>
      </c>
      <c r="H31" s="8"/>
      <c r="I31" s="8"/>
      <c r="J31" s="8"/>
      <c r="K31" s="8"/>
      <c r="L31" s="8"/>
      <c r="M31" s="8"/>
      <c r="N31" s="8"/>
      <c r="O31" s="8"/>
      <c r="P31" s="9"/>
      <c r="Q31" s="9"/>
      <c r="R31" s="9"/>
      <c r="S31" s="9"/>
      <c r="T31" s="9"/>
      <c r="U31" s="9"/>
      <c r="V31" s="9"/>
    </row>
    <row r="32" spans="1:22" ht="21.95" customHeight="1">
      <c r="A32" s="2"/>
      <c r="B32" s="15">
        <v>0.9</v>
      </c>
      <c r="C32" s="15">
        <f t="shared" si="0"/>
        <v>1393.8000000000002</v>
      </c>
      <c r="D32" s="15">
        <f t="shared" si="1"/>
        <v>1782</v>
      </c>
      <c r="E32" s="15">
        <f t="shared" si="2"/>
        <v>2157</v>
      </c>
      <c r="F32" s="15">
        <f t="shared" si="3"/>
        <v>2518.8000000000002</v>
      </c>
      <c r="G32" s="15">
        <f t="shared" si="4"/>
        <v>2867.4</v>
      </c>
      <c r="H32" s="8"/>
      <c r="I32" s="8"/>
      <c r="J32" s="8"/>
      <c r="K32" s="8"/>
      <c r="L32" s="8"/>
      <c r="M32" s="8"/>
      <c r="N32" s="8"/>
      <c r="O32" s="8"/>
      <c r="P32" s="9"/>
      <c r="Q32" s="9"/>
      <c r="R32" s="9"/>
      <c r="S32" s="9"/>
      <c r="T32" s="9"/>
      <c r="U32" s="9"/>
      <c r="V32" s="9"/>
    </row>
    <row r="33" spans="1:22" ht="21.95" customHeight="1">
      <c r="A33" s="2"/>
      <c r="B33" s="15">
        <v>0.95</v>
      </c>
      <c r="C33" s="15">
        <f t="shared" si="0"/>
        <v>1474.6</v>
      </c>
      <c r="D33" s="15">
        <f t="shared" si="1"/>
        <v>1879</v>
      </c>
      <c r="E33" s="15">
        <f t="shared" si="2"/>
        <v>2269</v>
      </c>
      <c r="F33" s="15">
        <f t="shared" si="3"/>
        <v>2644.6000000000004</v>
      </c>
      <c r="G33" s="15">
        <f t="shared" si="4"/>
        <v>3005.8</v>
      </c>
      <c r="H33" s="8"/>
      <c r="I33" s="8"/>
      <c r="J33" s="8"/>
      <c r="K33" s="8"/>
      <c r="L33" s="8"/>
      <c r="M33" s="8"/>
      <c r="N33" s="8"/>
      <c r="O33" s="8"/>
      <c r="P33" s="9"/>
      <c r="Q33" s="9"/>
      <c r="R33" s="9"/>
      <c r="S33" s="9"/>
      <c r="T33" s="9"/>
      <c r="U33" s="9"/>
      <c r="V33" s="9"/>
    </row>
    <row r="34" spans="1:22" ht="21.95" customHeight="1">
      <c r="A34" s="2"/>
      <c r="B34" s="15">
        <v>1</v>
      </c>
      <c r="C34" s="15">
        <f t="shared" si="0"/>
        <v>1555.4</v>
      </c>
      <c r="D34" s="15">
        <f t="shared" si="1"/>
        <v>1976</v>
      </c>
      <c r="E34" s="15">
        <f t="shared" si="2"/>
        <v>2381</v>
      </c>
      <c r="F34" s="15">
        <f t="shared" si="3"/>
        <v>2770.4</v>
      </c>
      <c r="G34" s="15">
        <f t="shared" si="4"/>
        <v>3144.2</v>
      </c>
      <c r="H34" s="8"/>
      <c r="I34" s="8"/>
      <c r="J34" s="8"/>
      <c r="K34" s="8"/>
      <c r="L34" s="8"/>
      <c r="M34" s="8"/>
      <c r="N34" s="8"/>
      <c r="O34" s="8"/>
      <c r="P34" s="9"/>
      <c r="Q34" s="9"/>
      <c r="R34" s="9"/>
      <c r="S34" s="9"/>
      <c r="T34" s="9"/>
      <c r="U34" s="9"/>
      <c r="V34" s="9"/>
    </row>
    <row r="35" spans="1:22" ht="21.95" customHeight="1">
      <c r="A35" s="2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9"/>
      <c r="Q35" s="9"/>
      <c r="R35" s="9"/>
      <c r="S35" s="9"/>
      <c r="T35" s="9"/>
      <c r="U35" s="9"/>
      <c r="V35" s="9"/>
    </row>
    <row r="36" spans="1:22" ht="21.95" customHeight="1">
      <c r="A36" s="2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9"/>
      <c r="Q36" s="9"/>
      <c r="R36" s="9"/>
      <c r="S36" s="9"/>
      <c r="T36" s="9"/>
      <c r="U36" s="9"/>
      <c r="V36" s="9"/>
    </row>
    <row r="37" spans="1:22" ht="21.95" customHeight="1">
      <c r="A37" s="2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9"/>
      <c r="Q37" s="9"/>
      <c r="R37" s="9"/>
      <c r="S37" s="9"/>
      <c r="T37" s="9"/>
      <c r="U37" s="9"/>
      <c r="V37" s="9"/>
    </row>
    <row r="38" spans="1:22" ht="21.95" customHeight="1">
      <c r="A38" s="2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9"/>
      <c r="Q38" s="9"/>
      <c r="R38" s="9"/>
      <c r="S38" s="9"/>
      <c r="T38" s="9"/>
      <c r="U38" s="9"/>
      <c r="V38" s="9"/>
    </row>
    <row r="39" spans="1:22" ht="21.95" customHeight="1">
      <c r="A39" s="2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9"/>
      <c r="Q39" s="9"/>
      <c r="R39" s="9"/>
      <c r="S39" s="9"/>
      <c r="T39" s="9"/>
      <c r="U39" s="9"/>
      <c r="V39" s="9"/>
    </row>
    <row r="40" spans="1:22" ht="21.95" customHeight="1">
      <c r="A40" s="2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9"/>
      <c r="Q40" s="9"/>
      <c r="R40" s="9"/>
      <c r="S40" s="9"/>
      <c r="T40" s="9"/>
      <c r="U40" s="9"/>
      <c r="V40" s="9"/>
    </row>
    <row r="41" spans="1:22" ht="21.95" customHeight="1">
      <c r="A41" s="2"/>
      <c r="B41" s="28" t="s">
        <v>71</v>
      </c>
      <c r="C41" s="28"/>
      <c r="D41" s="28"/>
      <c r="E41" s="28"/>
      <c r="F41" s="28"/>
      <c r="G41" s="28"/>
      <c r="H41" s="28"/>
      <c r="I41" s="28"/>
      <c r="J41" s="28"/>
      <c r="K41" s="28"/>
      <c r="L41" s="28"/>
      <c r="M41" s="28"/>
      <c r="N41" s="28"/>
      <c r="O41" s="28"/>
      <c r="P41" s="29"/>
      <c r="Q41" s="29"/>
      <c r="R41" s="29"/>
      <c r="S41" s="29"/>
      <c r="T41" s="29"/>
      <c r="U41" s="29"/>
      <c r="V41" s="29"/>
    </row>
    <row r="42" spans="1:22" ht="21.95" customHeight="1">
      <c r="A42" s="2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9"/>
      <c r="Q42" s="9"/>
      <c r="R42" s="9"/>
      <c r="S42" s="9"/>
      <c r="T42" s="9"/>
      <c r="U42" s="9"/>
      <c r="V42" s="9"/>
    </row>
    <row r="43" spans="1:22" ht="21.95" customHeight="1"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</row>
    <row r="44" spans="1:22" ht="35.1" customHeight="1">
      <c r="B44" s="14" t="s">
        <v>41</v>
      </c>
      <c r="C44" s="14" t="s">
        <v>42</v>
      </c>
      <c r="D44" s="14" t="s">
        <v>43</v>
      </c>
      <c r="E44" s="14" t="s">
        <v>44</v>
      </c>
      <c r="F44" s="14" t="s">
        <v>15</v>
      </c>
      <c r="G44" s="14" t="s">
        <v>56</v>
      </c>
      <c r="H44" s="14" t="s">
        <v>45</v>
      </c>
      <c r="I44" s="14" t="s">
        <v>36</v>
      </c>
      <c r="J44" s="14" t="s">
        <v>46</v>
      </c>
      <c r="K44" s="14" t="s">
        <v>57</v>
      </c>
      <c r="L44" s="14" t="s">
        <v>47</v>
      </c>
      <c r="M44" s="14" t="s">
        <v>20</v>
      </c>
      <c r="N44" s="14" t="s">
        <v>21</v>
      </c>
      <c r="O44" s="14" t="s">
        <v>48</v>
      </c>
      <c r="P44" s="14" t="s">
        <v>39</v>
      </c>
      <c r="Q44" s="14" t="s">
        <v>49</v>
      </c>
      <c r="R44" s="14" t="s">
        <v>50</v>
      </c>
      <c r="S44" s="14" t="s">
        <v>51</v>
      </c>
      <c r="T44" s="14" t="s">
        <v>52</v>
      </c>
      <c r="U44" s="14" t="s">
        <v>53</v>
      </c>
      <c r="V44" s="14" t="s">
        <v>54</v>
      </c>
    </row>
    <row r="45" spans="1:22" ht="21.95" customHeight="1">
      <c r="B45" s="9" t="str">
        <f>"C "&amp;D45</f>
        <v>C -20</v>
      </c>
      <c r="C45" s="9">
        <f>'HSC Sweep'!$C$6</f>
        <v>-12</v>
      </c>
      <c r="D45" s="9">
        <f>Parameters!D8</f>
        <v>-20</v>
      </c>
      <c r="E45" s="9">
        <f>Parameters!D16</f>
        <v>-40</v>
      </c>
      <c r="F45" s="9">
        <f>IF('HSC Sweep'!$C$4="Type-B",INDEX(Parameters!$J$10:$N$10,1,Q45)+(INDEX(Parameters!$J$10:$N$10,1,Q45+1)-INDEX(Parameters!$J$10:$N$10,1,Q45))*T45,INDEX(Parameters!$D$10:$H$10,1,Q45)+(INDEX(Parameters!$D$10:$H$10,1,Q45+1)-INDEX(Parameters!$D$10:$H$10,1,Q45))*T45)</f>
        <v>3000</v>
      </c>
      <c r="G45" s="9">
        <f>IF('HSC Sweep'!$C$4="Type-B",INDEX(Parameters!$J$11:$N$11,1,R45)+(INDEX(Parameters!$J$11:$N$11,1,R45+1)-INDEX(Parameters!$J$11:$N$11,1,R45))*U45,INDEX(Parameters!$D$11:$H$11,1,Q45)+(INDEX(Parameters!$D$11:$H$11,1,Q45+1)-INDEX(Parameters!$D$11:$H$11,1,Q45))*T45)</f>
        <v>0.25</v>
      </c>
      <c r="H45" s="9">
        <f>IF('HSC Sweep'!$C$4="Type-B",INDEX(Parameters!$J$12:$N$12,1,Q45)+(INDEX(Parameters!$J$12:$N$12,1,Q45+1)-INDEX(Parameters!$J$12:$N$12,1,Q45))*T45,INDEX(Parameters!$D$12:$H$12,1,Q45)+(INDEX(Parameters!$D$12:$H$12,1,Q45+1)-INDEX(Parameters!$D$12:$H$12,1,Q45))*T45)</f>
        <v>0.57999999999999996</v>
      </c>
      <c r="I45" s="9">
        <f>F45*H45</f>
        <v>1739.9999999999998</v>
      </c>
      <c r="J45" s="9">
        <f>IF('HSC Sweep'!$C$4="Type-B",INDEX(Parameters!$J$13:$N$13,1,R45)+(INDEX(Parameters!$J$13:$N$13,1,R45+1)-INDEX(Parameters!$J$13:$N$13,1,R45))*U45,INDEX(Parameters!$D$13:$H$13,1,R45)+(INDEX(Parameters!$D$13:$H$13,1,R45+1)-INDEX(Parameters!$D$13:$H$13,1,R45))*U45)</f>
        <v>500</v>
      </c>
      <c r="K45" s="9">
        <f>IF('HSC Sweep'!$C$4="Type-B",Parameters!$L$14,INDEX(Parameters!$D$14:$H$14,1,R45)+(INDEX(Parameters!$D$14:$H$14,1,R45+1)-INDEX(Parameters!$D$14:$H$14,1,R45))*U45)</f>
        <v>0.6</v>
      </c>
      <c r="L45" s="9">
        <f>I45+J45</f>
        <v>2240</v>
      </c>
      <c r="M45" s="9">
        <f>IF('HSC Sweep'!$C$4="Type-B",INDEX(Parameters!$J$17:$N$17,1,S45)+(INDEX(Parameters!$J$17:$N$17,1,S45+1)-INDEX(Parameters!$J$17:$N$17,1,S45))*V45,INDEX(Parameters!$D$17:$H$17,1,S45)+(INDEX(Parameters!$D$17:$H$17,1,S45+1)-INDEX(Parameters!$D$17:$H$17,1,S45))*V45)</f>
        <v>1600</v>
      </c>
      <c r="N45" s="9">
        <f>IF('HSC Sweep'!$C$4="Type-B",INDEX(Parameters!$J$18:$N$18,1,S45)+(INDEX(Parameters!$J$18:$N$18,1,S45+1)-INDEX(Parameters!$J$18:$N$18,1,S45))*V45,INDEX(Parameters!$D$18:$H$18,1,S45)+(INDEX(Parameters!$D$18:$H$18,1,S45+1)-INDEX(Parameters!$D$18:$H$18,1,S45))*V45)</f>
        <v>0.2</v>
      </c>
      <c r="O45" s="9">
        <f>IF('HSC Sweep'!$C$4="Type-B",INDEX(Parameters!$J$19:$N$19,1,S45)+(INDEX(Parameters!$J$19:$N$19,1,S45+1)-INDEX(Parameters!$J$19:$N$19,1,S45))*V45,INDEX(Parameters!$D$19:$H$19,1,S45)+(INDEX(Parameters!$D$19:$H$19,1,S45+1)-INDEX(Parameters!$D$19:$H$19,1,S45))*V45)</f>
        <v>0.66</v>
      </c>
      <c r="P45" s="9">
        <f>M45*O45</f>
        <v>1056</v>
      </c>
      <c r="Q45" s="9">
        <f>MIN(4,MAX(1,INT((1+C45/Parameters!$D$23)*4)+1))</f>
        <v>3</v>
      </c>
      <c r="R45" s="9">
        <f>MIN(4,MAX(1,INT((1+D45/Parameters!$D$24)*4)+1))</f>
        <v>1</v>
      </c>
      <c r="S45" s="9">
        <f>MIN(4,MAX(1,INT((1+E45/Parameters!$D$25)*4)+1))</f>
        <v>1</v>
      </c>
      <c r="T45" s="9">
        <f>MAX(0,MIN(1,(1+C45/Parameters!$D$23)*4-(Q45-1)))</f>
        <v>0</v>
      </c>
      <c r="U45" s="9">
        <f>MAX(0,MIN(1,(1+D45/Parameters!$D$24)*4-(R45-1)))</f>
        <v>0</v>
      </c>
      <c r="V45" s="9">
        <f>MAX(0,MIN(1,(1+E45/Parameters!$D$25)*4-(S45-1)))</f>
        <v>0</v>
      </c>
    </row>
    <row r="46" spans="1:22" ht="21.95" customHeight="1">
      <c r="B46" s="9" t="str">
        <f>"C "&amp;D46</f>
        <v>C -15</v>
      </c>
      <c r="C46" s="9">
        <f>'HSC Sweep'!$C$6</f>
        <v>-12</v>
      </c>
      <c r="D46" s="9">
        <f>Parameters!E8</f>
        <v>-15</v>
      </c>
      <c r="E46" s="9">
        <f>Parameters!E16</f>
        <v>-30</v>
      </c>
      <c r="F46" s="9">
        <f>IF('HSC Sweep'!$C$4="Type-B",INDEX(Parameters!$J$10:$N$10,1,Q46)+(INDEX(Parameters!$J$10:$N$10,1,Q46+1)-INDEX(Parameters!$J$10:$N$10,1,Q46))*T46,INDEX(Parameters!$D$10:$H$10,1,Q46)+(INDEX(Parameters!$D$10:$H$10,1,Q46+1)-INDEX(Parameters!$D$10:$H$10,1,Q46))*T46)</f>
        <v>3000</v>
      </c>
      <c r="G46" s="9">
        <f>IF('HSC Sweep'!$C$4="Type-B",INDEX(Parameters!$J$11:$N$11,1,R46)+(INDEX(Parameters!$J$11:$N$11,1,R46+1)-INDEX(Parameters!$J$11:$N$11,1,R46))*U46,INDEX(Parameters!$D$11:$H$11,1,Q46)+(INDEX(Parameters!$D$11:$H$11,1,Q46+1)-INDEX(Parameters!$D$11:$H$11,1,Q46))*T46)</f>
        <v>0.3</v>
      </c>
      <c r="H46" s="9">
        <f>IF('HSC Sweep'!$C$4="Type-B",INDEX(Parameters!$J$12:$N$12,1,Q46)+(INDEX(Parameters!$J$12:$N$12,1,Q46+1)-INDEX(Parameters!$J$12:$N$12,1,Q46))*T46,INDEX(Parameters!$D$12:$H$12,1,Q46)+(INDEX(Parameters!$D$12:$H$12,1,Q46+1)-INDEX(Parameters!$D$12:$H$12,1,Q46))*T46)</f>
        <v>0.57999999999999996</v>
      </c>
      <c r="I46" s="9">
        <f>F46*H46</f>
        <v>1739.9999999999998</v>
      </c>
      <c r="J46" s="9">
        <f>IF('HSC Sweep'!$C$4="Type-B",INDEX(Parameters!$J$13:$N$13,1,R46)+(INDEX(Parameters!$J$13:$N$13,1,R46+1)-INDEX(Parameters!$J$13:$N$13,1,R46))*U46,INDEX(Parameters!$D$13:$H$13,1,R46)+(INDEX(Parameters!$D$13:$H$13,1,R46+1)-INDEX(Parameters!$D$13:$H$13,1,R46))*U46)</f>
        <v>500</v>
      </c>
      <c r="K46" s="9">
        <f>IF('HSC Sweep'!$C$4="Type-B",Parameters!$L$14,INDEX(Parameters!$D$14:$H$14,1,R46)+(INDEX(Parameters!$D$14:$H$14,1,R46+1)-INDEX(Parameters!$D$14:$H$14,1,R46))*U46)</f>
        <v>0.6</v>
      </c>
      <c r="L46" s="9">
        <f>I46+J46</f>
        <v>2240</v>
      </c>
      <c r="M46" s="9">
        <f>IF('HSC Sweep'!$C$4="Type-B",INDEX(Parameters!$J$17:$N$17,1,S46)+(INDEX(Parameters!$J$17:$N$17,1,S46+1)-INDEX(Parameters!$J$17:$N$17,1,S46))*V46,INDEX(Parameters!$D$17:$H$17,1,S46)+(INDEX(Parameters!$D$17:$H$17,1,S46+1)-INDEX(Parameters!$D$17:$H$17,1,S46))*V46)</f>
        <v>2050</v>
      </c>
      <c r="N46" s="9">
        <f>IF('HSC Sweep'!$C$4="Type-B",INDEX(Parameters!$J$18:$N$18,1,S46)+(INDEX(Parameters!$J$18:$N$18,1,S46+1)-INDEX(Parameters!$J$18:$N$18,1,S46))*V46,INDEX(Parameters!$D$18:$H$18,1,S46)+(INDEX(Parameters!$D$18:$H$18,1,S46+1)-INDEX(Parameters!$D$18:$H$18,1,S46))*V46)</f>
        <v>0.22500000000000001</v>
      </c>
      <c r="O46" s="9">
        <f>IF('HSC Sweep'!$C$4="Type-B",INDEX(Parameters!$J$19:$N$19,1,S46)+(INDEX(Parameters!$J$19:$N$19,1,S46+1)-INDEX(Parameters!$J$19:$N$19,1,S46))*V46,INDEX(Parameters!$D$19:$H$19,1,S46)+(INDEX(Parameters!$D$19:$H$19,1,S46+1)-INDEX(Parameters!$D$19:$H$19,1,S46))*V46)</f>
        <v>0.62</v>
      </c>
      <c r="P46" s="9">
        <f>M46*O46</f>
        <v>1271</v>
      </c>
      <c r="Q46" s="9">
        <f>MIN(4,MAX(1,INT((1+C46/Parameters!$D$23)*4)+1))</f>
        <v>3</v>
      </c>
      <c r="R46" s="9">
        <f>MIN(4,MAX(1,INT((1+D46/Parameters!$D$24)*4)+1))</f>
        <v>2</v>
      </c>
      <c r="S46" s="9">
        <f>MIN(4,MAX(1,INT((1+E46/Parameters!$D$25)*4)+1))</f>
        <v>2</v>
      </c>
      <c r="T46" s="9">
        <f>MAX(0,MIN(1,(1+C46/Parameters!$D$23)*4-(Q46-1)))</f>
        <v>0</v>
      </c>
      <c r="U46" s="9">
        <f>MAX(0,MIN(1,(1+D46/Parameters!$D$24)*4-(R46-1)))</f>
        <v>0</v>
      </c>
      <c r="V46" s="9">
        <f>MAX(0,MIN(1,(1+E46/Parameters!$D$25)*4-(S46-1)))</f>
        <v>0</v>
      </c>
    </row>
    <row r="47" spans="1:22" ht="21.95" customHeight="1">
      <c r="B47" s="9" t="str">
        <f>"C "&amp;D47</f>
        <v>C -10</v>
      </c>
      <c r="C47" s="9">
        <f>'HSC Sweep'!$C$6</f>
        <v>-12</v>
      </c>
      <c r="D47" s="9">
        <f>Parameters!F8</f>
        <v>-10</v>
      </c>
      <c r="E47" s="9">
        <f>Parameters!F16</f>
        <v>-20</v>
      </c>
      <c r="F47" s="9">
        <f>IF('HSC Sweep'!$C$4="Type-B",INDEX(Parameters!$J$10:$N$10,1,Q47)+(INDEX(Parameters!$J$10:$N$10,1,Q47+1)-INDEX(Parameters!$J$10:$N$10,1,Q47))*T47,INDEX(Parameters!$D$10:$H$10,1,Q47)+(INDEX(Parameters!$D$10:$H$10,1,Q47+1)-INDEX(Parameters!$D$10:$H$10,1,Q47))*T47)</f>
        <v>3000</v>
      </c>
      <c r="G47" s="9">
        <f>IF('HSC Sweep'!$C$4="Type-B",INDEX(Parameters!$J$11:$N$11,1,R47)+(INDEX(Parameters!$J$11:$N$11,1,R47+1)-INDEX(Parameters!$J$11:$N$11,1,R47))*U47,INDEX(Parameters!$D$11:$H$11,1,Q47)+(INDEX(Parameters!$D$11:$H$11,1,Q47+1)-INDEX(Parameters!$D$11:$H$11,1,Q47))*T47)</f>
        <v>0.35</v>
      </c>
      <c r="H47" s="9">
        <f>IF('HSC Sweep'!$C$4="Type-B",INDEX(Parameters!$J$12:$N$12,1,Q47)+(INDEX(Parameters!$J$12:$N$12,1,Q47+1)-INDEX(Parameters!$J$12:$N$12,1,Q47))*T47,INDEX(Parameters!$D$12:$H$12,1,Q47)+(INDEX(Parameters!$D$12:$H$12,1,Q47+1)-INDEX(Parameters!$D$12:$H$12,1,Q47))*T47)</f>
        <v>0.57999999999999996</v>
      </c>
      <c r="I47" s="9">
        <f>F47*H47</f>
        <v>1739.9999999999998</v>
      </c>
      <c r="J47" s="9">
        <f>IF('HSC Sweep'!$C$4="Type-B",INDEX(Parameters!$J$13:$N$13,1,R47)+(INDEX(Parameters!$J$13:$N$13,1,R47+1)-INDEX(Parameters!$J$13:$N$13,1,R47))*U47,INDEX(Parameters!$D$13:$H$13,1,R47)+(INDEX(Parameters!$D$13:$H$13,1,R47+1)-INDEX(Parameters!$D$13:$H$13,1,R47))*U47)</f>
        <v>500</v>
      </c>
      <c r="K47" s="9">
        <f>IF('HSC Sweep'!$C$4="Type-B",Parameters!$L$14,INDEX(Parameters!$D$14:$H$14,1,R47)+(INDEX(Parameters!$D$14:$H$14,1,R47+1)-INDEX(Parameters!$D$14:$H$14,1,R47))*U47)</f>
        <v>0.6</v>
      </c>
      <c r="L47" s="9">
        <f>I47+J47</f>
        <v>2240</v>
      </c>
      <c r="M47" s="9">
        <f>IF('HSC Sweep'!$C$4="Type-B",INDEX(Parameters!$J$17:$N$17,1,S47)+(INDEX(Parameters!$J$17:$N$17,1,S47+1)-INDEX(Parameters!$J$17:$N$17,1,S47))*V47,INDEX(Parameters!$D$17:$H$17,1,S47)+(INDEX(Parameters!$D$17:$H$17,1,S47+1)-INDEX(Parameters!$D$17:$H$17,1,S47))*V47)</f>
        <v>2500</v>
      </c>
      <c r="N47" s="9">
        <f>IF('HSC Sweep'!$C$4="Type-B",INDEX(Parameters!$J$18:$N$18,1,S47)+(INDEX(Parameters!$J$18:$N$18,1,S47+1)-INDEX(Parameters!$J$18:$N$18,1,S47))*V47,INDEX(Parameters!$D$18:$H$18,1,S47)+(INDEX(Parameters!$D$18:$H$18,1,S47+1)-INDEX(Parameters!$D$18:$H$18,1,S47))*V47)</f>
        <v>0.25</v>
      </c>
      <c r="O47" s="9">
        <f>IF('HSC Sweep'!$C$4="Type-B",INDEX(Parameters!$J$19:$N$19,1,S47)+(INDEX(Parameters!$J$19:$N$19,1,S47+1)-INDEX(Parameters!$J$19:$N$19,1,S47))*V47,INDEX(Parameters!$D$19:$H$19,1,S47)+(INDEX(Parameters!$D$19:$H$19,1,S47+1)-INDEX(Parameters!$D$19:$H$19,1,S47))*V47)</f>
        <v>0.57999999999999996</v>
      </c>
      <c r="P47" s="9">
        <f>M47*O47</f>
        <v>1450</v>
      </c>
      <c r="Q47" s="9">
        <f>MIN(4,MAX(1,INT((1+C47/Parameters!$D$23)*4)+1))</f>
        <v>3</v>
      </c>
      <c r="R47" s="9">
        <f>MIN(4,MAX(1,INT((1+D47/Parameters!$D$24)*4)+1))</f>
        <v>3</v>
      </c>
      <c r="S47" s="9">
        <f>MIN(4,MAX(1,INT((1+E47/Parameters!$D$25)*4)+1))</f>
        <v>3</v>
      </c>
      <c r="T47" s="9">
        <f>MAX(0,MIN(1,(1+C47/Parameters!$D$23)*4-(Q47-1)))</f>
        <v>0</v>
      </c>
      <c r="U47" s="9">
        <f>MAX(0,MIN(1,(1+D47/Parameters!$D$24)*4-(R47-1)))</f>
        <v>0</v>
      </c>
      <c r="V47" s="9">
        <f>MAX(0,MIN(1,(1+E47/Parameters!$D$25)*4-(S47-1)))</f>
        <v>0</v>
      </c>
    </row>
    <row r="48" spans="1:22" ht="21.95" customHeight="1">
      <c r="B48" s="9" t="str">
        <f>"C "&amp;D48</f>
        <v>C -5</v>
      </c>
      <c r="C48" s="9">
        <f>'HSC Sweep'!$C$6</f>
        <v>-12</v>
      </c>
      <c r="D48" s="9">
        <f>Parameters!G8</f>
        <v>-5</v>
      </c>
      <c r="E48" s="9">
        <f>Parameters!G16</f>
        <v>-10</v>
      </c>
      <c r="F48" s="9">
        <f>IF('HSC Sweep'!$C$4="Type-B",INDEX(Parameters!$J$10:$N$10,1,Q48)+(INDEX(Parameters!$J$10:$N$10,1,Q48+1)-INDEX(Parameters!$J$10:$N$10,1,Q48))*T48,INDEX(Parameters!$D$10:$H$10,1,Q48)+(INDEX(Parameters!$D$10:$H$10,1,Q48+1)-INDEX(Parameters!$D$10:$H$10,1,Q48))*T48)</f>
        <v>3000</v>
      </c>
      <c r="G48" s="9">
        <f>IF('HSC Sweep'!$C$4="Type-B",INDEX(Parameters!$J$11:$N$11,1,R48)+(INDEX(Parameters!$J$11:$N$11,1,R48+1)-INDEX(Parameters!$J$11:$N$11,1,R48))*U48,INDEX(Parameters!$D$11:$H$11,1,Q48)+(INDEX(Parameters!$D$11:$H$11,1,Q48+1)-INDEX(Parameters!$D$11:$H$11,1,Q48))*T48)</f>
        <v>0.4</v>
      </c>
      <c r="H48" s="9">
        <f>IF('HSC Sweep'!$C$4="Type-B",INDEX(Parameters!$J$12:$N$12,1,Q48)+(INDEX(Parameters!$J$12:$N$12,1,Q48+1)-INDEX(Parameters!$J$12:$N$12,1,Q48))*T48,INDEX(Parameters!$D$12:$H$12,1,Q48)+(INDEX(Parameters!$D$12:$H$12,1,Q48+1)-INDEX(Parameters!$D$12:$H$12,1,Q48))*T48)</f>
        <v>0.57999999999999996</v>
      </c>
      <c r="I48" s="9">
        <f>F48*H48</f>
        <v>1739.9999999999998</v>
      </c>
      <c r="J48" s="9">
        <f>IF('HSC Sweep'!$C$4="Type-B",INDEX(Parameters!$J$13:$N$13,1,R48)+(INDEX(Parameters!$J$13:$N$13,1,R48+1)-INDEX(Parameters!$J$13:$N$13,1,R48))*U48,INDEX(Parameters!$D$13:$H$13,1,R48)+(INDEX(Parameters!$D$13:$H$13,1,R48+1)-INDEX(Parameters!$D$13:$H$13,1,R48))*U48)</f>
        <v>500</v>
      </c>
      <c r="K48" s="9">
        <f>IF('HSC Sweep'!$C$4="Type-B",Parameters!$L$14,INDEX(Parameters!$D$14:$H$14,1,R48)+(INDEX(Parameters!$D$14:$H$14,1,R48+1)-INDEX(Parameters!$D$14:$H$14,1,R48))*U48)</f>
        <v>0.6</v>
      </c>
      <c r="L48" s="9">
        <f>I48+J48</f>
        <v>2240</v>
      </c>
      <c r="M48" s="9">
        <f>IF('HSC Sweep'!$C$4="Type-B",INDEX(Parameters!$J$17:$N$17,1,S48)+(INDEX(Parameters!$J$17:$N$17,1,S48+1)-INDEX(Parameters!$J$17:$N$17,1,S48))*V48,INDEX(Parameters!$D$17:$H$17,1,S48)+(INDEX(Parameters!$D$17:$H$17,1,S48+1)-INDEX(Parameters!$D$17:$H$17,1,S48))*V48)</f>
        <v>2950</v>
      </c>
      <c r="N48" s="9">
        <f>IF('HSC Sweep'!$C$4="Type-B",INDEX(Parameters!$J$18:$N$18,1,S48)+(INDEX(Parameters!$J$18:$N$18,1,S48+1)-INDEX(Parameters!$J$18:$N$18,1,S48))*V48,INDEX(Parameters!$D$18:$H$18,1,S48)+(INDEX(Parameters!$D$18:$H$18,1,S48+1)-INDEX(Parameters!$D$18:$H$18,1,S48))*V48)</f>
        <v>0.27500000000000002</v>
      </c>
      <c r="O48" s="9">
        <f>IF('HSC Sweep'!$C$4="Type-B",INDEX(Parameters!$J$19:$N$19,1,S48)+(INDEX(Parameters!$J$19:$N$19,1,S48+1)-INDEX(Parameters!$J$19:$N$19,1,S48))*V48,INDEX(Parameters!$D$19:$H$19,1,S48)+(INDEX(Parameters!$D$19:$H$19,1,S48+1)-INDEX(Parameters!$D$19:$H$19,1,S48))*V48)</f>
        <v>0.54</v>
      </c>
      <c r="P48" s="9">
        <f>M48*O48</f>
        <v>1593</v>
      </c>
      <c r="Q48" s="9">
        <f>MIN(4,MAX(1,INT((1+C48/Parameters!$D$23)*4)+1))</f>
        <v>3</v>
      </c>
      <c r="R48" s="9">
        <f>MIN(4,MAX(1,INT((1+D48/Parameters!$D$24)*4)+1))</f>
        <v>4</v>
      </c>
      <c r="S48" s="9">
        <f>MIN(4,MAX(1,INT((1+E48/Parameters!$D$25)*4)+1))</f>
        <v>4</v>
      </c>
      <c r="T48" s="9">
        <f>MAX(0,MIN(1,(1+C48/Parameters!$D$23)*4-(Q48-1)))</f>
        <v>0</v>
      </c>
      <c r="U48" s="9">
        <f>MAX(0,MIN(1,(1+D48/Parameters!$D$24)*4-(R48-1)))</f>
        <v>0</v>
      </c>
      <c r="V48" s="9">
        <f>MAX(0,MIN(1,(1+E48/Parameters!$D$25)*4-(S48-1)))</f>
        <v>0</v>
      </c>
    </row>
    <row r="49" spans="2:22" ht="21.95" customHeight="1">
      <c r="B49" s="9" t="str">
        <f>"C "&amp;D49</f>
        <v>C 0</v>
      </c>
      <c r="C49" s="9">
        <f>'HSC Sweep'!$C$6</f>
        <v>-12</v>
      </c>
      <c r="D49" s="9">
        <f>Parameters!H8</f>
        <v>0</v>
      </c>
      <c r="E49" s="9">
        <f>Parameters!H16</f>
        <v>0</v>
      </c>
      <c r="F49" s="9">
        <f>IF('HSC Sweep'!$C$4="Type-B",INDEX(Parameters!$J$10:$N$10,1,Q49)+(INDEX(Parameters!$J$10:$N$10,1,Q49+1)-INDEX(Parameters!$J$10:$N$10,1,Q49))*T49,INDEX(Parameters!$D$10:$H$10,1,Q49)+(INDEX(Parameters!$D$10:$H$10,1,Q49+1)-INDEX(Parameters!$D$10:$H$10,1,Q49))*T49)</f>
        <v>3000</v>
      </c>
      <c r="G49" s="9">
        <f>IF('HSC Sweep'!$C$4="Type-B",INDEX(Parameters!$J$11:$N$11,1,R49)+(INDEX(Parameters!$J$11:$N$11,1,R49+1)-INDEX(Parameters!$J$11:$N$11,1,R49))*U49,INDEX(Parameters!$D$11:$H$11,1,Q49)+(INDEX(Parameters!$D$11:$H$11,1,Q49+1)-INDEX(Parameters!$D$11:$H$11,1,Q49))*T49)</f>
        <v>0.45</v>
      </c>
      <c r="H49" s="9">
        <f>IF('HSC Sweep'!$C$4="Type-B",INDEX(Parameters!$J$12:$N$12,1,Q49)+(INDEX(Parameters!$J$12:$N$12,1,Q49+1)-INDEX(Parameters!$J$12:$N$12,1,Q49))*T49,INDEX(Parameters!$D$12:$H$12,1,Q49)+(INDEX(Parameters!$D$12:$H$12,1,Q49+1)-INDEX(Parameters!$D$12:$H$12,1,Q49))*T49)</f>
        <v>0.57999999999999996</v>
      </c>
      <c r="I49" s="9">
        <f>F49*H49</f>
        <v>1739.9999999999998</v>
      </c>
      <c r="J49" s="9">
        <f>IF('HSC Sweep'!$C$4="Type-B",INDEX(Parameters!$J$13:$N$13,1,R49)+(INDEX(Parameters!$J$13:$N$13,1,R49+1)-INDEX(Parameters!$J$13:$N$13,1,R49))*U49,INDEX(Parameters!$D$13:$H$13,1,R49)+(INDEX(Parameters!$D$13:$H$13,1,R49+1)-INDEX(Parameters!$D$13:$H$13,1,R49))*U49)</f>
        <v>500</v>
      </c>
      <c r="K49" s="9">
        <f>IF('HSC Sweep'!$C$4="Type-B",Parameters!$L$14,INDEX(Parameters!$D$14:$H$14,1,R49)+(INDEX(Parameters!$D$14:$H$14,1,R49+1)-INDEX(Parameters!$D$14:$H$14,1,R49))*U49)</f>
        <v>0.6</v>
      </c>
      <c r="L49" s="9">
        <f>I49+J49</f>
        <v>2240</v>
      </c>
      <c r="M49" s="9">
        <f>IF('HSC Sweep'!$C$4="Type-B",INDEX(Parameters!$J$17:$N$17,1,S49)+(INDEX(Parameters!$J$17:$N$17,1,S49+1)-INDEX(Parameters!$J$17:$N$17,1,S49))*V49,INDEX(Parameters!$D$17:$H$17,1,S49)+(INDEX(Parameters!$D$17:$H$17,1,S49+1)-INDEX(Parameters!$D$17:$H$17,1,S49))*V49)</f>
        <v>3400</v>
      </c>
      <c r="N49" s="9">
        <f>IF('HSC Sweep'!$C$4="Type-B",INDEX(Parameters!$J$18:$N$18,1,S49)+(INDEX(Parameters!$J$18:$N$18,1,S49+1)-INDEX(Parameters!$J$18:$N$18,1,S49))*V49,INDEX(Parameters!$D$18:$H$18,1,S49)+(INDEX(Parameters!$D$18:$H$18,1,S49+1)-INDEX(Parameters!$D$18:$H$18,1,S49))*V49)</f>
        <v>0.3</v>
      </c>
      <c r="O49" s="9">
        <f>IF('HSC Sweep'!$C$4="Type-B",INDEX(Parameters!$J$19:$N$19,1,S49)+(INDEX(Parameters!$J$19:$N$19,1,S49+1)-INDEX(Parameters!$J$19:$N$19,1,S49))*V49,INDEX(Parameters!$D$19:$H$19,1,S49)+(INDEX(Parameters!$D$19:$H$19,1,S49+1)-INDEX(Parameters!$D$19:$H$19,1,S49))*V49)</f>
        <v>0.5</v>
      </c>
      <c r="P49" s="9">
        <f>M49*O49</f>
        <v>1700</v>
      </c>
      <c r="Q49" s="9">
        <f>MIN(4,MAX(1,INT((1+C49/Parameters!$D$23)*4)+1))</f>
        <v>3</v>
      </c>
      <c r="R49" s="9">
        <f>MIN(4,MAX(1,INT((1+D49/Parameters!$D$24)*4)+1))</f>
        <v>4</v>
      </c>
      <c r="S49" s="9">
        <f>MIN(4,MAX(1,INT((1+E49/Parameters!$D$25)*4)+1))</f>
        <v>4</v>
      </c>
      <c r="T49" s="9">
        <f>MAX(0,MIN(1,(1+C49/Parameters!$D$23)*4-(Q49-1)))</f>
        <v>0</v>
      </c>
      <c r="U49" s="9">
        <f>MAX(0,MIN(1,(1+D49/Parameters!$D$24)*4-(R49-1)))</f>
        <v>1</v>
      </c>
      <c r="V49" s="9">
        <f>MAX(0,MIN(1,(1+E49/Parameters!$D$25)*4-(S49-1)))</f>
        <v>1</v>
      </c>
    </row>
    <row r="50" spans="2:22" ht="21.95" customHeight="1"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</row>
    <row r="51" spans="2:22" ht="21.95" customHeight="1"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</row>
    <row r="52" spans="2:22" ht="21.95" customHeight="1"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</row>
    <row r="53" spans="2:22" ht="21.95" customHeight="1">
      <c r="B53" s="12" t="s">
        <v>31</v>
      </c>
      <c r="C53" s="12" t="str">
        <f>B45</f>
        <v>C -20</v>
      </c>
      <c r="D53" s="12" t="str">
        <f>B46</f>
        <v>C -15</v>
      </c>
      <c r="E53" s="12" t="str">
        <f>B47</f>
        <v>C -10</v>
      </c>
      <c r="F53" s="12" t="str">
        <f>B48</f>
        <v>C -5</v>
      </c>
      <c r="G53" s="12" t="str">
        <f>B49</f>
        <v>C 0</v>
      </c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</row>
    <row r="54" spans="2:22" ht="21.95" customHeight="1">
      <c r="B54" s="16">
        <v>0</v>
      </c>
      <c r="C54" s="16">
        <f t="shared" ref="C54:C74" si="5">$F$45*MIN($B54,$G$45)+$I$45*MAX(0,$B54-$G$45)+$J$45*MAX(0,$B54-$K$45)</f>
        <v>0</v>
      </c>
      <c r="D54" s="16">
        <f t="shared" ref="D54:D74" si="6">$F$46*MIN($B54,$G$46)+$I$46*MAX(0,$B54-$G$46)+$J$46*MAX(0,$B54-$K$46)</f>
        <v>0</v>
      </c>
      <c r="E54" s="16">
        <f t="shared" ref="E54:E74" si="7">$F$47*MIN($B54,$G$47)+$I$47*MAX(0,$B54-$G$47)+$J$47*MAX(0,$B54-$K$47)</f>
        <v>0</v>
      </c>
      <c r="F54" s="16">
        <f t="shared" ref="F54:F74" si="8">$F$48*MIN($B54,$G$48)+$I$48*MAX(0,$B54-$G$48)+$J$48*MAX(0,$B54-$K$48)</f>
        <v>0</v>
      </c>
      <c r="G54" s="16">
        <f t="shared" ref="G54:G74" si="9">$F$49*MIN($B54,$G$49)+$I$49*MAX(0,$B54-$G$49)+$J$49*MAX(0,$B54-$K$49)</f>
        <v>0</v>
      </c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</row>
    <row r="55" spans="2:22" ht="21.95" customHeight="1">
      <c r="B55" s="16">
        <v>0.05</v>
      </c>
      <c r="C55" s="16">
        <f t="shared" si="5"/>
        <v>150</v>
      </c>
      <c r="D55" s="16">
        <f t="shared" si="6"/>
        <v>150</v>
      </c>
      <c r="E55" s="16">
        <f t="shared" si="7"/>
        <v>150</v>
      </c>
      <c r="F55" s="16">
        <f t="shared" si="8"/>
        <v>150</v>
      </c>
      <c r="G55" s="16">
        <f t="shared" si="9"/>
        <v>150</v>
      </c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</row>
    <row r="56" spans="2:22" ht="21.95" customHeight="1">
      <c r="B56" s="16">
        <v>0.1</v>
      </c>
      <c r="C56" s="16">
        <f t="shared" si="5"/>
        <v>300</v>
      </c>
      <c r="D56" s="16">
        <f t="shared" si="6"/>
        <v>300</v>
      </c>
      <c r="E56" s="16">
        <f t="shared" si="7"/>
        <v>300</v>
      </c>
      <c r="F56" s="16">
        <f t="shared" si="8"/>
        <v>300</v>
      </c>
      <c r="G56" s="16">
        <f t="shared" si="9"/>
        <v>300</v>
      </c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</row>
    <row r="57" spans="2:22" ht="21.95" customHeight="1">
      <c r="B57" s="16">
        <v>0.15</v>
      </c>
      <c r="C57" s="16">
        <f t="shared" si="5"/>
        <v>450</v>
      </c>
      <c r="D57" s="16">
        <f t="shared" si="6"/>
        <v>450</v>
      </c>
      <c r="E57" s="16">
        <f t="shared" si="7"/>
        <v>450</v>
      </c>
      <c r="F57" s="16">
        <f t="shared" si="8"/>
        <v>450</v>
      </c>
      <c r="G57" s="16">
        <f t="shared" si="9"/>
        <v>450</v>
      </c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</row>
    <row r="58" spans="2:22" ht="21.95" customHeight="1">
      <c r="B58" s="16">
        <v>0.2</v>
      </c>
      <c r="C58" s="16">
        <f t="shared" si="5"/>
        <v>600</v>
      </c>
      <c r="D58" s="16">
        <f t="shared" si="6"/>
        <v>600</v>
      </c>
      <c r="E58" s="16">
        <f t="shared" si="7"/>
        <v>600</v>
      </c>
      <c r="F58" s="16">
        <f t="shared" si="8"/>
        <v>600</v>
      </c>
      <c r="G58" s="16">
        <f t="shared" si="9"/>
        <v>600</v>
      </c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</row>
    <row r="59" spans="2:22" ht="21.95" customHeight="1">
      <c r="B59" s="16">
        <v>0.25</v>
      </c>
      <c r="C59" s="16">
        <f t="shared" si="5"/>
        <v>750</v>
      </c>
      <c r="D59" s="16">
        <f t="shared" si="6"/>
        <v>750</v>
      </c>
      <c r="E59" s="16">
        <f t="shared" si="7"/>
        <v>750</v>
      </c>
      <c r="F59" s="16">
        <f t="shared" si="8"/>
        <v>750</v>
      </c>
      <c r="G59" s="16">
        <f t="shared" si="9"/>
        <v>750</v>
      </c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</row>
    <row r="60" spans="2:22" ht="21.95" customHeight="1">
      <c r="B60" s="16">
        <v>0.3</v>
      </c>
      <c r="C60" s="16">
        <f t="shared" si="5"/>
        <v>837</v>
      </c>
      <c r="D60" s="16">
        <f t="shared" si="6"/>
        <v>900</v>
      </c>
      <c r="E60" s="16">
        <f t="shared" si="7"/>
        <v>900</v>
      </c>
      <c r="F60" s="16">
        <f t="shared" si="8"/>
        <v>900</v>
      </c>
      <c r="G60" s="16">
        <f t="shared" si="9"/>
        <v>900</v>
      </c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</row>
    <row r="61" spans="2:22" ht="21.95" customHeight="1">
      <c r="B61" s="16">
        <v>0.35</v>
      </c>
      <c r="C61" s="16">
        <f t="shared" si="5"/>
        <v>924</v>
      </c>
      <c r="D61" s="16">
        <f t="shared" si="6"/>
        <v>987</v>
      </c>
      <c r="E61" s="16">
        <f t="shared" si="7"/>
        <v>1050</v>
      </c>
      <c r="F61" s="16">
        <f t="shared" si="8"/>
        <v>1050</v>
      </c>
      <c r="G61" s="16">
        <f t="shared" si="9"/>
        <v>1050</v>
      </c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</row>
    <row r="62" spans="2:22" ht="21.95" customHeight="1">
      <c r="B62" s="16">
        <v>0.4</v>
      </c>
      <c r="C62" s="16">
        <f t="shared" si="5"/>
        <v>1011</v>
      </c>
      <c r="D62" s="16">
        <f t="shared" si="6"/>
        <v>1074</v>
      </c>
      <c r="E62" s="16">
        <f t="shared" si="7"/>
        <v>1137</v>
      </c>
      <c r="F62" s="16">
        <f t="shared" si="8"/>
        <v>1200</v>
      </c>
      <c r="G62" s="16">
        <f t="shared" si="9"/>
        <v>1200</v>
      </c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</row>
    <row r="63" spans="2:22" ht="21.95" customHeight="1">
      <c r="B63" s="16">
        <v>0.45</v>
      </c>
      <c r="C63" s="16">
        <f t="shared" si="5"/>
        <v>1098</v>
      </c>
      <c r="D63" s="16">
        <f t="shared" si="6"/>
        <v>1161</v>
      </c>
      <c r="E63" s="16">
        <f t="shared" si="7"/>
        <v>1224</v>
      </c>
      <c r="F63" s="16">
        <f t="shared" si="8"/>
        <v>1287</v>
      </c>
      <c r="G63" s="16">
        <f t="shared" si="9"/>
        <v>1350</v>
      </c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</row>
    <row r="64" spans="2:22" ht="21.95" customHeight="1">
      <c r="B64" s="16">
        <v>0.5</v>
      </c>
      <c r="C64" s="16">
        <f t="shared" si="5"/>
        <v>1185</v>
      </c>
      <c r="D64" s="16">
        <f t="shared" si="6"/>
        <v>1248</v>
      </c>
      <c r="E64" s="16">
        <f t="shared" si="7"/>
        <v>1311</v>
      </c>
      <c r="F64" s="16">
        <f t="shared" si="8"/>
        <v>1374</v>
      </c>
      <c r="G64" s="16">
        <f t="shared" si="9"/>
        <v>1437</v>
      </c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</row>
    <row r="65" spans="2:22" ht="21.95" customHeight="1">
      <c r="B65" s="16">
        <v>0.55000000000000004</v>
      </c>
      <c r="C65" s="16">
        <f t="shared" si="5"/>
        <v>1272</v>
      </c>
      <c r="D65" s="16">
        <f t="shared" si="6"/>
        <v>1335</v>
      </c>
      <c r="E65" s="16">
        <f t="shared" si="7"/>
        <v>1398</v>
      </c>
      <c r="F65" s="16">
        <f t="shared" si="8"/>
        <v>1461</v>
      </c>
      <c r="G65" s="16">
        <f t="shared" si="9"/>
        <v>1524</v>
      </c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</row>
    <row r="66" spans="2:22" ht="21.95" customHeight="1">
      <c r="B66" s="16">
        <v>0.6</v>
      </c>
      <c r="C66" s="16">
        <f t="shared" si="5"/>
        <v>1359</v>
      </c>
      <c r="D66" s="16">
        <f t="shared" si="6"/>
        <v>1422</v>
      </c>
      <c r="E66" s="16">
        <f t="shared" si="7"/>
        <v>1485</v>
      </c>
      <c r="F66" s="16">
        <f t="shared" si="8"/>
        <v>1548</v>
      </c>
      <c r="G66" s="16">
        <f t="shared" si="9"/>
        <v>1611</v>
      </c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</row>
    <row r="67" spans="2:22" ht="21.95" customHeight="1">
      <c r="B67" s="16">
        <v>0.65</v>
      </c>
      <c r="C67" s="16">
        <f t="shared" si="5"/>
        <v>1471</v>
      </c>
      <c r="D67" s="16">
        <f t="shared" si="6"/>
        <v>1534</v>
      </c>
      <c r="E67" s="16">
        <f t="shared" si="7"/>
        <v>1597</v>
      </c>
      <c r="F67" s="16">
        <f t="shared" si="8"/>
        <v>1660</v>
      </c>
      <c r="G67" s="16">
        <f t="shared" si="9"/>
        <v>1723</v>
      </c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</row>
    <row r="68" spans="2:22" ht="21.95" customHeight="1">
      <c r="B68" s="16">
        <v>0.7</v>
      </c>
      <c r="C68" s="16">
        <f t="shared" si="5"/>
        <v>1582.9999999999998</v>
      </c>
      <c r="D68" s="16">
        <f t="shared" si="6"/>
        <v>1646</v>
      </c>
      <c r="E68" s="16">
        <f t="shared" si="7"/>
        <v>1709</v>
      </c>
      <c r="F68" s="16">
        <f t="shared" si="8"/>
        <v>1771.9999999999998</v>
      </c>
      <c r="G68" s="16">
        <f t="shared" si="9"/>
        <v>1834.9999999999998</v>
      </c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</row>
    <row r="69" spans="2:22" ht="21.95" customHeight="1">
      <c r="B69" s="16">
        <v>0.75</v>
      </c>
      <c r="C69" s="16">
        <f t="shared" si="5"/>
        <v>1695</v>
      </c>
      <c r="D69" s="16">
        <f t="shared" si="6"/>
        <v>1758</v>
      </c>
      <c r="E69" s="16">
        <f t="shared" si="7"/>
        <v>1821</v>
      </c>
      <c r="F69" s="16">
        <f t="shared" si="8"/>
        <v>1884</v>
      </c>
      <c r="G69" s="16">
        <f t="shared" si="9"/>
        <v>1947</v>
      </c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</row>
    <row r="70" spans="2:22" ht="21.95" customHeight="1">
      <c r="B70" s="16">
        <v>0.8</v>
      </c>
      <c r="C70" s="16">
        <f t="shared" si="5"/>
        <v>1807</v>
      </c>
      <c r="D70" s="16">
        <f t="shared" si="6"/>
        <v>1870</v>
      </c>
      <c r="E70" s="16">
        <f t="shared" si="7"/>
        <v>1933</v>
      </c>
      <c r="F70" s="16">
        <f t="shared" si="8"/>
        <v>1996</v>
      </c>
      <c r="G70" s="16">
        <f t="shared" si="9"/>
        <v>2059</v>
      </c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</row>
    <row r="71" spans="2:22" ht="21.95" customHeight="1">
      <c r="B71" s="16">
        <v>0.85</v>
      </c>
      <c r="C71" s="16">
        <f t="shared" si="5"/>
        <v>1918.9999999999998</v>
      </c>
      <c r="D71" s="16">
        <f t="shared" si="6"/>
        <v>1982</v>
      </c>
      <c r="E71" s="16">
        <f t="shared" si="7"/>
        <v>2045</v>
      </c>
      <c r="F71" s="16">
        <f t="shared" si="8"/>
        <v>2108</v>
      </c>
      <c r="G71" s="16">
        <f t="shared" si="9"/>
        <v>2171</v>
      </c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</row>
    <row r="72" spans="2:22" ht="21.95" customHeight="1">
      <c r="B72" s="16">
        <v>0.9</v>
      </c>
      <c r="C72" s="16">
        <f t="shared" si="5"/>
        <v>2031</v>
      </c>
      <c r="D72" s="16">
        <f t="shared" si="6"/>
        <v>2094</v>
      </c>
      <c r="E72" s="16">
        <f t="shared" si="7"/>
        <v>2157</v>
      </c>
      <c r="F72" s="16">
        <f t="shared" si="8"/>
        <v>2220</v>
      </c>
      <c r="G72" s="16">
        <f t="shared" si="9"/>
        <v>2283</v>
      </c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</row>
    <row r="73" spans="2:22" ht="21.95" customHeight="1">
      <c r="B73" s="16">
        <v>0.95</v>
      </c>
      <c r="C73" s="16">
        <f t="shared" si="5"/>
        <v>2143</v>
      </c>
      <c r="D73" s="16">
        <f t="shared" si="6"/>
        <v>2206</v>
      </c>
      <c r="E73" s="16">
        <f t="shared" si="7"/>
        <v>2269</v>
      </c>
      <c r="F73" s="16">
        <f t="shared" si="8"/>
        <v>2332</v>
      </c>
      <c r="G73" s="16">
        <f t="shared" si="9"/>
        <v>2395</v>
      </c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</row>
    <row r="74" spans="2:22" ht="21.95" customHeight="1">
      <c r="B74" s="16">
        <v>1</v>
      </c>
      <c r="C74" s="16">
        <f t="shared" si="5"/>
        <v>2255</v>
      </c>
      <c r="D74" s="16">
        <f t="shared" si="6"/>
        <v>2318</v>
      </c>
      <c r="E74" s="16">
        <f t="shared" si="7"/>
        <v>2381</v>
      </c>
      <c r="F74" s="16">
        <f t="shared" si="8"/>
        <v>2444</v>
      </c>
      <c r="G74" s="16">
        <f t="shared" si="9"/>
        <v>2507</v>
      </c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</row>
    <row r="75" spans="2:22" ht="21.95" customHeight="1"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</row>
    <row r="76" spans="2:22" ht="21.95" customHeight="1"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</row>
    <row r="77" spans="2:22" ht="21.95" customHeight="1"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</row>
    <row r="78" spans="2:22" ht="21.95" customHeight="1"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</row>
    <row r="79" spans="2:22" ht="21.95" customHeight="1"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</row>
    <row r="80" spans="2:22" ht="21.95" customHeight="1"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</row>
    <row r="81" spans="2:22" ht="21.95" customHeight="1">
      <c r="B81" s="29" t="s">
        <v>72</v>
      </c>
      <c r="C81" s="29"/>
      <c r="D81" s="29"/>
      <c r="E81" s="29"/>
      <c r="F81" s="29"/>
      <c r="G81" s="29"/>
      <c r="H81" s="29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</row>
    <row r="82" spans="2:22" ht="21.95" customHeight="1"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</row>
    <row r="83" spans="2:22" ht="21.95" customHeight="1"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</row>
    <row r="84" spans="2:22" ht="35.1" customHeight="1">
      <c r="B84" s="14" t="s">
        <v>41</v>
      </c>
      <c r="C84" s="14" t="s">
        <v>42</v>
      </c>
      <c r="D84" s="14" t="s">
        <v>43</v>
      </c>
      <c r="E84" s="14" t="s">
        <v>44</v>
      </c>
      <c r="F84" s="14" t="s">
        <v>15</v>
      </c>
      <c r="G84" s="14" t="s">
        <v>56</v>
      </c>
      <c r="H84" s="14" t="s">
        <v>45</v>
      </c>
      <c r="I84" s="14" t="s">
        <v>36</v>
      </c>
      <c r="J84" s="14" t="s">
        <v>46</v>
      </c>
      <c r="K84" s="14" t="s">
        <v>57</v>
      </c>
      <c r="L84" s="14" t="s">
        <v>47</v>
      </c>
      <c r="M84" s="14" t="s">
        <v>20</v>
      </c>
      <c r="N84" s="14" t="s">
        <v>21</v>
      </c>
      <c r="O84" s="14" t="s">
        <v>48</v>
      </c>
      <c r="P84" s="14" t="s">
        <v>39</v>
      </c>
      <c r="Q84" s="14" t="s">
        <v>49</v>
      </c>
      <c r="R84" s="14" t="s">
        <v>50</v>
      </c>
      <c r="S84" s="14" t="s">
        <v>51</v>
      </c>
      <c r="T84" s="14" t="s">
        <v>52</v>
      </c>
      <c r="U84" s="14" t="s">
        <v>53</v>
      </c>
      <c r="V84" s="14" t="s">
        <v>54</v>
      </c>
    </row>
    <row r="85" spans="2:22" ht="21.95" customHeight="1">
      <c r="B85" s="9" t="str">
        <f>"R "&amp;E85</f>
        <v>R -40</v>
      </c>
      <c r="C85" s="9">
        <f>Parameters!D7</f>
        <v>-24</v>
      </c>
      <c r="D85" s="9">
        <f>Parameters!D8</f>
        <v>-20</v>
      </c>
      <c r="E85" s="9">
        <f>Parameters!D16</f>
        <v>-40</v>
      </c>
      <c r="F85" s="9">
        <f>IF('LSR Sweep'!$C$4="Type-B",INDEX(Parameters!$J$10:$N$10,1,Q85)+(INDEX(Parameters!$J$10:$N$10,1,Q85+1)-INDEX(Parameters!$J$10:$N$10,1,Q85))*T85,INDEX(Parameters!$D$10:$H$10,1,Q85)+(INDEX(Parameters!$D$10:$H$10,1,Q85+1)-INDEX(Parameters!$D$10:$H$10,1,Q85))*T85)</f>
        <v>1200</v>
      </c>
      <c r="G85" s="9">
        <f>IF('LSR Sweep'!$C$4="Type-B",INDEX(Parameters!$J$11:$N$11,1,R85)+(INDEX(Parameters!$J$11:$N$11,1,R85+1)-INDEX(Parameters!$J$11:$N$11,1,R85))*U85,INDEX(Parameters!$D$11:$H$11,1,Q85)+(INDEX(Parameters!$D$11:$H$11,1,Q85+1)-INDEX(Parameters!$D$11:$H$11,1,Q85))*T85)</f>
        <v>0.12</v>
      </c>
      <c r="H85" s="9">
        <f>IF('LSR Sweep'!$C$4="Type-B",INDEX(Parameters!$J$12:$N$12,1,Q85)+(INDEX(Parameters!$J$12:$N$12,1,Q85+1)-INDEX(Parameters!$J$12:$N$12,1,Q85))*T85,INDEX(Parameters!$D$12:$H$12,1,Q85)+(INDEX(Parameters!$D$12:$H$12,1,Q85+1)-INDEX(Parameters!$D$12:$H$12,1,Q85))*T85)</f>
        <v>1</v>
      </c>
      <c r="I85" s="9">
        <f>F85*H85</f>
        <v>1200</v>
      </c>
      <c r="J85" s="9">
        <f>IF('LSR Sweep'!$C$4="Type-B",INDEX(Parameters!$J$13:$N$13,1,R85)+(INDEX(Parameters!$J$13:$N$13,1,R85+1)-INDEX(Parameters!$J$13:$N$13,1,R85))*U85,INDEX(Parameters!$D$13:$H$13,1,R85)+(INDEX(Parameters!$D$13:$H$13,1,R85+1)-INDEX(Parameters!$D$13:$H$13,1,R85))*U85)</f>
        <v>800</v>
      </c>
      <c r="K85" s="9">
        <f>IF('LSR Sweep'!$C$4="Type-B",Parameters!$L$14,INDEX(Parameters!$D$14:$H$14,1,R85)+(INDEX(Parameters!$D$14:$H$14,1,R85+1)-INDEX(Parameters!$D$14:$H$14,1,R85))*U85)</f>
        <v>0.57999999999999996</v>
      </c>
      <c r="L85" s="9">
        <f>I85+J85</f>
        <v>2000</v>
      </c>
      <c r="M85" s="9">
        <f>IF('LSR Sweep'!$C$4="Type-B",INDEX(Parameters!$J$17:$N$17,1,S85)+(INDEX(Parameters!$J$17:$N$17,1,S85+1)-INDEX(Parameters!$J$17:$N$17,1,S85))*V85,INDEX(Parameters!$D$17:$H$17,1,S85)+(INDEX(Parameters!$D$17:$H$17,1,S85+1)-INDEX(Parameters!$D$17:$H$17,1,S85))*V85)</f>
        <v>1100</v>
      </c>
      <c r="N85" s="9">
        <f>IF('LSR Sweep'!$C$4="Type-B",INDEX(Parameters!$J$18:$N$18,1,S85)+(INDEX(Parameters!$J$18:$N$18,1,S85+1)-INDEX(Parameters!$J$18:$N$18,1,S85))*V85,INDEX(Parameters!$D$18:$H$18,1,S85)+(INDEX(Parameters!$D$18:$H$18,1,S85+1)-INDEX(Parameters!$D$18:$H$18,1,S85))*V85)</f>
        <v>0.23</v>
      </c>
      <c r="O85" s="9">
        <f>IF('LSR Sweep'!$C$4="Type-B",INDEX(Parameters!$J$19:$N$19,1,S85)+(INDEX(Parameters!$J$19:$N$19,1,S85+1)-INDEX(Parameters!$J$19:$N$19,1,S85))*V85,INDEX(Parameters!$D$19:$H$19,1,S85)+(INDEX(Parameters!$D$19:$H$19,1,S85+1)-INDEX(Parameters!$D$19:$H$19,1,S85))*V85)</f>
        <v>0.96</v>
      </c>
      <c r="P85" s="9">
        <f>M85*O85</f>
        <v>1056</v>
      </c>
      <c r="Q85" s="9">
        <f>MIN(4,MAX(1,INT((1+C85/Parameters!$D$23)*4)+1))</f>
        <v>1</v>
      </c>
      <c r="R85" s="9">
        <f>MIN(4,MAX(1,INT((1+D85/Parameters!$D$24)*4)+1))</f>
        <v>1</v>
      </c>
      <c r="S85" s="9">
        <f>MIN(4,MAX(1,INT((1+E85/Parameters!$D$25)*4)+1))</f>
        <v>1</v>
      </c>
      <c r="T85" s="9">
        <f>MAX(0,MIN(1,(1+C85/Parameters!$D$23)*4-(Q85-1)))</f>
        <v>0</v>
      </c>
      <c r="U85" s="9">
        <f>MAX(0,MIN(1,(1+D85/Parameters!$D$24)*4-(R85-1)))</f>
        <v>0</v>
      </c>
      <c r="V85" s="9">
        <f>MAX(0,MIN(1,(1+E85/Parameters!$D$25)*4-(S85-1)))</f>
        <v>0</v>
      </c>
    </row>
    <row r="86" spans="2:22" ht="21.95" customHeight="1">
      <c r="B86" s="9" t="str">
        <f>"R "&amp;E86</f>
        <v>R -30</v>
      </c>
      <c r="C86" s="9">
        <f>Parameters!E7</f>
        <v>-18</v>
      </c>
      <c r="D86" s="9">
        <f>Parameters!E8</f>
        <v>-15</v>
      </c>
      <c r="E86" s="9">
        <f>Parameters!E16</f>
        <v>-30</v>
      </c>
      <c r="F86" s="9">
        <f>IF('LSR Sweep'!$C$4="Type-B",INDEX(Parameters!$J$10:$N$10,1,Q86)+(INDEX(Parameters!$J$10:$N$10,1,Q86+1)-INDEX(Parameters!$J$10:$N$10,1,Q86))*T86,INDEX(Parameters!$D$10:$H$10,1,Q86)+(INDEX(Parameters!$D$10:$H$10,1,Q86+1)-INDEX(Parameters!$D$10:$H$10,1,Q86))*T86)</f>
        <v>1800</v>
      </c>
      <c r="G86" s="9">
        <f>IF('LSR Sweep'!$C$4="Type-B",INDEX(Parameters!$J$11:$N$11,1,R86)+(INDEX(Parameters!$J$11:$N$11,1,R86+1)-INDEX(Parameters!$J$11:$N$11,1,R86))*U86,INDEX(Parameters!$D$11:$H$11,1,Q86)+(INDEX(Parameters!$D$11:$H$11,1,Q86+1)-INDEX(Parameters!$D$11:$H$11,1,Q86))*T86)</f>
        <v>0.12</v>
      </c>
      <c r="H86" s="9">
        <f>IF('LSR Sweep'!$C$4="Type-B",INDEX(Parameters!$J$12:$N$12,1,Q86)+(INDEX(Parameters!$J$12:$N$12,1,Q86+1)-INDEX(Parameters!$J$12:$N$12,1,Q86))*T86,INDEX(Parameters!$D$12:$H$12,1,Q86)+(INDEX(Parameters!$D$12:$H$12,1,Q86+1)-INDEX(Parameters!$D$12:$H$12,1,Q86))*T86)</f>
        <v>0.97499999999999998</v>
      </c>
      <c r="I86" s="9">
        <f>F86*H86</f>
        <v>1755</v>
      </c>
      <c r="J86" s="9">
        <f>IF('LSR Sweep'!$C$4="Type-B",INDEX(Parameters!$J$13:$N$13,1,R86)+(INDEX(Parameters!$J$13:$N$13,1,R86+1)-INDEX(Parameters!$J$13:$N$13,1,R86))*U86,INDEX(Parameters!$D$13:$H$13,1,R86)+(INDEX(Parameters!$D$13:$H$13,1,R86+1)-INDEX(Parameters!$D$13:$H$13,1,R86))*U86)</f>
        <v>1400</v>
      </c>
      <c r="K86" s="9">
        <f>IF('LSR Sweep'!$C$4="Type-B",Parameters!$L$14,INDEX(Parameters!$D$14:$H$14,1,R86)+(INDEX(Parameters!$D$14:$H$14,1,R86+1)-INDEX(Parameters!$D$14:$H$14,1,R86))*U86)</f>
        <v>0.59</v>
      </c>
      <c r="L86" s="9">
        <f>I86+J86</f>
        <v>3155</v>
      </c>
      <c r="M86" s="9">
        <f>IF('LSR Sweep'!$C$4="Type-B",INDEX(Parameters!$J$17:$N$17,1,S86)+(INDEX(Parameters!$J$17:$N$17,1,S86+1)-INDEX(Parameters!$J$17:$N$17,1,S86))*V86,INDEX(Parameters!$D$17:$H$17,1,S86)+(INDEX(Parameters!$D$17:$H$17,1,S86+1)-INDEX(Parameters!$D$17:$H$17,1,S86))*V86)</f>
        <v>1550</v>
      </c>
      <c r="N86" s="9">
        <f>IF('LSR Sweep'!$C$4="Type-B",INDEX(Parameters!$J$18:$N$18,1,S86)+(INDEX(Parameters!$J$18:$N$18,1,S86+1)-INDEX(Parameters!$J$18:$N$18,1,S86))*V86,INDEX(Parameters!$D$18:$H$18,1,S86)+(INDEX(Parameters!$D$18:$H$18,1,S86+1)-INDEX(Parameters!$D$18:$H$18,1,S86))*V86)</f>
        <v>0.255</v>
      </c>
      <c r="O86" s="9">
        <f>IF('LSR Sweep'!$C$4="Type-B",INDEX(Parameters!$J$19:$N$19,1,S86)+(INDEX(Parameters!$J$19:$N$19,1,S86+1)-INDEX(Parameters!$J$19:$N$19,1,S86))*V86,INDEX(Parameters!$D$19:$H$19,1,S86)+(INDEX(Parameters!$D$19:$H$19,1,S86+1)-INDEX(Parameters!$D$19:$H$19,1,S86))*V86)</f>
        <v>0.91999999999999993</v>
      </c>
      <c r="P86" s="9">
        <f>M86*O86</f>
        <v>1426</v>
      </c>
      <c r="Q86" s="9">
        <f>MIN(4,MAX(1,INT((1+C86/Parameters!$D$23)*4)+1))</f>
        <v>2</v>
      </c>
      <c r="R86" s="9">
        <f>MIN(4,MAX(1,INT((1+D86/Parameters!$D$24)*4)+1))</f>
        <v>2</v>
      </c>
      <c r="S86" s="9">
        <f>MIN(4,MAX(1,INT((1+E86/Parameters!$D$25)*4)+1))</f>
        <v>2</v>
      </c>
      <c r="T86" s="9">
        <f>MAX(0,MIN(1,(1+C86/Parameters!$D$23)*4-(Q86-1)))</f>
        <v>0</v>
      </c>
      <c r="U86" s="9">
        <f>MAX(0,MIN(1,(1+D86/Parameters!$D$24)*4-(R86-1)))</f>
        <v>0</v>
      </c>
      <c r="V86" s="9">
        <f>MAX(0,MIN(1,(1+E86/Parameters!$D$25)*4-(S86-1)))</f>
        <v>0</v>
      </c>
    </row>
    <row r="87" spans="2:22" ht="21.95" customHeight="1">
      <c r="B87" s="9" t="str">
        <f>"R "&amp;E87</f>
        <v>R -20</v>
      </c>
      <c r="C87" s="9">
        <f>Parameters!F7</f>
        <v>-12</v>
      </c>
      <c r="D87" s="9">
        <f>Parameters!F8</f>
        <v>-10</v>
      </c>
      <c r="E87" s="9">
        <f>Parameters!F16</f>
        <v>-20</v>
      </c>
      <c r="F87" s="9">
        <f>IF('LSR Sweep'!$C$4="Type-B",INDEX(Parameters!$J$10:$N$10,1,Q87)+(INDEX(Parameters!$J$10:$N$10,1,Q87+1)-INDEX(Parameters!$J$10:$N$10,1,Q87))*T87,INDEX(Parameters!$D$10:$H$10,1,Q87)+(INDEX(Parameters!$D$10:$H$10,1,Q87+1)-INDEX(Parameters!$D$10:$H$10,1,Q87))*T87)</f>
        <v>2400</v>
      </c>
      <c r="G87" s="9">
        <f>IF('LSR Sweep'!$C$4="Type-B",INDEX(Parameters!$J$11:$N$11,1,R87)+(INDEX(Parameters!$J$11:$N$11,1,R87+1)-INDEX(Parameters!$J$11:$N$11,1,R87))*U87,INDEX(Parameters!$D$11:$H$11,1,Q87)+(INDEX(Parameters!$D$11:$H$11,1,Q87+1)-INDEX(Parameters!$D$11:$H$11,1,Q87))*T87)</f>
        <v>0.12</v>
      </c>
      <c r="H87" s="9">
        <f>IF('LSR Sweep'!$C$4="Type-B",INDEX(Parameters!$J$12:$N$12,1,Q87)+(INDEX(Parameters!$J$12:$N$12,1,Q87+1)-INDEX(Parameters!$J$12:$N$12,1,Q87))*T87,INDEX(Parameters!$D$12:$H$12,1,Q87)+(INDEX(Parameters!$D$12:$H$12,1,Q87+1)-INDEX(Parameters!$D$12:$H$12,1,Q87))*T87)</f>
        <v>0.95</v>
      </c>
      <c r="I87" s="9">
        <f>F87*H87</f>
        <v>2280</v>
      </c>
      <c r="J87" s="9">
        <f>IF('LSR Sweep'!$C$4="Type-B",INDEX(Parameters!$J$13:$N$13,1,R87)+(INDEX(Parameters!$J$13:$N$13,1,R87+1)-INDEX(Parameters!$J$13:$N$13,1,R87))*U87,INDEX(Parameters!$D$13:$H$13,1,R87)+(INDEX(Parameters!$D$13:$H$13,1,R87+1)-INDEX(Parameters!$D$13:$H$13,1,R87))*U87)</f>
        <v>2000</v>
      </c>
      <c r="K87" s="9">
        <f>IF('LSR Sweep'!$C$4="Type-B",Parameters!$L$14,INDEX(Parameters!$D$14:$H$14,1,R87)+(INDEX(Parameters!$D$14:$H$14,1,R87+1)-INDEX(Parameters!$D$14:$H$14,1,R87))*U87)</f>
        <v>0.6</v>
      </c>
      <c r="L87" s="9">
        <f>I87+J87</f>
        <v>4280</v>
      </c>
      <c r="M87" s="9">
        <f>IF('LSR Sweep'!$C$4="Type-B",INDEX(Parameters!$J$17:$N$17,1,S87)+(INDEX(Parameters!$J$17:$N$17,1,S87+1)-INDEX(Parameters!$J$17:$N$17,1,S87))*V87,INDEX(Parameters!$D$17:$H$17,1,S87)+(INDEX(Parameters!$D$17:$H$17,1,S87+1)-INDEX(Parameters!$D$17:$H$17,1,S87))*V87)</f>
        <v>2000</v>
      </c>
      <c r="N87" s="9">
        <f>IF('LSR Sweep'!$C$4="Type-B",INDEX(Parameters!$J$18:$N$18,1,S87)+(INDEX(Parameters!$J$18:$N$18,1,S87+1)-INDEX(Parameters!$J$18:$N$18,1,S87))*V87,INDEX(Parameters!$D$18:$H$18,1,S87)+(INDEX(Parameters!$D$18:$H$18,1,S87+1)-INDEX(Parameters!$D$18:$H$18,1,S87))*V87)</f>
        <v>0.28000000000000003</v>
      </c>
      <c r="O87" s="9">
        <f>IF('LSR Sweep'!$C$4="Type-B",INDEX(Parameters!$J$19:$N$19,1,S87)+(INDEX(Parameters!$J$19:$N$19,1,S87+1)-INDEX(Parameters!$J$19:$N$19,1,S87))*V87,INDEX(Parameters!$D$19:$H$19,1,S87)+(INDEX(Parameters!$D$19:$H$19,1,S87+1)-INDEX(Parameters!$D$19:$H$19,1,S87))*V87)</f>
        <v>0.88</v>
      </c>
      <c r="P87" s="9">
        <f>M87*O87</f>
        <v>1760</v>
      </c>
      <c r="Q87" s="9">
        <f>MIN(4,MAX(1,INT((1+C87/Parameters!$D$23)*4)+1))</f>
        <v>3</v>
      </c>
      <c r="R87" s="9">
        <f>MIN(4,MAX(1,INT((1+D87/Parameters!$D$24)*4)+1))</f>
        <v>3</v>
      </c>
      <c r="S87" s="9">
        <f>MIN(4,MAX(1,INT((1+E87/Parameters!$D$25)*4)+1))</f>
        <v>3</v>
      </c>
      <c r="T87" s="9">
        <f>MAX(0,MIN(1,(1+C87/Parameters!$D$23)*4-(Q87-1)))</f>
        <v>0</v>
      </c>
      <c r="U87" s="9">
        <f>MAX(0,MIN(1,(1+D87/Parameters!$D$24)*4-(R87-1)))</f>
        <v>0</v>
      </c>
      <c r="V87" s="9">
        <f>MAX(0,MIN(1,(1+E87/Parameters!$D$25)*4-(S87-1)))</f>
        <v>0</v>
      </c>
    </row>
    <row r="88" spans="2:22" ht="21.95" customHeight="1">
      <c r="B88" s="9" t="str">
        <f>"R "&amp;E88</f>
        <v>R -10</v>
      </c>
      <c r="C88" s="9">
        <f>Parameters!G7</f>
        <v>-6</v>
      </c>
      <c r="D88" s="9">
        <f>Parameters!G8</f>
        <v>-5</v>
      </c>
      <c r="E88" s="9">
        <f>Parameters!G16</f>
        <v>-10</v>
      </c>
      <c r="F88" s="9">
        <f>IF('LSR Sweep'!$C$4="Type-B",INDEX(Parameters!$J$10:$N$10,1,Q88)+(INDEX(Parameters!$J$10:$N$10,1,Q88+1)-INDEX(Parameters!$J$10:$N$10,1,Q88))*T88,INDEX(Parameters!$D$10:$H$10,1,Q88)+(INDEX(Parameters!$D$10:$H$10,1,Q88+1)-INDEX(Parameters!$D$10:$H$10,1,Q88))*T88)</f>
        <v>3000</v>
      </c>
      <c r="G88" s="9">
        <f>IF('LSR Sweep'!$C$4="Type-B",INDEX(Parameters!$J$11:$N$11,1,R88)+(INDEX(Parameters!$J$11:$N$11,1,R88+1)-INDEX(Parameters!$J$11:$N$11,1,R88))*U88,INDEX(Parameters!$D$11:$H$11,1,Q88)+(INDEX(Parameters!$D$11:$H$11,1,Q88+1)-INDEX(Parameters!$D$11:$H$11,1,Q88))*T88)</f>
        <v>0.12</v>
      </c>
      <c r="H88" s="9">
        <f>IF('LSR Sweep'!$C$4="Type-B",INDEX(Parameters!$J$12:$N$12,1,Q88)+(INDEX(Parameters!$J$12:$N$12,1,Q88+1)-INDEX(Parameters!$J$12:$N$12,1,Q88))*T88,INDEX(Parameters!$D$12:$H$12,1,Q88)+(INDEX(Parameters!$D$12:$H$12,1,Q88+1)-INDEX(Parameters!$D$12:$H$12,1,Q88))*T88)</f>
        <v>0.92500000000000004</v>
      </c>
      <c r="I88" s="9">
        <f>F88*H88</f>
        <v>2775</v>
      </c>
      <c r="J88" s="9">
        <f>IF('LSR Sweep'!$C$4="Type-B",INDEX(Parameters!$J$13:$N$13,1,R88)+(INDEX(Parameters!$J$13:$N$13,1,R88+1)-INDEX(Parameters!$J$13:$N$13,1,R88))*U88,INDEX(Parameters!$D$13:$H$13,1,R88)+(INDEX(Parameters!$D$13:$H$13,1,R88+1)-INDEX(Parameters!$D$13:$H$13,1,R88))*U88)</f>
        <v>2600</v>
      </c>
      <c r="K88" s="9">
        <f>IF('LSR Sweep'!$C$4="Type-B",Parameters!$L$14,INDEX(Parameters!$D$14:$H$14,1,R88)+(INDEX(Parameters!$D$14:$H$14,1,R88+1)-INDEX(Parameters!$D$14:$H$14,1,R88))*U88)</f>
        <v>0.61</v>
      </c>
      <c r="L88" s="9">
        <f>I88+J88</f>
        <v>5375</v>
      </c>
      <c r="M88" s="9">
        <f>IF('LSR Sweep'!$C$4="Type-B",INDEX(Parameters!$J$17:$N$17,1,S88)+(INDEX(Parameters!$J$17:$N$17,1,S88+1)-INDEX(Parameters!$J$17:$N$17,1,S88))*V88,INDEX(Parameters!$D$17:$H$17,1,S88)+(INDEX(Parameters!$D$17:$H$17,1,S88+1)-INDEX(Parameters!$D$17:$H$17,1,S88))*V88)</f>
        <v>2450</v>
      </c>
      <c r="N88" s="9">
        <f>IF('LSR Sweep'!$C$4="Type-B",INDEX(Parameters!$J$18:$N$18,1,S88)+(INDEX(Parameters!$J$18:$N$18,1,S88+1)-INDEX(Parameters!$J$18:$N$18,1,S88))*V88,INDEX(Parameters!$D$18:$H$18,1,S88)+(INDEX(Parameters!$D$18:$H$18,1,S88+1)-INDEX(Parameters!$D$18:$H$18,1,S88))*V88)</f>
        <v>0.30500000000000005</v>
      </c>
      <c r="O88" s="9">
        <f>IF('LSR Sweep'!$C$4="Type-B",INDEX(Parameters!$J$19:$N$19,1,S88)+(INDEX(Parameters!$J$19:$N$19,1,S88+1)-INDEX(Parameters!$J$19:$N$19,1,S88))*V88,INDEX(Parameters!$D$19:$H$19,1,S88)+(INDEX(Parameters!$D$19:$H$19,1,S88+1)-INDEX(Parameters!$D$19:$H$19,1,S88))*V88)</f>
        <v>0.84000000000000008</v>
      </c>
      <c r="P88" s="9">
        <f>M88*O88</f>
        <v>2058</v>
      </c>
      <c r="Q88" s="9">
        <f>MIN(4,MAX(1,INT((1+C88/Parameters!$D$23)*4)+1))</f>
        <v>4</v>
      </c>
      <c r="R88" s="9">
        <f>MIN(4,MAX(1,INT((1+D88/Parameters!$D$24)*4)+1))</f>
        <v>4</v>
      </c>
      <c r="S88" s="9">
        <f>MIN(4,MAX(1,INT((1+E88/Parameters!$D$25)*4)+1))</f>
        <v>4</v>
      </c>
      <c r="T88" s="9">
        <f>MAX(0,MIN(1,(1+C88/Parameters!$D$23)*4-(Q88-1)))</f>
        <v>0</v>
      </c>
      <c r="U88" s="9">
        <f>MAX(0,MIN(1,(1+D88/Parameters!$D$24)*4-(R88-1)))</f>
        <v>0</v>
      </c>
      <c r="V88" s="9">
        <f>MAX(0,MIN(1,(1+E88/Parameters!$D$25)*4-(S88-1)))</f>
        <v>0</v>
      </c>
    </row>
    <row r="89" spans="2:22" ht="21.95" customHeight="1">
      <c r="B89" s="9" t="str">
        <f>"R "&amp;E89</f>
        <v>R 0</v>
      </c>
      <c r="C89" s="9">
        <f>Parameters!H7</f>
        <v>0</v>
      </c>
      <c r="D89" s="9">
        <f>Parameters!H8</f>
        <v>0</v>
      </c>
      <c r="E89" s="9">
        <f>Parameters!H16</f>
        <v>0</v>
      </c>
      <c r="F89" s="9">
        <f>IF('LSR Sweep'!$C$4="Type-B",INDEX(Parameters!$J$10:$N$10,1,Q89)+(INDEX(Parameters!$J$10:$N$10,1,Q89+1)-INDEX(Parameters!$J$10:$N$10,1,Q89))*T89,INDEX(Parameters!$D$10:$H$10,1,Q89)+(INDEX(Parameters!$D$10:$H$10,1,Q89+1)-INDEX(Parameters!$D$10:$H$10,1,Q89))*T89)</f>
        <v>3600</v>
      </c>
      <c r="G89" s="9">
        <f>IF('LSR Sweep'!$C$4="Type-B",INDEX(Parameters!$J$11:$N$11,1,R89)+(INDEX(Parameters!$J$11:$N$11,1,R89+1)-INDEX(Parameters!$J$11:$N$11,1,R89))*U89,INDEX(Parameters!$D$11:$H$11,1,Q89)+(INDEX(Parameters!$D$11:$H$11,1,Q89+1)-INDEX(Parameters!$D$11:$H$11,1,Q89))*T89)</f>
        <v>0.12</v>
      </c>
      <c r="H89" s="9">
        <f>IF('LSR Sweep'!$C$4="Type-B",INDEX(Parameters!$J$12:$N$12,1,Q89)+(INDEX(Parameters!$J$12:$N$12,1,Q89+1)-INDEX(Parameters!$J$12:$N$12,1,Q89))*T89,INDEX(Parameters!$D$12:$H$12,1,Q89)+(INDEX(Parameters!$D$12:$H$12,1,Q89+1)-INDEX(Parameters!$D$12:$H$12,1,Q89))*T89)</f>
        <v>0.9</v>
      </c>
      <c r="I89" s="9">
        <f>F89*H89</f>
        <v>3240</v>
      </c>
      <c r="J89" s="9">
        <f>IF('LSR Sweep'!$C$4="Type-B",INDEX(Parameters!$J$13:$N$13,1,R89)+(INDEX(Parameters!$J$13:$N$13,1,R89+1)-INDEX(Parameters!$J$13:$N$13,1,R89))*U89,INDEX(Parameters!$D$13:$H$13,1,R89)+(INDEX(Parameters!$D$13:$H$13,1,R89+1)-INDEX(Parameters!$D$13:$H$13,1,R89))*U89)</f>
        <v>3200</v>
      </c>
      <c r="K89" s="9">
        <f>IF('LSR Sweep'!$C$4="Type-B",Parameters!$L$14,INDEX(Parameters!$D$14:$H$14,1,R89)+(INDEX(Parameters!$D$14:$H$14,1,R89+1)-INDEX(Parameters!$D$14:$H$14,1,R89))*U89)</f>
        <v>0.62</v>
      </c>
      <c r="L89" s="9">
        <f>I89+J89</f>
        <v>6440</v>
      </c>
      <c r="M89" s="9">
        <f>IF('LSR Sweep'!$C$4="Type-B",INDEX(Parameters!$J$17:$N$17,1,S89)+(INDEX(Parameters!$J$17:$N$17,1,S89+1)-INDEX(Parameters!$J$17:$N$17,1,S89))*V89,INDEX(Parameters!$D$17:$H$17,1,S89)+(INDEX(Parameters!$D$17:$H$17,1,S89+1)-INDEX(Parameters!$D$17:$H$17,1,S89))*V89)</f>
        <v>2900</v>
      </c>
      <c r="N89" s="9">
        <f>IF('LSR Sweep'!$C$4="Type-B",INDEX(Parameters!$J$18:$N$18,1,S89)+(INDEX(Parameters!$J$18:$N$18,1,S89+1)-INDEX(Parameters!$J$18:$N$18,1,S89))*V89,INDEX(Parameters!$D$18:$H$18,1,S89)+(INDEX(Parameters!$D$18:$H$18,1,S89+1)-INDEX(Parameters!$D$18:$H$18,1,S89))*V89)</f>
        <v>0.33</v>
      </c>
      <c r="O89" s="9">
        <f>IF('LSR Sweep'!$C$4="Type-B",INDEX(Parameters!$J$19:$N$19,1,S89)+(INDEX(Parameters!$J$19:$N$19,1,S89+1)-INDEX(Parameters!$J$19:$N$19,1,S89))*V89,INDEX(Parameters!$D$19:$H$19,1,S89)+(INDEX(Parameters!$D$19:$H$19,1,S89+1)-INDEX(Parameters!$D$19:$H$19,1,S89))*V89)</f>
        <v>0.8</v>
      </c>
      <c r="P89" s="9">
        <f>M89*O89</f>
        <v>2320</v>
      </c>
      <c r="Q89" s="9">
        <f>MIN(4,MAX(1,INT((1+C89/Parameters!$D$23)*4)+1))</f>
        <v>4</v>
      </c>
      <c r="R89" s="9">
        <f>MIN(4,MAX(1,INT((1+D89/Parameters!$D$24)*4)+1))</f>
        <v>4</v>
      </c>
      <c r="S89" s="9">
        <f>MIN(4,MAX(1,INT((1+E89/Parameters!$D$25)*4)+1))</f>
        <v>4</v>
      </c>
      <c r="T89" s="9">
        <f>MAX(0,MIN(1,(1+C89/Parameters!$D$23)*4-(Q89-1)))</f>
        <v>1</v>
      </c>
      <c r="U89" s="9">
        <f>MAX(0,MIN(1,(1+D89/Parameters!$D$24)*4-(R89-1)))</f>
        <v>1</v>
      </c>
      <c r="V89" s="9">
        <f>MAX(0,MIN(1,(1+E89/Parameters!$D$25)*4-(S89-1)))</f>
        <v>1</v>
      </c>
    </row>
    <row r="90" spans="2:22" ht="21.95" customHeight="1"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</row>
    <row r="91" spans="2:22" ht="21.95" customHeight="1"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</row>
    <row r="92" spans="2:22" ht="21.95" customHeight="1"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</row>
    <row r="93" spans="2:22" ht="21.95" customHeight="1">
      <c r="B93" s="12" t="s">
        <v>31</v>
      </c>
      <c r="C93" s="12" t="str">
        <f>B85</f>
        <v>R -40</v>
      </c>
      <c r="D93" s="12" t="str">
        <f>B86</f>
        <v>R -30</v>
      </c>
      <c r="E93" s="12" t="str">
        <f>B87</f>
        <v>R -20</v>
      </c>
      <c r="F93" s="12" t="str">
        <f>B88</f>
        <v>R -10</v>
      </c>
      <c r="G93" s="12" t="str">
        <f>B89</f>
        <v>R 0</v>
      </c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</row>
    <row r="94" spans="2:22" ht="21.95" customHeight="1">
      <c r="B94" s="16">
        <v>0</v>
      </c>
      <c r="C94" s="16">
        <f t="shared" ref="C94:C114" si="10">$M$85*MIN($B94,$N$85)+$P$85*MAX(0,$B94-$N$85)</f>
        <v>0</v>
      </c>
      <c r="D94" s="16">
        <f t="shared" ref="D94:D114" si="11">$M$86*MIN($B94,$N$86)+$P$86*MAX(0,$B94-$N$86)</f>
        <v>0</v>
      </c>
      <c r="E94" s="16">
        <f t="shared" ref="E94:E114" si="12">$M$87*MIN($B94,$N$87)+$P$87*MAX(0,$B94-$N$87)</f>
        <v>0</v>
      </c>
      <c r="F94" s="16">
        <f t="shared" ref="F94:F114" si="13">$M$88*MIN($B94,$N$88)+$P$88*MAX(0,$B94-$N$88)</f>
        <v>0</v>
      </c>
      <c r="G94" s="16">
        <f t="shared" ref="G94:G114" si="14">$M$89*MIN($B94,$N$89)+$P$89*MAX(0,$B94-$N$89)</f>
        <v>0</v>
      </c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</row>
    <row r="95" spans="2:22" ht="21.95" customHeight="1">
      <c r="B95" s="16">
        <v>0.05</v>
      </c>
      <c r="C95" s="16">
        <f t="shared" si="10"/>
        <v>55</v>
      </c>
      <c r="D95" s="16">
        <f t="shared" si="11"/>
        <v>77.5</v>
      </c>
      <c r="E95" s="16">
        <f t="shared" si="12"/>
        <v>100</v>
      </c>
      <c r="F95" s="16">
        <f t="shared" si="13"/>
        <v>122.5</v>
      </c>
      <c r="G95" s="16">
        <f t="shared" si="14"/>
        <v>145</v>
      </c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</row>
    <row r="96" spans="2:22" ht="21.95" customHeight="1">
      <c r="B96" s="16">
        <v>0.1</v>
      </c>
      <c r="C96" s="16">
        <f t="shared" si="10"/>
        <v>110</v>
      </c>
      <c r="D96" s="16">
        <f t="shared" si="11"/>
        <v>155</v>
      </c>
      <c r="E96" s="16">
        <f t="shared" si="12"/>
        <v>200</v>
      </c>
      <c r="F96" s="16">
        <f t="shared" si="13"/>
        <v>245</v>
      </c>
      <c r="G96" s="16">
        <f t="shared" si="14"/>
        <v>290</v>
      </c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</row>
    <row r="97" spans="2:22" ht="21.95" customHeight="1">
      <c r="B97" s="16">
        <v>0.15</v>
      </c>
      <c r="C97" s="16">
        <f t="shared" si="10"/>
        <v>165</v>
      </c>
      <c r="D97" s="16">
        <f t="shared" si="11"/>
        <v>232.5</v>
      </c>
      <c r="E97" s="16">
        <f t="shared" si="12"/>
        <v>300</v>
      </c>
      <c r="F97" s="16">
        <f t="shared" si="13"/>
        <v>367.5</v>
      </c>
      <c r="G97" s="16">
        <f t="shared" si="14"/>
        <v>435</v>
      </c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</row>
    <row r="98" spans="2:22" ht="21.95" customHeight="1">
      <c r="B98" s="16">
        <v>0.2</v>
      </c>
      <c r="C98" s="16">
        <f t="shared" si="10"/>
        <v>220</v>
      </c>
      <c r="D98" s="16">
        <f t="shared" si="11"/>
        <v>310</v>
      </c>
      <c r="E98" s="16">
        <f t="shared" si="12"/>
        <v>400</v>
      </c>
      <c r="F98" s="16">
        <f t="shared" si="13"/>
        <v>490</v>
      </c>
      <c r="G98" s="16">
        <f t="shared" si="14"/>
        <v>580</v>
      </c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</row>
    <row r="99" spans="2:22" ht="21.95" customHeight="1">
      <c r="B99" s="16">
        <v>0.25</v>
      </c>
      <c r="C99" s="16">
        <f t="shared" si="10"/>
        <v>274.12</v>
      </c>
      <c r="D99" s="16">
        <f t="shared" si="11"/>
        <v>387.5</v>
      </c>
      <c r="E99" s="16">
        <f t="shared" si="12"/>
        <v>500</v>
      </c>
      <c r="F99" s="16">
        <f t="shared" si="13"/>
        <v>612.5</v>
      </c>
      <c r="G99" s="16">
        <f t="shared" si="14"/>
        <v>725</v>
      </c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</row>
    <row r="100" spans="2:22" ht="21.95" customHeight="1">
      <c r="B100" s="16">
        <v>0.3</v>
      </c>
      <c r="C100" s="16">
        <f t="shared" si="10"/>
        <v>326.91999999999996</v>
      </c>
      <c r="D100" s="16">
        <f t="shared" si="11"/>
        <v>459.41999999999996</v>
      </c>
      <c r="E100" s="16">
        <f t="shared" si="12"/>
        <v>595.19999999999993</v>
      </c>
      <c r="F100" s="16">
        <f t="shared" si="13"/>
        <v>735</v>
      </c>
      <c r="G100" s="16">
        <f t="shared" si="14"/>
        <v>870</v>
      </c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</row>
    <row r="101" spans="2:22" ht="21.95" customHeight="1">
      <c r="B101" s="16">
        <v>0.35</v>
      </c>
      <c r="C101" s="16">
        <f t="shared" si="10"/>
        <v>379.71999999999997</v>
      </c>
      <c r="D101" s="16">
        <f t="shared" si="11"/>
        <v>530.72</v>
      </c>
      <c r="E101" s="16">
        <f t="shared" si="12"/>
        <v>683.19999999999993</v>
      </c>
      <c r="F101" s="16">
        <f t="shared" si="13"/>
        <v>839.86</v>
      </c>
      <c r="G101" s="16">
        <f t="shared" si="14"/>
        <v>1003.3999999999999</v>
      </c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</row>
    <row r="102" spans="2:22" ht="21.95" customHeight="1">
      <c r="B102" s="16">
        <v>0.4</v>
      </c>
      <c r="C102" s="16">
        <f t="shared" si="10"/>
        <v>432.52</v>
      </c>
      <c r="D102" s="16">
        <f t="shared" si="11"/>
        <v>602.02</v>
      </c>
      <c r="E102" s="16">
        <f t="shared" si="12"/>
        <v>771.2</v>
      </c>
      <c r="F102" s="16">
        <f t="shared" si="13"/>
        <v>942.76</v>
      </c>
      <c r="G102" s="16">
        <f t="shared" si="14"/>
        <v>1119.4000000000001</v>
      </c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</row>
    <row r="103" spans="2:22" ht="21.95" customHeight="1">
      <c r="B103" s="16">
        <v>0.45</v>
      </c>
      <c r="C103" s="16">
        <f t="shared" si="10"/>
        <v>485.32</v>
      </c>
      <c r="D103" s="16">
        <f t="shared" si="11"/>
        <v>673.31999999999994</v>
      </c>
      <c r="E103" s="16">
        <f t="shared" si="12"/>
        <v>859.2</v>
      </c>
      <c r="F103" s="16">
        <f t="shared" si="13"/>
        <v>1045.6600000000001</v>
      </c>
      <c r="G103" s="16">
        <f t="shared" si="14"/>
        <v>1235.4000000000001</v>
      </c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</row>
    <row r="104" spans="2:22" ht="21.95" customHeight="1">
      <c r="B104" s="16">
        <v>0.5</v>
      </c>
      <c r="C104" s="16">
        <f t="shared" si="10"/>
        <v>538.12</v>
      </c>
      <c r="D104" s="16">
        <f t="shared" si="11"/>
        <v>744.62</v>
      </c>
      <c r="E104" s="16">
        <f t="shared" si="12"/>
        <v>947.19999999999993</v>
      </c>
      <c r="F104" s="16">
        <f t="shared" si="13"/>
        <v>1148.56</v>
      </c>
      <c r="G104" s="16">
        <f t="shared" si="14"/>
        <v>1351.4</v>
      </c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</row>
    <row r="105" spans="2:22" ht="21.95" customHeight="1">
      <c r="B105" s="16">
        <v>0.55000000000000004</v>
      </c>
      <c r="C105" s="16">
        <f t="shared" si="10"/>
        <v>590.92000000000007</v>
      </c>
      <c r="D105" s="16">
        <f t="shared" si="11"/>
        <v>815.92000000000007</v>
      </c>
      <c r="E105" s="16">
        <f t="shared" si="12"/>
        <v>1035.2</v>
      </c>
      <c r="F105" s="16">
        <f t="shared" si="13"/>
        <v>1251.46</v>
      </c>
      <c r="G105" s="16">
        <f t="shared" si="14"/>
        <v>1467.4</v>
      </c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</row>
    <row r="106" spans="2:22" ht="21.95" customHeight="1">
      <c r="B106" s="16">
        <v>0.6</v>
      </c>
      <c r="C106" s="16">
        <f t="shared" si="10"/>
        <v>643.72</v>
      </c>
      <c r="D106" s="16">
        <f t="shared" si="11"/>
        <v>887.22</v>
      </c>
      <c r="E106" s="16">
        <f t="shared" si="12"/>
        <v>1123.1999999999998</v>
      </c>
      <c r="F106" s="16">
        <f t="shared" si="13"/>
        <v>1354.3600000000001</v>
      </c>
      <c r="G106" s="16">
        <f t="shared" si="14"/>
        <v>1583.3999999999999</v>
      </c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</row>
    <row r="107" spans="2:22" ht="21.95" customHeight="1">
      <c r="B107" s="16">
        <v>0.65</v>
      </c>
      <c r="C107" s="16">
        <f t="shared" si="10"/>
        <v>696.52</v>
      </c>
      <c r="D107" s="16">
        <f t="shared" si="11"/>
        <v>958.52</v>
      </c>
      <c r="E107" s="16">
        <f t="shared" si="12"/>
        <v>1211.2</v>
      </c>
      <c r="F107" s="16">
        <f t="shared" si="13"/>
        <v>1457.2600000000002</v>
      </c>
      <c r="G107" s="16">
        <f t="shared" si="14"/>
        <v>1699.4</v>
      </c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</row>
    <row r="108" spans="2:22" ht="21.95" customHeight="1">
      <c r="B108" s="16">
        <v>0.7</v>
      </c>
      <c r="C108" s="16">
        <f t="shared" si="10"/>
        <v>749.31999999999994</v>
      </c>
      <c r="D108" s="16">
        <f t="shared" si="11"/>
        <v>1029.82</v>
      </c>
      <c r="E108" s="16">
        <f t="shared" si="12"/>
        <v>1299.1999999999998</v>
      </c>
      <c r="F108" s="16">
        <f t="shared" si="13"/>
        <v>1560.1599999999999</v>
      </c>
      <c r="G108" s="16">
        <f t="shared" si="14"/>
        <v>1815.3999999999999</v>
      </c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</row>
    <row r="109" spans="2:22" ht="21.95" customHeight="1">
      <c r="B109" s="16">
        <v>0.75</v>
      </c>
      <c r="C109" s="16">
        <f t="shared" si="10"/>
        <v>802.12</v>
      </c>
      <c r="D109" s="16">
        <f t="shared" si="11"/>
        <v>1101.1199999999999</v>
      </c>
      <c r="E109" s="16">
        <f t="shared" si="12"/>
        <v>1387.1999999999998</v>
      </c>
      <c r="F109" s="16">
        <f t="shared" si="13"/>
        <v>1663.06</v>
      </c>
      <c r="G109" s="16">
        <f t="shared" si="14"/>
        <v>1931.4</v>
      </c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</row>
    <row r="110" spans="2:22" ht="21.95" customHeight="1">
      <c r="B110" s="16">
        <v>0.8</v>
      </c>
      <c r="C110" s="16">
        <f t="shared" si="10"/>
        <v>854.92000000000007</v>
      </c>
      <c r="D110" s="16">
        <f t="shared" si="11"/>
        <v>1172.42</v>
      </c>
      <c r="E110" s="16">
        <f t="shared" si="12"/>
        <v>1475.2</v>
      </c>
      <c r="F110" s="16">
        <f t="shared" si="13"/>
        <v>1765.96</v>
      </c>
      <c r="G110" s="16">
        <f t="shared" si="14"/>
        <v>2047.4</v>
      </c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</row>
    <row r="111" spans="2:22" ht="21.95" customHeight="1">
      <c r="B111" s="16">
        <v>0.85</v>
      </c>
      <c r="C111" s="16">
        <f t="shared" si="10"/>
        <v>907.72</v>
      </c>
      <c r="D111" s="16">
        <f t="shared" si="11"/>
        <v>1243.7199999999998</v>
      </c>
      <c r="E111" s="16">
        <f t="shared" si="12"/>
        <v>1563.1999999999998</v>
      </c>
      <c r="F111" s="16">
        <f t="shared" si="13"/>
        <v>1868.8600000000001</v>
      </c>
      <c r="G111" s="16">
        <f t="shared" si="14"/>
        <v>2163.4</v>
      </c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</row>
    <row r="112" spans="2:22" ht="21.95" customHeight="1">
      <c r="B112" s="16">
        <v>0.9</v>
      </c>
      <c r="C112" s="16">
        <f t="shared" si="10"/>
        <v>960.5200000000001</v>
      </c>
      <c r="D112" s="16">
        <f t="shared" si="11"/>
        <v>1315.02</v>
      </c>
      <c r="E112" s="16">
        <f t="shared" si="12"/>
        <v>1651.2</v>
      </c>
      <c r="F112" s="16">
        <f t="shared" si="13"/>
        <v>1971.7600000000002</v>
      </c>
      <c r="G112" s="16">
        <f t="shared" si="14"/>
        <v>2279.4</v>
      </c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</row>
    <row r="113" spans="2:22" ht="21.95" customHeight="1">
      <c r="B113" s="16">
        <v>0.95</v>
      </c>
      <c r="C113" s="16">
        <f t="shared" si="10"/>
        <v>1013.3199999999999</v>
      </c>
      <c r="D113" s="16">
        <f t="shared" si="11"/>
        <v>1386.32</v>
      </c>
      <c r="E113" s="16">
        <f t="shared" si="12"/>
        <v>1739.1999999999998</v>
      </c>
      <c r="F113" s="16">
        <f t="shared" si="13"/>
        <v>2074.66</v>
      </c>
      <c r="G113" s="16">
        <f t="shared" si="14"/>
        <v>2395.3999999999996</v>
      </c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</row>
    <row r="114" spans="2:22" ht="21.95" customHeight="1">
      <c r="B114" s="16">
        <v>1</v>
      </c>
      <c r="C114" s="16">
        <f t="shared" si="10"/>
        <v>1066.1199999999999</v>
      </c>
      <c r="D114" s="16">
        <f t="shared" si="11"/>
        <v>1457.62</v>
      </c>
      <c r="E114" s="16">
        <f t="shared" si="12"/>
        <v>1827.2</v>
      </c>
      <c r="F114" s="16">
        <f t="shared" si="13"/>
        <v>2177.56</v>
      </c>
      <c r="G114" s="16">
        <f t="shared" si="14"/>
        <v>2511.3999999999996</v>
      </c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</row>
    <row r="115" spans="2:22" ht="21.95" customHeight="1"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</row>
    <row r="116" spans="2:22" ht="21.95" customHeight="1"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</row>
    <row r="117" spans="2:22" ht="21.95" customHeight="1"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</row>
    <row r="118" spans="2:22" ht="21.95" customHeight="1"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</row>
    <row r="119" spans="2:22" ht="21.95" customHeight="1"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</row>
    <row r="120" spans="2:22" ht="21.95" customHeight="1"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</row>
    <row r="121" spans="2:22" ht="21.95" customHeight="1">
      <c r="B121" s="29" t="s">
        <v>73</v>
      </c>
      <c r="C121" s="29"/>
      <c r="D121" s="29"/>
      <c r="E121" s="29"/>
      <c r="F121" s="29"/>
      <c r="G121" s="29"/>
      <c r="H121" s="29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</row>
    <row r="122" spans="2:22" ht="21.95" customHeight="1"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</row>
    <row r="123" spans="2:22" ht="21.95" customHeight="1"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</row>
    <row r="124" spans="2:22" ht="35.1" customHeight="1">
      <c r="B124" s="14" t="s">
        <v>41</v>
      </c>
      <c r="C124" s="14" t="s">
        <v>42</v>
      </c>
      <c r="D124" s="14" t="s">
        <v>43</v>
      </c>
      <c r="E124" s="14" t="s">
        <v>44</v>
      </c>
      <c r="F124" s="14" t="s">
        <v>15</v>
      </c>
      <c r="G124" s="14" t="s">
        <v>56</v>
      </c>
      <c r="H124" s="14" t="s">
        <v>45</v>
      </c>
      <c r="I124" s="14" t="s">
        <v>36</v>
      </c>
      <c r="J124" s="14" t="s">
        <v>46</v>
      </c>
      <c r="K124" s="14" t="s">
        <v>57</v>
      </c>
      <c r="L124" s="14" t="s">
        <v>47</v>
      </c>
      <c r="M124" s="14" t="s">
        <v>20</v>
      </c>
      <c r="N124" s="14" t="s">
        <v>21</v>
      </c>
      <c r="O124" s="14" t="s">
        <v>48</v>
      </c>
      <c r="P124" s="14" t="s">
        <v>39</v>
      </c>
      <c r="Q124" s="14" t="s">
        <v>49</v>
      </c>
      <c r="R124" s="14" t="s">
        <v>50</v>
      </c>
      <c r="S124" s="14" t="s">
        <v>51</v>
      </c>
      <c r="T124" s="14" t="s">
        <v>52</v>
      </c>
      <c r="U124" s="14" t="s">
        <v>53</v>
      </c>
      <c r="V124" s="14" t="s">
        <v>54</v>
      </c>
    </row>
    <row r="125" spans="2:22" ht="21.95" customHeight="1">
      <c r="B125" s="9" t="str">
        <f>"c "&amp;C125&amp;" / C "&amp;D125</f>
        <v>c -24 / C -20</v>
      </c>
      <c r="C125" s="9">
        <f>Parameters!D7</f>
        <v>-24</v>
      </c>
      <c r="D125" s="9">
        <f>Parameters!D8</f>
        <v>-20</v>
      </c>
      <c r="E125" s="9">
        <f>Parameters!D16</f>
        <v>-40</v>
      </c>
      <c r="F125" s="9">
        <f>IF('Full Sweep'!$C$4="Type-B",INDEX(Parameters!$J$10:$N$10,1,Q125)+(INDEX(Parameters!$J$10:$N$10,1,Q125+1)-INDEX(Parameters!$J$10:$N$10,1,Q125))*T125,INDEX(Parameters!$D$10:$H$10,1,Q125)+(INDEX(Parameters!$D$10:$H$10,1,Q125+1)-INDEX(Parameters!$D$10:$H$10,1,Q125))*T125)</f>
        <v>1800</v>
      </c>
      <c r="G125" s="9">
        <f>IF('Full Sweep'!$C$4="Type-B",INDEX(Parameters!$J$11:$N$11,1,R125)+(INDEX(Parameters!$J$11:$N$11,1,R125+1)-INDEX(Parameters!$J$11:$N$11,1,R125))*U125,INDEX(Parameters!$D$11:$H$11,1,Q125)+(INDEX(Parameters!$D$11:$H$11,1,Q125+1)-INDEX(Parameters!$D$11:$H$11,1,Q125))*T125)</f>
        <v>0.25</v>
      </c>
      <c r="H125" s="9">
        <f>IF('Full Sweep'!$C$4="Type-B",INDEX(Parameters!$J$12:$N$12,1,Q125)+(INDEX(Parameters!$J$12:$N$12,1,Q125+1)-INDEX(Parameters!$J$12:$N$12,1,Q125))*T125,INDEX(Parameters!$D$12:$H$12,1,Q125)+(INDEX(Parameters!$D$12:$H$12,1,Q125+1)-INDEX(Parameters!$D$12:$H$12,1,Q125))*T125)</f>
        <v>0.62</v>
      </c>
      <c r="I125" s="9">
        <f>F125*H125</f>
        <v>1116</v>
      </c>
      <c r="J125" s="9">
        <f>IF('Full Sweep'!$C$4="Type-B",INDEX(Parameters!$J$13:$N$13,1,R125)+(INDEX(Parameters!$J$13:$N$13,1,R125+1)-INDEX(Parameters!$J$13:$N$13,1,R125))*U125,INDEX(Parameters!$D$13:$H$13,1,R125)+(INDEX(Parameters!$D$13:$H$13,1,R125+1)-INDEX(Parameters!$D$13:$H$13,1,R125))*U125)</f>
        <v>500</v>
      </c>
      <c r="K125" s="9">
        <f>IF('Full Sweep'!$C$4="Type-B",Parameters!$L$14,INDEX(Parameters!$D$14:$H$14,1,R125)+(INDEX(Parameters!$D$14:$H$14,1,R125+1)-INDEX(Parameters!$D$14:$H$14,1,R125))*U125)</f>
        <v>0.6</v>
      </c>
      <c r="L125" s="9">
        <f>I125+J125</f>
        <v>1616</v>
      </c>
      <c r="M125" s="9">
        <f>IF('Full Sweep'!$C$4="Type-B",INDEX(Parameters!$J$17:$N$17,1,S125)+(INDEX(Parameters!$J$17:$N$17,1,S125+1)-INDEX(Parameters!$J$17:$N$17,1,S125))*V125,INDEX(Parameters!$D$17:$H$17,1,S125)+(INDEX(Parameters!$D$17:$H$17,1,S125+1)-INDEX(Parameters!$D$17:$H$17,1,S125))*V125)</f>
        <v>1600</v>
      </c>
      <c r="N125" s="9">
        <f>IF('Full Sweep'!$C$4="Type-B",INDEX(Parameters!$J$18:$N$18,1,S125)+(INDEX(Parameters!$J$18:$N$18,1,S125+1)-INDEX(Parameters!$J$18:$N$18,1,S125))*V125,INDEX(Parameters!$D$18:$H$18,1,S125)+(INDEX(Parameters!$D$18:$H$18,1,S125+1)-INDEX(Parameters!$D$18:$H$18,1,S125))*V125)</f>
        <v>0.2</v>
      </c>
      <c r="O125" s="9">
        <f>IF('Full Sweep'!$C$4="Type-B",INDEX(Parameters!$J$19:$N$19,1,S125)+(INDEX(Parameters!$J$19:$N$19,1,S125+1)-INDEX(Parameters!$J$19:$N$19,1,S125))*V125,INDEX(Parameters!$D$19:$H$19,1,S125)+(INDEX(Parameters!$D$19:$H$19,1,S125+1)-INDEX(Parameters!$D$19:$H$19,1,S125))*V125)</f>
        <v>0.66</v>
      </c>
      <c r="P125" s="9">
        <f>M125*O125</f>
        <v>1056</v>
      </c>
      <c r="Q125" s="9">
        <f>MIN(4,MAX(1,INT((1+C125/Parameters!$D$23)*4)+1))</f>
        <v>1</v>
      </c>
      <c r="R125" s="9">
        <f>MIN(4,MAX(1,INT((1+D125/Parameters!$D$24)*4)+1))</f>
        <v>1</v>
      </c>
      <c r="S125" s="9">
        <f>MIN(4,MAX(1,INT((1+E125/Parameters!$D$25)*4)+1))</f>
        <v>1</v>
      </c>
      <c r="T125" s="9">
        <f>MAX(0,MIN(1,(1+C125/Parameters!$D$23)*4-(Q125-1)))</f>
        <v>0</v>
      </c>
      <c r="U125" s="9">
        <f>MAX(0,MIN(1,(1+D125/Parameters!$D$24)*4-(R125-1)))</f>
        <v>0</v>
      </c>
      <c r="V125" s="9">
        <f>MAX(0,MIN(1,(1+E125/Parameters!$D$25)*4-(S125-1)))</f>
        <v>0</v>
      </c>
    </row>
    <row r="126" spans="2:22" ht="21.95" customHeight="1">
      <c r="B126" s="9" t="str">
        <f>"c "&amp;C126&amp;" / C "&amp;D126</f>
        <v>c -18 / C -15</v>
      </c>
      <c r="C126" s="9">
        <f>Parameters!E7</f>
        <v>-18</v>
      </c>
      <c r="D126" s="9">
        <f>Parameters!E8</f>
        <v>-15</v>
      </c>
      <c r="E126" s="9">
        <f>Parameters!E16</f>
        <v>-30</v>
      </c>
      <c r="F126" s="9">
        <f>IF('Full Sweep'!$C$4="Type-B",INDEX(Parameters!$J$10:$N$10,1,Q126)+(INDEX(Parameters!$J$10:$N$10,1,Q126+1)-INDEX(Parameters!$J$10:$N$10,1,Q126))*T126,INDEX(Parameters!$D$10:$H$10,1,Q126)+(INDEX(Parameters!$D$10:$H$10,1,Q126+1)-INDEX(Parameters!$D$10:$H$10,1,Q126))*T126)</f>
        <v>2400</v>
      </c>
      <c r="G126" s="9">
        <f>IF('Full Sweep'!$C$4="Type-B",INDEX(Parameters!$J$11:$N$11,1,R126)+(INDEX(Parameters!$J$11:$N$11,1,R126+1)-INDEX(Parameters!$J$11:$N$11,1,R126))*U126,INDEX(Parameters!$D$11:$H$11,1,Q126)+(INDEX(Parameters!$D$11:$H$11,1,Q126+1)-INDEX(Parameters!$D$11:$H$11,1,Q126))*T126)</f>
        <v>0.3</v>
      </c>
      <c r="H126" s="9">
        <f>IF('Full Sweep'!$C$4="Type-B",INDEX(Parameters!$J$12:$N$12,1,Q126)+(INDEX(Parameters!$J$12:$N$12,1,Q126+1)-INDEX(Parameters!$J$12:$N$12,1,Q126))*T126,INDEX(Parameters!$D$12:$H$12,1,Q126)+(INDEX(Parameters!$D$12:$H$12,1,Q126+1)-INDEX(Parameters!$D$12:$H$12,1,Q126))*T126)</f>
        <v>0.6</v>
      </c>
      <c r="I126" s="9">
        <f>F126*H126</f>
        <v>1440</v>
      </c>
      <c r="J126" s="9">
        <f>IF('Full Sweep'!$C$4="Type-B",INDEX(Parameters!$J$13:$N$13,1,R126)+(INDEX(Parameters!$J$13:$N$13,1,R126+1)-INDEX(Parameters!$J$13:$N$13,1,R126))*U126,INDEX(Parameters!$D$13:$H$13,1,R126)+(INDEX(Parameters!$D$13:$H$13,1,R126+1)-INDEX(Parameters!$D$13:$H$13,1,R126))*U126)</f>
        <v>500</v>
      </c>
      <c r="K126" s="9">
        <f>IF('Full Sweep'!$C$4="Type-B",Parameters!$L$14,INDEX(Parameters!$D$14:$H$14,1,R126)+(INDEX(Parameters!$D$14:$H$14,1,R126+1)-INDEX(Parameters!$D$14:$H$14,1,R126))*U126)</f>
        <v>0.6</v>
      </c>
      <c r="L126" s="9">
        <f>I126+J126</f>
        <v>1940</v>
      </c>
      <c r="M126" s="9">
        <f>IF('Full Sweep'!$C$4="Type-B",INDEX(Parameters!$J$17:$N$17,1,S126)+(INDEX(Parameters!$J$17:$N$17,1,S126+1)-INDEX(Parameters!$J$17:$N$17,1,S126))*V126,INDEX(Parameters!$D$17:$H$17,1,S126)+(INDEX(Parameters!$D$17:$H$17,1,S126+1)-INDEX(Parameters!$D$17:$H$17,1,S126))*V126)</f>
        <v>2050</v>
      </c>
      <c r="N126" s="9">
        <f>IF('Full Sweep'!$C$4="Type-B",INDEX(Parameters!$J$18:$N$18,1,S126)+(INDEX(Parameters!$J$18:$N$18,1,S126+1)-INDEX(Parameters!$J$18:$N$18,1,S126))*V126,INDEX(Parameters!$D$18:$H$18,1,S126)+(INDEX(Parameters!$D$18:$H$18,1,S126+1)-INDEX(Parameters!$D$18:$H$18,1,S126))*V126)</f>
        <v>0.22500000000000001</v>
      </c>
      <c r="O126" s="9">
        <f>IF('Full Sweep'!$C$4="Type-B",INDEX(Parameters!$J$19:$N$19,1,S126)+(INDEX(Parameters!$J$19:$N$19,1,S126+1)-INDEX(Parameters!$J$19:$N$19,1,S126))*V126,INDEX(Parameters!$D$19:$H$19,1,S126)+(INDEX(Parameters!$D$19:$H$19,1,S126+1)-INDEX(Parameters!$D$19:$H$19,1,S126))*V126)</f>
        <v>0.62</v>
      </c>
      <c r="P126" s="9">
        <f>M126*O126</f>
        <v>1271</v>
      </c>
      <c r="Q126" s="9">
        <f>MIN(4,MAX(1,INT((1+C126/Parameters!$D$23)*4)+1))</f>
        <v>2</v>
      </c>
      <c r="R126" s="9">
        <f>MIN(4,MAX(1,INT((1+D126/Parameters!$D$24)*4)+1))</f>
        <v>2</v>
      </c>
      <c r="S126" s="9">
        <f>MIN(4,MAX(1,INT((1+E126/Parameters!$D$25)*4)+1))</f>
        <v>2</v>
      </c>
      <c r="T126" s="9">
        <f>MAX(0,MIN(1,(1+C126/Parameters!$D$23)*4-(Q126-1)))</f>
        <v>0</v>
      </c>
      <c r="U126" s="9">
        <f>MAX(0,MIN(1,(1+D126/Parameters!$D$24)*4-(R126-1)))</f>
        <v>0</v>
      </c>
      <c r="V126" s="9">
        <f>MAX(0,MIN(1,(1+E126/Parameters!$D$25)*4-(S126-1)))</f>
        <v>0</v>
      </c>
    </row>
    <row r="127" spans="2:22" ht="21.95" customHeight="1">
      <c r="B127" s="9" t="str">
        <f>"c "&amp;C127&amp;" / C "&amp;D127</f>
        <v>c -12 / C -10</v>
      </c>
      <c r="C127" s="9">
        <f>Parameters!F7</f>
        <v>-12</v>
      </c>
      <c r="D127" s="9">
        <f>Parameters!F8</f>
        <v>-10</v>
      </c>
      <c r="E127" s="9">
        <f>Parameters!F16</f>
        <v>-20</v>
      </c>
      <c r="F127" s="9">
        <f>IF('Full Sweep'!$C$4="Type-B",INDEX(Parameters!$J$10:$N$10,1,Q127)+(INDEX(Parameters!$J$10:$N$10,1,Q127+1)-INDEX(Parameters!$J$10:$N$10,1,Q127))*T127,INDEX(Parameters!$D$10:$H$10,1,Q127)+(INDEX(Parameters!$D$10:$H$10,1,Q127+1)-INDEX(Parameters!$D$10:$H$10,1,Q127))*T127)</f>
        <v>3000</v>
      </c>
      <c r="G127" s="9">
        <f>IF('Full Sweep'!$C$4="Type-B",INDEX(Parameters!$J$11:$N$11,1,R127)+(INDEX(Parameters!$J$11:$N$11,1,R127+1)-INDEX(Parameters!$J$11:$N$11,1,R127))*U127,INDEX(Parameters!$D$11:$H$11,1,Q127)+(INDEX(Parameters!$D$11:$H$11,1,Q127+1)-INDEX(Parameters!$D$11:$H$11,1,Q127))*T127)</f>
        <v>0.35</v>
      </c>
      <c r="H127" s="9">
        <f>IF('Full Sweep'!$C$4="Type-B",INDEX(Parameters!$J$12:$N$12,1,Q127)+(INDEX(Parameters!$J$12:$N$12,1,Q127+1)-INDEX(Parameters!$J$12:$N$12,1,Q127))*T127,INDEX(Parameters!$D$12:$H$12,1,Q127)+(INDEX(Parameters!$D$12:$H$12,1,Q127+1)-INDEX(Parameters!$D$12:$H$12,1,Q127))*T127)</f>
        <v>0.57999999999999996</v>
      </c>
      <c r="I127" s="9">
        <f>F127*H127</f>
        <v>1739.9999999999998</v>
      </c>
      <c r="J127" s="9">
        <f>IF('Full Sweep'!$C$4="Type-B",INDEX(Parameters!$J$13:$N$13,1,R127)+(INDEX(Parameters!$J$13:$N$13,1,R127+1)-INDEX(Parameters!$J$13:$N$13,1,R127))*U127,INDEX(Parameters!$D$13:$H$13,1,R127)+(INDEX(Parameters!$D$13:$H$13,1,R127+1)-INDEX(Parameters!$D$13:$H$13,1,R127))*U127)</f>
        <v>500</v>
      </c>
      <c r="K127" s="9">
        <f>IF('Full Sweep'!$C$4="Type-B",Parameters!$L$14,INDEX(Parameters!$D$14:$H$14,1,R127)+(INDEX(Parameters!$D$14:$H$14,1,R127+1)-INDEX(Parameters!$D$14:$H$14,1,R127))*U127)</f>
        <v>0.6</v>
      </c>
      <c r="L127" s="9">
        <f>I127+J127</f>
        <v>2240</v>
      </c>
      <c r="M127" s="9">
        <f>IF('Full Sweep'!$C$4="Type-B",INDEX(Parameters!$J$17:$N$17,1,S127)+(INDEX(Parameters!$J$17:$N$17,1,S127+1)-INDEX(Parameters!$J$17:$N$17,1,S127))*V127,INDEX(Parameters!$D$17:$H$17,1,S127)+(INDEX(Parameters!$D$17:$H$17,1,S127+1)-INDEX(Parameters!$D$17:$H$17,1,S127))*V127)</f>
        <v>2500</v>
      </c>
      <c r="N127" s="9">
        <f>IF('Full Sweep'!$C$4="Type-B",INDEX(Parameters!$J$18:$N$18,1,S127)+(INDEX(Parameters!$J$18:$N$18,1,S127+1)-INDEX(Parameters!$J$18:$N$18,1,S127))*V127,INDEX(Parameters!$D$18:$H$18,1,S127)+(INDEX(Parameters!$D$18:$H$18,1,S127+1)-INDEX(Parameters!$D$18:$H$18,1,S127))*V127)</f>
        <v>0.25</v>
      </c>
      <c r="O127" s="9">
        <f>IF('Full Sweep'!$C$4="Type-B",INDEX(Parameters!$J$19:$N$19,1,S127)+(INDEX(Parameters!$J$19:$N$19,1,S127+1)-INDEX(Parameters!$J$19:$N$19,1,S127))*V127,INDEX(Parameters!$D$19:$H$19,1,S127)+(INDEX(Parameters!$D$19:$H$19,1,S127+1)-INDEX(Parameters!$D$19:$H$19,1,S127))*V127)</f>
        <v>0.57999999999999996</v>
      </c>
      <c r="P127" s="9">
        <f>M127*O127</f>
        <v>1450</v>
      </c>
      <c r="Q127" s="9">
        <f>MIN(4,MAX(1,INT((1+C127/Parameters!$D$23)*4)+1))</f>
        <v>3</v>
      </c>
      <c r="R127" s="9">
        <f>MIN(4,MAX(1,INT((1+D127/Parameters!$D$24)*4)+1))</f>
        <v>3</v>
      </c>
      <c r="S127" s="9">
        <f>MIN(4,MAX(1,INT((1+E127/Parameters!$D$25)*4)+1))</f>
        <v>3</v>
      </c>
      <c r="T127" s="9">
        <f>MAX(0,MIN(1,(1+C127/Parameters!$D$23)*4-(Q127-1)))</f>
        <v>0</v>
      </c>
      <c r="U127" s="9">
        <f>MAX(0,MIN(1,(1+D127/Parameters!$D$24)*4-(R127-1)))</f>
        <v>0</v>
      </c>
      <c r="V127" s="9">
        <f>MAX(0,MIN(1,(1+E127/Parameters!$D$25)*4-(S127-1)))</f>
        <v>0</v>
      </c>
    </row>
    <row r="128" spans="2:22" ht="21.95" customHeight="1">
      <c r="B128" s="9" t="str">
        <f>"c "&amp;C128&amp;" / C "&amp;D128</f>
        <v>c -6 / C -5</v>
      </c>
      <c r="C128" s="9">
        <f>Parameters!G7</f>
        <v>-6</v>
      </c>
      <c r="D128" s="9">
        <f>Parameters!G8</f>
        <v>-5</v>
      </c>
      <c r="E128" s="9">
        <f>Parameters!G16</f>
        <v>-10</v>
      </c>
      <c r="F128" s="9">
        <f>IF('Full Sweep'!$C$4="Type-B",INDEX(Parameters!$J$10:$N$10,1,Q128)+(INDEX(Parameters!$J$10:$N$10,1,Q128+1)-INDEX(Parameters!$J$10:$N$10,1,Q128))*T128,INDEX(Parameters!$D$10:$H$10,1,Q128)+(INDEX(Parameters!$D$10:$H$10,1,Q128+1)-INDEX(Parameters!$D$10:$H$10,1,Q128))*T128)</f>
        <v>3600</v>
      </c>
      <c r="G128" s="9">
        <f>IF('Full Sweep'!$C$4="Type-B",INDEX(Parameters!$J$11:$N$11,1,R128)+(INDEX(Parameters!$J$11:$N$11,1,R128+1)-INDEX(Parameters!$J$11:$N$11,1,R128))*U128,INDEX(Parameters!$D$11:$H$11,1,Q128)+(INDEX(Parameters!$D$11:$H$11,1,Q128+1)-INDEX(Parameters!$D$11:$H$11,1,Q128))*T128)</f>
        <v>0.4</v>
      </c>
      <c r="H128" s="9">
        <f>IF('Full Sweep'!$C$4="Type-B",INDEX(Parameters!$J$12:$N$12,1,Q128)+(INDEX(Parameters!$J$12:$N$12,1,Q128+1)-INDEX(Parameters!$J$12:$N$12,1,Q128))*T128,INDEX(Parameters!$D$12:$H$12,1,Q128)+(INDEX(Parameters!$D$12:$H$12,1,Q128+1)-INDEX(Parameters!$D$12:$H$12,1,Q128))*T128)</f>
        <v>0.56000000000000005</v>
      </c>
      <c r="I128" s="9">
        <f>F128*H128</f>
        <v>2016.0000000000002</v>
      </c>
      <c r="J128" s="9">
        <f>IF('Full Sweep'!$C$4="Type-B",INDEX(Parameters!$J$13:$N$13,1,R128)+(INDEX(Parameters!$J$13:$N$13,1,R128+1)-INDEX(Parameters!$J$13:$N$13,1,R128))*U128,INDEX(Parameters!$D$13:$H$13,1,R128)+(INDEX(Parameters!$D$13:$H$13,1,R128+1)-INDEX(Parameters!$D$13:$H$13,1,R128))*U128)</f>
        <v>500</v>
      </c>
      <c r="K128" s="9">
        <f>IF('Full Sweep'!$C$4="Type-B",Parameters!$L$14,INDEX(Parameters!$D$14:$H$14,1,R128)+(INDEX(Parameters!$D$14:$H$14,1,R128+1)-INDEX(Parameters!$D$14:$H$14,1,R128))*U128)</f>
        <v>0.6</v>
      </c>
      <c r="L128" s="9">
        <f>I128+J128</f>
        <v>2516</v>
      </c>
      <c r="M128" s="9">
        <f>IF('Full Sweep'!$C$4="Type-B",INDEX(Parameters!$J$17:$N$17,1,S128)+(INDEX(Parameters!$J$17:$N$17,1,S128+1)-INDEX(Parameters!$J$17:$N$17,1,S128))*V128,INDEX(Parameters!$D$17:$H$17,1,S128)+(INDEX(Parameters!$D$17:$H$17,1,S128+1)-INDEX(Parameters!$D$17:$H$17,1,S128))*V128)</f>
        <v>2950</v>
      </c>
      <c r="N128" s="9">
        <f>IF('Full Sweep'!$C$4="Type-B",INDEX(Parameters!$J$18:$N$18,1,S128)+(INDEX(Parameters!$J$18:$N$18,1,S128+1)-INDEX(Parameters!$J$18:$N$18,1,S128))*V128,INDEX(Parameters!$D$18:$H$18,1,S128)+(INDEX(Parameters!$D$18:$H$18,1,S128+1)-INDEX(Parameters!$D$18:$H$18,1,S128))*V128)</f>
        <v>0.27500000000000002</v>
      </c>
      <c r="O128" s="9">
        <f>IF('Full Sweep'!$C$4="Type-B",INDEX(Parameters!$J$19:$N$19,1,S128)+(INDEX(Parameters!$J$19:$N$19,1,S128+1)-INDEX(Parameters!$J$19:$N$19,1,S128))*V128,INDEX(Parameters!$D$19:$H$19,1,S128)+(INDEX(Parameters!$D$19:$H$19,1,S128+1)-INDEX(Parameters!$D$19:$H$19,1,S128))*V128)</f>
        <v>0.54</v>
      </c>
      <c r="P128" s="9">
        <f>M128*O128</f>
        <v>1593</v>
      </c>
      <c r="Q128" s="9">
        <f>MIN(4,MAX(1,INT((1+C128/Parameters!$D$23)*4)+1))</f>
        <v>4</v>
      </c>
      <c r="R128" s="9">
        <f>MIN(4,MAX(1,INT((1+D128/Parameters!$D$24)*4)+1))</f>
        <v>4</v>
      </c>
      <c r="S128" s="9">
        <f>MIN(4,MAX(1,INT((1+E128/Parameters!$D$25)*4)+1))</f>
        <v>4</v>
      </c>
      <c r="T128" s="9">
        <f>MAX(0,MIN(1,(1+C128/Parameters!$D$23)*4-(Q128-1)))</f>
        <v>0</v>
      </c>
      <c r="U128" s="9">
        <f>MAX(0,MIN(1,(1+D128/Parameters!$D$24)*4-(R128-1)))</f>
        <v>0</v>
      </c>
      <c r="V128" s="9">
        <f>MAX(0,MIN(1,(1+E128/Parameters!$D$25)*4-(S128-1)))</f>
        <v>0</v>
      </c>
    </row>
    <row r="129" spans="2:22" ht="21.95" customHeight="1">
      <c r="B129" s="9" t="str">
        <f>"c "&amp;C129&amp;" / C "&amp;D129</f>
        <v>c 0 / C 0</v>
      </c>
      <c r="C129" s="9">
        <f>Parameters!H7</f>
        <v>0</v>
      </c>
      <c r="D129" s="9">
        <f>Parameters!H8</f>
        <v>0</v>
      </c>
      <c r="E129" s="9">
        <f>Parameters!H16</f>
        <v>0</v>
      </c>
      <c r="F129" s="9">
        <f>IF('Full Sweep'!$C$4="Type-B",INDEX(Parameters!$J$10:$N$10,1,Q129)+(INDEX(Parameters!$J$10:$N$10,1,Q129+1)-INDEX(Parameters!$J$10:$N$10,1,Q129))*T129,INDEX(Parameters!$D$10:$H$10,1,Q129)+(INDEX(Parameters!$D$10:$H$10,1,Q129+1)-INDEX(Parameters!$D$10:$H$10,1,Q129))*T129)</f>
        <v>4200</v>
      </c>
      <c r="G129" s="9">
        <f>IF('Full Sweep'!$C$4="Type-B",INDEX(Parameters!$J$11:$N$11,1,R129)+(INDEX(Parameters!$J$11:$N$11,1,R129+1)-INDEX(Parameters!$J$11:$N$11,1,R129))*U129,INDEX(Parameters!$D$11:$H$11,1,Q129)+(INDEX(Parameters!$D$11:$H$11,1,Q129+1)-INDEX(Parameters!$D$11:$H$11,1,Q129))*T129)</f>
        <v>0.45</v>
      </c>
      <c r="H129" s="9">
        <f>IF('Full Sweep'!$C$4="Type-B",INDEX(Parameters!$J$12:$N$12,1,Q129)+(INDEX(Parameters!$J$12:$N$12,1,Q129+1)-INDEX(Parameters!$J$12:$N$12,1,Q129))*T129,INDEX(Parameters!$D$12:$H$12,1,Q129)+(INDEX(Parameters!$D$12:$H$12,1,Q129+1)-INDEX(Parameters!$D$12:$H$12,1,Q129))*T129)</f>
        <v>0.54</v>
      </c>
      <c r="I129" s="9">
        <f>F129*H129</f>
        <v>2268</v>
      </c>
      <c r="J129" s="9">
        <f>IF('Full Sweep'!$C$4="Type-B",INDEX(Parameters!$J$13:$N$13,1,R129)+(INDEX(Parameters!$J$13:$N$13,1,R129+1)-INDEX(Parameters!$J$13:$N$13,1,R129))*U129,INDEX(Parameters!$D$13:$H$13,1,R129)+(INDEX(Parameters!$D$13:$H$13,1,R129+1)-INDEX(Parameters!$D$13:$H$13,1,R129))*U129)</f>
        <v>500</v>
      </c>
      <c r="K129" s="9">
        <f>IF('Full Sweep'!$C$4="Type-B",Parameters!$L$14,INDEX(Parameters!$D$14:$H$14,1,R129)+(INDEX(Parameters!$D$14:$H$14,1,R129+1)-INDEX(Parameters!$D$14:$H$14,1,R129))*U129)</f>
        <v>0.6</v>
      </c>
      <c r="L129" s="9">
        <f>I129+J129</f>
        <v>2768</v>
      </c>
      <c r="M129" s="9">
        <f>IF('Full Sweep'!$C$4="Type-B",INDEX(Parameters!$J$17:$N$17,1,S129)+(INDEX(Parameters!$J$17:$N$17,1,S129+1)-INDEX(Parameters!$J$17:$N$17,1,S129))*V129,INDEX(Parameters!$D$17:$H$17,1,S129)+(INDEX(Parameters!$D$17:$H$17,1,S129+1)-INDEX(Parameters!$D$17:$H$17,1,S129))*V129)</f>
        <v>3400</v>
      </c>
      <c r="N129" s="9">
        <f>IF('Full Sweep'!$C$4="Type-B",INDEX(Parameters!$J$18:$N$18,1,S129)+(INDEX(Parameters!$J$18:$N$18,1,S129+1)-INDEX(Parameters!$J$18:$N$18,1,S129))*V129,INDEX(Parameters!$D$18:$H$18,1,S129)+(INDEX(Parameters!$D$18:$H$18,1,S129+1)-INDEX(Parameters!$D$18:$H$18,1,S129))*V129)</f>
        <v>0.3</v>
      </c>
      <c r="O129" s="9">
        <f>IF('Full Sweep'!$C$4="Type-B",INDEX(Parameters!$J$19:$N$19,1,S129)+(INDEX(Parameters!$J$19:$N$19,1,S129+1)-INDEX(Parameters!$J$19:$N$19,1,S129))*V129,INDEX(Parameters!$D$19:$H$19,1,S129)+(INDEX(Parameters!$D$19:$H$19,1,S129+1)-INDEX(Parameters!$D$19:$H$19,1,S129))*V129)</f>
        <v>0.5</v>
      </c>
      <c r="P129" s="9">
        <f>M129*O129</f>
        <v>1700</v>
      </c>
      <c r="Q129" s="9">
        <f>MIN(4,MAX(1,INT((1+C129/Parameters!$D$23)*4)+1))</f>
        <v>4</v>
      </c>
      <c r="R129" s="9">
        <f>MIN(4,MAX(1,INT((1+D129/Parameters!$D$24)*4)+1))</f>
        <v>4</v>
      </c>
      <c r="S129" s="9">
        <f>MIN(4,MAX(1,INT((1+E129/Parameters!$D$25)*4)+1))</f>
        <v>4</v>
      </c>
      <c r="T129" s="9">
        <f>MAX(0,MIN(1,(1+C129/Parameters!$D$23)*4-(Q129-1)))</f>
        <v>1</v>
      </c>
      <c r="U129" s="9">
        <f>MAX(0,MIN(1,(1+D129/Parameters!$D$24)*4-(R129-1)))</f>
        <v>1</v>
      </c>
      <c r="V129" s="9">
        <f>MAX(0,MIN(1,(1+E129/Parameters!$D$25)*4-(S129-1)))</f>
        <v>1</v>
      </c>
    </row>
    <row r="130" spans="2:22" ht="21.95" customHeight="1"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</row>
    <row r="131" spans="2:22" ht="21.95" customHeight="1"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</row>
    <row r="132" spans="2:22" ht="21.95" customHeight="1"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</row>
    <row r="133" spans="2:22" ht="21.95" customHeight="1">
      <c r="B133" s="12" t="s">
        <v>31</v>
      </c>
      <c r="C133" s="12" t="str">
        <f>B125</f>
        <v>c -24 / C -20</v>
      </c>
      <c r="D133" s="12" t="str">
        <f>B126</f>
        <v>c -18 / C -15</v>
      </c>
      <c r="E133" s="12" t="str">
        <f>B127</f>
        <v>c -12 / C -10</v>
      </c>
      <c r="F133" s="12" t="str">
        <f>B128</f>
        <v>c -6 / C -5</v>
      </c>
      <c r="G133" s="12" t="str">
        <f>B129</f>
        <v>c 0 / C 0</v>
      </c>
      <c r="H133" s="12" t="str">
        <f>"R "&amp;E125</f>
        <v>R -40</v>
      </c>
      <c r="I133" s="12" t="str">
        <f>"R "&amp;E126</f>
        <v>R -30</v>
      </c>
      <c r="J133" s="12" t="str">
        <f>"R "&amp;E127</f>
        <v>R -20</v>
      </c>
      <c r="K133" s="12" t="str">
        <f>"R "&amp;E128</f>
        <v>R -10</v>
      </c>
      <c r="L133" s="12" t="str">
        <f>"R "&amp;E129</f>
        <v>R 0</v>
      </c>
      <c r="M133" s="9"/>
      <c r="N133" s="9"/>
      <c r="O133" s="9"/>
      <c r="P133" s="9"/>
      <c r="Q133" s="9"/>
      <c r="R133" s="9"/>
      <c r="S133" s="9"/>
      <c r="T133" s="9"/>
      <c r="U133" s="9"/>
      <c r="V133" s="9"/>
    </row>
    <row r="134" spans="2:22" ht="21.95" customHeight="1">
      <c r="B134" s="16">
        <v>0</v>
      </c>
      <c r="C134" s="16">
        <f t="shared" ref="C134:C154" si="15">$F$125*MIN($B134,$G$125)+$I$125*MAX(0,$B134-$G$125)+$J$125*MAX(0,$B134-$K$125)</f>
        <v>0</v>
      </c>
      <c r="D134" s="16">
        <f t="shared" ref="D134:D154" si="16">$F$126*MIN($B134,$G$126)+$I$126*MAX(0,$B134-$G$126)+$J$126*MAX(0,$B134-$K$126)</f>
        <v>0</v>
      </c>
      <c r="E134" s="16">
        <f t="shared" ref="E134:E154" si="17">$F$127*MIN($B134,$G$127)+$I$127*MAX(0,$B134-$G$127)+$J$127*MAX(0,$B134-$K$127)</f>
        <v>0</v>
      </c>
      <c r="F134" s="16">
        <f t="shared" ref="F134:F154" si="18">$F$128*MIN($B134,$G$128)+$I$128*MAX(0,$B134-$G$128)+$J$128*MAX(0,$B134-$K$128)</f>
        <v>0</v>
      </c>
      <c r="G134" s="16">
        <f t="shared" ref="G134:G154" si="19">$F$129*MIN($B134,$G$129)+$I$129*MAX(0,$B134-$G$129)+$J$129*MAX(0,$B134-$K$129)</f>
        <v>0</v>
      </c>
      <c r="H134" s="16">
        <f t="shared" ref="H134:H154" si="20">-($M$125*MIN($B134,$N$125)+$P$125*MAX(0,$B134-$N$125))</f>
        <v>0</v>
      </c>
      <c r="I134" s="16">
        <f t="shared" ref="I134:I154" si="21">-($M$126*MIN($B134,$N$126)+$P$126*MAX(0,$B134-$N$126))</f>
        <v>0</v>
      </c>
      <c r="J134" s="16">
        <f t="shared" ref="J134:J154" si="22">-($M$127*MIN($B134,$N$127)+$P$127*MAX(0,$B134-$N$127))</f>
        <v>0</v>
      </c>
      <c r="K134" s="16">
        <f t="shared" ref="K134:K154" si="23">-($M$128*MIN($B134,$N$128)+$P$128*MAX(0,$B134-$N$128))</f>
        <v>0</v>
      </c>
      <c r="L134" s="16">
        <f t="shared" ref="L134:L154" si="24">-($M$129*MIN($B134,$N$129)+$P$129*MAX(0,$B134-$N$129))</f>
        <v>0</v>
      </c>
      <c r="M134" s="9"/>
      <c r="N134" s="9"/>
      <c r="O134" s="9"/>
      <c r="P134" s="9"/>
      <c r="Q134" s="9"/>
      <c r="R134" s="9"/>
      <c r="S134" s="9"/>
      <c r="T134" s="9"/>
      <c r="U134" s="9"/>
      <c r="V134" s="9"/>
    </row>
    <row r="135" spans="2:22" ht="21.95" customHeight="1">
      <c r="B135" s="16">
        <v>0.05</v>
      </c>
      <c r="C135" s="16">
        <f t="shared" si="15"/>
        <v>90</v>
      </c>
      <c r="D135" s="16">
        <f t="shared" si="16"/>
        <v>120</v>
      </c>
      <c r="E135" s="16">
        <f t="shared" si="17"/>
        <v>150</v>
      </c>
      <c r="F135" s="16">
        <f t="shared" si="18"/>
        <v>180</v>
      </c>
      <c r="G135" s="16">
        <f t="shared" si="19"/>
        <v>210</v>
      </c>
      <c r="H135" s="16">
        <f t="shared" si="20"/>
        <v>-80</v>
      </c>
      <c r="I135" s="16">
        <f t="shared" si="21"/>
        <v>-102.5</v>
      </c>
      <c r="J135" s="16">
        <f t="shared" si="22"/>
        <v>-125</v>
      </c>
      <c r="K135" s="16">
        <f t="shared" si="23"/>
        <v>-147.5</v>
      </c>
      <c r="L135" s="16">
        <f t="shared" si="24"/>
        <v>-170</v>
      </c>
      <c r="M135" s="9"/>
      <c r="N135" s="9"/>
      <c r="O135" s="9"/>
      <c r="P135" s="9"/>
      <c r="Q135" s="9"/>
      <c r="R135" s="9"/>
      <c r="S135" s="9"/>
      <c r="T135" s="9"/>
      <c r="U135" s="9"/>
      <c r="V135" s="9"/>
    </row>
    <row r="136" spans="2:22" ht="21.95" customHeight="1">
      <c r="B136" s="16">
        <v>0.1</v>
      </c>
      <c r="C136" s="16">
        <f t="shared" si="15"/>
        <v>180</v>
      </c>
      <c r="D136" s="16">
        <f t="shared" si="16"/>
        <v>240</v>
      </c>
      <c r="E136" s="16">
        <f t="shared" si="17"/>
        <v>300</v>
      </c>
      <c r="F136" s="16">
        <f t="shared" si="18"/>
        <v>360</v>
      </c>
      <c r="G136" s="16">
        <f t="shared" si="19"/>
        <v>420</v>
      </c>
      <c r="H136" s="16">
        <f t="shared" si="20"/>
        <v>-160</v>
      </c>
      <c r="I136" s="16">
        <f t="shared" si="21"/>
        <v>-205</v>
      </c>
      <c r="J136" s="16">
        <f t="shared" si="22"/>
        <v>-250</v>
      </c>
      <c r="K136" s="16">
        <f t="shared" si="23"/>
        <v>-295</v>
      </c>
      <c r="L136" s="16">
        <f t="shared" si="24"/>
        <v>-340</v>
      </c>
      <c r="M136" s="9"/>
      <c r="N136" s="9"/>
      <c r="O136" s="9"/>
      <c r="P136" s="9"/>
      <c r="Q136" s="9"/>
      <c r="R136" s="9"/>
      <c r="S136" s="9"/>
      <c r="T136" s="9"/>
      <c r="U136" s="9"/>
      <c r="V136" s="9"/>
    </row>
    <row r="137" spans="2:22" ht="21.95" customHeight="1">
      <c r="B137" s="16">
        <v>0.15</v>
      </c>
      <c r="C137" s="16">
        <f t="shared" si="15"/>
        <v>270</v>
      </c>
      <c r="D137" s="16">
        <f t="shared" si="16"/>
        <v>360</v>
      </c>
      <c r="E137" s="16">
        <f t="shared" si="17"/>
        <v>450</v>
      </c>
      <c r="F137" s="16">
        <f t="shared" si="18"/>
        <v>540</v>
      </c>
      <c r="G137" s="16">
        <f t="shared" si="19"/>
        <v>630</v>
      </c>
      <c r="H137" s="16">
        <f t="shared" si="20"/>
        <v>-240</v>
      </c>
      <c r="I137" s="16">
        <f t="shared" si="21"/>
        <v>-307.5</v>
      </c>
      <c r="J137" s="16">
        <f t="shared" si="22"/>
        <v>-375</v>
      </c>
      <c r="K137" s="16">
        <f t="shared" si="23"/>
        <v>-442.5</v>
      </c>
      <c r="L137" s="16">
        <f t="shared" si="24"/>
        <v>-510</v>
      </c>
      <c r="M137" s="9"/>
      <c r="N137" s="9"/>
      <c r="O137" s="9"/>
      <c r="P137" s="9"/>
      <c r="Q137" s="9"/>
      <c r="R137" s="9"/>
      <c r="S137" s="9"/>
      <c r="T137" s="9"/>
      <c r="U137" s="9"/>
      <c r="V137" s="9"/>
    </row>
    <row r="138" spans="2:22" ht="21.95" customHeight="1">
      <c r="B138" s="16">
        <v>0.2</v>
      </c>
      <c r="C138" s="16">
        <f t="shared" si="15"/>
        <v>360</v>
      </c>
      <c r="D138" s="16">
        <f t="shared" si="16"/>
        <v>480</v>
      </c>
      <c r="E138" s="16">
        <f t="shared" si="17"/>
        <v>600</v>
      </c>
      <c r="F138" s="16">
        <f t="shared" si="18"/>
        <v>720</v>
      </c>
      <c r="G138" s="16">
        <f t="shared" si="19"/>
        <v>840</v>
      </c>
      <c r="H138" s="16">
        <f t="shared" si="20"/>
        <v>-320</v>
      </c>
      <c r="I138" s="16">
        <f t="shared" si="21"/>
        <v>-410</v>
      </c>
      <c r="J138" s="16">
        <f t="shared" si="22"/>
        <v>-500</v>
      </c>
      <c r="K138" s="16">
        <f t="shared" si="23"/>
        <v>-590</v>
      </c>
      <c r="L138" s="16">
        <f t="shared" si="24"/>
        <v>-680</v>
      </c>
      <c r="M138" s="9"/>
      <c r="N138" s="9"/>
      <c r="O138" s="9"/>
      <c r="P138" s="9"/>
      <c r="Q138" s="9"/>
      <c r="R138" s="9"/>
      <c r="S138" s="9"/>
      <c r="T138" s="9"/>
      <c r="U138" s="9"/>
      <c r="V138" s="9"/>
    </row>
    <row r="139" spans="2:22" ht="21.95" customHeight="1">
      <c r="B139" s="16">
        <v>0.25</v>
      </c>
      <c r="C139" s="16">
        <f t="shared" si="15"/>
        <v>450</v>
      </c>
      <c r="D139" s="16">
        <f t="shared" si="16"/>
        <v>600</v>
      </c>
      <c r="E139" s="16">
        <f t="shared" si="17"/>
        <v>750</v>
      </c>
      <c r="F139" s="16">
        <f t="shared" si="18"/>
        <v>900</v>
      </c>
      <c r="G139" s="16">
        <f t="shared" si="19"/>
        <v>1050</v>
      </c>
      <c r="H139" s="16">
        <f t="shared" si="20"/>
        <v>-372.8</v>
      </c>
      <c r="I139" s="16">
        <f t="shared" si="21"/>
        <v>-493.02499999999998</v>
      </c>
      <c r="J139" s="16">
        <f t="shared" si="22"/>
        <v>-625</v>
      </c>
      <c r="K139" s="16">
        <f t="shared" si="23"/>
        <v>-737.5</v>
      </c>
      <c r="L139" s="16">
        <f t="shared" si="24"/>
        <v>-850</v>
      </c>
      <c r="M139" s="9"/>
      <c r="N139" s="9"/>
      <c r="O139" s="9"/>
      <c r="P139" s="9"/>
      <c r="Q139" s="9"/>
      <c r="R139" s="9"/>
      <c r="S139" s="9"/>
      <c r="T139" s="9"/>
      <c r="U139" s="9"/>
      <c r="V139" s="9"/>
    </row>
    <row r="140" spans="2:22" ht="21.95" customHeight="1">
      <c r="B140" s="16">
        <v>0.3</v>
      </c>
      <c r="C140" s="16">
        <f t="shared" si="15"/>
        <v>505.8</v>
      </c>
      <c r="D140" s="16">
        <f t="shared" si="16"/>
        <v>720</v>
      </c>
      <c r="E140" s="16">
        <f t="shared" si="17"/>
        <v>900</v>
      </c>
      <c r="F140" s="16">
        <f t="shared" si="18"/>
        <v>1080</v>
      </c>
      <c r="G140" s="16">
        <f t="shared" si="19"/>
        <v>1260</v>
      </c>
      <c r="H140" s="16">
        <f t="shared" si="20"/>
        <v>-425.59999999999997</v>
      </c>
      <c r="I140" s="16">
        <f t="shared" si="21"/>
        <v>-556.57499999999993</v>
      </c>
      <c r="J140" s="16">
        <f t="shared" si="22"/>
        <v>-697.5</v>
      </c>
      <c r="K140" s="16">
        <f t="shared" si="23"/>
        <v>-851.07500000000005</v>
      </c>
      <c r="L140" s="16">
        <f t="shared" si="24"/>
        <v>-1020</v>
      </c>
      <c r="M140" s="9"/>
      <c r="N140" s="9"/>
      <c r="O140" s="9"/>
      <c r="P140" s="9"/>
      <c r="Q140" s="9"/>
      <c r="R140" s="9"/>
      <c r="S140" s="9"/>
      <c r="T140" s="9"/>
      <c r="U140" s="9"/>
      <c r="V140" s="9"/>
    </row>
    <row r="141" spans="2:22" ht="21.95" customHeight="1">
      <c r="B141" s="16">
        <v>0.35</v>
      </c>
      <c r="C141" s="16">
        <f t="shared" si="15"/>
        <v>561.6</v>
      </c>
      <c r="D141" s="16">
        <f t="shared" si="16"/>
        <v>792</v>
      </c>
      <c r="E141" s="16">
        <f t="shared" si="17"/>
        <v>1050</v>
      </c>
      <c r="F141" s="16">
        <f t="shared" si="18"/>
        <v>1260</v>
      </c>
      <c r="G141" s="16">
        <f t="shared" si="19"/>
        <v>1470</v>
      </c>
      <c r="H141" s="16">
        <f t="shared" si="20"/>
        <v>-478.4</v>
      </c>
      <c r="I141" s="16">
        <f t="shared" si="21"/>
        <v>-620.125</v>
      </c>
      <c r="J141" s="16">
        <f t="shared" si="22"/>
        <v>-770</v>
      </c>
      <c r="K141" s="16">
        <f t="shared" si="23"/>
        <v>-930.72500000000002</v>
      </c>
      <c r="L141" s="16">
        <f t="shared" si="24"/>
        <v>-1105</v>
      </c>
      <c r="M141" s="9"/>
      <c r="N141" s="9"/>
      <c r="O141" s="9"/>
      <c r="P141" s="9"/>
      <c r="Q141" s="9"/>
      <c r="R141" s="9"/>
      <c r="S141" s="9"/>
      <c r="T141" s="9"/>
      <c r="U141" s="9"/>
      <c r="V141" s="9"/>
    </row>
    <row r="142" spans="2:22" ht="21.95" customHeight="1">
      <c r="B142" s="16">
        <v>0.4</v>
      </c>
      <c r="C142" s="16">
        <f t="shared" si="15"/>
        <v>617.40000000000009</v>
      </c>
      <c r="D142" s="16">
        <f t="shared" si="16"/>
        <v>864</v>
      </c>
      <c r="E142" s="16">
        <f t="shared" si="17"/>
        <v>1137</v>
      </c>
      <c r="F142" s="16">
        <f t="shared" si="18"/>
        <v>1440</v>
      </c>
      <c r="G142" s="16">
        <f t="shared" si="19"/>
        <v>1680</v>
      </c>
      <c r="H142" s="16">
        <f t="shared" si="20"/>
        <v>-531.20000000000005</v>
      </c>
      <c r="I142" s="16">
        <f t="shared" si="21"/>
        <v>-683.67499999999995</v>
      </c>
      <c r="J142" s="16">
        <f t="shared" si="22"/>
        <v>-842.5</v>
      </c>
      <c r="K142" s="16">
        <f t="shared" si="23"/>
        <v>-1010.3750000000001</v>
      </c>
      <c r="L142" s="16">
        <f t="shared" si="24"/>
        <v>-1190</v>
      </c>
      <c r="M142" s="9"/>
      <c r="N142" s="9"/>
      <c r="O142" s="9"/>
      <c r="P142" s="9"/>
      <c r="Q142" s="9"/>
      <c r="R142" s="9"/>
      <c r="S142" s="9"/>
      <c r="T142" s="9"/>
      <c r="U142" s="9"/>
      <c r="V142" s="9"/>
    </row>
    <row r="143" spans="2:22" ht="21.95" customHeight="1">
      <c r="B143" s="16">
        <v>0.45</v>
      </c>
      <c r="C143" s="16">
        <f t="shared" si="15"/>
        <v>673.2</v>
      </c>
      <c r="D143" s="16">
        <f t="shared" si="16"/>
        <v>936</v>
      </c>
      <c r="E143" s="16">
        <f t="shared" si="17"/>
        <v>1224</v>
      </c>
      <c r="F143" s="16">
        <f t="shared" si="18"/>
        <v>1540.8</v>
      </c>
      <c r="G143" s="16">
        <f t="shared" si="19"/>
        <v>1890</v>
      </c>
      <c r="H143" s="16">
        <f t="shared" si="20"/>
        <v>-584</v>
      </c>
      <c r="I143" s="16">
        <f t="shared" si="21"/>
        <v>-747.22500000000002</v>
      </c>
      <c r="J143" s="16">
        <f t="shared" si="22"/>
        <v>-915</v>
      </c>
      <c r="K143" s="16">
        <f t="shared" si="23"/>
        <v>-1090.0250000000001</v>
      </c>
      <c r="L143" s="16">
        <f t="shared" si="24"/>
        <v>-1275</v>
      </c>
      <c r="M143" s="9"/>
      <c r="N143" s="9"/>
      <c r="O143" s="9"/>
      <c r="P143" s="9"/>
      <c r="Q143" s="9"/>
      <c r="R143" s="9"/>
      <c r="S143" s="9"/>
      <c r="T143" s="9"/>
      <c r="U143" s="9"/>
      <c r="V143" s="9"/>
    </row>
    <row r="144" spans="2:22" ht="21.95" customHeight="1">
      <c r="B144" s="16">
        <v>0.5</v>
      </c>
      <c r="C144" s="16">
        <f t="shared" si="15"/>
        <v>729</v>
      </c>
      <c r="D144" s="16">
        <f t="shared" si="16"/>
        <v>1008</v>
      </c>
      <c r="E144" s="16">
        <f t="shared" si="17"/>
        <v>1311</v>
      </c>
      <c r="F144" s="16">
        <f t="shared" si="18"/>
        <v>1641.6</v>
      </c>
      <c r="G144" s="16">
        <f t="shared" si="19"/>
        <v>2003.4</v>
      </c>
      <c r="H144" s="16">
        <f t="shared" si="20"/>
        <v>-636.79999999999995</v>
      </c>
      <c r="I144" s="16">
        <f t="shared" si="21"/>
        <v>-810.77500000000009</v>
      </c>
      <c r="J144" s="16">
        <f t="shared" si="22"/>
        <v>-987.5</v>
      </c>
      <c r="K144" s="16">
        <f t="shared" si="23"/>
        <v>-1169.6750000000002</v>
      </c>
      <c r="L144" s="16">
        <f t="shared" si="24"/>
        <v>-1360</v>
      </c>
      <c r="M144" s="9"/>
      <c r="N144" s="9"/>
      <c r="O144" s="9"/>
      <c r="P144" s="9"/>
      <c r="Q144" s="9"/>
      <c r="R144" s="9"/>
      <c r="S144" s="9"/>
      <c r="T144" s="9"/>
      <c r="U144" s="9"/>
      <c r="V144" s="9"/>
    </row>
    <row r="145" spans="2:22" ht="21.95" customHeight="1">
      <c r="B145" s="16">
        <v>0.55000000000000004</v>
      </c>
      <c r="C145" s="16">
        <f t="shared" si="15"/>
        <v>784.80000000000007</v>
      </c>
      <c r="D145" s="16">
        <f t="shared" si="16"/>
        <v>1080</v>
      </c>
      <c r="E145" s="16">
        <f t="shared" si="17"/>
        <v>1398</v>
      </c>
      <c r="F145" s="16">
        <f t="shared" si="18"/>
        <v>1742.4</v>
      </c>
      <c r="G145" s="16">
        <f t="shared" si="19"/>
        <v>2116.8000000000002</v>
      </c>
      <c r="H145" s="16">
        <f t="shared" si="20"/>
        <v>-689.6</v>
      </c>
      <c r="I145" s="16">
        <f t="shared" si="21"/>
        <v>-874.32500000000005</v>
      </c>
      <c r="J145" s="16">
        <f t="shared" si="22"/>
        <v>-1060</v>
      </c>
      <c r="K145" s="16">
        <f t="shared" si="23"/>
        <v>-1249.3250000000003</v>
      </c>
      <c r="L145" s="16">
        <f t="shared" si="24"/>
        <v>-1445</v>
      </c>
      <c r="M145" s="9"/>
      <c r="N145" s="9"/>
      <c r="O145" s="9"/>
      <c r="P145" s="9"/>
      <c r="Q145" s="9"/>
      <c r="R145" s="9"/>
      <c r="S145" s="9"/>
      <c r="T145" s="9"/>
      <c r="U145" s="9"/>
      <c r="V145" s="9"/>
    </row>
    <row r="146" spans="2:22" ht="21.95" customHeight="1">
      <c r="B146" s="16">
        <v>0.6</v>
      </c>
      <c r="C146" s="16">
        <f t="shared" si="15"/>
        <v>840.59999999999991</v>
      </c>
      <c r="D146" s="16">
        <f t="shared" si="16"/>
        <v>1152</v>
      </c>
      <c r="E146" s="16">
        <f t="shared" si="17"/>
        <v>1485</v>
      </c>
      <c r="F146" s="16">
        <f t="shared" si="18"/>
        <v>1843.1999999999998</v>
      </c>
      <c r="G146" s="16">
        <f t="shared" si="19"/>
        <v>2230.1999999999998</v>
      </c>
      <c r="H146" s="16">
        <f t="shared" si="20"/>
        <v>-742.4</v>
      </c>
      <c r="I146" s="16">
        <f t="shared" si="21"/>
        <v>-937.875</v>
      </c>
      <c r="J146" s="16">
        <f t="shared" si="22"/>
        <v>-1132.5</v>
      </c>
      <c r="K146" s="16">
        <f t="shared" si="23"/>
        <v>-1328.9749999999999</v>
      </c>
      <c r="L146" s="16">
        <f t="shared" si="24"/>
        <v>-1530</v>
      </c>
      <c r="M146" s="9"/>
      <c r="N146" s="9"/>
      <c r="O146" s="9"/>
      <c r="P146" s="9"/>
      <c r="Q146" s="9"/>
      <c r="R146" s="9"/>
      <c r="S146" s="9"/>
      <c r="T146" s="9"/>
      <c r="U146" s="9"/>
      <c r="V146" s="9"/>
    </row>
    <row r="147" spans="2:22" ht="21.95" customHeight="1">
      <c r="B147" s="16">
        <v>0.65</v>
      </c>
      <c r="C147" s="16">
        <f t="shared" si="15"/>
        <v>921.40000000000009</v>
      </c>
      <c r="D147" s="16">
        <f t="shared" si="16"/>
        <v>1249</v>
      </c>
      <c r="E147" s="16">
        <f t="shared" si="17"/>
        <v>1597</v>
      </c>
      <c r="F147" s="16">
        <f t="shared" si="18"/>
        <v>1969</v>
      </c>
      <c r="G147" s="16">
        <f t="shared" si="19"/>
        <v>2368.6</v>
      </c>
      <c r="H147" s="16">
        <f t="shared" si="20"/>
        <v>-795.2</v>
      </c>
      <c r="I147" s="16">
        <f t="shared" si="21"/>
        <v>-1001.4250000000001</v>
      </c>
      <c r="J147" s="16">
        <f t="shared" si="22"/>
        <v>-1205</v>
      </c>
      <c r="K147" s="16">
        <f t="shared" si="23"/>
        <v>-1408.625</v>
      </c>
      <c r="L147" s="16">
        <f t="shared" si="24"/>
        <v>-1615</v>
      </c>
      <c r="M147" s="9"/>
      <c r="N147" s="9"/>
      <c r="O147" s="9"/>
      <c r="P147" s="9"/>
      <c r="Q147" s="9"/>
      <c r="R147" s="9"/>
      <c r="S147" s="9"/>
      <c r="T147" s="9"/>
      <c r="U147" s="9"/>
      <c r="V147" s="9"/>
    </row>
    <row r="148" spans="2:22" ht="21.95" customHeight="1">
      <c r="B148" s="16">
        <v>0.7</v>
      </c>
      <c r="C148" s="16">
        <f t="shared" si="15"/>
        <v>1002.1999999999999</v>
      </c>
      <c r="D148" s="16">
        <f t="shared" si="16"/>
        <v>1346</v>
      </c>
      <c r="E148" s="16">
        <f t="shared" si="17"/>
        <v>1709</v>
      </c>
      <c r="F148" s="16">
        <f t="shared" si="18"/>
        <v>2094.7999999999997</v>
      </c>
      <c r="G148" s="16">
        <f t="shared" si="19"/>
        <v>2507</v>
      </c>
      <c r="H148" s="16">
        <f t="shared" si="20"/>
        <v>-847.99999999999989</v>
      </c>
      <c r="I148" s="16">
        <f t="shared" si="21"/>
        <v>-1064.9749999999999</v>
      </c>
      <c r="J148" s="16">
        <f t="shared" si="22"/>
        <v>-1277.5</v>
      </c>
      <c r="K148" s="16">
        <f t="shared" si="23"/>
        <v>-1488.2750000000001</v>
      </c>
      <c r="L148" s="16">
        <f t="shared" si="24"/>
        <v>-1700</v>
      </c>
      <c r="M148" s="9"/>
      <c r="N148" s="9"/>
      <c r="O148" s="9"/>
      <c r="P148" s="9"/>
      <c r="Q148" s="9"/>
      <c r="R148" s="9"/>
      <c r="S148" s="9"/>
      <c r="T148" s="9"/>
      <c r="U148" s="9"/>
      <c r="V148" s="9"/>
    </row>
    <row r="149" spans="2:22" ht="21.95" customHeight="1">
      <c r="B149" s="16">
        <v>0.75</v>
      </c>
      <c r="C149" s="16">
        <f t="shared" si="15"/>
        <v>1083</v>
      </c>
      <c r="D149" s="16">
        <f t="shared" si="16"/>
        <v>1443</v>
      </c>
      <c r="E149" s="16">
        <f t="shared" si="17"/>
        <v>1821</v>
      </c>
      <c r="F149" s="16">
        <f t="shared" si="18"/>
        <v>2220.6</v>
      </c>
      <c r="G149" s="16">
        <f t="shared" si="19"/>
        <v>2645.4</v>
      </c>
      <c r="H149" s="16">
        <f t="shared" si="20"/>
        <v>-900.80000000000007</v>
      </c>
      <c r="I149" s="16">
        <f t="shared" si="21"/>
        <v>-1128.5250000000001</v>
      </c>
      <c r="J149" s="16">
        <f t="shared" si="22"/>
        <v>-1350</v>
      </c>
      <c r="K149" s="16">
        <f t="shared" si="23"/>
        <v>-1567.9250000000002</v>
      </c>
      <c r="L149" s="16">
        <f t="shared" si="24"/>
        <v>-1785</v>
      </c>
      <c r="M149" s="9"/>
      <c r="N149" s="9"/>
      <c r="O149" s="9"/>
      <c r="P149" s="9"/>
      <c r="Q149" s="9"/>
      <c r="R149" s="9"/>
      <c r="S149" s="9"/>
      <c r="T149" s="9"/>
      <c r="U149" s="9"/>
      <c r="V149" s="9"/>
    </row>
    <row r="150" spans="2:22" ht="21.95" customHeight="1">
      <c r="B150" s="16">
        <v>0.8</v>
      </c>
      <c r="C150" s="16">
        <f t="shared" si="15"/>
        <v>1163.8000000000002</v>
      </c>
      <c r="D150" s="16">
        <f t="shared" si="16"/>
        <v>1540</v>
      </c>
      <c r="E150" s="16">
        <f t="shared" si="17"/>
        <v>1933</v>
      </c>
      <c r="F150" s="16">
        <f t="shared" si="18"/>
        <v>2346.4</v>
      </c>
      <c r="G150" s="16">
        <f t="shared" si="19"/>
        <v>2783.8</v>
      </c>
      <c r="H150" s="16">
        <f t="shared" si="20"/>
        <v>-953.60000000000014</v>
      </c>
      <c r="I150" s="16">
        <f t="shared" si="21"/>
        <v>-1192.075</v>
      </c>
      <c r="J150" s="16">
        <f t="shared" si="22"/>
        <v>-1422.5</v>
      </c>
      <c r="K150" s="16">
        <f t="shared" si="23"/>
        <v>-1647.5750000000003</v>
      </c>
      <c r="L150" s="16">
        <f t="shared" si="24"/>
        <v>-1870</v>
      </c>
      <c r="M150" s="9"/>
      <c r="N150" s="9"/>
      <c r="O150" s="9"/>
      <c r="P150" s="9"/>
      <c r="Q150" s="9"/>
      <c r="R150" s="9"/>
      <c r="S150" s="9"/>
      <c r="T150" s="9"/>
      <c r="U150" s="9"/>
      <c r="V150" s="9"/>
    </row>
    <row r="151" spans="2:22" ht="21.95" customHeight="1">
      <c r="B151" s="16">
        <v>0.85</v>
      </c>
      <c r="C151" s="16">
        <f t="shared" si="15"/>
        <v>1244.5999999999999</v>
      </c>
      <c r="D151" s="16">
        <f t="shared" si="16"/>
        <v>1637</v>
      </c>
      <c r="E151" s="16">
        <f t="shared" si="17"/>
        <v>2045</v>
      </c>
      <c r="F151" s="16">
        <f t="shared" si="18"/>
        <v>2472.1999999999998</v>
      </c>
      <c r="G151" s="16">
        <f t="shared" si="19"/>
        <v>2922.2</v>
      </c>
      <c r="H151" s="16">
        <f t="shared" si="20"/>
        <v>-1006.3999999999999</v>
      </c>
      <c r="I151" s="16">
        <f t="shared" si="21"/>
        <v>-1255.625</v>
      </c>
      <c r="J151" s="16">
        <f t="shared" si="22"/>
        <v>-1495</v>
      </c>
      <c r="K151" s="16">
        <f t="shared" si="23"/>
        <v>-1727.2249999999999</v>
      </c>
      <c r="L151" s="16">
        <f t="shared" si="24"/>
        <v>-1955</v>
      </c>
      <c r="M151" s="9"/>
      <c r="N151" s="9"/>
      <c r="O151" s="9"/>
      <c r="P151" s="9"/>
      <c r="Q151" s="9"/>
      <c r="R151" s="9"/>
      <c r="S151" s="9"/>
      <c r="T151" s="9"/>
      <c r="U151" s="9"/>
      <c r="V151" s="9"/>
    </row>
    <row r="152" spans="2:22" ht="21.95" customHeight="1">
      <c r="B152" s="16">
        <v>0.9</v>
      </c>
      <c r="C152" s="16">
        <f t="shared" si="15"/>
        <v>1325.4</v>
      </c>
      <c r="D152" s="16">
        <f t="shared" si="16"/>
        <v>1734</v>
      </c>
      <c r="E152" s="16">
        <f t="shared" si="17"/>
        <v>2157</v>
      </c>
      <c r="F152" s="16">
        <f t="shared" si="18"/>
        <v>2598</v>
      </c>
      <c r="G152" s="16">
        <f t="shared" si="19"/>
        <v>3060.6</v>
      </c>
      <c r="H152" s="16">
        <f t="shared" si="20"/>
        <v>-1059.1999999999998</v>
      </c>
      <c r="I152" s="16">
        <f t="shared" si="21"/>
        <v>-1319.1750000000002</v>
      </c>
      <c r="J152" s="16">
        <f t="shared" si="22"/>
        <v>-1567.5</v>
      </c>
      <c r="K152" s="16">
        <f t="shared" si="23"/>
        <v>-1806.875</v>
      </c>
      <c r="L152" s="16">
        <f t="shared" si="24"/>
        <v>-2040</v>
      </c>
      <c r="M152" s="9"/>
      <c r="N152" s="9"/>
      <c r="O152" s="9"/>
      <c r="P152" s="9"/>
      <c r="Q152" s="9"/>
      <c r="R152" s="9"/>
      <c r="S152" s="9"/>
      <c r="T152" s="9"/>
      <c r="U152" s="9"/>
      <c r="V152" s="9"/>
    </row>
    <row r="153" spans="2:22" ht="21.95" customHeight="1">
      <c r="B153" s="16">
        <v>0.95</v>
      </c>
      <c r="C153" s="16">
        <f t="shared" si="15"/>
        <v>1406.1999999999998</v>
      </c>
      <c r="D153" s="16">
        <f t="shared" si="16"/>
        <v>1831</v>
      </c>
      <c r="E153" s="16">
        <f t="shared" si="17"/>
        <v>2269</v>
      </c>
      <c r="F153" s="16">
        <f t="shared" si="18"/>
        <v>2723.8</v>
      </c>
      <c r="G153" s="16">
        <f t="shared" si="19"/>
        <v>3199</v>
      </c>
      <c r="H153" s="16">
        <f t="shared" si="20"/>
        <v>-1112</v>
      </c>
      <c r="I153" s="16">
        <f t="shared" si="21"/>
        <v>-1382.7249999999999</v>
      </c>
      <c r="J153" s="16">
        <f t="shared" si="22"/>
        <v>-1640</v>
      </c>
      <c r="K153" s="16">
        <f t="shared" si="23"/>
        <v>-1886.5250000000001</v>
      </c>
      <c r="L153" s="16">
        <f t="shared" si="24"/>
        <v>-2125</v>
      </c>
      <c r="M153" s="9"/>
      <c r="N153" s="9"/>
      <c r="O153" s="9"/>
      <c r="P153" s="9"/>
      <c r="Q153" s="9"/>
      <c r="R153" s="9"/>
      <c r="S153" s="9"/>
      <c r="T153" s="9"/>
      <c r="U153" s="9"/>
      <c r="V153" s="9"/>
    </row>
    <row r="154" spans="2:22" ht="21.95" customHeight="1">
      <c r="B154" s="16">
        <v>1</v>
      </c>
      <c r="C154" s="16">
        <f t="shared" si="15"/>
        <v>1487</v>
      </c>
      <c r="D154" s="16">
        <f t="shared" si="16"/>
        <v>1928</v>
      </c>
      <c r="E154" s="16">
        <f t="shared" si="17"/>
        <v>2381</v>
      </c>
      <c r="F154" s="16">
        <f t="shared" si="18"/>
        <v>2849.6000000000004</v>
      </c>
      <c r="G154" s="16">
        <f t="shared" si="19"/>
        <v>3337.4</v>
      </c>
      <c r="H154" s="16">
        <f t="shared" si="20"/>
        <v>-1164.8000000000002</v>
      </c>
      <c r="I154" s="16">
        <f t="shared" si="21"/>
        <v>-1446.2750000000001</v>
      </c>
      <c r="J154" s="16">
        <f t="shared" si="22"/>
        <v>-1712.5</v>
      </c>
      <c r="K154" s="16">
        <f t="shared" si="23"/>
        <v>-1966.1750000000002</v>
      </c>
      <c r="L154" s="16">
        <f t="shared" si="24"/>
        <v>-2210</v>
      </c>
      <c r="M154" s="9"/>
      <c r="N154" s="9"/>
      <c r="O154" s="9"/>
      <c r="P154" s="9"/>
      <c r="Q154" s="9"/>
      <c r="R154" s="9"/>
      <c r="S154" s="9"/>
      <c r="T154" s="9"/>
      <c r="U154" s="9"/>
      <c r="V154" s="9"/>
    </row>
    <row r="155" spans="2:22" ht="21.95" customHeight="1"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</row>
    <row r="156" spans="2:22" ht="21.95" customHeight="1"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</row>
    <row r="157" spans="2:22" ht="21.95" customHeight="1"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</row>
    <row r="161" spans="2:22" ht="15">
      <c r="B161" s="30" t="s">
        <v>55</v>
      </c>
      <c r="C161" s="30"/>
      <c r="D161" s="30"/>
      <c r="E161" s="30"/>
      <c r="F161" s="30"/>
      <c r="G161" s="30"/>
      <c r="H161" s="30"/>
      <c r="I161" s="30"/>
      <c r="J161" s="30"/>
      <c r="K161" s="30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</row>
    <row r="164" spans="2:22">
      <c r="B164" t="s">
        <v>41</v>
      </c>
      <c r="C164" t="s">
        <v>42</v>
      </c>
      <c r="D164" t="s">
        <v>43</v>
      </c>
      <c r="E164" t="s">
        <v>44</v>
      </c>
      <c r="F164" t="s">
        <v>15</v>
      </c>
      <c r="G164" t="s">
        <v>56</v>
      </c>
      <c r="H164" t="s">
        <v>45</v>
      </c>
      <c r="I164" t="s">
        <v>36</v>
      </c>
      <c r="J164" t="s">
        <v>46</v>
      </c>
      <c r="K164" t="s">
        <v>57</v>
      </c>
      <c r="L164" t="s">
        <v>47</v>
      </c>
      <c r="M164" t="s">
        <v>20</v>
      </c>
      <c r="N164" t="s">
        <v>21</v>
      </c>
      <c r="O164" t="s">
        <v>48</v>
      </c>
      <c r="P164" t="s">
        <v>39</v>
      </c>
      <c r="Q164" t="s">
        <v>49</v>
      </c>
      <c r="R164" t="s">
        <v>50</v>
      </c>
      <c r="S164" t="s">
        <v>51</v>
      </c>
      <c r="T164" t="s">
        <v>52</v>
      </c>
      <c r="U164" t="s">
        <v>53</v>
      </c>
      <c r="V164" t="s">
        <v>54</v>
      </c>
    </row>
    <row r="165" spans="2:22">
      <c r="C165">
        <f>Calculator!C7</f>
        <v>-12</v>
      </c>
      <c r="D165">
        <f>Calculator!C8</f>
        <v>-10</v>
      </c>
      <c r="E165">
        <f>Calculator!C9</f>
        <v>-20</v>
      </c>
      <c r="F165">
        <f>IF(Calculator!$C$4="Type-B",INDEX(Parameters!$J$10:$N$10,1,Q165)+(INDEX(Parameters!$J$10:$N$10,1,Q165+1)-INDEX(Parameters!$J$10:$N$10,1,Q165))*T165,INDEX(Parameters!$D$10:$H$10,1,Q165)+(INDEX(Parameters!$D$10:$H$10,1,Q165+1)-INDEX(Parameters!$D$10:$H$10,1,Q165))*T165)</f>
        <v>3000</v>
      </c>
      <c r="G165">
        <f>IF(Calculator!$C$4="Type-B",INDEX(Parameters!$J$11:$N$11,1,R165)+(INDEX(Parameters!$J$11:$N$11,1,R165+1)-INDEX(Parameters!$J$11:$N$11,1,R165))*U165,INDEX(Parameters!$D$11:$H$11,1,Q165)+(INDEX(Parameters!$D$11:$H$11,1,Q165+1)-INDEX(Parameters!$D$11:$H$11,1,Q165))*T165)</f>
        <v>0.35</v>
      </c>
      <c r="H165">
        <f>IF(Calculator!$C$4="Type-B",INDEX(Parameters!$J$12:$N$12,1,Q165)+(INDEX(Parameters!$J$12:$N$12,1,Q165+1)-INDEX(Parameters!$J$12:$N$12,1,Q165))*T165,INDEX(Parameters!$D$12:$H$12,1,Q165)+(INDEX(Parameters!$D$12:$H$12,1,Q165+1)-INDEX(Parameters!$D$12:$H$12,1,Q165))*T165)</f>
        <v>0.57999999999999996</v>
      </c>
      <c r="I165">
        <f>F165*H165</f>
        <v>1739.9999999999998</v>
      </c>
      <c r="J165">
        <f>IF(Calculator!$C$4="Type-B",INDEX(Parameters!$J$13:$N$13,1,R165)+(INDEX(Parameters!$J$13:$N$13,1,R165+1)-INDEX(Parameters!$J$13:$N$13,1,R165))*U165,INDEX(Parameters!$D$13:$H$13,1,R165)+(INDEX(Parameters!$D$13:$H$13,1,R165+1)-INDEX(Parameters!$D$13:$H$13,1,R165))*U165)</f>
        <v>500</v>
      </c>
      <c r="K165">
        <f>IF(Calculator!$C$4="Type-B",Parameters!$L$14,INDEX(Parameters!$D$14:$H$14,1,R165)+(INDEX(Parameters!$D$14:$H$14,1,R165+1)-INDEX(Parameters!$D$14:$H$14,1,R165))*U165)</f>
        <v>0.6</v>
      </c>
      <c r="L165">
        <f>I165+J165</f>
        <v>2240</v>
      </c>
      <c r="M165">
        <f>IF(Calculator!$C$4="Type-B",INDEX(Parameters!$J$17:$N$17,1,S165)+(INDEX(Parameters!$J$17:$N$17,1,S165+1)-INDEX(Parameters!$J$17:$N$17,1,S165))*V165,INDEX(Parameters!$D$17:$H$17,1,S165)+(INDEX(Parameters!$D$17:$H$17,1,S165+1)-INDEX(Parameters!$D$17:$H$17,1,S165))*V165)</f>
        <v>2500</v>
      </c>
      <c r="N165">
        <f>IF(Calculator!$C$4="Type-B",INDEX(Parameters!$J$18:$N$18,1,S165)+(INDEX(Parameters!$J$18:$N$18,1,S165+1)-INDEX(Parameters!$J$18:$N$18,1,S165))*V165,INDEX(Parameters!$D$18:$H$18,1,S165)+(INDEX(Parameters!$D$18:$H$18,1,S165+1)-INDEX(Parameters!$D$18:$H$18,1,S165))*V165)</f>
        <v>0.25</v>
      </c>
      <c r="O165">
        <f>IF(Calculator!$C$4="Type-B",INDEX(Parameters!$J$19:$N$19,1,S165)+(INDEX(Parameters!$J$19:$N$19,1,S165+1)-INDEX(Parameters!$J$19:$N$19,1,S165))*V165,INDEX(Parameters!$D$19:$H$19,1,S165)+(INDEX(Parameters!$D$19:$H$19,1,S165+1)-INDEX(Parameters!$D$19:$H$19,1,S165))*V165)</f>
        <v>0.57999999999999996</v>
      </c>
      <c r="P165">
        <f>M165*O165</f>
        <v>1450</v>
      </c>
      <c r="Q165">
        <f>MIN(4,MAX(1,INT((1+C165/Parameters!$D$23)*4)+1))</f>
        <v>3</v>
      </c>
      <c r="R165">
        <f>MIN(4,MAX(1,INT((1+D165/Parameters!$D$24)*4)+1))</f>
        <v>3</v>
      </c>
      <c r="S165">
        <f>MIN(4,MAX(1,INT((1+E165/Calculator!$C$15)*4)+1))</f>
        <v>3</v>
      </c>
      <c r="T165">
        <f>MAX(0,MIN(1,(1+C165/Parameters!$D$23)*4-(Q165-1)))</f>
        <v>0</v>
      </c>
      <c r="U165">
        <f>MAX(0,MIN(1,(1+D165/Parameters!$D$24)*4-(R165-1)))</f>
        <v>0</v>
      </c>
      <c r="V165">
        <f>MAX(0,MIN(1,(1+E165/Calculator!$C$15)*4-(S165-1)))</f>
        <v>0</v>
      </c>
    </row>
  </sheetData>
  <mergeCells count="5">
    <mergeCell ref="B1:V1"/>
    <mergeCell ref="B41:V41"/>
    <mergeCell ref="B81:V81"/>
    <mergeCell ref="B121:V121"/>
    <mergeCell ref="B161:V161"/>
  </mergeCells>
  <phoneticPr fontId="1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Calculator</vt:lpstr>
      <vt:lpstr>LSC Sweep</vt:lpstr>
      <vt:lpstr>HSC Sweep</vt:lpstr>
      <vt:lpstr>LSR Sweep</vt:lpstr>
      <vt:lpstr>Full Sweep</vt:lpstr>
      <vt:lpstr>Parameters</vt:lpstr>
      <vt:lpstr>Samples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Un1corn Prog</cp:lastModifiedBy>
  <dcterms:modified xsi:type="dcterms:W3CDTF">2026-10-15T16:11:08Z</dcterms:modified>
</cp:coreProperties>
</file>