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5D8BB36E-8F5B-4273-83D4-C74ED369B666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<sst xmlns="http://schemas.openxmlformats.org/spreadsheetml/2006/main" count="229" uniqueCount="96">
  <si>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</si>
  <si>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</si>
  <si>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</si>
  <si>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</si>
  <si>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</si>
  <si>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</si>
  <si>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</si>
  <si>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</si>
  <si>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</si>
  <si>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</si>
  <si>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</si>
  <si>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</si>
  <si>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</si>
  <si>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</si>
  <si>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</si>
  <si>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</si>
  <si>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</si>
  <si>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</si>
  <si>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</si>
  <si>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</si>
  <si>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</si>
  <si>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</si>
  <si>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</si>
  <si>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</si>
  <si>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</si>
  <si>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</si>
  <si>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</si>
  <si>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</si>
  <si>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</si>
  <si>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</si>
  <si>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</si>
  <si>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</si>
  <si>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</si>
  <si>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</si>
  <si>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</si>
  <si>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</si>
  <si>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</si>
  <si>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</si>
  <si>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</si>
  <si>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</si>
  <si>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</si>
  <si>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</si>
  <si>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</si>
  <si>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</si>
  <si>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</si>
  <si>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</si>
  <si>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RAx5 · Damping Calculator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</si>
  <si>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</si>
  <si>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</si>
  <si>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</si>
  <si>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</si>
  <si>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</si>
  <si>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</si>
  <si>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</si>
  <si>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</si>
  <si>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</si>
  <si>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</si>
  <si>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</si>
  <si>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</si>
  <si>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</si>
  <si>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</si>
  <si>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</si>
  <si>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</si>
  <si>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</si>
  <si>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</si>
  <si>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</si>
  <si>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</si>
  <si>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</si>
  <si>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</si>
  <si>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</si>
  <si>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</si>
  <si>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</si>
  <si>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</si>
  <si>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</si>
  <si>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</si>
  <si>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</si>
  <si>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</si>
  <si>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7" type="noConversion"/>
  </si>
  <si>
    <t>Rallycross</t>
    <phoneticPr fontId="7" type="noConversion"/>
  </si>
  <si>
    <t>低速压缩 · c</t>
  </si>
  <si>
    <t>高速压缩 · C</t>
  </si>
  <si>
    <t>回弹 · R</t>
  </si>
  <si>
    <t>活塞行程</t>
    <phoneticPr fontId="7" type="noConversion"/>
  </si>
  <si>
    <t>CTM Racing · RA · Damper Catalog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</si>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</sst>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9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0" borderId="0" xfId="0" applyFont="1" applyAlignment="1">
      <alignment vertical="center"/>
    </xf>
  </cellStyleXfs>
  <cellXfs count="93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8" fillId="3" borderId="1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5" borderId="6" xfId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49" fontId="17" fillId="8" borderId="9" xfId="0" applyNumberFormat="1" applyFont="1" applyFill="1" applyBorder="1" applyAlignment="1">
      <alignment horizontal="left" vertical="center"/>
    </xf>
    <xf numFmtId="0" fontId="18" fillId="9" borderId="10" xfId="0" applyFont="1" applyFill="1" applyBorder="1" applyAlignment="1">
      <alignment horizontal="left" vertical="center"/>
    </xf>
    <xf numFmtId="0" fontId="21" fillId="12" borderId="13" xfId="0" applyFont="1" applyFill="1" applyBorder="1" applyAlignment="1">
      <alignment horizontal="left" vertical="center"/>
    </xf>
    <xf numFmtId="1" fontId="22" fillId="13" borderId="14" xfId="0" applyNumberFormat="1" applyFont="1" applyFill="1" applyBorder="1" applyAlignment="1">
      <alignment horizontal="right" vertical="center"/>
    </xf>
    <xf numFmtId="2" fontId="26" fillId="17" borderId="18" xfId="0" applyNumberFormat="1" applyFont="1" applyFill="1" applyBorder="1" applyAlignment="1">
      <alignment horizontal="right" vertical="center"/>
    </xf>
    <xf numFmtId="0" fontId="27" fillId="18" borderId="19" xfId="0" applyFont="1" applyFill="1" applyBorder="1" applyAlignment="1">
      <alignment horizontal="right" vertical="center"/>
    </xf>
    <xf numFmtId="0" fontId="28" fillId="19" borderId="20" xfId="0" applyFont="1" applyFill="1" applyBorder="1" applyAlignment="1">
      <alignment horizontal="left" vertical="center"/>
    </xf>
    <xf numFmtId="0" fontId="29" fillId="20" borderId="21" xfId="0" applyFont="1" applyFill="1" applyBorder="1" applyAlignment="1">
      <alignment horizontal="right" vertical="center"/>
    </xf>
    <xf numFmtId="2" fontId="32" fillId="23" borderId="24" xfId="0" applyNumberFormat="1" applyFont="1" applyFill="1" applyBorder="1" applyAlignment="1">
      <alignment horizontal="right" vertical="center"/>
    </xf>
    <xf numFmtId="2" fontId="34" fillId="25" borderId="26" xfId="0" applyNumberFormat="1" applyFont="1" applyFill="1" applyBorder="1" applyAlignment="1">
      <alignment horizontal="right" vertical="center"/>
    </xf>
    <xf numFmtId="0" fontId="36" fillId="27" borderId="28" xfId="0" applyFont="1" applyFill="1" applyBorder="1" applyAlignment="1">
      <alignment horizontal="right" vertical="center"/>
    </xf>
    <xf numFmtId="176" fontId="37" fillId="28" borderId="29" xfId="0" applyNumberFormat="1" applyFont="1" applyFill="1" applyBorder="1" applyAlignment="1">
      <alignment horizontal="right" vertical="center"/>
    </xf>
    <xf numFmtId="176" fontId="38" fillId="29" borderId="30" xfId="0" applyNumberFormat="1" applyFont="1" applyFill="1" applyBorder="1" applyAlignment="1">
      <alignment horizontal="right" vertical="center"/>
    </xf>
    <xf numFmtId="0" fontId="43" fillId="34" borderId="35" xfId="0" applyFont="1" applyFill="1" applyBorder="1" applyAlignment="1">
      <alignment horizontal="center" vertical="center" wrapText="1"/>
    </xf>
    <xf numFmtId="9" fontId="44" fillId="35" borderId="36" xfId="0" applyNumberFormat="1" applyFont="1" applyFill="1" applyBorder="1" applyAlignment="1">
      <alignment horizontal="center" vertical="center" wrapText="1"/>
    </xf>
    <xf numFmtId="1" fontId="45" fillId="36" borderId="37" xfId="0" applyNumberFormat="1" applyFont="1" applyFill="1" applyBorder="1" applyAlignment="1">
      <alignment horizontal="right" vertical="center"/>
    </xf>
    <xf numFmtId="176" fontId="46" fillId="37" borderId="38" xfId="0" applyNumberFormat="1" applyFont="1" applyFill="1" applyBorder="1" applyAlignment="1">
      <alignment horizontal="right" vertical="center"/>
    </xf>
    <xf numFmtId="1" fontId="47" fillId="38" borderId="39" xfId="0" applyNumberFormat="1" applyFont="1" applyFill="1" applyBorder="1" applyAlignment="1">
      <alignment horizontal="right" vertical="center"/>
    </xf>
    <xf numFmtId="176" fontId="48" fillId="39" borderId="40" xfId="0" applyNumberFormat="1" applyFont="1" applyFill="1" applyBorder="1" applyAlignment="1">
      <alignment horizontal="right" vertical="center"/>
    </xf>
    <xf numFmtId="0" fontId="49" fillId="40" borderId="41" xfId="0" applyFont="1" applyFill="1" applyBorder="1" applyAlignment="1">
      <alignment horizontal="center" vertical="center" wrapText="1"/>
    </xf>
    <xf numFmtId="0" fontId="57" fillId="48" borderId="49" xfId="0" applyFont="1" applyFill="1" applyBorder="1" applyAlignment="1">
      <alignment horizontal="left" vertical="center"/>
    </xf>
    <xf numFmtId="0" fontId="58" fillId="49" borderId="50" xfId="0" applyFont="1" applyFill="1" applyBorder="1" applyAlignment="1">
      <alignment horizontal="center" vertical="center" wrapText="1"/>
    </xf>
    <xf numFmtId="0" fontId="59" fillId="50" borderId="51" xfId="0" applyFont="1" applyFill="1" applyBorder="1" applyAlignment="1">
      <alignment horizontal="center" vertical="center" wrapText="1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right" vertical="center"/>
    </xf>
    <xf numFmtId="0" fontId="63" fillId="54" borderId="55" xfId="0" applyFont="1" applyFill="1" applyBorder="1" applyAlignment="1">
      <alignment horizontal="right" vertical="center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center" vertical="center" wrapText="1"/>
    </xf>
    <xf numFmtId="0" fontId="67" fillId="58" borderId="59" xfId="0" applyFont="1" applyFill="1" applyBorder="1" applyAlignment="1">
      <alignment horizontal="center" vertical="center" wrapText="1"/>
    </xf>
    <xf numFmtId="2" fontId="68" fillId="59" borderId="60" xfId="0" applyNumberFormat="1" applyFont="1" applyFill="1" applyBorder="1" applyAlignment="1">
      <alignment horizontal="right" vertical="center"/>
    </xf>
    <xf numFmtId="2" fontId="69" fillId="60" borderId="61" xfId="0" applyNumberFormat="1" applyFont="1" applyFill="1" applyBorder="1" applyAlignment="1">
      <alignment horizontal="right" vertical="center"/>
    </xf>
    <xf numFmtId="0" fontId="70" fillId="61" borderId="62" xfId="0" applyFont="1" applyFill="1" applyBorder="1" applyAlignment="1">
      <alignment horizontal="center" vertical="center" wrapText="1"/>
    </xf>
    <xf numFmtId="0" fontId="71" fillId="62" borderId="63" xfId="0" applyFont="1" applyFill="1" applyBorder="1" applyAlignment="1">
      <alignment horizontal="center" vertical="center" wrapText="1"/>
    </xf>
    <xf numFmtId="2" fontId="72" fillId="63" borderId="64" xfId="0" applyNumberFormat="1" applyFont="1" applyFill="1" applyBorder="1" applyAlignment="1">
      <alignment horizontal="right" vertical="center"/>
    </xf>
    <xf numFmtId="2" fontId="73" fillId="64" borderId="65" xfId="0" applyNumberFormat="1" applyFont="1" applyFill="1" applyBorder="1" applyAlignment="1">
      <alignment horizontal="right" vertical="center"/>
    </xf>
    <xf numFmtId="0" fontId="75" fillId="66" borderId="67" xfId="0" applyFont="1" applyFill="1" applyBorder="1" applyAlignment="1">
      <alignment horizontal="center" vertical="center" wrapText="1"/>
    </xf>
    <xf numFmtId="0" fontId="76" fillId="67" borderId="68" xfId="0" applyFont="1" applyFill="1" applyBorder="1" applyAlignment="1">
      <alignment horizontal="center" vertical="center" wrapText="1"/>
    </xf>
    <xf numFmtId="0" fontId="77" fillId="68" borderId="69" xfId="0" applyFont="1" applyFill="1" applyBorder="1" applyAlignment="1">
      <alignment horizontal="right" vertical="center"/>
    </xf>
    <xf numFmtId="0" fontId="78" fillId="69" borderId="70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19" fillId="10" borderId="11" xfId="0" applyFont="1" applyFill="1" applyBorder="1" applyAlignment="1">
      <alignment horizontal="left" vertical="center" wrapText="1"/>
    </xf>
    <xf numFmtId="0" fontId="20" fillId="11" borderId="12" xfId="0" applyFont="1" applyFill="1" applyBorder="1" applyAlignment="1">
      <alignment horizontal="left" vertical="center" wrapText="1"/>
    </xf>
    <xf numFmtId="0" fontId="23" fillId="14" borderId="15" xfId="0" applyFont="1" applyFill="1" applyBorder="1" applyAlignment="1">
      <alignment horizontal="left" vertical="center"/>
    </xf>
    <xf numFmtId="2" fontId="24" fillId="15" borderId="16" xfId="0" applyNumberFormat="1" applyFont="1" applyFill="1" applyBorder="1" applyAlignment="1">
      <alignment horizontal="right" vertical="center"/>
    </xf>
    <xf numFmtId="2" fontId="25" fillId="16" borderId="17" xfId="0" applyNumberFormat="1" applyFont="1" applyFill="1" applyBorder="1" applyAlignment="1">
      <alignment horizontal="right" vertical="center"/>
    </xf>
    <xf numFmtId="0" fontId="30" fillId="21" borderId="22" xfId="0" applyFont="1" applyFill="1" applyBorder="1" applyAlignment="1">
      <alignment horizontal="left" vertical="center"/>
    </xf>
    <xf numFmtId="0" fontId="31" fillId="22" borderId="23" xfId="0" applyFont="1" applyFill="1" applyBorder="1" applyAlignment="1">
      <alignment vertical="center"/>
    </xf>
    <xf numFmtId="0" fontId="33" fillId="24" borderId="25" xfId="0" applyFont="1" applyFill="1" applyBorder="1" applyAlignment="1">
      <alignment vertical="center"/>
    </xf>
    <xf numFmtId="0" fontId="35" fillId="26" borderId="27" xfId="0" applyFont="1" applyFill="1" applyBorder="1" applyAlignment="1">
      <alignment horizontal="left" vertical="center"/>
    </xf>
    <xf numFmtId="0" fontId="39" fillId="30" borderId="31" xfId="0" applyFont="1" applyFill="1" applyBorder="1" applyAlignment="1">
      <alignment horizontal="left" vertical="center"/>
    </xf>
    <xf numFmtId="0" fontId="40" fillId="31" borderId="32" xfId="0" applyFont="1" applyFill="1" applyBorder="1" applyAlignment="1">
      <alignment horizontal="left" vertical="center"/>
    </xf>
    <xf numFmtId="0" fontId="41" fillId="32" borderId="33" xfId="0" applyFont="1" applyFill="1" applyBorder="1" applyAlignment="1">
      <alignment horizontal="left" vertical="center"/>
    </xf>
    <xf numFmtId="0" fontId="42" fillId="33" borderId="34" xfId="0" applyFont="1" applyFill="1" applyBorder="1" applyAlignment="1">
      <alignment horizontal="left" vertical="center"/>
    </xf>
    <xf numFmtId="0" fontId="50" fillId="41" borderId="42" xfId="0" applyFont="1" applyFill="1" applyBorder="1" applyAlignment="1">
      <alignment horizontal="left" vertical="center"/>
    </xf>
    <xf numFmtId="0" fontId="51" fillId="42" borderId="43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53" fillId="44" borderId="45" xfId="0" applyFont="1" applyFill="1" applyBorder="1" applyAlignment="1">
      <alignment horizontal="left" vertical="center"/>
    </xf>
    <xf numFmtId="0" fontId="54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5" fillId="46" borderId="47" xfId="0" applyFont="1" applyFill="1" applyBorder="1" applyAlignment="1">
      <alignment horizontal="left" vertical="center" wrapText="1"/>
    </xf>
    <xf numFmtId="0" fontId="56" fillId="47" borderId="48" xfId="0" applyFont="1" applyFill="1" applyBorder="1" applyAlignment="1">
      <alignment horizontal="left" vertical="center" wrapText="1"/>
    </xf>
    <xf numFmtId="0" fontId="74" fillId="65" borderId="66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720</c:v>
                </c:pt>
                <c:pt idx="13">
                  <c:v>880.00000000000011</c:v>
                </c:pt>
                <c:pt idx="14">
                  <c:v>1040</c:v>
                </c:pt>
                <c:pt idx="15">
                  <c:v>1200</c:v>
                </c:pt>
                <c:pt idx="16">
                  <c:v>1360.0000000000002</c:v>
                </c:pt>
                <c:pt idx="17">
                  <c:v>1520</c:v>
                </c:pt>
                <c:pt idx="18">
                  <c:v>1680</c:v>
                </c:pt>
                <c:pt idx="19">
                  <c:v>1840</c:v>
                </c:pt>
                <c:pt idx="20">
                  <c:v>2000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1058.4000000000001</c:v>
                </c:pt>
                <c:pt idx="13">
                  <c:v>1246.1500000000001</c:v>
                </c:pt>
                <c:pt idx="14">
                  <c:v>1433.9</c:v>
                </c:pt>
                <c:pt idx="15">
                  <c:v>1621.65</c:v>
                </c:pt>
                <c:pt idx="16">
                  <c:v>1809.4</c:v>
                </c:pt>
                <c:pt idx="17">
                  <c:v>1997.1499999999999</c:v>
                </c:pt>
                <c:pt idx="18">
                  <c:v>2184.9</c:v>
                </c:pt>
                <c:pt idx="19">
                  <c:v>2372.6499999999996</c:v>
                </c:pt>
                <c:pt idx="20">
                  <c:v>2560.4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1930.75</c:v>
                </c:pt>
                <c:pt idx="14">
                  <c:v>2169.5</c:v>
                </c:pt>
                <c:pt idx="15">
                  <c:v>2408.25</c:v>
                </c:pt>
                <c:pt idx="16">
                  <c:v>2647</c:v>
                </c:pt>
                <c:pt idx="17">
                  <c:v>2885.75</c:v>
                </c:pt>
                <c:pt idx="18">
                  <c:v>3124.5</c:v>
                </c:pt>
                <c:pt idx="19">
                  <c:v>3363.25</c:v>
                </c:pt>
                <c:pt idx="20">
                  <c:v>3602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2249.1999999999998</c:v>
                </c:pt>
                <c:pt idx="14">
                  <c:v>2511.1999999999998</c:v>
                </c:pt>
                <c:pt idx="15">
                  <c:v>2773.2</c:v>
                </c:pt>
                <c:pt idx="16">
                  <c:v>3035.2000000000003</c:v>
                </c:pt>
                <c:pt idx="17">
                  <c:v>3297.2</c:v>
                </c:pt>
                <c:pt idx="18">
                  <c:v>3559.2000000000003</c:v>
                </c:pt>
                <c:pt idx="19">
                  <c:v>3821.2</c:v>
                </c:pt>
                <c:pt idx="20">
                  <c:v>4083.2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1390.3999999999999</c:v>
                </c:pt>
                <c:pt idx="13">
                  <c:v>1524.4</c:v>
                </c:pt>
                <c:pt idx="14">
                  <c:v>1658.3999999999999</c:v>
                </c:pt>
                <c:pt idx="15">
                  <c:v>1792.4</c:v>
                </c:pt>
                <c:pt idx="16">
                  <c:v>1926.4</c:v>
                </c:pt>
                <c:pt idx="17">
                  <c:v>2060.3999999999996</c:v>
                </c:pt>
                <c:pt idx="18">
                  <c:v>2194.4</c:v>
                </c:pt>
                <c:pt idx="19">
                  <c:v>2328.3999999999996</c:v>
                </c:pt>
                <c:pt idx="20">
                  <c:v>2462.4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1394.3999999999999</c:v>
                </c:pt>
                <c:pt idx="13">
                  <c:v>1568.4</c:v>
                </c:pt>
                <c:pt idx="14">
                  <c:v>1742.3999999999999</c:v>
                </c:pt>
                <c:pt idx="15">
                  <c:v>1916.4</c:v>
                </c:pt>
                <c:pt idx="16">
                  <c:v>2090.4</c:v>
                </c:pt>
                <c:pt idx="17">
                  <c:v>2264.3999999999996</c:v>
                </c:pt>
                <c:pt idx="18">
                  <c:v>2438.4</c:v>
                </c:pt>
                <c:pt idx="19">
                  <c:v>2612.3999999999996</c:v>
                </c:pt>
                <c:pt idx="20">
                  <c:v>2786.4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1608.4</c:v>
                </c:pt>
                <c:pt idx="14">
                  <c:v>1862.3999999999999</c:v>
                </c:pt>
                <c:pt idx="15">
                  <c:v>2116.4</c:v>
                </c:pt>
                <c:pt idx="16">
                  <c:v>2370.4</c:v>
                </c:pt>
                <c:pt idx="17">
                  <c:v>2624.3999999999996</c:v>
                </c:pt>
                <c:pt idx="18">
                  <c:v>2878.4</c:v>
                </c:pt>
                <c:pt idx="19">
                  <c:v>3132.3999999999996</c:v>
                </c:pt>
                <c:pt idx="20">
                  <c:v>3386.4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1604.4</c:v>
                </c:pt>
                <c:pt idx="14">
                  <c:v>1898.3999999999996</c:v>
                </c:pt>
                <c:pt idx="15">
                  <c:v>2192.4</c:v>
                </c:pt>
                <c:pt idx="16">
                  <c:v>2486.4000000000005</c:v>
                </c:pt>
                <c:pt idx="17">
                  <c:v>2780.3999999999996</c:v>
                </c:pt>
                <c:pt idx="18">
                  <c:v>3074.4</c:v>
                </c:pt>
                <c:pt idx="19">
                  <c:v>3368.3999999999996</c:v>
                </c:pt>
                <c:pt idx="20">
                  <c:v>3662.4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275</c:v>
                </c:pt>
                <c:pt idx="6">
                  <c:v>327.8</c:v>
                </c:pt>
                <c:pt idx="7">
                  <c:v>380.59999999999997</c:v>
                </c:pt>
                <c:pt idx="8">
                  <c:v>433.40000000000003</c:v>
                </c:pt>
                <c:pt idx="9">
                  <c:v>486.20000000000005</c:v>
                </c:pt>
                <c:pt idx="10">
                  <c:v>539</c:v>
                </c:pt>
                <c:pt idx="11">
                  <c:v>591.80000000000007</c:v>
                </c:pt>
                <c:pt idx="12">
                  <c:v>644.59999999999991</c:v>
                </c:pt>
                <c:pt idx="13">
                  <c:v>697.40000000000009</c:v>
                </c:pt>
                <c:pt idx="14">
                  <c:v>750.19999999999993</c:v>
                </c:pt>
                <c:pt idx="15">
                  <c:v>803</c:v>
                </c:pt>
                <c:pt idx="16">
                  <c:v>855.80000000000007</c:v>
                </c:pt>
                <c:pt idx="17">
                  <c:v>908.6</c:v>
                </c:pt>
                <c:pt idx="18">
                  <c:v>961.4</c:v>
                </c:pt>
                <c:pt idx="19">
                  <c:v>1014.1999999999999</c:v>
                </c:pt>
                <c:pt idx="20">
                  <c:v>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461.90000000000003</c:v>
                </c:pt>
                <c:pt idx="7">
                  <c:v>533.20000000000005</c:v>
                </c:pt>
                <c:pt idx="8">
                  <c:v>604.5</c:v>
                </c:pt>
                <c:pt idx="9">
                  <c:v>675.80000000000007</c:v>
                </c:pt>
                <c:pt idx="10">
                  <c:v>747.1</c:v>
                </c:pt>
                <c:pt idx="11">
                  <c:v>818.40000000000009</c:v>
                </c:pt>
                <c:pt idx="12">
                  <c:v>889.7</c:v>
                </c:pt>
                <c:pt idx="13">
                  <c:v>961</c:v>
                </c:pt>
                <c:pt idx="14">
                  <c:v>1032.3</c:v>
                </c:pt>
                <c:pt idx="15">
                  <c:v>1103.6000000000001</c:v>
                </c:pt>
                <c:pt idx="16">
                  <c:v>1174.9000000000001</c:v>
                </c:pt>
                <c:pt idx="17">
                  <c:v>1246.2</c:v>
                </c:pt>
                <c:pt idx="18">
                  <c:v>1317.5</c:v>
                </c:pt>
                <c:pt idx="19">
                  <c:v>1388.8</c:v>
                </c:pt>
                <c:pt idx="20">
                  <c:v>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688</c:v>
                </c:pt>
                <c:pt idx="8">
                  <c:v>776</c:v>
                </c:pt>
                <c:pt idx="9">
                  <c:v>864</c:v>
                </c:pt>
                <c:pt idx="10">
                  <c:v>952</c:v>
                </c:pt>
                <c:pt idx="11">
                  <c:v>1040</c:v>
                </c:pt>
                <c:pt idx="12">
                  <c:v>1128</c:v>
                </c:pt>
                <c:pt idx="13">
                  <c:v>1216</c:v>
                </c:pt>
                <c:pt idx="14">
                  <c:v>1304</c:v>
                </c:pt>
                <c:pt idx="15">
                  <c:v>1392</c:v>
                </c:pt>
                <c:pt idx="16">
                  <c:v>1480</c:v>
                </c:pt>
                <c:pt idx="17">
                  <c:v>1568</c:v>
                </c:pt>
                <c:pt idx="18">
                  <c:v>1656.0000000000002</c:v>
                </c:pt>
                <c:pt idx="19">
                  <c:v>1743.9999999999998</c:v>
                </c:pt>
                <c:pt idx="20">
                  <c:v>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847.69999999999993</c:v>
                </c:pt>
                <c:pt idx="8">
                  <c:v>950.6</c:v>
                </c:pt>
                <c:pt idx="9">
                  <c:v>1053.5</c:v>
                </c:pt>
                <c:pt idx="10">
                  <c:v>1156.4000000000001</c:v>
                </c:pt>
                <c:pt idx="11">
                  <c:v>1259.3000000000002</c:v>
                </c:pt>
                <c:pt idx="12">
                  <c:v>1362.1999999999998</c:v>
                </c:pt>
                <c:pt idx="13">
                  <c:v>1465.1</c:v>
                </c:pt>
                <c:pt idx="14">
                  <c:v>1568</c:v>
                </c:pt>
                <c:pt idx="15">
                  <c:v>1670.9</c:v>
                </c:pt>
                <c:pt idx="16">
                  <c:v>1773.8000000000002</c:v>
                </c:pt>
                <c:pt idx="17">
                  <c:v>1876.6999999999998</c:v>
                </c:pt>
                <c:pt idx="18">
                  <c:v>1979.6</c:v>
                </c:pt>
                <c:pt idx="19">
                  <c:v>2082.5</c:v>
                </c:pt>
                <c:pt idx="20">
                  <c:v>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1014.9999999999999</c:v>
                </c:pt>
                <c:pt idx="8">
                  <c:v>1131</c:v>
                </c:pt>
                <c:pt idx="9">
                  <c:v>1247</c:v>
                </c:pt>
                <c:pt idx="10">
                  <c:v>1363</c:v>
                </c:pt>
                <c:pt idx="11">
                  <c:v>1479</c:v>
                </c:pt>
                <c:pt idx="12">
                  <c:v>1595</c:v>
                </c:pt>
                <c:pt idx="13">
                  <c:v>1711</c:v>
                </c:pt>
                <c:pt idx="14">
                  <c:v>1827</c:v>
                </c:pt>
                <c:pt idx="15">
                  <c:v>1943</c:v>
                </c:pt>
                <c:pt idx="16">
                  <c:v>2059</c:v>
                </c:pt>
                <c:pt idx="17">
                  <c:v>2175</c:v>
                </c:pt>
                <c:pt idx="18">
                  <c:v>2291</c:v>
                </c:pt>
                <c:pt idx="19">
                  <c:v>2407</c:v>
                </c:pt>
                <c:pt idx="20">
                  <c:v>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728</c:v>
                </c:pt>
                <c:pt idx="13">
                  <c:v>808</c:v>
                </c:pt>
                <c:pt idx="14">
                  <c:v>888</c:v>
                </c:pt>
                <c:pt idx="15">
                  <c:v>968</c:v>
                </c:pt>
                <c:pt idx="16">
                  <c:v>1048.0000000000002</c:v>
                </c:pt>
                <c:pt idx="17">
                  <c:v>1128</c:v>
                </c:pt>
                <c:pt idx="18">
                  <c:v>1208</c:v>
                </c:pt>
                <c:pt idx="19">
                  <c:v>1288</c:v>
                </c:pt>
                <c:pt idx="20">
                  <c:v>1368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1070.4000000000001</c:v>
                </c:pt>
                <c:pt idx="13">
                  <c:v>1218.1500000000001</c:v>
                </c:pt>
                <c:pt idx="14">
                  <c:v>1365.9</c:v>
                </c:pt>
                <c:pt idx="15">
                  <c:v>1513.65</c:v>
                </c:pt>
                <c:pt idx="16">
                  <c:v>1661.4</c:v>
                </c:pt>
                <c:pt idx="17">
                  <c:v>1809.1499999999999</c:v>
                </c:pt>
                <c:pt idx="18">
                  <c:v>1956.9</c:v>
                </c:pt>
                <c:pt idx="19">
                  <c:v>2104.6499999999996</c:v>
                </c:pt>
                <c:pt idx="20">
                  <c:v>2252.4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1942.75</c:v>
                </c:pt>
                <c:pt idx="14">
                  <c:v>2221.5</c:v>
                </c:pt>
                <c:pt idx="15">
                  <c:v>2500.25</c:v>
                </c:pt>
                <c:pt idx="16">
                  <c:v>2779</c:v>
                </c:pt>
                <c:pt idx="17">
                  <c:v>3057.75</c:v>
                </c:pt>
                <c:pt idx="18">
                  <c:v>3336.5</c:v>
                </c:pt>
                <c:pt idx="19">
                  <c:v>3615.25</c:v>
                </c:pt>
                <c:pt idx="20">
                  <c:v>3894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2257.1999999999998</c:v>
                </c:pt>
                <c:pt idx="14">
                  <c:v>2599.1999999999998</c:v>
                </c:pt>
                <c:pt idx="15">
                  <c:v>2941.2</c:v>
                </c:pt>
                <c:pt idx="16">
                  <c:v>3283.2000000000007</c:v>
                </c:pt>
                <c:pt idx="17">
                  <c:v>3625.2</c:v>
                </c:pt>
                <c:pt idx="18">
                  <c:v>3967.2000000000003</c:v>
                </c:pt>
                <c:pt idx="19">
                  <c:v>4309.2</c:v>
                </c:pt>
                <c:pt idx="20">
                  <c:v>4651.2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-275</c:v>
                </c:pt>
                <c:pt idx="6">
                  <c:v>-327.8</c:v>
                </c:pt>
                <c:pt idx="7">
                  <c:v>-380.59999999999997</c:v>
                </c:pt>
                <c:pt idx="8">
                  <c:v>-433.40000000000003</c:v>
                </c:pt>
                <c:pt idx="9">
                  <c:v>-486.20000000000005</c:v>
                </c:pt>
                <c:pt idx="10">
                  <c:v>-539</c:v>
                </c:pt>
                <c:pt idx="11">
                  <c:v>-591.80000000000007</c:v>
                </c:pt>
                <c:pt idx="12">
                  <c:v>-644.59999999999991</c:v>
                </c:pt>
                <c:pt idx="13">
                  <c:v>-697.40000000000009</c:v>
                </c:pt>
                <c:pt idx="14">
                  <c:v>-750.19999999999993</c:v>
                </c:pt>
                <c:pt idx="15">
                  <c:v>-803</c:v>
                </c:pt>
                <c:pt idx="16">
                  <c:v>-855.80000000000007</c:v>
                </c:pt>
                <c:pt idx="17">
                  <c:v>-908.6</c:v>
                </c:pt>
                <c:pt idx="18">
                  <c:v>-961.4</c:v>
                </c:pt>
                <c:pt idx="19">
                  <c:v>-1014.1999999999999</c:v>
                </c:pt>
                <c:pt idx="20">
                  <c:v>-1067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-461.90000000000003</c:v>
                </c:pt>
                <c:pt idx="7">
                  <c:v>-533.20000000000005</c:v>
                </c:pt>
                <c:pt idx="8">
                  <c:v>-604.5</c:v>
                </c:pt>
                <c:pt idx="9">
                  <c:v>-675.80000000000007</c:v>
                </c:pt>
                <c:pt idx="10">
                  <c:v>-747.1</c:v>
                </c:pt>
                <c:pt idx="11">
                  <c:v>-818.40000000000009</c:v>
                </c:pt>
                <c:pt idx="12">
                  <c:v>-889.7</c:v>
                </c:pt>
                <c:pt idx="13">
                  <c:v>-961</c:v>
                </c:pt>
                <c:pt idx="14">
                  <c:v>-1032.3</c:v>
                </c:pt>
                <c:pt idx="15">
                  <c:v>-1103.6000000000001</c:v>
                </c:pt>
                <c:pt idx="16">
                  <c:v>-1174.9000000000001</c:v>
                </c:pt>
                <c:pt idx="17">
                  <c:v>-1246.2</c:v>
                </c:pt>
                <c:pt idx="18">
                  <c:v>-1317.5</c:v>
                </c:pt>
                <c:pt idx="19">
                  <c:v>-1388.8</c:v>
                </c:pt>
                <c:pt idx="20">
                  <c:v>-1460.1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-688</c:v>
                </c:pt>
                <c:pt idx="8">
                  <c:v>-776</c:v>
                </c:pt>
                <c:pt idx="9">
                  <c:v>-864</c:v>
                </c:pt>
                <c:pt idx="10">
                  <c:v>-952</c:v>
                </c:pt>
                <c:pt idx="11">
                  <c:v>-1040</c:v>
                </c:pt>
                <c:pt idx="12">
                  <c:v>-1128</c:v>
                </c:pt>
                <c:pt idx="13">
                  <c:v>-1216</c:v>
                </c:pt>
                <c:pt idx="14">
                  <c:v>-1304</c:v>
                </c:pt>
                <c:pt idx="15">
                  <c:v>-1392</c:v>
                </c:pt>
                <c:pt idx="16">
                  <c:v>-1480</c:v>
                </c:pt>
                <c:pt idx="17">
                  <c:v>-1568</c:v>
                </c:pt>
                <c:pt idx="18">
                  <c:v>-1656.0000000000002</c:v>
                </c:pt>
                <c:pt idx="19">
                  <c:v>-1743.9999999999998</c:v>
                </c:pt>
                <c:pt idx="20">
                  <c:v>-1832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-847.69999999999993</c:v>
                </c:pt>
                <c:pt idx="8">
                  <c:v>-950.6</c:v>
                </c:pt>
                <c:pt idx="9">
                  <c:v>-1053.5</c:v>
                </c:pt>
                <c:pt idx="10">
                  <c:v>-1156.4000000000001</c:v>
                </c:pt>
                <c:pt idx="11">
                  <c:v>-1259.3000000000002</c:v>
                </c:pt>
                <c:pt idx="12">
                  <c:v>-1362.1999999999998</c:v>
                </c:pt>
                <c:pt idx="13">
                  <c:v>-1465.1</c:v>
                </c:pt>
                <c:pt idx="14">
                  <c:v>-1568</c:v>
                </c:pt>
                <c:pt idx="15">
                  <c:v>-1670.9</c:v>
                </c:pt>
                <c:pt idx="16">
                  <c:v>-1773.8000000000002</c:v>
                </c:pt>
                <c:pt idx="17">
                  <c:v>-1876.6999999999998</c:v>
                </c:pt>
                <c:pt idx="18">
                  <c:v>-1979.6</c:v>
                </c:pt>
                <c:pt idx="19">
                  <c:v>-2082.5</c:v>
                </c:pt>
                <c:pt idx="20">
                  <c:v>-2185.4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-1014.9999999999999</c:v>
                </c:pt>
                <c:pt idx="8">
                  <c:v>-1131</c:v>
                </c:pt>
                <c:pt idx="9">
                  <c:v>-1247</c:v>
                </c:pt>
                <c:pt idx="10">
                  <c:v>-1363</c:v>
                </c:pt>
                <c:pt idx="11">
                  <c:v>-1479</c:v>
                </c:pt>
                <c:pt idx="12">
                  <c:v>-1595</c:v>
                </c:pt>
                <c:pt idx="13">
                  <c:v>-1711</c:v>
                </c:pt>
                <c:pt idx="14">
                  <c:v>-1827</c:v>
                </c:pt>
                <c:pt idx="15">
                  <c:v>-1943</c:v>
                </c:pt>
                <c:pt idx="16">
                  <c:v>-2059</c:v>
                </c:pt>
                <c:pt idx="17">
                  <c:v>-2175</c:v>
                </c:pt>
                <c:pt idx="18">
                  <c:v>-2291</c:v>
                </c:pt>
                <c:pt idx="19">
                  <c:v>-2407</c:v>
                </c:pt>
                <c:pt idx="20">
                  <c:v>-2523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68" t="s">
        <v>83</v>
      </c>
      <c r="C2" s="69"/>
      <c r="D2" s="69"/>
      <c r="E2" s="69"/>
      <c r="F2" s="69"/>
      <c r="G2" s="69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">
        <v>62</v>
      </c>
      <c r="E4" s="10" t="s">
        <v>58</v>
      </c>
      <c r="F4" s="10" t="s">
        <v>63</v>
      </c>
      <c r="G4" s="11" t="s">
        <v>64</v>
      </c>
      <c r="H4" s="6"/>
    </row>
    <row r="5" spans="1:8" ht="31" customHeight="1">
      <c r="A5" s="6"/>
      <c r="B5" s="19"/>
      <c r="C5" s="6"/>
      <c r="D5" s="20" t="s">
        <v>82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70" t="s">
        <v>77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70"/>
      <c r="C7" s="6"/>
      <c r="D7" s="12" t="s">
        <v>79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">
        <v>65</v>
      </c>
      <c r="C8" s="6"/>
      <c r="D8" s="13" t="s">
        <v>80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">
        <v>78</v>
      </c>
      <c r="C9" s="6"/>
      <c r="D9" s="12" t="s">
        <v>81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69</v>
      </c>
      <c r="E10" s="14" t="s">
        <v>70</v>
      </c>
      <c r="F10" s="14" t="s">
        <v>71</v>
      </c>
      <c r="G10" s="14" t="s">
        <v>72</v>
      </c>
      <c r="H10" s="6"/>
    </row>
    <row r="11" spans="1:8" ht="31" customHeight="1">
      <c r="A11" s="6"/>
      <c r="B11" s="7"/>
      <c r="C11" s="6"/>
      <c r="D11" s="12" t="s">
        <v>73</v>
      </c>
      <c r="E11" s="21"/>
      <c r="F11" s="16" t="s">
        <v>75</v>
      </c>
      <c r="G11" s="16" t="s">
        <v>75</v>
      </c>
      <c r="H11" s="6"/>
    </row>
    <row r="12" spans="1:8" ht="31" customHeight="1">
      <c r="A12" s="6"/>
      <c r="B12" s="7"/>
      <c r="C12" s="6"/>
      <c r="D12" s="13" t="s">
        <v>74</v>
      </c>
      <c r="E12" s="14" t="s">
        <v>75</v>
      </c>
      <c r="F12" s="14" t="s">
        <v>75</v>
      </c>
      <c r="G12" s="14" t="s">
        <v>75</v>
      </c>
      <c r="H12" s="6"/>
    </row>
    <row r="13" spans="1:8" ht="31" customHeight="1">
      <c r="A13" s="6"/>
      <c r="B13" s="7"/>
      <c r="C13" s="6"/>
      <c r="D13" s="12" t="s">
        <v>76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67"/>
      <c r="E15" s="67"/>
      <c r="F15" s="67"/>
      <c r="G15" s="67"/>
      <c r="H15" s="6"/>
    </row>
    <row r="16" spans="1:8" ht="22" customHeight="1">
      <c r="A16" s="6"/>
      <c r="B16" s="6"/>
      <c r="C16" s="6"/>
      <c r="D16" s="67"/>
      <c r="E16" s="67"/>
      <c r="F16" s="67"/>
      <c r="G16" s="67"/>
      <c r="H16" s="6"/>
    </row>
    <row r="17" spans="1:8" ht="22" customHeight="1">
      <c r="A17" s="6"/>
      <c r="B17" s="6"/>
      <c r="C17" s="6"/>
      <c r="D17" s="1"/>
      <c r="E17" s="67"/>
      <c r="F17" s="67"/>
      <c r="G17" s="67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95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">
        <v>57</v>
      </c>
      <c r="C6" s="24" t="s">
        <v>58</v>
      </c>
      <c r="D6" s="1"/>
      <c r="E6" s="1"/>
      <c r="F6" s="71" t="s">
        <v>18</v>
      </c>
      <c r="G6" s="72"/>
      <c r="H6" s="72"/>
      <c r="I6" s="72"/>
      <c r="J6" s="72"/>
      <c r="K6" s="1"/>
      <c r="L6" s="1"/>
      <c r="M6" s="1"/>
      <c r="N6" s="1"/>
      <c r="O6" s="1"/>
    </row>
    <row r="7" spans="1:15" ht="28" customHeight="1">
      <c r="A7" s="1"/>
      <c r="B7" s="26" t="s">
        <v>7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9</v>
      </c>
      <c r="C8" s="27">
        <v>-4</v>
      </c>
      <c r="D8" s="1"/>
      <c r="E8" s="1"/>
      <c r="F8" s="1" t="s">
        <v>19</v>
      </c>
      <c r="G8" s="73"/>
      <c r="H8" s="73"/>
      <c r="I8" s="74">
        <f>IF(C18="OK",Samples!F165*MIN(C10,Samples!G165)+Samples!I165*MAX(0,C10-Samples!G165)+Samples!J165*MAX(0,C10-Samples!K165),"检查输入")</f>
        <v>3213.12</v>
      </c>
      <c r="J8" s="75"/>
      <c r="K8" s="1"/>
      <c r="L8" s="1"/>
      <c r="M8" s="1"/>
      <c r="N8" s="1"/>
      <c r="O8" s="1"/>
    </row>
    <row r="9" spans="1:15" ht="28" customHeight="1">
      <c r="A9" s="1"/>
      <c r="B9" s="26" t="s">
        <v>20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">
        <v>21</v>
      </c>
      <c r="C10" s="28">
        <v>1</v>
      </c>
      <c r="D10" s="1"/>
      <c r="E10" s="1"/>
      <c r="F10" s="1" t="s">
        <v>22</v>
      </c>
      <c r="G10" s="73"/>
      <c r="H10" s="73"/>
      <c r="I10" s="74">
        <f>IF(C18="OK",Samples!M165*MIN(C10,Samples!N165)+Samples!P165*MAX(0,C10-Samples!N165),"检查输入")</f>
        <v>1832</v>
      </c>
      <c r="J10" s="75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">
        <v>23</v>
      </c>
      <c r="C13" s="29">
        <f>Parameters!D23</f>
        <v>24</v>
      </c>
      <c r="D13" s="1"/>
      <c r="E13" s="1"/>
      <c r="F13" s="71" t="s">
        <v>47</v>
      </c>
      <c r="G13" s="72"/>
      <c r="H13" s="72"/>
      <c r="I13" s="72"/>
      <c r="J13" s="72"/>
      <c r="K13" s="1"/>
      <c r="L13" s="1"/>
      <c r="M13" s="1"/>
      <c r="N13" s="1"/>
      <c r="O13" s="1"/>
    </row>
    <row r="14" spans="1:15" ht="28" customHeight="1">
      <c r="A14" s="1"/>
      <c r="B14" s="30" t="s">
        <v>24</v>
      </c>
      <c r="C14" s="31">
        <f>IF(C6="RA65",Parameters!D27,Parameters!D24)</f>
        <v>10</v>
      </c>
      <c r="D14" s="1"/>
      <c r="E14" s="1"/>
      <c r="F14" s="76" t="s">
        <v>10</v>
      </c>
      <c r="G14" s="77"/>
      <c r="H14" s="77"/>
      <c r="I14" s="32">
        <f>Samples!F165</f>
        <v>2400</v>
      </c>
      <c r="J14" s="23" t="s">
        <v>11</v>
      </c>
      <c r="K14" s="1"/>
      <c r="L14" s="1"/>
      <c r="M14" s="1"/>
      <c r="N14" s="1"/>
      <c r="O14" s="1"/>
    </row>
    <row r="15" spans="1:15" ht="28" customHeight="1">
      <c r="A15" s="1"/>
      <c r="B15" s="25" t="s">
        <v>25</v>
      </c>
      <c r="C15" s="29">
        <f>IF(C6="RA85",Parameters!D26,Parameters!D25)</f>
        <v>40</v>
      </c>
      <c r="D15" s="1"/>
      <c r="E15" s="1"/>
      <c r="F15" s="73" t="s">
        <v>26</v>
      </c>
      <c r="G15" s="78"/>
      <c r="H15" s="78"/>
      <c r="I15" s="33">
        <f>Samples!I165</f>
        <v>2280</v>
      </c>
      <c r="J15" s="26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9" t="s">
        <v>48</v>
      </c>
      <c r="G16" s="77"/>
      <c r="H16" s="77"/>
      <c r="I16" s="32">
        <f>Samples!J165</f>
        <v>2320</v>
      </c>
      <c r="J16" s="23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78"/>
      <c r="H17" s="78"/>
      <c r="I17" s="33">
        <f>Samples!L165</f>
        <v>4600</v>
      </c>
      <c r="J17" s="26" t="s">
        <v>11</v>
      </c>
      <c r="K17" s="1"/>
      <c r="L17" s="1"/>
      <c r="M17" s="1"/>
      <c r="N17" s="1"/>
      <c r="O17" s="1"/>
    </row>
    <row r="18" spans="1:15" ht="28" customHeight="1">
      <c r="A18" s="1"/>
      <c r="B18" s="25" t="s">
        <v>28</v>
      </c>
      <c r="C18" s="34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6" t="s">
        <v>15</v>
      </c>
      <c r="G19" s="77"/>
      <c r="H19" s="77"/>
      <c r="I19" s="32">
        <f>Samples!M165</f>
        <v>2000</v>
      </c>
      <c r="J19" s="23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3" t="s">
        <v>29</v>
      </c>
      <c r="G20" s="78"/>
      <c r="H20" s="78"/>
      <c r="I20" s="33">
        <f>Samples!P165</f>
        <v>1760</v>
      </c>
      <c r="J20" s="26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9" t="s">
        <v>44</v>
      </c>
      <c r="G22" s="77"/>
      <c r="H22" s="77"/>
      <c r="I22" s="35">
        <f>Samples!G165</f>
        <v>0.12</v>
      </c>
      <c r="J22" s="23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78"/>
      <c r="H23" s="78"/>
      <c r="I23" s="36">
        <f>Samples!K165</f>
        <v>0.60399999999999998</v>
      </c>
      <c r="J23" s="26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6" t="s">
        <v>16</v>
      </c>
      <c r="G24" s="77"/>
      <c r="H24" s="77"/>
      <c r="I24" s="35">
        <f>Samples!N165</f>
        <v>0.3</v>
      </c>
      <c r="J24" s="23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0" t="s">
        <v>84</v>
      </c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65" zoomScaleNormal="145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2</v>
      </c>
      <c r="C6" s="27">
        <v>-10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3</v>
      </c>
      <c r="C6" s="27">
        <v>-12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75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tabSelected="1" zoomScale="111" workbookViewId="0">
      <pane ySplit="4" topLeftCell="A6" activePane="bottomLeft" state="frozen"/>
      <selection pane="bottomLeft" activeCell="H14" sqref="H14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4" customHeight="1">
      <c r="A3" s="1"/>
      <c r="B3" s="82" t="s">
        <v>84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2" t="s">
        <v>1</v>
      </c>
      <c r="E5" s="72"/>
      <c r="F5" s="72"/>
      <c r="G5" s="72"/>
      <c r="H5" s="72"/>
      <c r="I5" s="1"/>
      <c r="J5" s="72" t="s">
        <v>4</v>
      </c>
      <c r="K5" s="72"/>
      <c r="L5" s="72"/>
      <c r="M5" s="72"/>
      <c r="N5" s="72"/>
      <c r="O5" s="1"/>
    </row>
    <row r="6" spans="1:15" ht="30" customHeight="1">
      <c r="A6" s="1"/>
      <c r="B6" s="37" t="s">
        <v>5</v>
      </c>
      <c r="C6" s="37" t="s">
        <v>6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7</v>
      </c>
      <c r="C7" s="25" t="s">
        <v>8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9</v>
      </c>
      <c r="C8" s="30" t="s">
        <v>8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10</v>
      </c>
      <c r="C10" s="23" t="s">
        <v>11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">
        <v>44</v>
      </c>
      <c r="C11" s="26" t="s">
        <v>12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13</v>
      </c>
      <c r="C12" s="25" t="s">
        <v>14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">
        <v>50</v>
      </c>
      <c r="C13" s="26" t="s">
        <v>11</v>
      </c>
      <c r="D13" s="27">
        <v>400</v>
      </c>
      <c r="E13" s="41">
        <f>(D13+F13)/2</f>
        <v>1200</v>
      </c>
      <c r="F13" s="27">
        <v>2000</v>
      </c>
      <c r="G13" s="41">
        <f>(F13+H13)/2</f>
        <v>2800</v>
      </c>
      <c r="H13" s="27">
        <v>3600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">
        <v>45</v>
      </c>
      <c r="C14" s="23" t="s">
        <v>12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51</v>
      </c>
      <c r="C16" s="37" t="s">
        <v>8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">
        <v>15</v>
      </c>
      <c r="C17" s="23" t="s">
        <v>11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">
        <v>16</v>
      </c>
      <c r="C18" s="26" t="s">
        <v>12</v>
      </c>
      <c r="D18" s="40">
        <v>0.25</v>
      </c>
      <c r="E18" s="36">
        <f>(D18+F18)/2</f>
        <v>0.27500000000000002</v>
      </c>
      <c r="F18" s="40">
        <v>0.3</v>
      </c>
      <c r="G18" s="36">
        <f>(F18+H18)/2</f>
        <v>0.32499999999999996</v>
      </c>
      <c r="H18" s="40">
        <v>0.35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17</v>
      </c>
      <c r="C19" s="25" t="s">
        <v>14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1" t="s">
        <v>52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1"/>
    </row>
    <row r="23" spans="1:15" ht="29" customHeight="1">
      <c r="A23" s="1"/>
      <c r="B23" s="79" t="s">
        <v>59</v>
      </c>
      <c r="C23" s="77"/>
      <c r="D23" s="29">
        <v>24</v>
      </c>
      <c r="E23" s="1"/>
      <c r="F23" s="84" t="s">
        <v>85</v>
      </c>
      <c r="G23" s="85"/>
      <c r="H23" s="85"/>
      <c r="I23" s="85"/>
      <c r="J23" s="85"/>
      <c r="K23" s="85"/>
      <c r="L23" s="85"/>
      <c r="M23" s="85"/>
      <c r="N23" s="85"/>
      <c r="O23" s="1"/>
    </row>
    <row r="24" spans="1:15" ht="29" customHeight="1">
      <c r="A24" s="1"/>
      <c r="B24" s="1" t="s">
        <v>86</v>
      </c>
      <c r="C24" s="78"/>
      <c r="D24" s="31">
        <v>20</v>
      </c>
      <c r="E24" s="1"/>
      <c r="F24" s="85"/>
      <c r="G24" s="85"/>
      <c r="H24" s="85"/>
      <c r="I24" s="85"/>
      <c r="J24" s="85"/>
      <c r="K24" s="85"/>
      <c r="L24" s="85"/>
      <c r="M24" s="85"/>
      <c r="N24" s="85"/>
      <c r="O24" s="1"/>
    </row>
    <row r="25" spans="1:15" ht="29" customHeight="1">
      <c r="A25" s="1"/>
      <c r="B25" s="79" t="s">
        <v>60</v>
      </c>
      <c r="C25" s="77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3" t="s">
        <v>61</v>
      </c>
      <c r="C26" s="78"/>
      <c r="D26" s="31">
        <v>60</v>
      </c>
      <c r="E26" s="1"/>
      <c r="F26" s="86" t="s">
        <v>87</v>
      </c>
      <c r="G26" s="83"/>
      <c r="H26" s="83"/>
      <c r="I26" s="83"/>
      <c r="J26" s="83"/>
      <c r="K26" s="83"/>
      <c r="L26" s="83"/>
      <c r="M26" s="83"/>
      <c r="N26" s="83"/>
      <c r="O26" s="1"/>
    </row>
    <row r="27" spans="1:15" ht="29" customHeight="1">
      <c r="A27" s="1"/>
      <c r="B27" s="1" t="s">
        <v>88</v>
      </c>
      <c r="C27" s="78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87" t="s">
        <v>89</v>
      </c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0" t="s">
        <v>90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1"/>
      <c r="Q1" s="91"/>
      <c r="R1" s="91"/>
      <c r="S1" s="91"/>
      <c r="T1" s="91"/>
      <c r="U1" s="91"/>
      <c r="V1" s="91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">
        <v>30</v>
      </c>
      <c r="C4" s="46" t="s">
        <v>31</v>
      </c>
      <c r="D4" s="46" t="s">
        <v>32</v>
      </c>
      <c r="E4" s="46" t="s">
        <v>33</v>
      </c>
      <c r="F4" s="46" t="s">
        <v>10</v>
      </c>
      <c r="G4" s="45" t="s">
        <v>44</v>
      </c>
      <c r="H4" s="45" t="s">
        <v>34</v>
      </c>
      <c r="I4" s="46" t="s">
        <v>26</v>
      </c>
      <c r="J4" s="46" t="s">
        <v>35</v>
      </c>
      <c r="K4" s="45" t="s">
        <v>45</v>
      </c>
      <c r="L4" s="45" t="s">
        <v>36</v>
      </c>
      <c r="M4" s="46" t="s">
        <v>15</v>
      </c>
      <c r="N4" s="46" t="s">
        <v>16</v>
      </c>
      <c r="O4" s="45" t="s">
        <v>37</v>
      </c>
      <c r="P4" s="47" t="s">
        <v>29</v>
      </c>
      <c r="Q4" s="48" t="s">
        <v>38</v>
      </c>
      <c r="R4" s="48" t="s">
        <v>39</v>
      </c>
      <c r="S4" s="48" t="s">
        <v>40</v>
      </c>
      <c r="T4" s="48" t="s">
        <v>41</v>
      </c>
      <c r="U4" s="48" t="s">
        <v>42</v>
      </c>
      <c r="V4" s="48" t="s">
        <v>43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1200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9">
        <f>F5*H5</f>
        <v>1200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3200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1100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1800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51">
        <f>F6*H6</f>
        <v>1755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3755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0.91999999999999993</v>
      </c>
      <c r="P6" s="52">
        <f>M6*O6</f>
        <v>1426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2400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9">
        <f>F7*H7</f>
        <v>2280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4280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50">
        <f>M7*O7</f>
        <v>1760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3000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51">
        <f>F8*H8</f>
        <v>2775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4775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2450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52">
        <f>M8*O8</f>
        <v>2058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3600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9">
        <f>F9*H9</f>
        <v>3240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5240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2900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0">
        <f>M9*O9</f>
        <v>2320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">
        <v>21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60</v>
      </c>
      <c r="D15" s="56">
        <f t="shared" si="1"/>
        <v>90</v>
      </c>
      <c r="E15" s="56">
        <f t="shared" si="2"/>
        <v>120</v>
      </c>
      <c r="F15" s="56">
        <f t="shared" si="3"/>
        <v>150</v>
      </c>
      <c r="G15" s="56">
        <f t="shared" si="4"/>
        <v>180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120</v>
      </c>
      <c r="D16" s="55">
        <f t="shared" si="1"/>
        <v>180</v>
      </c>
      <c r="E16" s="55">
        <f t="shared" si="2"/>
        <v>240</v>
      </c>
      <c r="F16" s="55">
        <f t="shared" si="3"/>
        <v>300</v>
      </c>
      <c r="G16" s="55">
        <f t="shared" si="4"/>
        <v>360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180</v>
      </c>
      <c r="D17" s="56">
        <f t="shared" si="1"/>
        <v>268.64999999999998</v>
      </c>
      <c r="E17" s="56">
        <f t="shared" si="2"/>
        <v>356.4</v>
      </c>
      <c r="F17" s="56">
        <f t="shared" si="3"/>
        <v>443.25</v>
      </c>
      <c r="G17" s="56">
        <f t="shared" si="4"/>
        <v>529.20000000000005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240</v>
      </c>
      <c r="D18" s="55">
        <f t="shared" si="1"/>
        <v>356.40000000000003</v>
      </c>
      <c r="E18" s="55">
        <f t="shared" si="2"/>
        <v>470.40000000000003</v>
      </c>
      <c r="F18" s="55">
        <f t="shared" si="3"/>
        <v>582</v>
      </c>
      <c r="G18" s="55">
        <f t="shared" si="4"/>
        <v>691.2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300</v>
      </c>
      <c r="D19" s="56">
        <f t="shared" si="1"/>
        <v>444.15</v>
      </c>
      <c r="E19" s="56">
        <f t="shared" si="2"/>
        <v>584.40000000000009</v>
      </c>
      <c r="F19" s="56">
        <f t="shared" si="3"/>
        <v>720.75</v>
      </c>
      <c r="G19" s="56">
        <f t="shared" si="4"/>
        <v>853.2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360</v>
      </c>
      <c r="D20" s="55">
        <f t="shared" si="1"/>
        <v>531.9</v>
      </c>
      <c r="E20" s="55">
        <f t="shared" si="2"/>
        <v>698.4</v>
      </c>
      <c r="F20" s="55">
        <f t="shared" si="3"/>
        <v>859.5</v>
      </c>
      <c r="G20" s="55">
        <f t="shared" si="4"/>
        <v>1015.1999999999999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420</v>
      </c>
      <c r="D21" s="56">
        <f t="shared" si="1"/>
        <v>619.65</v>
      </c>
      <c r="E21" s="56">
        <f t="shared" si="2"/>
        <v>812.4</v>
      </c>
      <c r="F21" s="56">
        <f t="shared" si="3"/>
        <v>998.25</v>
      </c>
      <c r="G21" s="56">
        <f t="shared" si="4"/>
        <v>1177.1999999999998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480.00000000000006</v>
      </c>
      <c r="D22" s="55">
        <f t="shared" si="1"/>
        <v>707.40000000000009</v>
      </c>
      <c r="E22" s="55">
        <f t="shared" si="2"/>
        <v>926.40000000000009</v>
      </c>
      <c r="F22" s="55">
        <f t="shared" si="3"/>
        <v>1137</v>
      </c>
      <c r="G22" s="55">
        <f t="shared" si="4"/>
        <v>1339.2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540</v>
      </c>
      <c r="D23" s="56">
        <f t="shared" si="1"/>
        <v>795.15</v>
      </c>
      <c r="E23" s="56">
        <f t="shared" si="2"/>
        <v>1040.4000000000001</v>
      </c>
      <c r="F23" s="56">
        <f t="shared" si="3"/>
        <v>1275.75</v>
      </c>
      <c r="G23" s="56">
        <f t="shared" si="4"/>
        <v>1501.2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600</v>
      </c>
      <c r="D24" s="55">
        <f t="shared" si="1"/>
        <v>882.9</v>
      </c>
      <c r="E24" s="55">
        <f t="shared" si="2"/>
        <v>1154.4000000000001</v>
      </c>
      <c r="F24" s="55">
        <f t="shared" si="3"/>
        <v>1414.5</v>
      </c>
      <c r="G24" s="55">
        <f t="shared" si="4"/>
        <v>1663.2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660.00000000000011</v>
      </c>
      <c r="D25" s="56">
        <f t="shared" si="1"/>
        <v>970.65000000000009</v>
      </c>
      <c r="E25" s="56">
        <f t="shared" si="2"/>
        <v>1268.4000000000001</v>
      </c>
      <c r="F25" s="56">
        <f t="shared" si="3"/>
        <v>1553.2500000000002</v>
      </c>
      <c r="G25" s="56">
        <f t="shared" si="4"/>
        <v>1825.2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720</v>
      </c>
      <c r="D26" s="55">
        <f t="shared" si="1"/>
        <v>1058.4000000000001</v>
      </c>
      <c r="E26" s="55">
        <f t="shared" si="2"/>
        <v>1382.3999999999999</v>
      </c>
      <c r="F26" s="55">
        <f t="shared" si="3"/>
        <v>1692</v>
      </c>
      <c r="G26" s="55">
        <f t="shared" si="4"/>
        <v>1987.2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880.00000000000011</v>
      </c>
      <c r="D27" s="56">
        <f t="shared" si="1"/>
        <v>1246.1500000000001</v>
      </c>
      <c r="E27" s="56">
        <f t="shared" si="2"/>
        <v>1596.4</v>
      </c>
      <c r="F27" s="56">
        <f t="shared" si="3"/>
        <v>1930.75</v>
      </c>
      <c r="G27" s="56">
        <f t="shared" si="4"/>
        <v>2249.1999999999998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1040</v>
      </c>
      <c r="D28" s="55">
        <f t="shared" si="1"/>
        <v>1433.9</v>
      </c>
      <c r="E28" s="55">
        <f t="shared" si="2"/>
        <v>1810.3999999999999</v>
      </c>
      <c r="F28" s="55">
        <f t="shared" si="3"/>
        <v>2169.5</v>
      </c>
      <c r="G28" s="55">
        <f t="shared" si="4"/>
        <v>2511.1999999999998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1200</v>
      </c>
      <c r="D29" s="56">
        <f t="shared" si="1"/>
        <v>1621.65</v>
      </c>
      <c r="E29" s="56">
        <f t="shared" si="2"/>
        <v>2024.4</v>
      </c>
      <c r="F29" s="56">
        <f t="shared" si="3"/>
        <v>2408.25</v>
      </c>
      <c r="G29" s="56">
        <f t="shared" si="4"/>
        <v>2773.2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1360.0000000000002</v>
      </c>
      <c r="D30" s="55">
        <f t="shared" si="1"/>
        <v>1809.4</v>
      </c>
      <c r="E30" s="55">
        <f t="shared" si="2"/>
        <v>2238.4</v>
      </c>
      <c r="F30" s="55">
        <f t="shared" si="3"/>
        <v>2647</v>
      </c>
      <c r="G30" s="55">
        <f t="shared" si="4"/>
        <v>3035.2000000000003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1520</v>
      </c>
      <c r="D31" s="56">
        <f t="shared" si="1"/>
        <v>1997.1499999999999</v>
      </c>
      <c r="E31" s="56">
        <f t="shared" si="2"/>
        <v>2452.3999999999996</v>
      </c>
      <c r="F31" s="56">
        <f t="shared" si="3"/>
        <v>2885.75</v>
      </c>
      <c r="G31" s="56">
        <f t="shared" si="4"/>
        <v>3297.2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1680</v>
      </c>
      <c r="D32" s="55">
        <f t="shared" si="1"/>
        <v>2184.9</v>
      </c>
      <c r="E32" s="55">
        <f t="shared" si="2"/>
        <v>2666.4</v>
      </c>
      <c r="F32" s="55">
        <f t="shared" si="3"/>
        <v>3124.5</v>
      </c>
      <c r="G32" s="55">
        <f t="shared" si="4"/>
        <v>3559.2000000000003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1840</v>
      </c>
      <c r="D33" s="56">
        <f t="shared" si="1"/>
        <v>2372.6499999999996</v>
      </c>
      <c r="E33" s="56">
        <f t="shared" si="2"/>
        <v>2880.3999999999996</v>
      </c>
      <c r="F33" s="56">
        <f t="shared" si="3"/>
        <v>3363.25</v>
      </c>
      <c r="G33" s="56">
        <f t="shared" si="4"/>
        <v>3821.2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2000</v>
      </c>
      <c r="D34" s="55">
        <f t="shared" si="1"/>
        <v>2560.4</v>
      </c>
      <c r="E34" s="55">
        <f t="shared" si="2"/>
        <v>3094.4</v>
      </c>
      <c r="F34" s="55">
        <f t="shared" si="3"/>
        <v>3602</v>
      </c>
      <c r="G34" s="55">
        <f t="shared" si="4"/>
        <v>4083.2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0" t="s">
        <v>91</v>
      </c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  <c r="R41" s="91"/>
      <c r="S41" s="91"/>
      <c r="T41" s="91"/>
      <c r="U41" s="91"/>
      <c r="V41" s="91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">
        <v>30</v>
      </c>
      <c r="C44" s="47" t="s">
        <v>31</v>
      </c>
      <c r="D44" s="47" t="s">
        <v>32</v>
      </c>
      <c r="E44" s="47" t="s">
        <v>33</v>
      </c>
      <c r="F44" s="47" t="s">
        <v>10</v>
      </c>
      <c r="G44" s="48" t="s">
        <v>44</v>
      </c>
      <c r="H44" s="48" t="s">
        <v>34</v>
      </c>
      <c r="I44" s="47" t="s">
        <v>26</v>
      </c>
      <c r="J44" s="47" t="s">
        <v>35</v>
      </c>
      <c r="K44" s="48" t="s">
        <v>45</v>
      </c>
      <c r="L44" s="48" t="s">
        <v>36</v>
      </c>
      <c r="M44" s="47" t="s">
        <v>15</v>
      </c>
      <c r="N44" s="47" t="s">
        <v>16</v>
      </c>
      <c r="O44" s="48" t="s">
        <v>37</v>
      </c>
      <c r="P44" s="47" t="s">
        <v>29</v>
      </c>
      <c r="Q44" s="48" t="s">
        <v>38</v>
      </c>
      <c r="R44" s="48" t="s">
        <v>39</v>
      </c>
      <c r="S44" s="48" t="s">
        <v>40</v>
      </c>
      <c r="T44" s="48" t="s">
        <v>41</v>
      </c>
      <c r="U44" s="48" t="s">
        <v>42</v>
      </c>
      <c r="V44" s="48" t="s">
        <v>43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2400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0.95</v>
      </c>
      <c r="I45" s="50">
        <f>F45*H45</f>
        <v>2280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400</v>
      </c>
      <c r="K45" s="50">
        <f>IF('HSC Sweep'!$C$4="Type-B",Parameters!$L$14,INDEX(Parameters!$D$14:$H$14,1,R45)+(INDEX(Parameters!$D$14:$H$14,1,R45+1)-INDEX(Parameters!$D$14:$H$14,1,R45))*U45)</f>
        <v>0.57999999999999996</v>
      </c>
      <c r="L45" s="50">
        <f>I45+J45</f>
        <v>2680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1100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0.25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2400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0.95</v>
      </c>
      <c r="I46" s="52">
        <f>F46*H46</f>
        <v>2280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1200</v>
      </c>
      <c r="K46" s="52">
        <f>IF('HSC Sweep'!$C$4="Type-B",Parameters!$L$14,INDEX(Parameters!$D$14:$H$14,1,R46)+(INDEX(Parameters!$D$14:$H$14,1,R46+1)-INDEX(Parameters!$D$14:$H$14,1,R46))*U46)</f>
        <v>0.59</v>
      </c>
      <c r="L46" s="52">
        <f>I46+J46</f>
        <v>3480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0.27500000000000002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0.91999999999999993</v>
      </c>
      <c r="P46" s="52">
        <f>M46*O46</f>
        <v>1426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2400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0.95</v>
      </c>
      <c r="I47" s="50">
        <f>F47*H47</f>
        <v>2280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4280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0.3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50">
        <f>M47*O47</f>
        <v>1760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2400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0.95</v>
      </c>
      <c r="I48" s="52">
        <f>F48*H48</f>
        <v>2280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2800</v>
      </c>
      <c r="K48" s="52">
        <f>IF('HSC Sweep'!$C$4="Type-B",Parameters!$L$14,INDEX(Parameters!$D$14:$H$14,1,R48)+(INDEX(Parameters!$D$14:$H$14,1,R48+1)-INDEX(Parameters!$D$14:$H$14,1,R48))*U48)</f>
        <v>0.61</v>
      </c>
      <c r="L48" s="52">
        <f>I48+J48</f>
        <v>5080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2450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0.32499999999999996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0.84000000000000008</v>
      </c>
      <c r="P48" s="52">
        <f>M48*O48</f>
        <v>2058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2400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0.95</v>
      </c>
      <c r="I49" s="50">
        <f>F49*H49</f>
        <v>2280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3600</v>
      </c>
      <c r="K49" s="50">
        <f>IF('HSC Sweep'!$C$4="Type-B",Parameters!$L$14,INDEX(Parameters!$D$14:$H$14,1,R49)+(INDEX(Parameters!$D$14:$H$14,1,R49+1)-INDEX(Parameters!$D$14:$H$14,1,R49))*U49)</f>
        <v>0.62</v>
      </c>
      <c r="L49" s="50">
        <f>I49+J49</f>
        <v>5880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2900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0.35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0">
        <f>M49*O49</f>
        <v>2320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">
        <v>21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120</v>
      </c>
      <c r="D55" s="60">
        <f t="shared" si="6"/>
        <v>120</v>
      </c>
      <c r="E55" s="60">
        <f t="shared" si="7"/>
        <v>120</v>
      </c>
      <c r="F55" s="60">
        <f t="shared" si="8"/>
        <v>120</v>
      </c>
      <c r="G55" s="60">
        <f t="shared" si="9"/>
        <v>120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240</v>
      </c>
      <c r="D56" s="59">
        <f t="shared" si="6"/>
        <v>240</v>
      </c>
      <c r="E56" s="59">
        <f t="shared" si="7"/>
        <v>240</v>
      </c>
      <c r="F56" s="59">
        <f t="shared" si="8"/>
        <v>240</v>
      </c>
      <c r="G56" s="59">
        <f t="shared" si="9"/>
        <v>240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356.4</v>
      </c>
      <c r="D57" s="60">
        <f t="shared" si="6"/>
        <v>356.4</v>
      </c>
      <c r="E57" s="60">
        <f t="shared" si="7"/>
        <v>356.4</v>
      </c>
      <c r="F57" s="60">
        <f t="shared" si="8"/>
        <v>356.4</v>
      </c>
      <c r="G57" s="60">
        <f t="shared" si="9"/>
        <v>356.4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470.40000000000003</v>
      </c>
      <c r="D58" s="59">
        <f t="shared" si="6"/>
        <v>470.40000000000003</v>
      </c>
      <c r="E58" s="59">
        <f t="shared" si="7"/>
        <v>470.40000000000003</v>
      </c>
      <c r="F58" s="59">
        <f t="shared" si="8"/>
        <v>470.40000000000003</v>
      </c>
      <c r="G58" s="59">
        <f t="shared" si="9"/>
        <v>470.40000000000003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584.40000000000009</v>
      </c>
      <c r="D59" s="60">
        <f t="shared" si="6"/>
        <v>584.40000000000009</v>
      </c>
      <c r="E59" s="60">
        <f t="shared" si="7"/>
        <v>584.40000000000009</v>
      </c>
      <c r="F59" s="60">
        <f t="shared" si="8"/>
        <v>584.40000000000009</v>
      </c>
      <c r="G59" s="60">
        <f t="shared" si="9"/>
        <v>584.40000000000009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698.4</v>
      </c>
      <c r="D60" s="59">
        <f t="shared" si="6"/>
        <v>698.4</v>
      </c>
      <c r="E60" s="59">
        <f t="shared" si="7"/>
        <v>698.4</v>
      </c>
      <c r="F60" s="59">
        <f t="shared" si="8"/>
        <v>698.4</v>
      </c>
      <c r="G60" s="59">
        <f t="shared" si="9"/>
        <v>698.4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812.4</v>
      </c>
      <c r="D61" s="60">
        <f t="shared" si="6"/>
        <v>812.4</v>
      </c>
      <c r="E61" s="60">
        <f t="shared" si="7"/>
        <v>812.4</v>
      </c>
      <c r="F61" s="60">
        <f t="shared" si="8"/>
        <v>812.4</v>
      </c>
      <c r="G61" s="60">
        <f t="shared" si="9"/>
        <v>812.4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926.40000000000009</v>
      </c>
      <c r="D62" s="59">
        <f t="shared" si="6"/>
        <v>926.40000000000009</v>
      </c>
      <c r="E62" s="59">
        <f t="shared" si="7"/>
        <v>926.40000000000009</v>
      </c>
      <c r="F62" s="59">
        <f t="shared" si="8"/>
        <v>926.40000000000009</v>
      </c>
      <c r="G62" s="59">
        <f t="shared" si="9"/>
        <v>926.40000000000009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1040.4000000000001</v>
      </c>
      <c r="D63" s="60">
        <f t="shared" si="6"/>
        <v>1040.4000000000001</v>
      </c>
      <c r="E63" s="60">
        <f t="shared" si="7"/>
        <v>1040.4000000000001</v>
      </c>
      <c r="F63" s="60">
        <f t="shared" si="8"/>
        <v>1040.4000000000001</v>
      </c>
      <c r="G63" s="60">
        <f t="shared" si="9"/>
        <v>1040.4000000000001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1154.4000000000001</v>
      </c>
      <c r="D64" s="59">
        <f t="shared" si="6"/>
        <v>1154.4000000000001</v>
      </c>
      <c r="E64" s="59">
        <f t="shared" si="7"/>
        <v>1154.4000000000001</v>
      </c>
      <c r="F64" s="59">
        <f t="shared" si="8"/>
        <v>1154.4000000000001</v>
      </c>
      <c r="G64" s="59">
        <f t="shared" si="9"/>
        <v>1154.4000000000001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1268.4000000000001</v>
      </c>
      <c r="D65" s="60">
        <f t="shared" si="6"/>
        <v>1268.4000000000001</v>
      </c>
      <c r="E65" s="60">
        <f t="shared" si="7"/>
        <v>1268.4000000000001</v>
      </c>
      <c r="F65" s="60">
        <f t="shared" si="8"/>
        <v>1268.4000000000001</v>
      </c>
      <c r="G65" s="60">
        <f t="shared" si="9"/>
        <v>1268.4000000000001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1390.3999999999999</v>
      </c>
      <c r="D66" s="59">
        <f t="shared" si="6"/>
        <v>1394.3999999999999</v>
      </c>
      <c r="E66" s="59">
        <f t="shared" si="7"/>
        <v>1382.3999999999999</v>
      </c>
      <c r="F66" s="59">
        <f t="shared" si="8"/>
        <v>1382.3999999999999</v>
      </c>
      <c r="G66" s="59">
        <f t="shared" si="9"/>
        <v>1382.3999999999999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1524.4</v>
      </c>
      <c r="D67" s="60">
        <f t="shared" si="6"/>
        <v>1568.4</v>
      </c>
      <c r="E67" s="60">
        <f t="shared" si="7"/>
        <v>1596.4</v>
      </c>
      <c r="F67" s="60">
        <f t="shared" si="8"/>
        <v>1608.4</v>
      </c>
      <c r="G67" s="60">
        <f t="shared" si="9"/>
        <v>1604.4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1658.3999999999999</v>
      </c>
      <c r="D68" s="59">
        <f t="shared" si="6"/>
        <v>1742.3999999999999</v>
      </c>
      <c r="E68" s="59">
        <f t="shared" si="7"/>
        <v>1810.3999999999999</v>
      </c>
      <c r="F68" s="59">
        <f t="shared" si="8"/>
        <v>1862.3999999999999</v>
      </c>
      <c r="G68" s="59">
        <f t="shared" si="9"/>
        <v>1898.3999999999996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1792.4</v>
      </c>
      <c r="D69" s="60">
        <f t="shared" si="6"/>
        <v>1916.4</v>
      </c>
      <c r="E69" s="60">
        <f t="shared" si="7"/>
        <v>2024.4</v>
      </c>
      <c r="F69" s="60">
        <f t="shared" si="8"/>
        <v>2116.4</v>
      </c>
      <c r="G69" s="60">
        <f t="shared" si="9"/>
        <v>2192.4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1926.4</v>
      </c>
      <c r="D70" s="59">
        <f t="shared" si="6"/>
        <v>2090.4</v>
      </c>
      <c r="E70" s="59">
        <f t="shared" si="7"/>
        <v>2238.4</v>
      </c>
      <c r="F70" s="59">
        <f t="shared" si="8"/>
        <v>2370.4</v>
      </c>
      <c r="G70" s="59">
        <f t="shared" si="9"/>
        <v>2486.4000000000005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2060.3999999999996</v>
      </c>
      <c r="D71" s="60">
        <f t="shared" si="6"/>
        <v>2264.3999999999996</v>
      </c>
      <c r="E71" s="60">
        <f t="shared" si="7"/>
        <v>2452.3999999999996</v>
      </c>
      <c r="F71" s="60">
        <f t="shared" si="8"/>
        <v>2624.3999999999996</v>
      </c>
      <c r="G71" s="60">
        <f t="shared" si="9"/>
        <v>2780.3999999999996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2194.4</v>
      </c>
      <c r="D72" s="59">
        <f t="shared" si="6"/>
        <v>2438.4</v>
      </c>
      <c r="E72" s="59">
        <f t="shared" si="7"/>
        <v>2666.4</v>
      </c>
      <c r="F72" s="59">
        <f t="shared" si="8"/>
        <v>2878.4</v>
      </c>
      <c r="G72" s="59">
        <f t="shared" si="9"/>
        <v>3074.4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2328.3999999999996</v>
      </c>
      <c r="D73" s="60">
        <f t="shared" si="6"/>
        <v>2612.3999999999996</v>
      </c>
      <c r="E73" s="60">
        <f t="shared" si="7"/>
        <v>2880.3999999999996</v>
      </c>
      <c r="F73" s="60">
        <f t="shared" si="8"/>
        <v>3132.3999999999996</v>
      </c>
      <c r="G73" s="60">
        <f t="shared" si="9"/>
        <v>3368.3999999999996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2462.4</v>
      </c>
      <c r="D74" s="59">
        <f t="shared" si="6"/>
        <v>2786.4</v>
      </c>
      <c r="E74" s="59">
        <f t="shared" si="7"/>
        <v>3094.4</v>
      </c>
      <c r="F74" s="59">
        <f t="shared" si="8"/>
        <v>3386.4</v>
      </c>
      <c r="G74" s="59">
        <f t="shared" si="9"/>
        <v>3662.4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1" t="s">
        <v>92</v>
      </c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">
        <v>30</v>
      </c>
      <c r="C84" s="47" t="s">
        <v>31</v>
      </c>
      <c r="D84" s="47" t="s">
        <v>32</v>
      </c>
      <c r="E84" s="47" t="s">
        <v>33</v>
      </c>
      <c r="F84" s="47" t="s">
        <v>10</v>
      </c>
      <c r="G84" s="48" t="s">
        <v>44</v>
      </c>
      <c r="H84" s="48" t="s">
        <v>34</v>
      </c>
      <c r="I84" s="47" t="s">
        <v>26</v>
      </c>
      <c r="J84" s="47" t="s">
        <v>35</v>
      </c>
      <c r="K84" s="48" t="s">
        <v>45</v>
      </c>
      <c r="L84" s="48" t="s">
        <v>36</v>
      </c>
      <c r="M84" s="47" t="s">
        <v>15</v>
      </c>
      <c r="N84" s="47" t="s">
        <v>16</v>
      </c>
      <c r="O84" s="48" t="s">
        <v>37</v>
      </c>
      <c r="P84" s="47" t="s">
        <v>29</v>
      </c>
      <c r="Q84" s="48" t="s">
        <v>38</v>
      </c>
      <c r="R84" s="48" t="s">
        <v>39</v>
      </c>
      <c r="S84" s="48" t="s">
        <v>40</v>
      </c>
      <c r="T84" s="48" t="s">
        <v>41</v>
      </c>
      <c r="U84" s="48" t="s">
        <v>42</v>
      </c>
      <c r="V84" s="48" t="s">
        <v>43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400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1600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1200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2955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4280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2800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5575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3600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6840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">
        <v>21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275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327.8</v>
      </c>
      <c r="D100" s="59">
        <f t="shared" si="11"/>
        <v>461.90000000000003</v>
      </c>
      <c r="E100" s="59">
        <f t="shared" si="12"/>
        <v>600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380.59999999999997</v>
      </c>
      <c r="D101" s="60">
        <f t="shared" si="11"/>
        <v>533.20000000000005</v>
      </c>
      <c r="E101" s="60">
        <f t="shared" si="12"/>
        <v>688</v>
      </c>
      <c r="F101" s="60">
        <f t="shared" si="13"/>
        <v>847.69999999999993</v>
      </c>
      <c r="G101" s="60">
        <f t="shared" si="14"/>
        <v>1014.9999999999999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433.40000000000003</v>
      </c>
      <c r="D102" s="59">
        <f t="shared" si="11"/>
        <v>604.5</v>
      </c>
      <c r="E102" s="59">
        <f t="shared" si="12"/>
        <v>776</v>
      </c>
      <c r="F102" s="59">
        <f t="shared" si="13"/>
        <v>950.6</v>
      </c>
      <c r="G102" s="59">
        <f t="shared" si="14"/>
        <v>1131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486.20000000000005</v>
      </c>
      <c r="D103" s="60">
        <f t="shared" si="11"/>
        <v>675.80000000000007</v>
      </c>
      <c r="E103" s="60">
        <f t="shared" si="12"/>
        <v>864</v>
      </c>
      <c r="F103" s="60">
        <f t="shared" si="13"/>
        <v>1053.5</v>
      </c>
      <c r="G103" s="60">
        <f t="shared" si="14"/>
        <v>1247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539</v>
      </c>
      <c r="D104" s="59">
        <f t="shared" si="11"/>
        <v>747.1</v>
      </c>
      <c r="E104" s="59">
        <f t="shared" si="12"/>
        <v>952</v>
      </c>
      <c r="F104" s="59">
        <f t="shared" si="13"/>
        <v>1156.4000000000001</v>
      </c>
      <c r="G104" s="59">
        <f t="shared" si="14"/>
        <v>1363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591.80000000000007</v>
      </c>
      <c r="D105" s="60">
        <f t="shared" si="11"/>
        <v>818.40000000000009</v>
      </c>
      <c r="E105" s="60">
        <f t="shared" si="12"/>
        <v>1040</v>
      </c>
      <c r="F105" s="60">
        <f t="shared" si="13"/>
        <v>1259.3000000000002</v>
      </c>
      <c r="G105" s="60">
        <f t="shared" si="14"/>
        <v>1479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644.59999999999991</v>
      </c>
      <c r="D106" s="59">
        <f t="shared" si="11"/>
        <v>889.7</v>
      </c>
      <c r="E106" s="59">
        <f t="shared" si="12"/>
        <v>1128</v>
      </c>
      <c r="F106" s="59">
        <f t="shared" si="13"/>
        <v>1362.1999999999998</v>
      </c>
      <c r="G106" s="59">
        <f t="shared" si="14"/>
        <v>1595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697.40000000000009</v>
      </c>
      <c r="D107" s="60">
        <f t="shared" si="11"/>
        <v>961</v>
      </c>
      <c r="E107" s="60">
        <f t="shared" si="12"/>
        <v>1216</v>
      </c>
      <c r="F107" s="60">
        <f t="shared" si="13"/>
        <v>1465.1</v>
      </c>
      <c r="G107" s="60">
        <f t="shared" si="14"/>
        <v>1711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750.19999999999993</v>
      </c>
      <c r="D108" s="59">
        <f t="shared" si="11"/>
        <v>1032.3</v>
      </c>
      <c r="E108" s="59">
        <f t="shared" si="12"/>
        <v>1304</v>
      </c>
      <c r="F108" s="59">
        <f t="shared" si="13"/>
        <v>1568</v>
      </c>
      <c r="G108" s="59">
        <f t="shared" si="14"/>
        <v>1827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803</v>
      </c>
      <c r="D109" s="60">
        <f t="shared" si="11"/>
        <v>1103.6000000000001</v>
      </c>
      <c r="E109" s="60">
        <f t="shared" si="12"/>
        <v>1392</v>
      </c>
      <c r="F109" s="60">
        <f t="shared" si="13"/>
        <v>1670.9</v>
      </c>
      <c r="G109" s="60">
        <f t="shared" si="14"/>
        <v>1943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855.80000000000007</v>
      </c>
      <c r="D110" s="59">
        <f t="shared" si="11"/>
        <v>1174.9000000000001</v>
      </c>
      <c r="E110" s="59">
        <f t="shared" si="12"/>
        <v>1480</v>
      </c>
      <c r="F110" s="59">
        <f t="shared" si="13"/>
        <v>1773.8000000000002</v>
      </c>
      <c r="G110" s="59">
        <f t="shared" si="14"/>
        <v>2059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908.6</v>
      </c>
      <c r="D111" s="60">
        <f t="shared" si="11"/>
        <v>1246.2</v>
      </c>
      <c r="E111" s="60">
        <f t="shared" si="12"/>
        <v>1568</v>
      </c>
      <c r="F111" s="60">
        <f t="shared" si="13"/>
        <v>1876.6999999999998</v>
      </c>
      <c r="G111" s="60">
        <f t="shared" si="14"/>
        <v>2175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961.4</v>
      </c>
      <c r="D112" s="59">
        <f t="shared" si="11"/>
        <v>1317.5</v>
      </c>
      <c r="E112" s="59">
        <f t="shared" si="12"/>
        <v>1656.0000000000002</v>
      </c>
      <c r="F112" s="59">
        <f t="shared" si="13"/>
        <v>1979.6</v>
      </c>
      <c r="G112" s="59">
        <f t="shared" si="14"/>
        <v>2291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1014.1999999999999</v>
      </c>
      <c r="D113" s="60">
        <f t="shared" si="11"/>
        <v>1388.8</v>
      </c>
      <c r="E113" s="60">
        <f t="shared" si="12"/>
        <v>1743.9999999999998</v>
      </c>
      <c r="F113" s="60">
        <f t="shared" si="13"/>
        <v>2082.5</v>
      </c>
      <c r="G113" s="60">
        <f t="shared" si="14"/>
        <v>2407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1067</v>
      </c>
      <c r="D114" s="59">
        <f t="shared" si="11"/>
        <v>1460.1</v>
      </c>
      <c r="E114" s="59">
        <f t="shared" si="12"/>
        <v>1832</v>
      </c>
      <c r="F114" s="59">
        <f t="shared" si="13"/>
        <v>2185.4</v>
      </c>
      <c r="G114" s="59">
        <f t="shared" si="14"/>
        <v>2523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1" t="s">
        <v>93</v>
      </c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">
        <v>30</v>
      </c>
      <c r="C124" s="47" t="s">
        <v>31</v>
      </c>
      <c r="D124" s="47" t="s">
        <v>32</v>
      </c>
      <c r="E124" s="47" t="s">
        <v>33</v>
      </c>
      <c r="F124" s="47" t="s">
        <v>10</v>
      </c>
      <c r="G124" s="48" t="s">
        <v>44</v>
      </c>
      <c r="H124" s="48" t="s">
        <v>34</v>
      </c>
      <c r="I124" s="47" t="s">
        <v>26</v>
      </c>
      <c r="J124" s="47" t="s">
        <v>35</v>
      </c>
      <c r="K124" s="48" t="s">
        <v>45</v>
      </c>
      <c r="L124" s="48" t="s">
        <v>36</v>
      </c>
      <c r="M124" s="47" t="s">
        <v>15</v>
      </c>
      <c r="N124" s="47" t="s">
        <v>16</v>
      </c>
      <c r="O124" s="48" t="s">
        <v>37</v>
      </c>
      <c r="P124" s="47" t="s">
        <v>29</v>
      </c>
      <c r="Q124" s="48" t="s">
        <v>38</v>
      </c>
      <c r="R124" s="48" t="s">
        <v>39</v>
      </c>
      <c r="S124" s="48" t="s">
        <v>40</v>
      </c>
      <c r="T124" s="48" t="s">
        <v>41</v>
      </c>
      <c r="U124" s="48" t="s">
        <v>42</v>
      </c>
      <c r="V124" s="48" t="s">
        <v>43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400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1600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0.25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1200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2955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0.27500000000000002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4280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2800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5575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0.32499999999999996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3600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6840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0.35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">
        <v>21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-275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-327.8</v>
      </c>
      <c r="I140" s="59">
        <f t="shared" si="21"/>
        <v>-461.90000000000003</v>
      </c>
      <c r="J140" s="59">
        <f t="shared" si="22"/>
        <v>-600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-380.59999999999997</v>
      </c>
      <c r="I141" s="60">
        <f t="shared" si="21"/>
        <v>-533.20000000000005</v>
      </c>
      <c r="J141" s="60">
        <f t="shared" si="22"/>
        <v>-688</v>
      </c>
      <c r="K141" s="60">
        <f t="shared" si="23"/>
        <v>-847.69999999999993</v>
      </c>
      <c r="L141" s="60">
        <f t="shared" si="24"/>
        <v>-1014.9999999999999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-433.40000000000003</v>
      </c>
      <c r="I142" s="59">
        <f t="shared" si="21"/>
        <v>-604.5</v>
      </c>
      <c r="J142" s="59">
        <f t="shared" si="22"/>
        <v>-776</v>
      </c>
      <c r="K142" s="59">
        <f t="shared" si="23"/>
        <v>-950.6</v>
      </c>
      <c r="L142" s="59">
        <f t="shared" si="24"/>
        <v>-1131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-486.20000000000005</v>
      </c>
      <c r="I143" s="60">
        <f t="shared" si="21"/>
        <v>-675.80000000000007</v>
      </c>
      <c r="J143" s="60">
        <f t="shared" si="22"/>
        <v>-864</v>
      </c>
      <c r="K143" s="60">
        <f t="shared" si="23"/>
        <v>-1053.5</v>
      </c>
      <c r="L143" s="60">
        <f t="shared" si="24"/>
        <v>-1247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-539</v>
      </c>
      <c r="I144" s="59">
        <f t="shared" si="21"/>
        <v>-747.1</v>
      </c>
      <c r="J144" s="59">
        <f t="shared" si="22"/>
        <v>-952</v>
      </c>
      <c r="K144" s="59">
        <f t="shared" si="23"/>
        <v>-1156.4000000000001</v>
      </c>
      <c r="L144" s="59">
        <f t="shared" si="24"/>
        <v>-1363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-591.80000000000007</v>
      </c>
      <c r="I145" s="60">
        <f t="shared" si="21"/>
        <v>-818.40000000000009</v>
      </c>
      <c r="J145" s="60">
        <f t="shared" si="22"/>
        <v>-1040</v>
      </c>
      <c r="K145" s="60">
        <f t="shared" si="23"/>
        <v>-1259.3000000000002</v>
      </c>
      <c r="L145" s="60">
        <f t="shared" si="24"/>
        <v>-1479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728</v>
      </c>
      <c r="D146" s="59">
        <f t="shared" si="16"/>
        <v>1070.4000000000001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-644.59999999999991</v>
      </c>
      <c r="I146" s="59">
        <f t="shared" si="21"/>
        <v>-889.7</v>
      </c>
      <c r="J146" s="59">
        <f t="shared" si="22"/>
        <v>-1128</v>
      </c>
      <c r="K146" s="59">
        <f t="shared" si="23"/>
        <v>-1362.1999999999998</v>
      </c>
      <c r="L146" s="59">
        <f t="shared" si="24"/>
        <v>-1595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808</v>
      </c>
      <c r="D147" s="60">
        <f t="shared" si="16"/>
        <v>1218.1500000000001</v>
      </c>
      <c r="E147" s="60">
        <f t="shared" si="17"/>
        <v>1596.4</v>
      </c>
      <c r="F147" s="60">
        <f t="shared" si="18"/>
        <v>1942.75</v>
      </c>
      <c r="G147" s="60">
        <f t="shared" si="19"/>
        <v>2257.1999999999998</v>
      </c>
      <c r="H147" s="60">
        <f t="shared" si="20"/>
        <v>-697.40000000000009</v>
      </c>
      <c r="I147" s="60">
        <f t="shared" si="21"/>
        <v>-961</v>
      </c>
      <c r="J147" s="60">
        <f t="shared" si="22"/>
        <v>-1216</v>
      </c>
      <c r="K147" s="60">
        <f t="shared" si="23"/>
        <v>-1465.1</v>
      </c>
      <c r="L147" s="60">
        <f t="shared" si="24"/>
        <v>-1711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888</v>
      </c>
      <c r="D148" s="59">
        <f t="shared" si="16"/>
        <v>1365.9</v>
      </c>
      <c r="E148" s="59">
        <f t="shared" si="17"/>
        <v>1810.3999999999999</v>
      </c>
      <c r="F148" s="59">
        <f t="shared" si="18"/>
        <v>2221.5</v>
      </c>
      <c r="G148" s="59">
        <f t="shared" si="19"/>
        <v>2599.1999999999998</v>
      </c>
      <c r="H148" s="59">
        <f t="shared" si="20"/>
        <v>-750.19999999999993</v>
      </c>
      <c r="I148" s="59">
        <f t="shared" si="21"/>
        <v>-1032.3</v>
      </c>
      <c r="J148" s="59">
        <f t="shared" si="22"/>
        <v>-1304</v>
      </c>
      <c r="K148" s="59">
        <f t="shared" si="23"/>
        <v>-1568</v>
      </c>
      <c r="L148" s="59">
        <f t="shared" si="24"/>
        <v>-1827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968</v>
      </c>
      <c r="D149" s="60">
        <f t="shared" si="16"/>
        <v>1513.65</v>
      </c>
      <c r="E149" s="60">
        <f t="shared" si="17"/>
        <v>2024.4</v>
      </c>
      <c r="F149" s="60">
        <f t="shared" si="18"/>
        <v>2500.25</v>
      </c>
      <c r="G149" s="60">
        <f t="shared" si="19"/>
        <v>2941.2</v>
      </c>
      <c r="H149" s="60">
        <f t="shared" si="20"/>
        <v>-803</v>
      </c>
      <c r="I149" s="60">
        <f t="shared" si="21"/>
        <v>-1103.6000000000001</v>
      </c>
      <c r="J149" s="60">
        <f t="shared" si="22"/>
        <v>-1392</v>
      </c>
      <c r="K149" s="60">
        <f t="shared" si="23"/>
        <v>-1670.9</v>
      </c>
      <c r="L149" s="60">
        <f t="shared" si="24"/>
        <v>-1943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1048.0000000000002</v>
      </c>
      <c r="D150" s="59">
        <f t="shared" si="16"/>
        <v>1661.4</v>
      </c>
      <c r="E150" s="59">
        <f t="shared" si="17"/>
        <v>2238.4</v>
      </c>
      <c r="F150" s="59">
        <f t="shared" si="18"/>
        <v>2779</v>
      </c>
      <c r="G150" s="59">
        <f t="shared" si="19"/>
        <v>3283.2000000000007</v>
      </c>
      <c r="H150" s="59">
        <f t="shared" si="20"/>
        <v>-855.80000000000007</v>
      </c>
      <c r="I150" s="59">
        <f t="shared" si="21"/>
        <v>-1174.9000000000001</v>
      </c>
      <c r="J150" s="59">
        <f t="shared" si="22"/>
        <v>-1480</v>
      </c>
      <c r="K150" s="59">
        <f t="shared" si="23"/>
        <v>-1773.8000000000002</v>
      </c>
      <c r="L150" s="59">
        <f t="shared" si="24"/>
        <v>-2059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1128</v>
      </c>
      <c r="D151" s="60">
        <f t="shared" si="16"/>
        <v>1809.1499999999999</v>
      </c>
      <c r="E151" s="60">
        <f t="shared" si="17"/>
        <v>2452.3999999999996</v>
      </c>
      <c r="F151" s="60">
        <f t="shared" si="18"/>
        <v>3057.75</v>
      </c>
      <c r="G151" s="60">
        <f t="shared" si="19"/>
        <v>3625.2</v>
      </c>
      <c r="H151" s="60">
        <f t="shared" si="20"/>
        <v>-908.6</v>
      </c>
      <c r="I151" s="60">
        <f t="shared" si="21"/>
        <v>-1246.2</v>
      </c>
      <c r="J151" s="60">
        <f t="shared" si="22"/>
        <v>-1568</v>
      </c>
      <c r="K151" s="60">
        <f t="shared" si="23"/>
        <v>-1876.6999999999998</v>
      </c>
      <c r="L151" s="60">
        <f t="shared" si="24"/>
        <v>-2175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1208</v>
      </c>
      <c r="D152" s="59">
        <f t="shared" si="16"/>
        <v>1956.9</v>
      </c>
      <c r="E152" s="59">
        <f t="shared" si="17"/>
        <v>2666.4</v>
      </c>
      <c r="F152" s="59">
        <f t="shared" si="18"/>
        <v>3336.5</v>
      </c>
      <c r="G152" s="59">
        <f t="shared" si="19"/>
        <v>3967.2000000000003</v>
      </c>
      <c r="H152" s="59">
        <f t="shared" si="20"/>
        <v>-961.4</v>
      </c>
      <c r="I152" s="59">
        <f t="shared" si="21"/>
        <v>-1317.5</v>
      </c>
      <c r="J152" s="59">
        <f t="shared" si="22"/>
        <v>-1656.0000000000002</v>
      </c>
      <c r="K152" s="59">
        <f t="shared" si="23"/>
        <v>-1979.6</v>
      </c>
      <c r="L152" s="59">
        <f t="shared" si="24"/>
        <v>-2291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1288</v>
      </c>
      <c r="D153" s="60">
        <f t="shared" si="16"/>
        <v>2104.6499999999996</v>
      </c>
      <c r="E153" s="60">
        <f t="shared" si="17"/>
        <v>2880.3999999999996</v>
      </c>
      <c r="F153" s="60">
        <f t="shared" si="18"/>
        <v>3615.25</v>
      </c>
      <c r="G153" s="60">
        <f t="shared" si="19"/>
        <v>4309.2</v>
      </c>
      <c r="H153" s="60">
        <f t="shared" si="20"/>
        <v>-1014.1999999999999</v>
      </c>
      <c r="I153" s="60">
        <f t="shared" si="21"/>
        <v>-1388.8</v>
      </c>
      <c r="J153" s="60">
        <f t="shared" si="22"/>
        <v>-1743.9999999999998</v>
      </c>
      <c r="K153" s="60">
        <f t="shared" si="23"/>
        <v>-2082.5</v>
      </c>
      <c r="L153" s="60">
        <f t="shared" si="24"/>
        <v>-2407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1368</v>
      </c>
      <c r="D154" s="59">
        <f t="shared" si="16"/>
        <v>2252.4</v>
      </c>
      <c r="E154" s="59">
        <f t="shared" si="17"/>
        <v>3094.4</v>
      </c>
      <c r="F154" s="59">
        <f t="shared" si="18"/>
        <v>3894</v>
      </c>
      <c r="G154" s="59">
        <f t="shared" si="19"/>
        <v>4651.2</v>
      </c>
      <c r="H154" s="59">
        <f t="shared" si="20"/>
        <v>-1067</v>
      </c>
      <c r="I154" s="59">
        <f t="shared" si="21"/>
        <v>-1460.1</v>
      </c>
      <c r="J154" s="59">
        <f t="shared" si="22"/>
        <v>-1832</v>
      </c>
      <c r="K154" s="59">
        <f t="shared" si="23"/>
        <v>-2185.4</v>
      </c>
      <c r="L154" s="59">
        <f t="shared" si="24"/>
        <v>-2523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2" t="s">
        <v>94</v>
      </c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</row>
    <row r="164" spans="2:22" ht="44" customHeight="1">
      <c r="B164" s="61" t="s">
        <v>30</v>
      </c>
      <c r="C164" s="62" t="s">
        <v>31</v>
      </c>
      <c r="D164" s="62" t="s">
        <v>32</v>
      </c>
      <c r="E164" s="62" t="s">
        <v>33</v>
      </c>
      <c r="F164" s="62" t="s">
        <v>10</v>
      </c>
      <c r="G164" s="61" t="s">
        <v>44</v>
      </c>
      <c r="H164" s="61" t="s">
        <v>34</v>
      </c>
      <c r="I164" s="62" t="s">
        <v>26</v>
      </c>
      <c r="J164" s="62" t="s">
        <v>35</v>
      </c>
      <c r="K164" s="61" t="s">
        <v>45</v>
      </c>
      <c r="L164" s="61" t="s">
        <v>36</v>
      </c>
      <c r="M164" s="62" t="s">
        <v>15</v>
      </c>
      <c r="N164" s="62" t="s">
        <v>16</v>
      </c>
      <c r="O164" s="61" t="s">
        <v>37</v>
      </c>
      <c r="P164" s="62" t="s">
        <v>29</v>
      </c>
      <c r="Q164" s="61" t="s">
        <v>38</v>
      </c>
      <c r="R164" s="61" t="s">
        <v>39</v>
      </c>
      <c r="S164" s="61" t="s">
        <v>40</v>
      </c>
      <c r="T164" s="61" t="s">
        <v>41</v>
      </c>
      <c r="U164" s="61" t="s">
        <v>42</v>
      </c>
      <c r="V164" s="61" t="s">
        <v>43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2320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4600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2026-10-26T14:53:22Z</dcterms:modified>
</cp:coreProperties>
</file>