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C28B7A00-A207-4C95-8828-9EE51BFB8FB3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Comparison" sheetId="1" r:id="rId1"/>
    <sheet name="Parameters" sheetId="5" r:id="rId2"/>
    <sheet name="Sample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7" l="1"/>
  <c r="E8" i="7"/>
  <c r="E7" i="7"/>
  <c r="E6" i="7"/>
  <c r="H42" i="5"/>
  <c r="G42" i="5" s="1"/>
  <c r="K9" i="7" s="1"/>
  <c r="H41" i="5"/>
  <c r="G41" i="5" s="1"/>
  <c r="H35" i="5"/>
  <c r="G35" i="5"/>
  <c r="K8" i="7" s="1"/>
  <c r="H34" i="5"/>
  <c r="G34" i="5" s="1"/>
  <c r="H28" i="5"/>
  <c r="G28" i="5"/>
  <c r="K7" i="7" s="1"/>
  <c r="H27" i="5"/>
  <c r="G27" i="5"/>
  <c r="H21" i="5"/>
  <c r="G21" i="5" s="1"/>
  <c r="K6" i="7" s="1"/>
  <c r="H20" i="5"/>
  <c r="G20" i="5"/>
  <c r="E12" i="5"/>
  <c r="E10" i="5"/>
  <c r="E9" i="5"/>
  <c r="E7" i="5"/>
  <c r="F7" i="7" l="1"/>
  <c r="G7" i="7" s="1"/>
  <c r="I7" i="7" s="1"/>
  <c r="D23" i="7" s="1"/>
  <c r="F6" i="7"/>
  <c r="G6" i="7" s="1"/>
  <c r="F9" i="7"/>
  <c r="G9" i="7" s="1"/>
  <c r="F8" i="7"/>
  <c r="G8" i="7" s="1"/>
  <c r="I6" i="7" l="1"/>
  <c r="C23" i="7" s="1"/>
  <c r="J6" i="7"/>
  <c r="C24" i="7" s="1"/>
  <c r="H6" i="7"/>
  <c r="C22" i="7" s="1"/>
  <c r="H7" i="7"/>
  <c r="D22" i="7" s="1"/>
  <c r="J7" i="7"/>
  <c r="D24" i="7" s="1"/>
  <c r="J8" i="7"/>
  <c r="I8" i="7"/>
  <c r="C16" i="7" s="1"/>
  <c r="H8" i="7"/>
  <c r="C15" i="7" s="1"/>
  <c r="J9" i="7"/>
  <c r="D17" i="7" s="1"/>
  <c r="I9" i="7"/>
  <c r="D16" i="7" s="1"/>
  <c r="H9" i="7"/>
  <c r="D15" i="7" s="1"/>
  <c r="C17" i="7" l="1"/>
  <c r="B5" i="1"/>
</calcChain>
</file>

<file path=xl/sharedStrings.xml><?xml version="1.0" encoding="utf-8"?>
<sst xmlns="http://schemas.openxmlformats.org/spreadsheetml/2006/main" count="276" uniqueCount="58">
  <si>
    <t>Astral · ARB Outer Reference</t>
  </si>
  <si>
    <t>区间等效轮端刚度 · 整段角运动比 · 对侧轮固定</t>
  </si>
  <si>
    <t>整段角运动比换算值；不代表行程内每一位置的瞬时刚度。</t>
  </si>
  <si>
    <t>Astral · ARB Outer Parameters</t>
  </si>
  <si>
    <t>黄色单元格为手动输入。</t>
  </si>
  <si>
    <t>Axle</t>
  </si>
  <si>
    <t>Bar</t>
  </si>
  <si>
    <t>Diameter
(mm)</t>
  </si>
  <si>
    <t>Torsion
(N·m/rad)</t>
  </si>
  <si>
    <t>Front</t>
  </si>
  <si>
    <t>Soft</t>
  </si>
  <si>
    <t>Medium</t>
  </si>
  <si>
    <t>Hard</t>
  </si>
  <si>
    <t>Rear</t>
  </si>
  <si>
    <t>同侧 arb1 / arb2：车身相对坐标（m），按当前横向转轴计算。</t>
  </si>
  <si>
    <t>轮行程：同一测量区间的轮心 Z 变化（mm）。</t>
  </si>
  <si>
    <t>Tarmac / Front / Outer</t>
  </si>
  <si>
    <t>Wheel ΔZ (mm)</t>
  </si>
  <si>
    <t>历史数据</t>
  </si>
  <si>
    <t>State</t>
  </si>
  <si>
    <t>arb1 Y (m)</t>
  </si>
  <si>
    <t>arb1 Z (m)</t>
  </si>
  <si>
    <t>arb2 Y (m)</t>
  </si>
  <si>
    <t>arb2 Z (m)</t>
  </si>
  <si>
    <t>Arm angle (°)</t>
  </si>
  <si>
    <t>Radius (mm)</t>
  </si>
  <si>
    <t>Start</t>
  </si>
  <si>
    <t>End</t>
  </si>
  <si>
    <t>Tarmac / Rear / Outer</t>
  </si>
  <si>
    <t>Gravel / Front / Outer</t>
  </si>
  <si>
    <t>生成位置 → 无弹簧压缩限位</t>
  </si>
  <si>
    <t>Gravel / Rear / Outer</t>
  </si>
  <si>
    <t>原 Z 测量记录（不参与刚度计算）</t>
  </si>
  <si>
    <t>Surface</t>
  </si>
  <si>
    <t>Position</t>
  </si>
  <si>
    <t>ARB ΔZ (mm)</t>
  </si>
  <si>
    <t>Original arm (mm)</t>
  </si>
  <si>
    <t>Tarmac</t>
  </si>
  <si>
    <t>Outer</t>
  </si>
  <si>
    <t>Gravel</t>
  </si>
  <si>
    <t>Astral · ARB Calculations</t>
  </si>
  <si>
    <t>Wheel ΔZ
(mm)</t>
  </si>
  <si>
    <t>Arm Δθ
(°)</t>
  </si>
  <si>
    <t>Angular MR
(rad/mm)</t>
  </si>
  <si>
    <t>Soft
(N/mm)</t>
  </si>
  <si>
    <t>Medium
(N/mm)</t>
  </si>
  <si>
    <t>Hard
(N/mm)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</si>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</sst>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1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b/>
      <sz val="12"/>
      <color rgb="FF667B91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7" fillId="6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5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76" fontId="6" fillId="5" borderId="1" xfId="0" applyNumberFormat="1" applyFont="1" applyFill="1" applyBorder="1" applyAlignment="1">
      <alignment horizontal="right" vertical="center"/>
    </xf>
    <xf numFmtId="1" fontId="6" fillId="5" borderId="1" xfId="0" applyNumberFormat="1" applyFont="1" applyFill="1" applyBorder="1" applyAlignment="1">
      <alignment horizontal="right" vertical="center"/>
    </xf>
    <xf numFmtId="1" fontId="1" fillId="4" borderId="1" xfId="0" applyNumberFormat="1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176" fontId="6" fillId="5" borderId="0" xfId="0" applyNumberFormat="1" applyFont="1" applyFill="1" applyAlignment="1">
      <alignment horizontal="right" vertical="center"/>
    </xf>
    <xf numFmtId="177" fontId="6" fillId="5" borderId="1" xfId="0" applyNumberFormat="1" applyFont="1" applyFill="1" applyBorder="1" applyAlignment="1">
      <alignment horizontal="right"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Samples!$C$15:$C$17</c:f>
              <c:numCache>
                <c:formatCode>0.00</c:formatCode>
                <c:ptCount val="3"/>
                <c:pt idx="0">
                  <c:v>4.0038661085437566</c:v>
                </c:pt>
                <c:pt idx="1">
                  <c:v>8.4551008893647595</c:v>
                </c:pt>
                <c:pt idx="2">
                  <c:v>15.562650598490066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E-48FD-812F-DC5A5E9BD63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Samples!$D$15:$D$17</c:f>
              <c:numCache>
                <c:formatCode>0.00</c:formatCode>
                <c:ptCount val="3"/>
                <c:pt idx="0">
                  <c:v>10.924292019930764</c:v>
                </c:pt>
                <c:pt idx="1">
                  <c:v>22.4667453290695</c:v>
                </c:pt>
                <c:pt idx="2">
                  <c:v>37.835749148329093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1E-48FD-812F-DC5A5E9BD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Samples!$C$22:$C$24</c:f>
              <c:numCache>
                <c:formatCode>0.00</c:formatCode>
                <c:ptCount val="3"/>
                <c:pt idx="0">
                  <c:v>4.8029556626481638</c:v>
                </c:pt>
                <c:pt idx="1">
                  <c:v>10.142565608820032</c:v>
                </c:pt>
                <c:pt idx="2">
                  <c:v>18.6686364607279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2E-4E09-BDA1-01980E03FBE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Samples!$D$22:$D$24</c:f>
              <c:numCache>
                <c:formatCode>0.00</c:formatCode>
                <c:ptCount val="3"/>
                <c:pt idx="0">
                  <c:v>12.824173715651447</c:v>
                </c:pt>
                <c:pt idx="1">
                  <c:v>26.374015304573856</c:v>
                </c:pt>
                <c:pt idx="2">
                  <c:v>44.415896138142486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2E-4E09-BDA1-01980E03F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7" zoomScale="76" workbookViewId="0">
      <selection activeCell="D48" sqref="D48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6.1" customHeight="1">
      <c r="A2" s="2"/>
      <c r="B2" s="24" t="s">
        <v>0</v>
      </c>
      <c r="C2" s="24" t="s">
        <v>0</v>
      </c>
      <c r="D2" s="24" t="s">
        <v>0</v>
      </c>
      <c r="E2" s="24" t="s">
        <v>0</v>
      </c>
      <c r="F2" s="24" t="s">
        <v>0</v>
      </c>
      <c r="G2" s="24" t="s">
        <v>0</v>
      </c>
      <c r="H2" s="24" t="s">
        <v>0</v>
      </c>
      <c r="I2" s="24" t="s">
        <v>0</v>
      </c>
      <c r="J2" s="24" t="s">
        <v>0</v>
      </c>
      <c r="K2" s="24" t="s">
        <v>0</v>
      </c>
      <c r="L2" s="24" t="s">
        <v>0</v>
      </c>
      <c r="M2" s="24" t="s">
        <v>0</v>
      </c>
      <c r="N2" s="24" t="s">
        <v>0</v>
      </c>
      <c r="O2" s="2"/>
    </row>
    <row r="3" spans="1:15" ht="26.1" customHeight="1">
      <c r="A3" s="2"/>
      <c r="B3" s="24" t="s">
        <v>0</v>
      </c>
      <c r="C3" s="24" t="s">
        <v>0</v>
      </c>
      <c r="D3" s="24" t="s">
        <v>0</v>
      </c>
      <c r="E3" s="24" t="s">
        <v>0</v>
      </c>
      <c r="F3" s="24" t="s">
        <v>0</v>
      </c>
      <c r="G3" s="24" t="s">
        <v>0</v>
      </c>
      <c r="H3" s="24" t="s">
        <v>0</v>
      </c>
      <c r="I3" s="24" t="s">
        <v>0</v>
      </c>
      <c r="J3" s="24" t="s">
        <v>0</v>
      </c>
      <c r="K3" s="24" t="s">
        <v>0</v>
      </c>
      <c r="L3" s="24" t="s">
        <v>0</v>
      </c>
      <c r="M3" s="24" t="s">
        <v>0</v>
      </c>
      <c r="N3" s="24" t="s">
        <v>0</v>
      </c>
      <c r="O3" s="2"/>
    </row>
    <row r="4" spans="1:15" ht="26.1" customHeight="1">
      <c r="A4" s="2"/>
      <c r="B4" s="25" t="s">
        <v>1</v>
      </c>
      <c r="C4" s="25" t="s">
        <v>1</v>
      </c>
      <c r="D4" s="25" t="s">
        <v>1</v>
      </c>
      <c r="E4" s="25" t="s">
        <v>1</v>
      </c>
      <c r="F4" s="25" t="s">
        <v>1</v>
      </c>
      <c r="G4" s="25" t="s">
        <v>1</v>
      </c>
      <c r="H4" s="25" t="s">
        <v>1</v>
      </c>
      <c r="I4" s="25" t="s">
        <v>1</v>
      </c>
      <c r="J4" s="25" t="s">
        <v>1</v>
      </c>
      <c r="K4" s="25" t="s">
        <v>1</v>
      </c>
      <c r="L4" s="25" t="s">
        <v>1</v>
      </c>
      <c r="M4" s="25" t="s">
        <v>1</v>
      </c>
      <c r="N4" s="25" t="s">
        <v>1</v>
      </c>
      <c r="O4" s="2"/>
    </row>
    <row r="5" spans="1:15" ht="26.1" customHeight="1">
      <c r="A5" s="2"/>
      <c r="B5" s="22" t="str">
        <f>IF(COUNT(Samples!H6:J9)=0,"待补节点坐标；暂无刚度结果。","")</f>
        <v/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"/>
    </row>
    <row r="6" spans="1:15" ht="26.1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ht="26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6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6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6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6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6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6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6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6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6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6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6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6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6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6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6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6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6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6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6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6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6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6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6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6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6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6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6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6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6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6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6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6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6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6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6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ht="26.1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26.1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ht="26.1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ht="26.1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ht="26.1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ht="26.1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26.1" customHeight="1">
      <c r="A49" s="2"/>
      <c r="B49" s="22" t="s">
        <v>2</v>
      </c>
      <c r="C49" s="22" t="s">
        <v>2</v>
      </c>
      <c r="D49" s="22" t="s">
        <v>2</v>
      </c>
      <c r="E49" s="22" t="s">
        <v>2</v>
      </c>
      <c r="F49" s="22" t="s">
        <v>2</v>
      </c>
      <c r="G49" s="22" t="s">
        <v>2</v>
      </c>
      <c r="H49" s="22" t="s">
        <v>2</v>
      </c>
      <c r="I49" s="22" t="s">
        <v>2</v>
      </c>
      <c r="J49" s="22" t="s">
        <v>2</v>
      </c>
      <c r="K49" s="22" t="s">
        <v>2</v>
      </c>
      <c r="L49" s="22" t="s">
        <v>2</v>
      </c>
      <c r="M49" s="22" t="s">
        <v>2</v>
      </c>
      <c r="N49" s="22" t="s">
        <v>2</v>
      </c>
      <c r="O49" s="2"/>
    </row>
  </sheetData>
  <mergeCells count="4">
    <mergeCell ref="B2:N3"/>
    <mergeCell ref="B4:N4"/>
    <mergeCell ref="B5:N5"/>
    <mergeCell ref="B49:N49"/>
  </mergeCells>
  <phoneticPr fontId="10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I56"/>
  <sheetViews>
    <sheetView showGridLines="0" workbookViewId="0">
      <pane ySplit="4" topLeftCell="A30" activePane="bottomLeft" state="frozen"/>
      <selection pane="bottomLeft" activeCell="F29" sqref="F29"/>
    </sheetView>
  </sheetViews>
  <sheetFormatPr defaultRowHeight="14.25"/>
  <cols>
    <col min="1" max="1" width="2.75" customWidth="1"/>
    <col min="2" max="2" width="14" customWidth="1"/>
    <col min="3" max="3" width="16" customWidth="1"/>
    <col min="4" max="4" width="17" customWidth="1"/>
    <col min="5" max="5" width="18.5" customWidth="1"/>
    <col min="6" max="6" width="17" customWidth="1"/>
    <col min="7" max="8" width="16.25" customWidth="1"/>
    <col min="9" max="9" width="2.75" customWidth="1"/>
    <col min="10" max="14" width="10" customWidth="1"/>
    <col min="15" max="15" width="10.5" customWidth="1"/>
  </cols>
  <sheetData>
    <row r="1" spans="1:9" ht="26.1" customHeight="1">
      <c r="A1" s="2"/>
      <c r="B1" s="2"/>
      <c r="C1" s="2"/>
      <c r="D1" s="2"/>
      <c r="E1" s="2"/>
      <c r="F1" s="2"/>
      <c r="G1" s="2"/>
      <c r="H1" s="2"/>
      <c r="I1" s="2"/>
    </row>
    <row r="2" spans="1:9" ht="26.1" customHeight="1">
      <c r="A2" s="2"/>
      <c r="B2" s="24" t="s">
        <v>3</v>
      </c>
      <c r="C2" s="24" t="s">
        <v>3</v>
      </c>
      <c r="D2" s="24" t="s">
        <v>3</v>
      </c>
      <c r="E2" s="24" t="s">
        <v>3</v>
      </c>
      <c r="F2" s="24" t="s">
        <v>3</v>
      </c>
      <c r="G2" s="24" t="s">
        <v>3</v>
      </c>
      <c r="H2" s="24" t="s">
        <v>3</v>
      </c>
      <c r="I2" s="2"/>
    </row>
    <row r="3" spans="1:9" ht="26.1" customHeight="1">
      <c r="A3" s="2"/>
      <c r="B3" s="24" t="s">
        <v>3</v>
      </c>
      <c r="C3" s="24" t="s">
        <v>3</v>
      </c>
      <c r="D3" s="24" t="s">
        <v>3</v>
      </c>
      <c r="E3" s="24" t="s">
        <v>3</v>
      </c>
      <c r="F3" s="24" t="s">
        <v>3</v>
      </c>
      <c r="G3" s="24" t="s">
        <v>3</v>
      </c>
      <c r="H3" s="24" t="s">
        <v>3</v>
      </c>
      <c r="I3" s="2"/>
    </row>
    <row r="4" spans="1:9" ht="26.1" customHeight="1">
      <c r="A4" s="2"/>
      <c r="B4" s="25" t="s">
        <v>4</v>
      </c>
      <c r="C4" s="25" t="s">
        <v>4</v>
      </c>
      <c r="D4" s="25" t="s">
        <v>4</v>
      </c>
      <c r="E4" s="25" t="s">
        <v>4</v>
      </c>
      <c r="F4" s="25" t="s">
        <v>4</v>
      </c>
      <c r="G4" s="25" t="s">
        <v>4</v>
      </c>
      <c r="H4" s="25" t="s">
        <v>4</v>
      </c>
      <c r="I4" s="2"/>
    </row>
    <row r="5" spans="1:9" ht="26.1" customHeight="1">
      <c r="A5" s="2"/>
      <c r="B5" s="2"/>
      <c r="C5" s="2"/>
      <c r="D5" s="2"/>
      <c r="E5" s="2"/>
      <c r="F5" s="2"/>
      <c r="G5" s="2"/>
      <c r="H5" s="2"/>
      <c r="I5" s="2"/>
    </row>
    <row r="6" spans="1:9" ht="39.950000000000003" customHeight="1">
      <c r="A6" s="2"/>
      <c r="B6" s="3" t="s">
        <v>5</v>
      </c>
      <c r="C6" s="3" t="s">
        <v>6</v>
      </c>
      <c r="D6" s="3" t="s">
        <v>7</v>
      </c>
      <c r="E6" s="3" t="s">
        <v>8</v>
      </c>
      <c r="F6" s="2"/>
      <c r="G6" s="2"/>
      <c r="H6" s="2"/>
      <c r="I6" s="2"/>
    </row>
    <row r="7" spans="1:9" ht="26.1" customHeight="1">
      <c r="A7" s="2"/>
      <c r="B7" s="4" t="s">
        <v>9</v>
      </c>
      <c r="C7" s="4" t="s">
        <v>10</v>
      </c>
      <c r="D7" s="6">
        <v>14.6</v>
      </c>
      <c r="E7" s="8">
        <f>$E$8*(D7/$D$8)^4</f>
        <v>941.40636852684645</v>
      </c>
      <c r="F7" s="2"/>
      <c r="G7" s="2"/>
      <c r="H7" s="2"/>
      <c r="I7" s="2"/>
    </row>
    <row r="8" spans="1:9" ht="26.1" customHeight="1">
      <c r="A8" s="2"/>
      <c r="B8" s="5" t="s">
        <v>9</v>
      </c>
      <c r="C8" s="5" t="s">
        <v>11</v>
      </c>
      <c r="D8" s="6">
        <v>17.600000000000001</v>
      </c>
      <c r="E8" s="7">
        <v>1988</v>
      </c>
      <c r="F8" s="2"/>
      <c r="G8" s="2"/>
      <c r="H8" s="2"/>
      <c r="I8" s="2"/>
    </row>
    <row r="9" spans="1:9" ht="26.1" customHeight="1">
      <c r="A9" s="2"/>
      <c r="B9" s="4" t="s">
        <v>9</v>
      </c>
      <c r="C9" s="4" t="s">
        <v>12</v>
      </c>
      <c r="D9" s="6">
        <v>20.5</v>
      </c>
      <c r="E9" s="8">
        <f>$E$8*(D9/$D$8)^4</f>
        <v>3659.1579207191098</v>
      </c>
      <c r="F9" s="2"/>
      <c r="G9" s="2"/>
      <c r="H9" s="2"/>
      <c r="I9" s="2"/>
    </row>
    <row r="10" spans="1:9" ht="26.1" customHeight="1">
      <c r="A10" s="2"/>
      <c r="B10" s="5" t="s">
        <v>13</v>
      </c>
      <c r="C10" s="5" t="s">
        <v>10</v>
      </c>
      <c r="D10" s="6">
        <v>16.2</v>
      </c>
      <c r="E10" s="9">
        <f>$E$11*(D10/$D$11)^4</f>
        <v>1429.0674406245323</v>
      </c>
      <c r="F10" s="2"/>
      <c r="G10" s="2"/>
      <c r="H10" s="2"/>
      <c r="I10" s="2"/>
    </row>
    <row r="11" spans="1:9" ht="26.1" customHeight="1">
      <c r="A11" s="2"/>
      <c r="B11" s="4" t="s">
        <v>13</v>
      </c>
      <c r="C11" s="4" t="s">
        <v>11</v>
      </c>
      <c r="D11" s="6">
        <v>19.399999999999999</v>
      </c>
      <c r="E11" s="7">
        <v>2939</v>
      </c>
      <c r="F11" s="2"/>
      <c r="G11" s="2"/>
      <c r="H11" s="2"/>
      <c r="I11" s="2"/>
    </row>
    <row r="12" spans="1:9" ht="26.1" customHeight="1">
      <c r="A12" s="2"/>
      <c r="B12" s="5" t="s">
        <v>13</v>
      </c>
      <c r="C12" s="5" t="s">
        <v>12</v>
      </c>
      <c r="D12" s="6">
        <v>22.1</v>
      </c>
      <c r="E12" s="9">
        <f>$E$11*(D12/$D$11)^4</f>
        <v>4949.5049290944507</v>
      </c>
      <c r="F12" s="2"/>
      <c r="G12" s="2"/>
      <c r="H12" s="2"/>
      <c r="I12" s="2"/>
    </row>
    <row r="13" spans="1:9" ht="26.1" customHeight="1">
      <c r="A13" s="2"/>
      <c r="B13" s="2"/>
      <c r="C13" s="2"/>
      <c r="D13" s="2"/>
      <c r="E13" s="2"/>
      <c r="F13" s="2"/>
      <c r="G13" s="2"/>
      <c r="H13" s="2"/>
      <c r="I13" s="2"/>
    </row>
    <row r="14" spans="1:9" ht="26.1" customHeight="1">
      <c r="A14" s="2"/>
      <c r="B14" s="22" t="s">
        <v>14</v>
      </c>
      <c r="C14" s="22" t="s">
        <v>14</v>
      </c>
      <c r="D14" s="22" t="s">
        <v>14</v>
      </c>
      <c r="E14" s="22" t="s">
        <v>14</v>
      </c>
      <c r="F14" s="22" t="s">
        <v>14</v>
      </c>
      <c r="G14" s="22" t="s">
        <v>14</v>
      </c>
      <c r="H14" s="22" t="s">
        <v>14</v>
      </c>
      <c r="I14" s="2"/>
    </row>
    <row r="15" spans="1:9" ht="26.1" customHeight="1">
      <c r="A15" s="2"/>
      <c r="B15" s="22" t="s">
        <v>15</v>
      </c>
      <c r="C15" s="22" t="s">
        <v>15</v>
      </c>
      <c r="D15" s="22" t="s">
        <v>15</v>
      </c>
      <c r="E15" s="22" t="s">
        <v>15</v>
      </c>
      <c r="F15" s="22" t="s">
        <v>15</v>
      </c>
      <c r="G15" s="22" t="s">
        <v>15</v>
      </c>
      <c r="H15" s="22" t="s">
        <v>15</v>
      </c>
      <c r="I15" s="2"/>
    </row>
    <row r="16" spans="1:9" ht="26.1" customHeight="1">
      <c r="A16" s="2"/>
      <c r="B16" s="2"/>
      <c r="C16" s="2"/>
      <c r="D16" s="2"/>
      <c r="E16" s="2"/>
      <c r="F16" s="2"/>
      <c r="G16" s="2"/>
      <c r="H16" s="2"/>
      <c r="I16" s="2"/>
    </row>
    <row r="17" spans="1:9" ht="26.1" customHeight="1">
      <c r="A17" s="2"/>
      <c r="B17" s="1" t="s">
        <v>16</v>
      </c>
      <c r="C17" s="1" t="s">
        <v>16</v>
      </c>
      <c r="D17" s="1" t="s">
        <v>16</v>
      </c>
      <c r="E17" s="1" t="s">
        <v>16</v>
      </c>
      <c r="F17" s="1" t="s">
        <v>16</v>
      </c>
      <c r="G17" s="1" t="s">
        <v>16</v>
      </c>
      <c r="H17" s="1" t="s">
        <v>16</v>
      </c>
      <c r="I17" s="2"/>
    </row>
    <row r="18" spans="1:9" ht="26.1" customHeight="1">
      <c r="A18" s="2"/>
      <c r="B18" s="2" t="s">
        <v>17</v>
      </c>
      <c r="C18" s="10">
        <v>167</v>
      </c>
      <c r="D18" s="2"/>
      <c r="E18" s="22" t="s">
        <v>18</v>
      </c>
      <c r="F18" s="22" t="s">
        <v>18</v>
      </c>
      <c r="G18" s="22" t="s">
        <v>18</v>
      </c>
      <c r="H18" s="22" t="s">
        <v>18</v>
      </c>
      <c r="I18" s="2"/>
    </row>
    <row r="19" spans="1:9" ht="39.950000000000003" customHeight="1">
      <c r="A19" s="2"/>
      <c r="B19" s="3" t="s">
        <v>19</v>
      </c>
      <c r="C19" s="3" t="s">
        <v>20</v>
      </c>
      <c r="D19" s="3" t="s">
        <v>21</v>
      </c>
      <c r="E19" s="3" t="s">
        <v>22</v>
      </c>
      <c r="F19" s="3" t="s">
        <v>23</v>
      </c>
      <c r="G19" s="3" t="s">
        <v>24</v>
      </c>
      <c r="H19" s="3" t="s">
        <v>25</v>
      </c>
      <c r="I19" s="2"/>
    </row>
    <row r="20" spans="1:9" ht="26.1" customHeight="1">
      <c r="A20" s="2"/>
      <c r="B20" s="5" t="s">
        <v>26</v>
      </c>
      <c r="C20" s="11">
        <v>-1.0609999999999999</v>
      </c>
      <c r="D20" s="11">
        <v>0.19500000000000001</v>
      </c>
      <c r="E20" s="11">
        <v>-0.89900000000000002</v>
      </c>
      <c r="F20" s="11">
        <v>0.185</v>
      </c>
      <c r="G20" s="12">
        <f>IF(COUNT(C20:F20)&lt;4,"",IF(H20=0,"无效半径",IF(D20&lt;F20,-1,1)*DEGREES(ACOS(MAX(-1,MIN(1,(E20-C20)*1000/H20))))))</f>
        <v>3.5322945838909319</v>
      </c>
      <c r="H20" s="14">
        <f>IF(COUNT(C20:F20)&lt;4,"",1000*SQRT((C20-E20)^2+(D20-F20)^2))</f>
        <v>162.30834852218777</v>
      </c>
      <c r="I20" s="2"/>
    </row>
    <row r="21" spans="1:9" ht="26.1" customHeight="1">
      <c r="A21" s="2"/>
      <c r="B21" s="4" t="s">
        <v>27</v>
      </c>
      <c r="C21" s="11">
        <v>-1.046</v>
      </c>
      <c r="D21" s="11">
        <v>0.254</v>
      </c>
      <c r="E21" s="11">
        <v>-0.89900000000000002</v>
      </c>
      <c r="F21" s="11">
        <v>0.185</v>
      </c>
      <c r="G21" s="13">
        <f>IF(COUNT(C21:F21)&lt;4,"",IF(H21=0,"无效半径",IF(D21&lt;F21,-1,1)*DEGREES(ACOS(MAX(-1,MIN(1,(E21-C21)*1000/H21))))))</f>
        <v>25.144785630678921</v>
      </c>
      <c r="H21" s="15">
        <f>IF(COUNT(C21:F21)&lt;4,"",1000*SQRT((C21-E21)^2+(D21-F21)^2))</f>
        <v>162.3884232326923</v>
      </c>
      <c r="I21" s="2"/>
    </row>
    <row r="22" spans="1:9" ht="26.1" customHeight="1">
      <c r="A22" s="2"/>
      <c r="B22" s="2"/>
      <c r="C22" s="2"/>
      <c r="D22" s="2"/>
      <c r="E22" s="2"/>
      <c r="F22" s="2"/>
      <c r="G22" s="2"/>
      <c r="H22" s="2"/>
      <c r="I22" s="2"/>
    </row>
    <row r="23" spans="1:9" ht="26.1" customHeight="1">
      <c r="A23" s="2"/>
      <c r="B23" s="2"/>
      <c r="C23" s="2"/>
      <c r="D23" s="2"/>
      <c r="E23" s="2"/>
      <c r="F23" s="2"/>
      <c r="G23" s="2"/>
      <c r="H23" s="2"/>
      <c r="I23" s="2"/>
    </row>
    <row r="24" spans="1:9" ht="26.1" customHeight="1">
      <c r="A24" s="2"/>
      <c r="B24" s="1" t="s">
        <v>28</v>
      </c>
      <c r="C24" s="1" t="s">
        <v>28</v>
      </c>
      <c r="D24" s="1" t="s">
        <v>28</v>
      </c>
      <c r="E24" s="1" t="s">
        <v>28</v>
      </c>
      <c r="F24" s="1" t="s">
        <v>28</v>
      </c>
      <c r="G24" s="1" t="s">
        <v>28</v>
      </c>
      <c r="H24" s="1" t="s">
        <v>28</v>
      </c>
      <c r="I24" s="2"/>
    </row>
    <row r="25" spans="1:9" ht="26.1" customHeight="1">
      <c r="A25" s="2"/>
      <c r="B25" s="2" t="s">
        <v>17</v>
      </c>
      <c r="C25" s="10">
        <v>166</v>
      </c>
      <c r="D25" s="2"/>
      <c r="E25" s="22" t="s">
        <v>18</v>
      </c>
      <c r="F25" s="22" t="s">
        <v>18</v>
      </c>
      <c r="G25" s="22" t="s">
        <v>18</v>
      </c>
      <c r="H25" s="22" t="s">
        <v>18</v>
      </c>
      <c r="I25" s="2"/>
    </row>
    <row r="26" spans="1:9" ht="39.950000000000003" customHeight="1">
      <c r="A26" s="2"/>
      <c r="B26" s="3" t="s">
        <v>19</v>
      </c>
      <c r="C26" s="3" t="s">
        <v>20</v>
      </c>
      <c r="D26" s="3" t="s">
        <v>21</v>
      </c>
      <c r="E26" s="3" t="s">
        <v>22</v>
      </c>
      <c r="F26" s="3" t="s">
        <v>23</v>
      </c>
      <c r="G26" s="3" t="s">
        <v>24</v>
      </c>
      <c r="H26" s="3" t="s">
        <v>25</v>
      </c>
      <c r="I26" s="2"/>
    </row>
    <row r="27" spans="1:9" ht="26.1" customHeight="1">
      <c r="A27" s="2"/>
      <c r="B27" s="4" t="s">
        <v>26</v>
      </c>
      <c r="C27" s="11">
        <v>1.321</v>
      </c>
      <c r="D27" s="11">
        <v>0.186</v>
      </c>
      <c r="E27" s="11">
        <v>1.4550000000000001</v>
      </c>
      <c r="F27" s="11">
        <v>0.26100000000000001</v>
      </c>
      <c r="G27" s="13">
        <f>IF(COUNT(C27:F27)&lt;4,"",IF(H27=0,"无效半径",IF(D27&lt;F27,-1,1)*DEGREES(ACOS(MAX(-1,MIN(1,(E27-C27)*1000/H27))))))</f>
        <v>-29.235804568699994</v>
      </c>
      <c r="H27" s="15">
        <f>IF(COUNT(C27:F27)&lt;4,"",1000*SQRT((C27-E27)^2+(D27-F27)^2))</f>
        <v>153.5610627730872</v>
      </c>
      <c r="I27" s="2"/>
    </row>
    <row r="28" spans="1:9" ht="26.1" customHeight="1">
      <c r="A28" s="2"/>
      <c r="B28" s="5" t="s">
        <v>27</v>
      </c>
      <c r="C28" s="11">
        <v>1.3009999999999999</v>
      </c>
      <c r="D28" s="11">
        <v>0.25900000000000001</v>
      </c>
      <c r="E28" s="11">
        <v>1.4550000000000001</v>
      </c>
      <c r="F28" s="11">
        <v>0.26100000000000001</v>
      </c>
      <c r="G28" s="12">
        <f>IF(COUNT(C28:F28)&lt;4,"",IF(H28=0,"无效半径",IF(D28&lt;F28,-1,1)*DEGREES(ACOS(MAX(-1,MIN(1,(E28-C28)*1000/H28))))))</f>
        <v>-0.74405920288851057</v>
      </c>
      <c r="H28" s="14">
        <f>IF(COUNT(C28:F28)&lt;4,"",1000*SQRT((C28-E28)^2+(D28-F28)^2))</f>
        <v>154.01298646542779</v>
      </c>
      <c r="I28" s="2"/>
    </row>
    <row r="29" spans="1:9" ht="26.1" customHeight="1">
      <c r="A29" s="2"/>
      <c r="B29" s="2"/>
      <c r="C29" s="2"/>
      <c r="D29" s="2"/>
      <c r="E29" s="2"/>
      <c r="F29" s="2"/>
      <c r="G29" s="2"/>
      <c r="H29" s="2"/>
      <c r="I29" s="2"/>
    </row>
    <row r="30" spans="1:9" ht="26.1" customHeight="1">
      <c r="A30" s="2"/>
      <c r="B30" s="2"/>
      <c r="C30" s="2"/>
      <c r="D30" s="2"/>
      <c r="E30" s="2"/>
      <c r="F30" s="2"/>
      <c r="G30" s="2"/>
      <c r="H30" s="2"/>
      <c r="I30" s="2"/>
    </row>
    <row r="31" spans="1:9" ht="26.1" customHeight="1">
      <c r="A31" s="2"/>
      <c r="B31" s="1" t="s">
        <v>29</v>
      </c>
      <c r="C31" s="1" t="s">
        <v>29</v>
      </c>
      <c r="D31" s="1" t="s">
        <v>29</v>
      </c>
      <c r="E31" s="1" t="s">
        <v>29</v>
      </c>
      <c r="F31" s="1" t="s">
        <v>29</v>
      </c>
      <c r="G31" s="1" t="s">
        <v>29</v>
      </c>
      <c r="H31" s="1" t="s">
        <v>29</v>
      </c>
      <c r="I31" s="2"/>
    </row>
    <row r="32" spans="1:9" ht="26.1" customHeight="1">
      <c r="A32" s="2"/>
      <c r="B32" s="2" t="s">
        <v>17</v>
      </c>
      <c r="C32" s="10">
        <v>266</v>
      </c>
      <c r="D32" s="2"/>
      <c r="E32" s="22" t="s">
        <v>30</v>
      </c>
      <c r="F32" s="22" t="s">
        <v>30</v>
      </c>
      <c r="G32" s="22" t="s">
        <v>30</v>
      </c>
      <c r="H32" s="22" t="s">
        <v>30</v>
      </c>
      <c r="I32" s="2"/>
    </row>
    <row r="33" spans="1:9" ht="39.950000000000003" customHeight="1">
      <c r="A33" s="2"/>
      <c r="B33" s="3" t="s">
        <v>19</v>
      </c>
      <c r="C33" s="3" t="s">
        <v>20</v>
      </c>
      <c r="D33" s="3" t="s">
        <v>21</v>
      </c>
      <c r="E33" s="3" t="s">
        <v>22</v>
      </c>
      <c r="F33" s="3" t="s">
        <v>23</v>
      </c>
      <c r="G33" s="3" t="s">
        <v>24</v>
      </c>
      <c r="H33" s="3" t="s">
        <v>25</v>
      </c>
      <c r="I33" s="2"/>
    </row>
    <row r="34" spans="1:9" ht="26.1" customHeight="1">
      <c r="A34" s="2"/>
      <c r="B34" s="5" t="s">
        <v>26</v>
      </c>
      <c r="C34" s="11">
        <v>-1.0609999999999999</v>
      </c>
      <c r="D34" s="11">
        <v>0.19500000000000001</v>
      </c>
      <c r="E34" s="11">
        <v>-0.89900000000000002</v>
      </c>
      <c r="F34" s="11">
        <v>0.185</v>
      </c>
      <c r="G34" s="12">
        <f>IF(COUNT(C34:F34)&lt;4,"",IF(H34=0,"无效半径",IF(D34&lt;F34,-1,1)*DEGREES(ACOS(MAX(-1,MIN(1,(E34-C34)*1000/H34))))))</f>
        <v>3.5322945838909319</v>
      </c>
      <c r="H34" s="14">
        <f>IF(COUNT(C34:F34)&lt;4,"",1000*SQRT((C34-E34)^2+(D34-F34)^2))</f>
        <v>162.30834852218777</v>
      </c>
      <c r="I34" s="2"/>
    </row>
    <row r="35" spans="1:9" ht="26.1" customHeight="1">
      <c r="A35" s="2"/>
      <c r="B35" s="4" t="s">
        <v>27</v>
      </c>
      <c r="C35" s="11">
        <v>-1.032</v>
      </c>
      <c r="D35" s="11">
        <v>0.27800000000000002</v>
      </c>
      <c r="E35" s="11">
        <v>-0.89900000000000002</v>
      </c>
      <c r="F35" s="11">
        <v>0.185</v>
      </c>
      <c r="G35" s="13">
        <f>IF(COUNT(C35:F35)&lt;4,"",IF(H35=0,"无效半径",IF(D35&lt;F35,-1,1)*DEGREES(ACOS(MAX(-1,MIN(1,(E35-C35)*1000/H35))))))</f>
        <v>34.963097546036515</v>
      </c>
      <c r="H35" s="15">
        <f>IF(COUNT(C35:F35)&lt;4,"",1000*SQRT((C35-E35)^2+(D35-F35)^2))</f>
        <v>162.28986413205234</v>
      </c>
      <c r="I35" s="2"/>
    </row>
    <row r="36" spans="1:9" ht="26.1" customHeight="1">
      <c r="A36" s="2"/>
      <c r="B36" s="2"/>
      <c r="C36" s="2"/>
      <c r="D36" s="2"/>
      <c r="E36" s="2"/>
      <c r="F36" s="2"/>
      <c r="G36" s="2"/>
      <c r="H36" s="2"/>
      <c r="I36" s="2"/>
    </row>
    <row r="37" spans="1:9" ht="26.1" customHeight="1">
      <c r="A37" s="2"/>
      <c r="B37" s="2"/>
      <c r="C37" s="2"/>
      <c r="D37" s="2"/>
      <c r="E37" s="2"/>
      <c r="F37" s="2"/>
      <c r="G37" s="2"/>
      <c r="H37" s="2"/>
      <c r="I37" s="2"/>
    </row>
    <row r="38" spans="1:9" ht="26.1" customHeight="1">
      <c r="A38" s="2"/>
      <c r="B38" s="1" t="s">
        <v>31</v>
      </c>
      <c r="C38" s="1" t="s">
        <v>31</v>
      </c>
      <c r="D38" s="1" t="s">
        <v>31</v>
      </c>
      <c r="E38" s="1" t="s">
        <v>31</v>
      </c>
      <c r="F38" s="1" t="s">
        <v>31</v>
      </c>
      <c r="G38" s="1" t="s">
        <v>31</v>
      </c>
      <c r="H38" s="1" t="s">
        <v>31</v>
      </c>
      <c r="I38" s="2"/>
    </row>
    <row r="39" spans="1:9" ht="26.1" customHeight="1">
      <c r="A39" s="2"/>
      <c r="B39" s="2" t="s">
        <v>17</v>
      </c>
      <c r="C39" s="10">
        <v>268</v>
      </c>
      <c r="D39" s="2"/>
      <c r="E39" s="22" t="s">
        <v>30</v>
      </c>
      <c r="F39" s="22" t="s">
        <v>30</v>
      </c>
      <c r="G39" s="22" t="s">
        <v>30</v>
      </c>
      <c r="H39" s="22" t="s">
        <v>30</v>
      </c>
      <c r="I39" s="2"/>
    </row>
    <row r="40" spans="1:9" ht="39.950000000000003" customHeight="1">
      <c r="A40" s="2"/>
      <c r="B40" s="3" t="s">
        <v>19</v>
      </c>
      <c r="C40" s="3" t="s">
        <v>20</v>
      </c>
      <c r="D40" s="3" t="s">
        <v>21</v>
      </c>
      <c r="E40" s="3" t="s">
        <v>22</v>
      </c>
      <c r="F40" s="3" t="s">
        <v>23</v>
      </c>
      <c r="G40" s="3" t="s">
        <v>24</v>
      </c>
      <c r="H40" s="3" t="s">
        <v>25</v>
      </c>
      <c r="I40" s="2"/>
    </row>
    <row r="41" spans="1:9" ht="26.1" customHeight="1">
      <c r="A41" s="2"/>
      <c r="B41" s="4" t="s">
        <v>26</v>
      </c>
      <c r="C41" s="11">
        <v>1.321</v>
      </c>
      <c r="D41" s="11">
        <v>0.186</v>
      </c>
      <c r="E41" s="11">
        <v>1.4550000000000001</v>
      </c>
      <c r="F41" s="11">
        <v>0.26100000000000001</v>
      </c>
      <c r="G41" s="13">
        <f>IF(COUNT(C41:F41)&lt;4,"",IF(H41=0,"无效半径",IF(D41&lt;F41,-1,1)*DEGREES(ACOS(MAX(-1,MIN(1,(E41-C41)*1000/H41))))))</f>
        <v>-29.235804568699994</v>
      </c>
      <c r="H41" s="15">
        <f>IF(COUNT(C41:F41)&lt;4,"",1000*SQRT((C41-E41)^2+(D41-F41)^2))</f>
        <v>153.5610627730872</v>
      </c>
      <c r="I41" s="2"/>
    </row>
    <row r="42" spans="1:9" ht="26.1" customHeight="1">
      <c r="A42" s="2"/>
      <c r="B42" s="5" t="s">
        <v>27</v>
      </c>
      <c r="C42" s="11">
        <v>1.306</v>
      </c>
      <c r="D42" s="11">
        <v>0.29699999999999999</v>
      </c>
      <c r="E42" s="11">
        <v>1.4550000000000001</v>
      </c>
      <c r="F42" s="11">
        <v>0.26200000000000001</v>
      </c>
      <c r="G42" s="12">
        <f>IF(COUNT(C42:F42)&lt;4,"",IF(H42=0,"无效半径",IF(D42&lt;F42,-1,1)*DEGREES(ACOS(MAX(-1,MIN(1,(E42-C42)*1000/H42))))))</f>
        <v>13.21908490701656</v>
      </c>
      <c r="H42" s="14">
        <f>IF(COUNT(C42:F42)&lt;4,"",1000*SQRT((C42-E42)^2+(D42-F42)^2))</f>
        <v>153.05554547287727</v>
      </c>
      <c r="I42" s="2"/>
    </row>
    <row r="43" spans="1:9" ht="26.1" customHeight="1">
      <c r="A43" s="2"/>
      <c r="B43" s="2"/>
      <c r="C43" s="2"/>
      <c r="D43" s="2"/>
      <c r="E43" s="2"/>
      <c r="F43" s="2"/>
      <c r="G43" s="2"/>
      <c r="H43" s="2"/>
      <c r="I43" s="2"/>
    </row>
    <row r="44" spans="1:9" ht="26.1" customHeight="1">
      <c r="A44" s="2"/>
      <c r="B44" s="2"/>
      <c r="C44" s="2"/>
      <c r="D44" s="2"/>
      <c r="E44" s="2"/>
      <c r="F44" s="2"/>
      <c r="G44" s="2"/>
      <c r="H44" s="2"/>
      <c r="I44" s="2"/>
    </row>
    <row r="45" spans="1:9" ht="26.1" customHeight="1">
      <c r="A45" s="2"/>
      <c r="B45" s="2"/>
      <c r="C45" s="2"/>
      <c r="D45" s="2"/>
      <c r="E45" s="2"/>
      <c r="F45" s="2"/>
      <c r="G45" s="2"/>
      <c r="H45" s="2"/>
      <c r="I45" s="2"/>
    </row>
    <row r="46" spans="1:9" ht="26.1" customHeight="1">
      <c r="A46" s="2"/>
      <c r="B46" s="23" t="s">
        <v>32</v>
      </c>
      <c r="C46" s="23" t="s">
        <v>32</v>
      </c>
      <c r="D46" s="23" t="s">
        <v>32</v>
      </c>
      <c r="E46" s="23" t="s">
        <v>32</v>
      </c>
      <c r="F46" s="23" t="s">
        <v>32</v>
      </c>
      <c r="G46" s="23" t="s">
        <v>32</v>
      </c>
      <c r="H46" s="23" t="s">
        <v>32</v>
      </c>
      <c r="I46" s="2"/>
    </row>
    <row r="47" spans="1:9" ht="39.950000000000003" customHeight="1">
      <c r="A47" s="2"/>
      <c r="B47" s="3" t="s">
        <v>33</v>
      </c>
      <c r="C47" s="3" t="s">
        <v>5</v>
      </c>
      <c r="D47" s="3" t="s">
        <v>34</v>
      </c>
      <c r="E47" s="3" t="s">
        <v>35</v>
      </c>
      <c r="F47" s="3" t="s">
        <v>36</v>
      </c>
      <c r="G47" s="2"/>
      <c r="H47" s="2"/>
      <c r="I47" s="2"/>
    </row>
    <row r="48" spans="1:9" ht="26.1" customHeight="1">
      <c r="A48" s="2"/>
      <c r="B48" s="5" t="s">
        <v>37</v>
      </c>
      <c r="C48" s="5" t="s">
        <v>9</v>
      </c>
      <c r="D48" s="5" t="s">
        <v>38</v>
      </c>
      <c r="E48" s="14">
        <v>46</v>
      </c>
      <c r="F48" s="14">
        <v>163</v>
      </c>
      <c r="G48" s="2"/>
      <c r="H48" s="2"/>
      <c r="I48" s="2"/>
    </row>
    <row r="49" spans="1:9" ht="26.1" customHeight="1">
      <c r="A49" s="2"/>
      <c r="B49" s="4" t="s">
        <v>37</v>
      </c>
      <c r="C49" s="4" t="s">
        <v>13</v>
      </c>
      <c r="D49" s="4" t="s">
        <v>38</v>
      </c>
      <c r="E49" s="15">
        <v>54</v>
      </c>
      <c r="F49" s="15">
        <v>154</v>
      </c>
      <c r="G49" s="2"/>
      <c r="H49" s="2"/>
      <c r="I49" s="2"/>
    </row>
    <row r="50" spans="1:9" ht="26.1" customHeight="1">
      <c r="A50" s="2"/>
      <c r="B50" s="5" t="s">
        <v>39</v>
      </c>
      <c r="C50" s="5" t="s">
        <v>9</v>
      </c>
      <c r="D50" s="5" t="s">
        <v>38</v>
      </c>
      <c r="E50" s="14">
        <v>83</v>
      </c>
      <c r="F50" s="14">
        <v>163</v>
      </c>
      <c r="G50" s="2"/>
      <c r="H50" s="2"/>
      <c r="I50" s="2"/>
    </row>
    <row r="51" spans="1:9" ht="26.1" customHeight="1">
      <c r="A51" s="2"/>
      <c r="B51" s="4" t="s">
        <v>39</v>
      </c>
      <c r="C51" s="4" t="s">
        <v>13</v>
      </c>
      <c r="D51" s="4" t="s">
        <v>38</v>
      </c>
      <c r="E51" s="15">
        <v>111</v>
      </c>
      <c r="F51" s="15">
        <v>154</v>
      </c>
      <c r="G51" s="2"/>
      <c r="H51" s="2"/>
      <c r="I51" s="2"/>
    </row>
    <row r="52" spans="1:9" ht="26.1" customHeight="1">
      <c r="A52" s="2"/>
      <c r="B52" s="2"/>
      <c r="C52" s="2"/>
      <c r="D52" s="2"/>
      <c r="E52" s="2"/>
      <c r="F52" s="2"/>
      <c r="G52" s="2"/>
      <c r="H52" s="2"/>
      <c r="I52" s="2"/>
    </row>
    <row r="53" spans="1:9" ht="26.1" customHeight="1">
      <c r="A53" s="2"/>
      <c r="B53" s="2"/>
      <c r="C53" s="2"/>
      <c r="D53" s="2"/>
      <c r="E53" s="2"/>
      <c r="F53" s="2"/>
      <c r="G53" s="2"/>
      <c r="H53" s="2"/>
      <c r="I53" s="2"/>
    </row>
    <row r="54" spans="1:9" ht="26.1" customHeight="1">
      <c r="A54" s="2"/>
      <c r="B54" s="2"/>
      <c r="C54" s="2"/>
      <c r="D54" s="2"/>
      <c r="E54" s="2"/>
      <c r="F54" s="2"/>
      <c r="G54" s="2"/>
      <c r="H54" s="2"/>
      <c r="I54" s="2"/>
    </row>
    <row r="55" spans="1:9" ht="24" customHeight="1"/>
    <row r="56" spans="1:9" ht="24" customHeight="1"/>
  </sheetData>
  <mergeCells count="13">
    <mergeCell ref="B2:H3"/>
    <mergeCell ref="B4:H4"/>
    <mergeCell ref="B14:H14"/>
    <mergeCell ref="B15:H15"/>
    <mergeCell ref="B17:H17"/>
    <mergeCell ref="B38:H38"/>
    <mergeCell ref="E39:H39"/>
    <mergeCell ref="B46:H46"/>
    <mergeCell ref="E18:H18"/>
    <mergeCell ref="B24:H24"/>
    <mergeCell ref="E25:H25"/>
    <mergeCell ref="B31:H31"/>
    <mergeCell ref="E32:H32"/>
  </mergeCells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M157"/>
  <sheetViews>
    <sheetView showGridLines="0" tabSelected="1" workbookViewId="0">
      <pane ySplit="5" topLeftCell="A6" activePane="bottomLeft" state="frozen"/>
      <selection pane="bottomLeft" activeCell="J8" sqref="J8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3" width="2.7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3" ht="26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6.1" customHeight="1">
      <c r="A2" s="2"/>
      <c r="B2" s="24" t="s">
        <v>40</v>
      </c>
      <c r="C2" s="24" t="s">
        <v>40</v>
      </c>
      <c r="D2" s="24" t="s">
        <v>40</v>
      </c>
      <c r="E2" s="24" t="s">
        <v>40</v>
      </c>
      <c r="F2" s="24" t="s">
        <v>40</v>
      </c>
      <c r="G2" s="24" t="s">
        <v>40</v>
      </c>
      <c r="H2" s="24" t="s">
        <v>40</v>
      </c>
      <c r="I2" s="24" t="s">
        <v>40</v>
      </c>
      <c r="J2" s="24" t="s">
        <v>40</v>
      </c>
      <c r="K2" s="24" t="s">
        <v>40</v>
      </c>
      <c r="L2" s="2"/>
      <c r="M2" s="2"/>
    </row>
    <row r="3" spans="1:13" ht="26.1" customHeight="1">
      <c r="A3" s="2"/>
      <c r="B3" s="24" t="s">
        <v>40</v>
      </c>
      <c r="C3" s="24" t="s">
        <v>40</v>
      </c>
      <c r="D3" s="24" t="s">
        <v>40</v>
      </c>
      <c r="E3" s="24" t="s">
        <v>40</v>
      </c>
      <c r="F3" s="24" t="s">
        <v>40</v>
      </c>
      <c r="G3" s="24" t="s">
        <v>40</v>
      </c>
      <c r="H3" s="24" t="s">
        <v>40</v>
      </c>
      <c r="I3" s="24" t="s">
        <v>40</v>
      </c>
      <c r="J3" s="24" t="s">
        <v>40</v>
      </c>
      <c r="K3" s="24" t="s">
        <v>40</v>
      </c>
      <c r="L3" s="2"/>
      <c r="M3" s="2"/>
    </row>
    <row r="4" spans="1:13" ht="26.1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ht="39.950000000000003" customHeight="1">
      <c r="A5" s="2"/>
      <c r="B5" s="3" t="s">
        <v>33</v>
      </c>
      <c r="C5" s="3" t="s">
        <v>5</v>
      </c>
      <c r="D5" s="3" t="s">
        <v>34</v>
      </c>
      <c r="E5" s="3" t="s">
        <v>41</v>
      </c>
      <c r="F5" s="3" t="s">
        <v>42</v>
      </c>
      <c r="G5" s="3" t="s">
        <v>43</v>
      </c>
      <c r="H5" s="3" t="s">
        <v>44</v>
      </c>
      <c r="I5" s="3" t="s">
        <v>45</v>
      </c>
      <c r="J5" s="3" t="s">
        <v>46</v>
      </c>
      <c r="K5" s="3" t="s">
        <v>47</v>
      </c>
      <c r="L5" s="2"/>
      <c r="M5" s="2"/>
    </row>
    <row r="6" spans="1:13" ht="26.1" customHeight="1">
      <c r="A6" s="2"/>
      <c r="B6" s="5" t="s">
        <v>37</v>
      </c>
      <c r="C6" s="5" t="s">
        <v>9</v>
      </c>
      <c r="D6" s="5" t="s">
        <v>38</v>
      </c>
      <c r="E6" s="14">
        <f>IF(ISNUMBER(Parameters!C18),Parameters!C18,"")</f>
        <v>167</v>
      </c>
      <c r="F6" s="16">
        <f>IF(COUNT(Parameters!G20:G21)&lt;2,"",MOD(Parameters!G21-Parameters!G20+180,360)-180)</f>
        <v>21.612491046787994</v>
      </c>
      <c r="G6" s="18">
        <f>IF(COUNT(E6:F6)&lt;2,"",IF(E6&lt;=0,"",RADIANS(F6)/E6))</f>
        <v>2.2587372953547687E-3</v>
      </c>
      <c r="H6" s="12">
        <f>IF(ISNUMBER(G6),1000*Parameters!E7*G6^2,"")</f>
        <v>4.8029556626481638</v>
      </c>
      <c r="I6" s="12">
        <f>IF(ISNUMBER(G6),1000*Parameters!E8*G6^2,"")</f>
        <v>10.142565608820032</v>
      </c>
      <c r="J6" s="12">
        <f>IF(ISNUMBER(G6),1000*Parameters!E9*G6^2,"")</f>
        <v>18.6686364607279</v>
      </c>
      <c r="K6" s="20" t="str">
        <f>IF(COUNT(Parameters!C20:F21)&lt;8,"待补坐标",IF(NOT(ISNUMBER(E6)),"待填轮行程",IF(E6&lt;=0,"轮行程须大于0",IF(COUNT(Parameters!G20:G21)&lt;2,"无效半径",""))))</f>
        <v/>
      </c>
      <c r="L6" s="2"/>
      <c r="M6" s="2"/>
    </row>
    <row r="7" spans="1:13" ht="26.1" customHeight="1">
      <c r="A7" s="2"/>
      <c r="B7" s="4" t="s">
        <v>37</v>
      </c>
      <c r="C7" s="4" t="s">
        <v>13</v>
      </c>
      <c r="D7" s="4" t="s">
        <v>38</v>
      </c>
      <c r="E7" s="15">
        <f>IF(ISNUMBER(Parameters!C25),Parameters!C25,"")</f>
        <v>166</v>
      </c>
      <c r="F7" s="17">
        <f>IF(COUNT(Parameters!G27:G28)&lt;2,"",MOD(Parameters!G28-Parameters!G27+180,360)-180)</f>
        <v>28.491745365811482</v>
      </c>
      <c r="G7" s="19">
        <f>IF(COUNT(E7:F7)&lt;2,"",IF(E7&lt;=0,"",RADIANS(F7)/E7))</f>
        <v>2.9956311221279912E-3</v>
      </c>
      <c r="H7" s="13">
        <f>IF(ISNUMBER(G7),1000*Parameters!E10*G7^2,"")</f>
        <v>12.824173715651447</v>
      </c>
      <c r="I7" s="13">
        <f>IF(ISNUMBER(G7),1000*Parameters!E11*G7^2,"")</f>
        <v>26.374015304573856</v>
      </c>
      <c r="J7" s="13">
        <f>IF(ISNUMBER(G7),1000*Parameters!E12*G7^2,"")</f>
        <v>44.415896138142486</v>
      </c>
      <c r="K7" s="21" t="str">
        <f>IF(COUNT(Parameters!C27:F28)&lt;8,"待补坐标",IF(NOT(ISNUMBER(E7)),"待填轮行程",IF(E7&lt;=0,"轮行程须大于0",IF(COUNT(Parameters!G27:G28)&lt;2,"无效半径",""))))</f>
        <v/>
      </c>
      <c r="L7" s="2"/>
      <c r="M7" s="2"/>
    </row>
    <row r="8" spans="1:13" ht="26.1" customHeight="1">
      <c r="A8" s="2"/>
      <c r="B8" s="5" t="s">
        <v>39</v>
      </c>
      <c r="C8" s="5" t="s">
        <v>9</v>
      </c>
      <c r="D8" s="5" t="s">
        <v>38</v>
      </c>
      <c r="E8" s="14">
        <f>IF(ISNUMBER(Parameters!C32),Parameters!C32,"")</f>
        <v>266</v>
      </c>
      <c r="F8" s="16">
        <f>IF(COUNT(Parameters!G34:G35)&lt;2,"",MOD(Parameters!G35-Parameters!G34+180,360)-180)</f>
        <v>31.430802962145577</v>
      </c>
      <c r="G8" s="18">
        <f>IF(COUNT(E8:F8)&lt;2,"",IF(E8&lt;=0,"",RADIANS(F8)/E8))</f>
        <v>2.062296985845966E-3</v>
      </c>
      <c r="H8" s="12">
        <f>IF(ISNUMBER(G8),1000*Parameters!E7*G8^2,"")</f>
        <v>4.0038661085437566</v>
      </c>
      <c r="I8" s="12">
        <f>IF(ISNUMBER(G8),1000*Parameters!E8*G8^2,"")</f>
        <v>8.4551008893647595</v>
      </c>
      <c r="J8" s="12">
        <f>IF(ISNUMBER(G8),1000*Parameters!E9*G8^2,"")</f>
        <v>15.562650598490066</v>
      </c>
      <c r="K8" s="20" t="str">
        <f>IF(COUNT(Parameters!C34:F35)&lt;8,"待补坐标",IF(NOT(ISNUMBER(E8)),"待填轮行程",IF(E8&lt;=0,"轮行程须大于0",IF(COUNT(Parameters!G34:G35)&lt;2,"无效半径",""))))</f>
        <v/>
      </c>
      <c r="L8" s="2"/>
      <c r="M8" s="2"/>
    </row>
    <row r="9" spans="1:13" ht="26.1" customHeight="1">
      <c r="A9" s="2"/>
      <c r="B9" s="4" t="s">
        <v>39</v>
      </c>
      <c r="C9" s="4" t="s">
        <v>13</v>
      </c>
      <c r="D9" s="4" t="s">
        <v>38</v>
      </c>
      <c r="E9" s="15">
        <f>IF(ISNUMBER(Parameters!C39),Parameters!C39,"")</f>
        <v>268</v>
      </c>
      <c r="F9" s="17">
        <f>IF(COUNT(Parameters!G41:G42)&lt;2,"",MOD(Parameters!G42-Parameters!G41+180,360)-180)</f>
        <v>42.454889475716556</v>
      </c>
      <c r="G9" s="19">
        <f>IF(COUNT(E9:F9)&lt;2,"",IF(E9&lt;=0,"",RADIANS(F9)/E9))</f>
        <v>2.7648418094087428E-3</v>
      </c>
      <c r="H9" s="13">
        <f>IF(ISNUMBER(G9),1000*Parameters!E10*G9^2,"")</f>
        <v>10.924292019930764</v>
      </c>
      <c r="I9" s="13">
        <f>IF(ISNUMBER(G9),1000*Parameters!E11*G9^2,"")</f>
        <v>22.4667453290695</v>
      </c>
      <c r="J9" s="13">
        <f>IF(ISNUMBER(G9),1000*Parameters!E12*G9^2,"")</f>
        <v>37.835749148329093</v>
      </c>
      <c r="K9" s="21" t="str">
        <f>IF(COUNT(Parameters!C41:F42)&lt;8,"待补坐标",IF(NOT(ISNUMBER(E9)),"待填轮行程",IF(E9&lt;=0,"轮行程须大于0",IF(COUNT(Parameters!G41:G42)&lt;2,"无效半径",""))))</f>
        <v/>
      </c>
      <c r="L9" s="2"/>
      <c r="M9" s="2"/>
    </row>
    <row r="10" spans="1:13" ht="26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ht="26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ht="26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26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ht="39.950000000000003" customHeight="1">
      <c r="A14" s="2"/>
      <c r="B14" s="3" t="s">
        <v>48</v>
      </c>
      <c r="C14" s="3" t="s">
        <v>9</v>
      </c>
      <c r="D14" s="3" t="s">
        <v>13</v>
      </c>
      <c r="E14" s="2"/>
      <c r="F14" s="2"/>
      <c r="G14" s="2"/>
      <c r="H14" s="2"/>
      <c r="I14" s="2"/>
      <c r="J14" s="2"/>
      <c r="K14" s="2"/>
      <c r="L14" s="2"/>
      <c r="M14" s="2"/>
    </row>
    <row r="15" spans="1:13" ht="26.1" customHeight="1">
      <c r="A15" s="2"/>
      <c r="B15" s="4" t="s">
        <v>10</v>
      </c>
      <c r="C15" s="13">
        <f>IF(ISNUMBER(H8),H8,NA())</f>
        <v>4.0038661085437566</v>
      </c>
      <c r="D15" s="13">
        <f>IF(ISNUMBER(H9),H9,NA())</f>
        <v>10.924292019930764</v>
      </c>
      <c r="E15" s="2"/>
      <c r="F15" s="2"/>
      <c r="G15" s="2"/>
      <c r="H15" s="2"/>
      <c r="I15" s="2"/>
      <c r="J15" s="2"/>
      <c r="K15" s="2"/>
      <c r="L15" s="2"/>
      <c r="M15" s="2"/>
    </row>
    <row r="16" spans="1:13" ht="26.1" customHeight="1">
      <c r="A16" s="2"/>
      <c r="B16" s="5" t="s">
        <v>11</v>
      </c>
      <c r="C16" s="12">
        <f>IF(ISNUMBER(I8),I8,NA())</f>
        <v>8.4551008893647595</v>
      </c>
      <c r="D16" s="12">
        <f>IF(ISNUMBER(I9),I9,NA())</f>
        <v>22.4667453290695</v>
      </c>
      <c r="E16" s="2"/>
      <c r="F16" s="2"/>
      <c r="G16" s="2"/>
      <c r="H16" s="2"/>
      <c r="I16" s="2"/>
      <c r="J16" s="2"/>
      <c r="K16" s="2"/>
      <c r="L16" s="2"/>
      <c r="M16" s="2"/>
    </row>
    <row r="17" spans="1:13" ht="26.1" customHeight="1">
      <c r="A17" s="2"/>
      <c r="B17" s="4" t="s">
        <v>12</v>
      </c>
      <c r="C17" s="13">
        <f>IF(ISNUMBER(J8),J8,NA())</f>
        <v>15.562650598490066</v>
      </c>
      <c r="D17" s="13">
        <f>IF(ISNUMBER(J9),J9,NA())</f>
        <v>37.835749148329093</v>
      </c>
      <c r="E17" s="2"/>
      <c r="F17" s="2"/>
      <c r="G17" s="2"/>
      <c r="H17" s="2"/>
      <c r="I17" s="2"/>
      <c r="J17" s="2"/>
      <c r="K17" s="2"/>
      <c r="L17" s="2"/>
      <c r="M17" s="2"/>
    </row>
    <row r="18" spans="1:13" ht="26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ht="26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ht="26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ht="39.950000000000003" customHeight="1">
      <c r="A21" s="2"/>
      <c r="B21" s="3" t="s">
        <v>48</v>
      </c>
      <c r="C21" s="3" t="s">
        <v>9</v>
      </c>
      <c r="D21" s="3" t="s">
        <v>13</v>
      </c>
      <c r="E21" s="2"/>
      <c r="F21" s="2"/>
      <c r="G21" s="2"/>
      <c r="H21" s="2"/>
      <c r="I21" s="2"/>
      <c r="J21" s="2"/>
      <c r="K21" s="2"/>
      <c r="L21" s="2"/>
      <c r="M21" s="2"/>
    </row>
    <row r="22" spans="1:13" ht="26.1" customHeight="1">
      <c r="A22" s="2"/>
      <c r="B22" s="5" t="s">
        <v>10</v>
      </c>
      <c r="C22" s="12">
        <f>IF(ISNUMBER(H6),H6,NA())</f>
        <v>4.8029556626481638</v>
      </c>
      <c r="D22" s="12">
        <f>IF(ISNUMBER(H7),H7,NA())</f>
        <v>12.824173715651447</v>
      </c>
      <c r="E22" s="2"/>
      <c r="F22" s="2"/>
      <c r="G22" s="2"/>
      <c r="H22" s="2"/>
      <c r="I22" s="2"/>
      <c r="J22" s="2"/>
      <c r="K22" s="2"/>
      <c r="L22" s="2"/>
      <c r="M22" s="2"/>
    </row>
    <row r="23" spans="1:13" ht="26.1" customHeight="1">
      <c r="A23" s="2"/>
      <c r="B23" s="4" t="s">
        <v>11</v>
      </c>
      <c r="C23" s="13">
        <f>IF(ISNUMBER(I6),I6,NA())</f>
        <v>10.142565608820032</v>
      </c>
      <c r="D23" s="13">
        <f>IF(ISNUMBER(I7),I7,NA())</f>
        <v>26.374015304573856</v>
      </c>
      <c r="E23" s="2"/>
      <c r="F23" s="2"/>
      <c r="G23" s="2"/>
      <c r="H23" s="2"/>
      <c r="I23" s="2"/>
      <c r="J23" s="2"/>
      <c r="K23" s="2"/>
      <c r="L23" s="2"/>
      <c r="M23" s="2"/>
    </row>
    <row r="24" spans="1:13" ht="26.1" customHeight="1">
      <c r="A24" s="2"/>
      <c r="B24" s="5" t="s">
        <v>12</v>
      </c>
      <c r="C24" s="12">
        <f>IF(ISNUMBER(J6),J6,NA())</f>
        <v>18.6686364607279</v>
      </c>
      <c r="D24" s="12">
        <f>IF(ISNUMBER(J7),J7,NA())</f>
        <v>44.415896138142486</v>
      </c>
      <c r="E24" s="2"/>
      <c r="F24" s="2"/>
      <c r="G24" s="2"/>
      <c r="H24" s="2"/>
      <c r="I24" s="2"/>
      <c r="J24" s="2"/>
      <c r="K24" s="2"/>
      <c r="L24" s="2"/>
      <c r="M24" s="2"/>
    </row>
    <row r="25" spans="1:13" ht="26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ht="26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ht="26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ht="26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ht="26.1" customHeight="1">
      <c r="A29" s="2"/>
      <c r="B29" s="23" t="s">
        <v>49</v>
      </c>
      <c r="C29" s="23" t="s">
        <v>49</v>
      </c>
      <c r="D29" s="23" t="s">
        <v>49</v>
      </c>
      <c r="E29" s="2"/>
      <c r="F29" s="2"/>
      <c r="G29" s="2"/>
      <c r="H29" s="2"/>
      <c r="I29" s="2"/>
      <c r="J29" s="2"/>
      <c r="K29" s="2"/>
      <c r="L29" s="2"/>
      <c r="M29" s="2"/>
    </row>
    <row r="30" spans="1:13" ht="26.1" customHeight="1">
      <c r="A30" s="2"/>
      <c r="B30" s="2" t="s">
        <v>50</v>
      </c>
      <c r="C30" s="2">
        <v>223</v>
      </c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ht="26.1" customHeight="1">
      <c r="A31" s="2"/>
      <c r="B31" s="2" t="s">
        <v>51</v>
      </c>
      <c r="C31" s="2">
        <v>267</v>
      </c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ht="26.1" customHeight="1">
      <c r="A32" s="2"/>
      <c r="B32" s="2" t="s">
        <v>52</v>
      </c>
      <c r="C32" s="2">
        <v>236</v>
      </c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ht="26.1" customHeight="1">
      <c r="A33" s="2"/>
      <c r="B33" s="2" t="s">
        <v>53</v>
      </c>
      <c r="C33" s="2">
        <v>238</v>
      </c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ht="26.1" customHeight="1">
      <c r="A34" s="2"/>
      <c r="B34" s="2" t="s">
        <v>54</v>
      </c>
      <c r="C34" s="2">
        <v>279</v>
      </c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ht="26.1" customHeight="1">
      <c r="A35" s="2"/>
      <c r="B35" s="2" t="s">
        <v>55</v>
      </c>
      <c r="C35" s="2">
        <v>16</v>
      </c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ht="26.1" customHeight="1">
      <c r="A36" s="2"/>
      <c r="B36" s="2" t="s">
        <v>56</v>
      </c>
      <c r="C36" s="2">
        <v>23</v>
      </c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ht="26.1" customHeight="1">
      <c r="A37" s="2"/>
      <c r="B37" s="2" t="s">
        <v>57</v>
      </c>
      <c r="C37" s="2">
        <v>24</v>
      </c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ht="26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ht="26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26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26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26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26.1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26.1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26.1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26.1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26.1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26.1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26.1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26.1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26.1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ht="26.1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ht="26.1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ht="26.1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ht="26.1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ht="26.1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ht="26.1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ht="26.1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ht="26.1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ht="26.1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ht="26.1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ht="26.1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ht="26.1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ht="26.1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ht="26.1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ht="26.1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ht="26.1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ht="26.1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ht="26.1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ht="26.1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ht="26.1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ht="26.1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ht="26.1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ht="26.1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ht="26.1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ht="26.1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ht="26.1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ht="26.1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ht="26.1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ht="26.1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ht="26.1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ht="26.1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ht="26.1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ht="26.1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ht="26.1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ht="26.1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ht="26.1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ht="26.1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ht="26.1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ht="26.1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29:D29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2026-10-18T04:05:15Z</dcterms:modified>
</cp:coreProperties>
</file>