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n1corn\UserSpace\Games\Steam_Library\common\BeamNG_Userdata\current\mods\unpacked\un1corn_qlourie_astral_r\docs\"/>
    </mc:Choice>
  </mc:AlternateContent>
  <xr:revisionPtr revIDLastSave="0" documentId="13_ncr:1_{5F30B539-2351-4963-91B0-339964238BA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Comparison" sheetId="1" r:id="rId1"/>
    <sheet name="Parameters" sheetId="5" r:id="rId2"/>
    <sheet name="Samples" sheetId="7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" l="1"/>
  <c r="E8" i="7"/>
  <c r="E7" i="7"/>
  <c r="E6" i="7"/>
  <c r="I26" i="5"/>
  <c r="H26" i="5"/>
  <c r="I25" i="5"/>
  <c r="H25" i="5" s="1"/>
  <c r="I24" i="5"/>
  <c r="H24" i="5" s="1"/>
  <c r="I23" i="5"/>
  <c r="H23" i="5"/>
  <c r="H18" i="5"/>
  <c r="G18" i="5"/>
  <c r="F9" i="7" s="1"/>
  <c r="H17" i="5"/>
  <c r="G17" i="5"/>
  <c r="E12" i="5"/>
  <c r="E11" i="5"/>
  <c r="E10" i="5"/>
  <c r="E9" i="5"/>
  <c r="E7" i="5"/>
  <c r="F8" i="7" l="1"/>
  <c r="K7" i="7"/>
  <c r="K8" i="7"/>
  <c r="G9" i="7"/>
  <c r="K6" i="7"/>
  <c r="F7" i="7"/>
  <c r="G7" i="7" s="1"/>
  <c r="G8" i="7"/>
  <c r="F6" i="7"/>
  <c r="G6" i="7" s="1"/>
  <c r="K9" i="7"/>
  <c r="J7" i="7" l="1"/>
  <c r="D24" i="7" s="1"/>
  <c r="I7" i="7"/>
  <c r="D23" i="7" s="1"/>
  <c r="H7" i="7"/>
  <c r="D22" i="7" s="1"/>
  <c r="J8" i="7"/>
  <c r="C17" i="7" s="1"/>
  <c r="I8" i="7"/>
  <c r="C16" i="7" s="1"/>
  <c r="H8" i="7"/>
  <c r="C15" i="7" s="1"/>
  <c r="J6" i="7"/>
  <c r="C24" i="7" s="1"/>
  <c r="H6" i="7"/>
  <c r="I6" i="7"/>
  <c r="C23" i="7" s="1"/>
  <c r="J9" i="7"/>
  <c r="D17" i="7" s="1"/>
  <c r="I9" i="7"/>
  <c r="D16" i="7" s="1"/>
  <c r="H9" i="7"/>
  <c r="D15" i="7" s="1"/>
  <c r="B5" i="1" l="1"/>
  <c r="C22" i="7"/>
</calcChain>
</file>

<file path=xl/sharedStrings.xml><?xml version="1.0" encoding="utf-8"?>
<sst xmlns="http://schemas.openxmlformats.org/spreadsheetml/2006/main" count="235" uniqueCount="54">
  <si>
    <t>Astral · ARB Outer Reference</t>
  </si>
  <si>
    <t>区间等效轮端刚度 · 整段角运动比 · 对侧轮固定</t>
  </si>
  <si>
    <t>整段角运动比换算值；不代表行程内每一位置的瞬时刚度。</t>
  </si>
  <si>
    <t>Astral · ARB Outer Parameters</t>
  </si>
  <si>
    <t>黄色单元格为手动输入。</t>
  </si>
  <si>
    <t>Axle</t>
  </si>
  <si>
    <t>Bar</t>
  </si>
  <si>
    <t>Diameter
(mm)</t>
  </si>
  <si>
    <t>Torsion
(N·m/rad)</t>
  </si>
  <si>
    <t>Front</t>
  </si>
  <si>
    <t>Rear</t>
  </si>
  <si>
    <t>原 Z 测量记录（不参与刚度计算）</t>
  </si>
  <si>
    <t>Surface</t>
  </si>
  <si>
    <t>Position</t>
  </si>
  <si>
    <t>ARB ΔZ (mm)</t>
  </si>
  <si>
    <t>Original arm (mm)</t>
  </si>
  <si>
    <t>Tarmac</t>
  </si>
  <si>
    <t>Gravel</t>
  </si>
  <si>
    <t>Astral · ARB Calculations</t>
  </si>
  <si>
    <t>Wheel ΔZ
(mm)</t>
  </si>
  <si>
    <t>Arm Δθ
(°)</t>
  </si>
  <si>
    <t>Angular MR
(rad/mm)</t>
  </si>
  <si>
    <t>Input</t>
  </si>
  <si>
    <t>Setting</t>
  </si>
  <si>
    <t>旧表原值</t>
  </si>
  <si>
    <t>Tarmac!I19</t>
  </si>
  <si>
    <t>Tarmac!J19</t>
  </si>
  <si>
    <t>Tarmac!K19</t>
  </si>
  <si>
    <t>Tarmac!I20</t>
  </si>
  <si>
    <t>Tarmac!J20</t>
  </si>
  <si>
    <t>Gravel!K6</t>
  </si>
  <si>
    <t>Gravel!K7</t>
  </si>
  <si>
    <t>Gravel!K8</t>
  </si>
  <si>
    <t>固定几何 · 生成位置 / 转轴</t>
  </si>
  <si>
    <t>节点使用车身相对坐标（m）；旋转半径按 Y/Z 计算。</t>
  </si>
  <si>
    <t>arb1 Start Y
(m)</t>
  </si>
  <si>
    <t>arb1 Start Z
(m)</t>
  </si>
  <si>
    <t>arb2 Y
(m)</t>
  </si>
  <si>
    <t>arb2 Z
(m)</t>
  </si>
  <si>
    <t>Start angle
(°)</t>
  </si>
  <si>
    <t>Radius
(mm)</t>
  </si>
  <si>
    <t>测量 · 每组填写轮行程和 arb1 终点</t>
  </si>
  <si>
    <t>arb1 End Y
(m)</t>
  </si>
  <si>
    <t>arb1 End Z
(m)</t>
  </si>
  <si>
    <t>End angle
(°)</t>
  </si>
  <si>
    <t>Astral · ARB H Parameters</t>
  </si>
  <si>
    <t>#1</t>
  </si>
  <si>
    <t>#2</t>
  </si>
  <si>
    <t>#3</t>
  </si>
  <si>
    <t>H</t>
  </si>
  <si>
    <t>Astral · ARB H Reference</t>
  </si>
  <si>
    <t>#1
(N/mm)</t>
  </si>
  <si>
    <t>#2
(N/mm)</t>
  </si>
  <si>
    <t>#3
(N/mm)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</si>
</sst>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0.000"/>
    <numFmt numFmtId="179" formatCode="0.000000"/>
  </numFmts>
  <fonts count="15">
    <font>
      <sz val="11"/>
      <name val="Carlito"/>
    </font>
    <font>
      <sz val="11"/>
      <color rgb="FF283C50"/>
      <name val="Arial"/>
      <family val="2"/>
    </font>
    <font>
      <sz val="11"/>
      <color rgb="FF667B91"/>
      <name val="Microsoft YaHei"/>
      <family val="2"/>
      <charset val="134"/>
    </font>
    <font>
      <sz val="10"/>
      <color rgb="FF667B91"/>
      <name val="Microsoft YaHei"/>
      <family val="2"/>
      <charset val="134"/>
    </font>
    <font>
      <b/>
      <sz val="11"/>
      <color rgb="FFFFFFFF"/>
      <name val="Arial"/>
      <family val="2"/>
    </font>
    <font>
      <b/>
      <sz val="12"/>
      <color rgb="FF667B91"/>
      <name val="Microsoft YaHei"/>
      <family val="2"/>
      <charset val="134"/>
    </font>
    <font>
      <sz val="10"/>
      <color rgb="FF667B91"/>
      <name val="Microsoft YaHei"/>
      <family val="2"/>
      <charset val="134"/>
    </font>
    <font>
      <sz val="9"/>
      <name val="宋体"/>
      <family val="3"/>
      <charset val="134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Microsoft YaHei"/>
      <family val="2"/>
      <charset val="134"/>
    </font>
    <font>
      <b/>
      <sz val="11"/>
      <color rgb="FFFFFFFF"/>
      <name val="Arial"/>
      <family val="2"/>
    </font>
    <font>
      <sz val="11"/>
      <color rgb="FF195DB1"/>
      <name val="Arial"/>
      <family val="2"/>
    </font>
    <font>
      <b/>
      <sz val="12"/>
      <color rgb="FF667B91"/>
      <name val="Microsoft YaHei"/>
      <family val="2"/>
      <charset val="134"/>
    </font>
    <font>
      <sz val="10"/>
      <color rgb="FF667B91"/>
      <name val="Microsoft YaHei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EDF2F7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EDF2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</borders>
  <cellStyleXfs count="2">
    <xf numFmtId="0" fontId="0" fillId="0" borderId="0"/>
    <xf numFmtId="0" fontId="13" fillId="10" borderId="2" xfId="0" applyFont="1" applyFill="1" applyBorder="1" applyAlignment="1">
      <alignment vertical="center"/>
    </xf>
  </cellStyleXfs>
  <cellXfs count="36">
    <xf numFmtId="0" fontId="0" fillId="0" borderId="0" xfId="0"/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/>
    </xf>
    <xf numFmtId="176" fontId="1" fillId="2" borderId="1" xfId="0" applyNumberFormat="1" applyFont="1" applyFill="1" applyBorder="1" applyAlignment="1">
      <alignment vertical="center"/>
    </xf>
    <xf numFmtId="176" fontId="1" fillId="4" borderId="1" xfId="0" applyNumberFormat="1" applyFont="1" applyFill="1" applyBorder="1" applyAlignment="1">
      <alignment vertical="center"/>
    </xf>
    <xf numFmtId="178" fontId="1" fillId="2" borderId="1" xfId="0" applyNumberFormat="1" applyFont="1" applyFill="1" applyBorder="1" applyAlignment="1">
      <alignment vertical="center"/>
    </xf>
    <xf numFmtId="178" fontId="1" fillId="4" borderId="1" xfId="0" applyNumberFormat="1" applyFont="1" applyFill="1" applyBorder="1" applyAlignment="1">
      <alignment vertical="center"/>
    </xf>
    <xf numFmtId="179" fontId="1" fillId="2" borderId="1" xfId="0" applyNumberFormat="1" applyFont="1" applyFill="1" applyBorder="1" applyAlignment="1">
      <alignment vertical="center"/>
    </xf>
    <xf numFmtId="179" fontId="1" fillId="4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8" fillId="6" borderId="2" xfId="1" applyFont="1" applyFill="1" applyBorder="1">
      <alignment vertical="center"/>
    </xf>
    <xf numFmtId="0" fontId="11" fillId="7" borderId="2" xfId="1" applyFont="1" applyFill="1" applyBorder="1" applyAlignment="1">
      <alignment horizontal="center" vertical="center" wrapText="1"/>
    </xf>
    <xf numFmtId="0" fontId="8" fillId="8" borderId="3" xfId="1" applyFont="1" applyFill="1" applyBorder="1">
      <alignment vertical="center"/>
    </xf>
    <xf numFmtId="0" fontId="8" fillId="6" borderId="3" xfId="1" applyFont="1" applyFill="1" applyBorder="1">
      <alignment vertical="center"/>
    </xf>
    <xf numFmtId="176" fontId="12" fillId="9" borderId="3" xfId="1" applyNumberFormat="1" applyFont="1" applyFill="1" applyBorder="1" applyAlignment="1">
      <alignment horizontal="right" vertical="center"/>
    </xf>
    <xf numFmtId="1" fontId="12" fillId="9" borderId="3" xfId="1" applyNumberFormat="1" applyFont="1" applyFill="1" applyBorder="1" applyAlignment="1">
      <alignment horizontal="right" vertical="center"/>
    </xf>
    <xf numFmtId="1" fontId="8" fillId="8" borderId="3" xfId="1" applyNumberFormat="1" applyFont="1" applyFill="1" applyBorder="1">
      <alignment vertical="center"/>
    </xf>
    <xf numFmtId="1" fontId="8" fillId="6" borderId="3" xfId="1" applyNumberFormat="1" applyFont="1" applyFill="1" applyBorder="1">
      <alignment vertical="center"/>
    </xf>
    <xf numFmtId="177" fontId="12" fillId="9" borderId="3" xfId="1" applyNumberFormat="1" applyFont="1" applyFill="1" applyBorder="1" applyAlignment="1">
      <alignment horizontal="right" vertical="center"/>
    </xf>
    <xf numFmtId="2" fontId="8" fillId="8" borderId="3" xfId="1" applyNumberFormat="1" applyFont="1" applyFill="1" applyBorder="1">
      <alignment vertical="center"/>
    </xf>
    <xf numFmtId="2" fontId="8" fillId="6" borderId="3" xfId="1" applyNumberFormat="1" applyFont="1" applyFill="1" applyBorder="1">
      <alignment vertical="center"/>
    </xf>
    <xf numFmtId="176" fontId="8" fillId="8" borderId="3" xfId="1" applyNumberFormat="1" applyFont="1" applyFill="1" applyBorder="1">
      <alignment vertical="center"/>
    </xf>
    <xf numFmtId="176" fontId="8" fillId="6" borderId="3" xfId="1" applyNumberFormat="1" applyFont="1" applyFill="1" applyBorder="1">
      <alignment vertical="center"/>
    </xf>
    <xf numFmtId="0" fontId="13" fillId="10" borderId="2" xfId="1" applyFont="1" applyFill="1" applyBorder="1">
      <alignment vertical="center"/>
    </xf>
    <xf numFmtId="0" fontId="9" fillId="6" borderId="2" xfId="1" applyFont="1" applyFill="1" applyBorder="1">
      <alignment vertical="center"/>
    </xf>
    <xf numFmtId="0" fontId="10" fillId="6" borderId="2" xfId="1" applyFont="1" applyFill="1" applyBorder="1">
      <alignment vertical="center"/>
    </xf>
    <xf numFmtId="0" fontId="14" fillId="6" borderId="2" xfId="1" applyFont="1" applyFill="1" applyBorder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Gravel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Front</c:v>
          </c:tx>
          <c:spPr>
            <a:solidFill>
              <a:srgbClr val="4472C4"/>
            </a:solidFill>
          </c:spPr>
          <c:invertIfNegative val="0"/>
          <c:cat>
            <c:strRef>
              <c:f>Samples!$B$15:$B$17</c:f>
              <c:strCache>
                <c:ptCount val="3"/>
                <c:pt idx="0">
                  <c:v>#1</c:v>
                </c:pt>
                <c:pt idx="1">
                  <c:v>#2</c:v>
                </c:pt>
                <c:pt idx="2">
                  <c:v>#3</c:v>
                </c:pt>
              </c:strCache>
            </c:strRef>
          </c:cat>
          <c:val>
            <c:numRef>
              <c:f>Samples!$C$15:$C$17</c:f>
              <c:numCache>
                <c:formatCode>0.00</c:formatCode>
                <c:ptCount val="3"/>
                <c:pt idx="0">
                  <c:v>4.0038661085437566</c:v>
                </c:pt>
                <c:pt idx="1">
                  <c:v>8.4551008893647595</c:v>
                </c:pt>
                <c:pt idx="2">
                  <c:v>15.562650598490066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E-48FD-812F-DC5A5E9BD638}"/>
            </c:ext>
          </c:extLst>
        </c:ser>
        <c:ser>
          <c:idx val="1"/>
          <c:order val="1"/>
          <c:tx>
            <c:v>Rear</c:v>
          </c:tx>
          <c:spPr>
            <a:solidFill>
              <a:srgbClr val="ED7D31"/>
            </a:solidFill>
          </c:spPr>
          <c:invertIfNegative val="0"/>
          <c:cat>
            <c:strRef>
              <c:f>Samples!$B$15:$B$17</c:f>
              <c:strCache>
                <c:ptCount val="3"/>
                <c:pt idx="0">
                  <c:v>#1</c:v>
                </c:pt>
                <c:pt idx="1">
                  <c:v>#2</c:v>
                </c:pt>
                <c:pt idx="2">
                  <c:v>#3</c:v>
                </c:pt>
              </c:strCache>
            </c:strRef>
          </c:cat>
          <c:val>
            <c:numRef>
              <c:f>Samples!$D$15:$D$17</c:f>
              <c:numCache>
                <c:formatCode>0.00</c:formatCode>
                <c:ptCount val="3"/>
                <c:pt idx="0">
                  <c:v>11.096327112164881</c:v>
                </c:pt>
                <c:pt idx="1">
                  <c:v>22.82055028025858</c:v>
                </c:pt>
                <c:pt idx="2">
                  <c:v>38.431584245249276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E-48FD-812F-DC5A5E9BD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Equivalent wheel rate (N/mm)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Tarmac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Front</c:v>
          </c:tx>
          <c:spPr>
            <a:solidFill>
              <a:srgbClr val="4472C4"/>
            </a:solidFill>
          </c:spPr>
          <c:invertIfNegative val="0"/>
          <c:cat>
            <c:strRef>
              <c:f>Samples!$B$22:$B$24</c:f>
              <c:strCache>
                <c:ptCount val="3"/>
                <c:pt idx="0">
                  <c:v>#1</c:v>
                </c:pt>
                <c:pt idx="1">
                  <c:v>#2</c:v>
                </c:pt>
                <c:pt idx="2">
                  <c:v>#3</c:v>
                </c:pt>
              </c:strCache>
            </c:strRef>
          </c:cat>
          <c:val>
            <c:numRef>
              <c:f>Samples!$C$22:$C$24</c:f>
              <c:numCache>
                <c:formatCode>0.00</c:formatCode>
                <c:ptCount val="3"/>
                <c:pt idx="0">
                  <c:v>4.8029556626481638</c:v>
                </c:pt>
                <c:pt idx="1">
                  <c:v>10.142565608820032</c:v>
                </c:pt>
                <c:pt idx="2">
                  <c:v>18.6686364607279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E-4E09-BDA1-01980E03FBE8}"/>
            </c:ext>
          </c:extLst>
        </c:ser>
        <c:ser>
          <c:idx val="1"/>
          <c:order val="1"/>
          <c:tx>
            <c:v>Rear</c:v>
          </c:tx>
          <c:spPr>
            <a:solidFill>
              <a:srgbClr val="ED7D31"/>
            </a:solidFill>
          </c:spPr>
          <c:invertIfNegative val="0"/>
          <c:cat>
            <c:strRef>
              <c:f>Samples!$B$22:$B$24</c:f>
              <c:strCache>
                <c:ptCount val="3"/>
                <c:pt idx="0">
                  <c:v>#1</c:v>
                </c:pt>
                <c:pt idx="1">
                  <c:v>#2</c:v>
                </c:pt>
                <c:pt idx="2">
                  <c:v>#3</c:v>
                </c:pt>
              </c:strCache>
            </c:strRef>
          </c:cat>
          <c:val>
            <c:numRef>
              <c:f>Samples!$D$22:$D$24</c:f>
              <c:numCache>
                <c:formatCode>0.00</c:formatCode>
                <c:ptCount val="3"/>
                <c:pt idx="0">
                  <c:v>12.805673798881909</c:v>
                </c:pt>
                <c:pt idx="1">
                  <c:v>26.335968635928243</c:v>
                </c:pt>
                <c:pt idx="2">
                  <c:v>44.351822584553837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E-4E09-BDA1-01980E03F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Equivalent wheel rate (N/mm)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75E"/>
  </sheetPr>
  <dimension ref="A1:O49"/>
  <sheetViews>
    <sheetView showGridLines="0" topLeftCell="A7" zoomScale="76" workbookViewId="0">
      <selection activeCell="D48" sqref="D48"/>
    </sheetView>
  </sheetViews>
  <sheetFormatPr defaultRowHeight="14.25"/>
  <cols>
    <col min="1" max="1" width="2.75" customWidth="1"/>
    <col min="2" max="14" width="10" customWidth="1"/>
    <col min="15" max="15" width="10.5" customWidth="1"/>
  </cols>
  <sheetData>
    <row r="1" spans="1:15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6.1" customHeight="1">
      <c r="A2" s="1"/>
      <c r="B2" s="32" t="s">
        <v>50</v>
      </c>
      <c r="C2" s="32" t="s">
        <v>0</v>
      </c>
      <c r="D2" s="32" t="s">
        <v>0</v>
      </c>
      <c r="E2" s="32" t="s">
        <v>0</v>
      </c>
      <c r="F2" s="32" t="s">
        <v>0</v>
      </c>
      <c r="G2" s="32" t="s">
        <v>0</v>
      </c>
      <c r="H2" s="32" t="s">
        <v>0</v>
      </c>
      <c r="I2" s="32" t="s">
        <v>0</v>
      </c>
      <c r="J2" s="32" t="s">
        <v>0</v>
      </c>
      <c r="K2" s="32" t="s">
        <v>0</v>
      </c>
      <c r="L2" s="32" t="s">
        <v>0</v>
      </c>
      <c r="M2" s="32" t="s">
        <v>0</v>
      </c>
      <c r="N2" s="32" t="s">
        <v>0</v>
      </c>
      <c r="O2" s="1"/>
    </row>
    <row r="3" spans="1:15" ht="26.1" customHeight="1">
      <c r="A3" s="1"/>
      <c r="B3" s="32" t="s">
        <v>0</v>
      </c>
      <c r="C3" s="32" t="s">
        <v>0</v>
      </c>
      <c r="D3" s="32" t="s">
        <v>0</v>
      </c>
      <c r="E3" s="32" t="s">
        <v>0</v>
      </c>
      <c r="F3" s="32" t="s">
        <v>0</v>
      </c>
      <c r="G3" s="32" t="s">
        <v>0</v>
      </c>
      <c r="H3" s="32" t="s">
        <v>0</v>
      </c>
      <c r="I3" s="32" t="s">
        <v>0</v>
      </c>
      <c r="J3" s="32" t="s">
        <v>0</v>
      </c>
      <c r="K3" s="32" t="s">
        <v>0</v>
      </c>
      <c r="L3" s="32" t="s">
        <v>0</v>
      </c>
      <c r="M3" s="32" t="s">
        <v>0</v>
      </c>
      <c r="N3" s="32" t="s">
        <v>0</v>
      </c>
      <c r="O3" s="1"/>
    </row>
    <row r="4" spans="1:15" ht="26.1" customHeight="1">
      <c r="A4" s="1"/>
      <c r="B4" s="33" t="s">
        <v>1</v>
      </c>
      <c r="C4" s="33" t="s">
        <v>1</v>
      </c>
      <c r="D4" s="33" t="s">
        <v>1</v>
      </c>
      <c r="E4" s="33" t="s">
        <v>1</v>
      </c>
      <c r="F4" s="33" t="s">
        <v>1</v>
      </c>
      <c r="G4" s="33" t="s">
        <v>1</v>
      </c>
      <c r="H4" s="33" t="s">
        <v>1</v>
      </c>
      <c r="I4" s="33" t="s">
        <v>1</v>
      </c>
      <c r="J4" s="33" t="s">
        <v>1</v>
      </c>
      <c r="K4" s="33" t="s">
        <v>1</v>
      </c>
      <c r="L4" s="33" t="s">
        <v>1</v>
      </c>
      <c r="M4" s="33" t="s">
        <v>1</v>
      </c>
      <c r="N4" s="33" t="s">
        <v>1</v>
      </c>
      <c r="O4" s="1"/>
    </row>
    <row r="5" spans="1:15" ht="26.1" customHeight="1">
      <c r="A5" s="1"/>
      <c r="B5" s="34" t="str">
        <f>IF(COUNT(Samples!H6:J9)=0,"待补节点坐标；暂无刚度结果。","")</f>
        <v/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1"/>
    </row>
    <row r="6" spans="1:15" ht="26.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6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6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6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6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6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6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6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6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6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6.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6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6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6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6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6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6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6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6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6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6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6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6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6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6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6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6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6.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6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6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6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6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6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6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26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26.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26.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26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26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26.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26.1" customHeight="1">
      <c r="A49" s="1"/>
      <c r="B49" s="34" t="s">
        <v>2</v>
      </c>
      <c r="C49" s="34" t="s">
        <v>2</v>
      </c>
      <c r="D49" s="34" t="s">
        <v>2</v>
      </c>
      <c r="E49" s="34" t="s">
        <v>2</v>
      </c>
      <c r="F49" s="34" t="s">
        <v>2</v>
      </c>
      <c r="G49" s="34" t="s">
        <v>2</v>
      </c>
      <c r="H49" s="34" t="s">
        <v>2</v>
      </c>
      <c r="I49" s="34" t="s">
        <v>2</v>
      </c>
      <c r="J49" s="34" t="s">
        <v>2</v>
      </c>
      <c r="K49" s="34" t="s">
        <v>2</v>
      </c>
      <c r="L49" s="34" t="s">
        <v>2</v>
      </c>
      <c r="M49" s="34" t="s">
        <v>2</v>
      </c>
      <c r="N49" s="34" t="s">
        <v>2</v>
      </c>
      <c r="O49" s="1"/>
    </row>
  </sheetData>
  <mergeCells count="4">
    <mergeCell ref="B2:N3"/>
    <mergeCell ref="B4:N4"/>
    <mergeCell ref="B5:N5"/>
    <mergeCell ref="B49:N49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475E"/>
  </sheetPr>
  <dimension ref="A1:J65"/>
  <sheetViews>
    <sheetView showGridLines="0" workbookViewId="0">
      <pane ySplit="4" topLeftCell="A10" activePane="bottomLeft" state="frozen"/>
      <selection pane="bottomLeft" activeCell="E25" sqref="E25"/>
    </sheetView>
  </sheetViews>
  <sheetFormatPr defaultRowHeight="14.25"/>
  <cols>
    <col min="1" max="1" width="2.75" customWidth="1"/>
    <col min="2" max="2" width="13.5" customWidth="1"/>
    <col min="3" max="3" width="13.75" customWidth="1"/>
    <col min="4" max="4" width="15.5" customWidth="1"/>
    <col min="5" max="5" width="18.125" customWidth="1"/>
    <col min="6" max="7" width="16.5" customWidth="1"/>
    <col min="8" max="9" width="15.625" customWidth="1"/>
    <col min="10" max="10" width="2.75" customWidth="1"/>
    <col min="11" max="14" width="10" customWidth="1"/>
    <col min="15" max="15" width="10.5" customWidth="1"/>
  </cols>
  <sheetData>
    <row r="1" spans="1:10" ht="27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7" customHeight="1">
      <c r="A2" s="15"/>
      <c r="B2" s="29" t="s">
        <v>45</v>
      </c>
      <c r="C2" s="29" t="s">
        <v>3</v>
      </c>
      <c r="D2" s="29" t="s">
        <v>3</v>
      </c>
      <c r="E2" s="29" t="s">
        <v>3</v>
      </c>
      <c r="F2" s="29" t="s">
        <v>3</v>
      </c>
      <c r="G2" s="29" t="s">
        <v>3</v>
      </c>
      <c r="H2" s="29" t="s">
        <v>3</v>
      </c>
      <c r="I2" s="29" t="s">
        <v>3</v>
      </c>
      <c r="J2" s="15"/>
    </row>
    <row r="3" spans="1:10" ht="27" customHeight="1">
      <c r="A3" s="15"/>
      <c r="B3" s="29" t="s">
        <v>3</v>
      </c>
      <c r="C3" s="29" t="s">
        <v>3</v>
      </c>
      <c r="D3" s="29" t="s">
        <v>3</v>
      </c>
      <c r="E3" s="29" t="s">
        <v>3</v>
      </c>
      <c r="F3" s="29" t="s">
        <v>3</v>
      </c>
      <c r="G3" s="29" t="s">
        <v>3</v>
      </c>
      <c r="H3" s="29" t="s">
        <v>3</v>
      </c>
      <c r="I3" s="29" t="s">
        <v>3</v>
      </c>
      <c r="J3" s="15"/>
    </row>
    <row r="4" spans="1:10" ht="27" customHeight="1">
      <c r="A4" s="15"/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4</v>
      </c>
      <c r="H4" s="30" t="s">
        <v>4</v>
      </c>
      <c r="I4" s="30" t="s">
        <v>4</v>
      </c>
      <c r="J4" s="15"/>
    </row>
    <row r="5" spans="1:10" ht="27" customHeight="1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42" customHeight="1">
      <c r="A6" s="15"/>
      <c r="B6" s="16" t="s">
        <v>5</v>
      </c>
      <c r="C6" s="16" t="s">
        <v>6</v>
      </c>
      <c r="D6" s="16" t="s">
        <v>7</v>
      </c>
      <c r="E6" s="16" t="s">
        <v>8</v>
      </c>
      <c r="F6" s="15"/>
      <c r="G6" s="15"/>
      <c r="H6" s="15"/>
      <c r="I6" s="15"/>
      <c r="J6" s="15"/>
    </row>
    <row r="7" spans="1:10" ht="27" customHeight="1">
      <c r="A7" s="15"/>
      <c r="B7" s="17" t="s">
        <v>9</v>
      </c>
      <c r="C7" s="17" t="s">
        <v>46</v>
      </c>
      <c r="D7" s="19">
        <v>14.6</v>
      </c>
      <c r="E7" s="21">
        <f>$E$8*(D7/$D$8)^4</f>
        <v>941.40636852684645</v>
      </c>
      <c r="F7" s="15"/>
      <c r="G7" s="15"/>
      <c r="H7" s="15"/>
      <c r="I7" s="15"/>
      <c r="J7" s="15"/>
    </row>
    <row r="8" spans="1:10" ht="27" customHeight="1">
      <c r="A8" s="15"/>
      <c r="B8" s="18" t="s">
        <v>9</v>
      </c>
      <c r="C8" s="18" t="s">
        <v>47</v>
      </c>
      <c r="D8" s="19">
        <v>17.600000000000001</v>
      </c>
      <c r="E8" s="20">
        <v>1988</v>
      </c>
      <c r="F8" s="15"/>
      <c r="G8" s="15"/>
      <c r="H8" s="15"/>
      <c r="I8" s="15"/>
      <c r="J8" s="15"/>
    </row>
    <row r="9" spans="1:10" ht="27" customHeight="1">
      <c r="A9" s="15"/>
      <c r="B9" s="17" t="s">
        <v>9</v>
      </c>
      <c r="C9" s="17" t="s">
        <v>48</v>
      </c>
      <c r="D9" s="19">
        <v>20.5</v>
      </c>
      <c r="E9" s="21">
        <f>$E$8*(D9/$D$8)^4</f>
        <v>3659.1579207191098</v>
      </c>
      <c r="F9" s="15"/>
      <c r="G9" s="15"/>
      <c r="H9" s="15"/>
      <c r="I9" s="15"/>
      <c r="J9" s="15"/>
    </row>
    <row r="10" spans="1:10" ht="27" customHeight="1">
      <c r="A10" s="15"/>
      <c r="B10" s="18" t="s">
        <v>10</v>
      </c>
      <c r="C10" s="18" t="s">
        <v>46</v>
      </c>
      <c r="D10" s="19">
        <v>16.2</v>
      </c>
      <c r="E10" s="22">
        <f>$E$8*(D10/$D$8)^4</f>
        <v>1427.0058942593778</v>
      </c>
      <c r="F10" s="15"/>
      <c r="G10" s="15"/>
      <c r="H10" s="15"/>
      <c r="I10" s="15"/>
      <c r="J10" s="15"/>
    </row>
    <row r="11" spans="1:10" ht="27" customHeight="1">
      <c r="A11" s="15"/>
      <c r="B11" s="17" t="s">
        <v>10</v>
      </c>
      <c r="C11" s="17" t="s">
        <v>47</v>
      </c>
      <c r="D11" s="19">
        <v>19.399999999999999</v>
      </c>
      <c r="E11" s="21">
        <f>$E$8*(D11/$D$8)^4</f>
        <v>2934.7602527389881</v>
      </c>
      <c r="F11" s="15"/>
      <c r="G11" s="15"/>
      <c r="H11" s="15"/>
      <c r="I11" s="15"/>
      <c r="J11" s="15"/>
    </row>
    <row r="12" spans="1:10" ht="27" customHeight="1">
      <c r="A12" s="15"/>
      <c r="B12" s="18" t="s">
        <v>10</v>
      </c>
      <c r="C12" s="18" t="s">
        <v>48</v>
      </c>
      <c r="D12" s="19">
        <v>22.1</v>
      </c>
      <c r="E12" s="22">
        <f>$E$8*(D12/$D$8)^4</f>
        <v>4942.3648644580135</v>
      </c>
      <c r="F12" s="15"/>
      <c r="G12" s="15"/>
      <c r="H12" s="15"/>
      <c r="I12" s="15"/>
      <c r="J12" s="15"/>
    </row>
    <row r="13" spans="1:10" ht="27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 ht="27" customHeight="1">
      <c r="A14" s="15"/>
      <c r="B14" s="28" t="s">
        <v>33</v>
      </c>
      <c r="C14" s="28" t="s">
        <v>33</v>
      </c>
      <c r="D14" s="28" t="s">
        <v>33</v>
      </c>
      <c r="E14" s="28" t="s">
        <v>33</v>
      </c>
      <c r="F14" s="28" t="s">
        <v>33</v>
      </c>
      <c r="G14" s="28" t="s">
        <v>33</v>
      </c>
      <c r="H14" s="28" t="s">
        <v>33</v>
      </c>
      <c r="I14" s="28" t="s">
        <v>33</v>
      </c>
      <c r="J14" s="15"/>
    </row>
    <row r="15" spans="1:10" ht="27" customHeight="1">
      <c r="A15" s="15"/>
      <c r="B15" s="31" t="s">
        <v>34</v>
      </c>
      <c r="C15" s="31" t="s">
        <v>34</v>
      </c>
      <c r="D15" s="31" t="s">
        <v>34</v>
      </c>
      <c r="E15" s="31" t="s">
        <v>34</v>
      </c>
      <c r="F15" s="31" t="s">
        <v>34</v>
      </c>
      <c r="G15" s="31" t="s">
        <v>34</v>
      </c>
      <c r="H15" s="31" t="s">
        <v>34</v>
      </c>
      <c r="I15" s="31" t="s">
        <v>34</v>
      </c>
      <c r="J15" s="15"/>
    </row>
    <row r="16" spans="1:10" ht="42" customHeight="1">
      <c r="A16" s="15"/>
      <c r="B16" s="16" t="s">
        <v>5</v>
      </c>
      <c r="C16" s="16" t="s">
        <v>35</v>
      </c>
      <c r="D16" s="16" t="s">
        <v>36</v>
      </c>
      <c r="E16" s="16" t="s">
        <v>37</v>
      </c>
      <c r="F16" s="16" t="s">
        <v>38</v>
      </c>
      <c r="G16" s="16" t="s">
        <v>39</v>
      </c>
      <c r="H16" s="16" t="s">
        <v>40</v>
      </c>
      <c r="I16" s="15"/>
      <c r="J16" s="15"/>
    </row>
    <row r="17" spans="1:10" ht="27" customHeight="1">
      <c r="A17" s="15"/>
      <c r="B17" s="17" t="s">
        <v>9</v>
      </c>
      <c r="C17" s="23">
        <v>-1.0609999999999999</v>
      </c>
      <c r="D17" s="23">
        <v>0.19500000000000001</v>
      </c>
      <c r="E17" s="23">
        <v>-0.89900000000000002</v>
      </c>
      <c r="F17" s="23">
        <v>0.185</v>
      </c>
      <c r="G17" s="24">
        <f>IF(COUNT(C17:F17)&lt;4,"",IF(H17=0,"无效半径",IF(D17&lt;F17,-1,1)*DEGREES(ACOS(MAX(-1,MIN(1,(E17-C17)*1000/H17))))))</f>
        <v>3.5322945838909319</v>
      </c>
      <c r="H17" s="26">
        <f>IF(COUNT(C17:F17)&lt;4,"",1000*SQRT((C17-E17)^2+(D17-F17)^2))</f>
        <v>162.30834852218777</v>
      </c>
      <c r="I17" s="15"/>
      <c r="J17" s="15"/>
    </row>
    <row r="18" spans="1:10" ht="27" customHeight="1">
      <c r="A18" s="15"/>
      <c r="B18" s="18" t="s">
        <v>10</v>
      </c>
      <c r="C18" s="23">
        <v>1.321</v>
      </c>
      <c r="D18" s="23">
        <v>0.186</v>
      </c>
      <c r="E18" s="23">
        <v>1.4550000000000001</v>
      </c>
      <c r="F18" s="23">
        <v>0.26100000000000001</v>
      </c>
      <c r="G18" s="25">
        <f>IF(COUNT(C18:F18)&lt;4,"",IF(H18=0,"无效半径",IF(D18&lt;F18,-1,1)*DEGREES(ACOS(MAX(-1,MIN(1,(E18-C18)*1000/H18))))))</f>
        <v>-29.235804568699994</v>
      </c>
      <c r="H18" s="27">
        <f>IF(COUNT(C18:F18)&lt;4,"",1000*SQRT((C18-E18)^2+(D18-F18)^2))</f>
        <v>153.5610627730872</v>
      </c>
      <c r="I18" s="15"/>
      <c r="J18" s="15"/>
    </row>
    <row r="19" spans="1:10" ht="27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</row>
    <row r="20" spans="1:10" ht="27" customHeight="1">
      <c r="A20" s="15"/>
      <c r="B20" s="28" t="s">
        <v>41</v>
      </c>
      <c r="C20" s="28" t="s">
        <v>41</v>
      </c>
      <c r="D20" s="28" t="s">
        <v>41</v>
      </c>
      <c r="E20" s="28" t="s">
        <v>41</v>
      </c>
      <c r="F20" s="28" t="s">
        <v>41</v>
      </c>
      <c r="G20" s="28" t="s">
        <v>41</v>
      </c>
      <c r="H20" s="28" t="s">
        <v>41</v>
      </c>
      <c r="I20" s="28" t="s">
        <v>41</v>
      </c>
      <c r="J20" s="15"/>
    </row>
    <row r="21" spans="1:10" ht="27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42" customHeight="1">
      <c r="A22" s="15"/>
      <c r="B22" s="16" t="s">
        <v>12</v>
      </c>
      <c r="C22" s="16" t="s">
        <v>5</v>
      </c>
      <c r="D22" s="16" t="s">
        <v>13</v>
      </c>
      <c r="E22" s="16" t="s">
        <v>19</v>
      </c>
      <c r="F22" s="16" t="s">
        <v>42</v>
      </c>
      <c r="G22" s="16" t="s">
        <v>43</v>
      </c>
      <c r="H22" s="16" t="s">
        <v>44</v>
      </c>
      <c r="I22" s="16" t="s">
        <v>40</v>
      </c>
      <c r="J22" s="15"/>
    </row>
    <row r="23" spans="1:10" ht="27" customHeight="1">
      <c r="A23" s="15"/>
      <c r="B23" s="17" t="s">
        <v>16</v>
      </c>
      <c r="C23" s="17" t="s">
        <v>9</v>
      </c>
      <c r="D23" s="17" t="s">
        <v>49</v>
      </c>
      <c r="E23" s="19">
        <v>167</v>
      </c>
      <c r="F23" s="23">
        <v>-1.046</v>
      </c>
      <c r="G23" s="23">
        <v>0.254</v>
      </c>
      <c r="H23" s="24">
        <f>IF(COUNT(F23:G23,E17:F17)&lt;4,"",IF(I23=0,"无效半径",IF(G23&lt;F17,-1,1)*DEGREES(ACOS(MAX(-1,MIN(1,(E17-F23)*1000/I23))))))</f>
        <v>25.144785630678921</v>
      </c>
      <c r="I23" s="26">
        <f>IF(COUNT(F23:G23,E17:F17)&lt;4,"",1000*SQRT((F23-E17)^2+(G23-F17)^2))</f>
        <v>162.3884232326923</v>
      </c>
      <c r="J23" s="15"/>
    </row>
    <row r="24" spans="1:10" ht="27" customHeight="1">
      <c r="A24" s="15"/>
      <c r="B24" s="18" t="s">
        <v>16</v>
      </c>
      <c r="C24" s="18" t="s">
        <v>10</v>
      </c>
      <c r="D24" s="18" t="s">
        <v>49</v>
      </c>
      <c r="E24" s="19">
        <v>166</v>
      </c>
      <c r="F24" s="23">
        <v>1.3009999999999999</v>
      </c>
      <c r="G24" s="23">
        <v>0.25900000000000001</v>
      </c>
      <c r="H24" s="25">
        <f>IF(COUNT(F24:G24,E18:F18)&lt;4,"",IF(I24=0,"无效半径",IF(G24&lt;F18,-1,1)*DEGREES(ACOS(MAX(-1,MIN(1,(E18-F24)*1000/I24))))))</f>
        <v>-0.74405920288851057</v>
      </c>
      <c r="I24" s="27">
        <f>IF(COUNT(F24:G24,E18:F18)&lt;4,"",1000*SQRT((F24-E18)^2+(G24-F18)^2))</f>
        <v>154.01298646542779</v>
      </c>
      <c r="J24" s="15"/>
    </row>
    <row r="25" spans="1:10" ht="27" customHeight="1">
      <c r="A25" s="15"/>
      <c r="B25" s="17" t="s">
        <v>17</v>
      </c>
      <c r="C25" s="17" t="s">
        <v>9</v>
      </c>
      <c r="D25" s="17" t="s">
        <v>49</v>
      </c>
      <c r="E25" s="19">
        <v>266</v>
      </c>
      <c r="F25" s="23">
        <v>-1.032</v>
      </c>
      <c r="G25" s="23">
        <v>0.27800000000000002</v>
      </c>
      <c r="H25" s="24">
        <f>IF(COUNT(F25:G25,E17:F17)&lt;4,"",IF(I25=0,"无效半径",IF(G25&lt;F17,-1,1)*DEGREES(ACOS(MAX(-1,MIN(1,(E17-F25)*1000/I25))))))</f>
        <v>34.963097546036515</v>
      </c>
      <c r="I25" s="26">
        <f>IF(COUNT(F25:G25,E17:F17)&lt;4,"",1000*SQRT((F25-E17)^2+(G25-F17)^2))</f>
        <v>162.28986413205234</v>
      </c>
      <c r="J25" s="15"/>
    </row>
    <row r="26" spans="1:10" ht="27" customHeight="1">
      <c r="A26" s="15"/>
      <c r="B26" s="18" t="s">
        <v>17</v>
      </c>
      <c r="C26" s="18" t="s">
        <v>10</v>
      </c>
      <c r="D26" s="18" t="s">
        <v>49</v>
      </c>
      <c r="E26" s="19">
        <v>268</v>
      </c>
      <c r="F26" s="23">
        <v>1.306</v>
      </c>
      <c r="G26" s="23">
        <v>0.29699999999999999</v>
      </c>
      <c r="H26" s="25">
        <f>IF(COUNT(F26:G26,E18:F18)&lt;4,"",IF(I26=0,"无效半径",IF(G26&lt;F18,-1,1)*DEGREES(ACOS(MAX(-1,MIN(1,(E18-F26)*1000/I26))))))</f>
        <v>13.582963529836702</v>
      </c>
      <c r="I26" s="27">
        <f>IF(COUNT(F26:G26,E18:F18)&lt;4,"",1000*SQRT((F26-E18)^2+(G26-F18)^2))</f>
        <v>153.28731193415848</v>
      </c>
      <c r="J26" s="15"/>
    </row>
    <row r="27" spans="1:10" ht="27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spans="1:10" ht="27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 ht="27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10" ht="27" customHeight="1">
      <c r="A30" s="15"/>
      <c r="B30" s="1" t="s">
        <v>11</v>
      </c>
      <c r="C30" s="28" t="s">
        <v>11</v>
      </c>
      <c r="D30" s="28" t="s">
        <v>11</v>
      </c>
      <c r="E30" s="28" t="s">
        <v>11</v>
      </c>
      <c r="F30" s="28" t="s">
        <v>11</v>
      </c>
      <c r="G30" s="28" t="s">
        <v>11</v>
      </c>
      <c r="H30" s="28" t="s">
        <v>11</v>
      </c>
      <c r="I30" s="28" t="s">
        <v>11</v>
      </c>
      <c r="J30" s="15"/>
    </row>
    <row r="31" spans="1:10" ht="42" customHeight="1">
      <c r="A31" s="15"/>
      <c r="B31" s="16" t="s">
        <v>12</v>
      </c>
      <c r="C31" s="16" t="s">
        <v>5</v>
      </c>
      <c r="D31" s="16" t="s">
        <v>13</v>
      </c>
      <c r="E31" s="16" t="s">
        <v>14</v>
      </c>
      <c r="F31" s="16" t="s">
        <v>15</v>
      </c>
      <c r="G31" s="15"/>
      <c r="H31" s="15"/>
      <c r="I31" s="15"/>
      <c r="J31" s="15"/>
    </row>
    <row r="32" spans="1:10" ht="27" customHeight="1">
      <c r="A32" s="15"/>
      <c r="B32" s="18" t="s">
        <v>16</v>
      </c>
      <c r="C32" s="18" t="s">
        <v>9</v>
      </c>
      <c r="D32" s="18" t="s">
        <v>49</v>
      </c>
      <c r="E32" s="27">
        <v>46</v>
      </c>
      <c r="F32" s="27">
        <v>163</v>
      </c>
      <c r="G32" s="15"/>
      <c r="H32" s="15"/>
      <c r="I32" s="15"/>
      <c r="J32" s="15"/>
    </row>
    <row r="33" spans="1:10" ht="27" customHeight="1">
      <c r="A33" s="15"/>
      <c r="B33" s="17" t="s">
        <v>16</v>
      </c>
      <c r="C33" s="17" t="s">
        <v>10</v>
      </c>
      <c r="D33" s="17" t="s">
        <v>49</v>
      </c>
      <c r="E33" s="26">
        <v>54</v>
      </c>
      <c r="F33" s="26">
        <v>154</v>
      </c>
      <c r="G33" s="15"/>
      <c r="H33" s="15"/>
      <c r="I33" s="15"/>
      <c r="J33" s="15"/>
    </row>
    <row r="34" spans="1:10" ht="27" customHeight="1">
      <c r="A34" s="15"/>
      <c r="B34" s="18" t="s">
        <v>17</v>
      </c>
      <c r="C34" s="18" t="s">
        <v>9</v>
      </c>
      <c r="D34" s="18" t="s">
        <v>49</v>
      </c>
      <c r="E34" s="27">
        <v>83</v>
      </c>
      <c r="F34" s="27">
        <v>163</v>
      </c>
      <c r="G34" s="15"/>
      <c r="H34" s="15"/>
      <c r="I34" s="15"/>
      <c r="J34" s="15"/>
    </row>
    <row r="35" spans="1:10" ht="27" customHeight="1">
      <c r="A35" s="15"/>
      <c r="B35" s="17" t="s">
        <v>17</v>
      </c>
      <c r="C35" s="17" t="s">
        <v>10</v>
      </c>
      <c r="D35" s="17" t="s">
        <v>49</v>
      </c>
      <c r="E35" s="26">
        <v>111</v>
      </c>
      <c r="F35" s="26">
        <v>154</v>
      </c>
      <c r="G35" s="15"/>
      <c r="H35" s="15"/>
      <c r="I35" s="15"/>
      <c r="J35" s="15"/>
    </row>
    <row r="36" spans="1:10" ht="27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27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27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ht="27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ht="27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ht="27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ht="27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10" ht="27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10" ht="27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27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ht="27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</row>
    <row r="47" spans="1:10" ht="27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</row>
    <row r="48" spans="1:10" ht="27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</row>
    <row r="49" spans="1:10" ht="27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</row>
    <row r="50" spans="1:10" ht="27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</row>
    <row r="51" spans="1:10" ht="27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</row>
    <row r="52" spans="1:10" ht="27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</row>
    <row r="53" spans="1:10" ht="27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27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</row>
    <row r="55" spans="1:10" ht="27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</row>
    <row r="56" spans="1:10" ht="27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</row>
    <row r="57" spans="1:10" ht="27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ht="27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</row>
    <row r="59" spans="1:10" ht="27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</row>
    <row r="60" spans="1:10" ht="27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</row>
    <row r="61" spans="1:10" ht="27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</row>
    <row r="62" spans="1:10" ht="27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spans="1:10" ht="27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 ht="27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spans="1:10" ht="27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</sheetData>
  <mergeCells count="6">
    <mergeCell ref="B30:I30"/>
    <mergeCell ref="B2:I3"/>
    <mergeCell ref="B4:I4"/>
    <mergeCell ref="B14:I14"/>
    <mergeCell ref="B15:I15"/>
    <mergeCell ref="B20:I20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475E"/>
  </sheetPr>
  <dimension ref="A1:M157"/>
  <sheetViews>
    <sheetView showGridLines="0" tabSelected="1" zoomScale="145" zoomScaleNormal="145" workbookViewId="0">
      <pane ySplit="5" topLeftCell="A6" activePane="bottomLeft" state="frozen"/>
      <selection pane="bottomLeft" activeCell="H8" sqref="H8"/>
    </sheetView>
  </sheetViews>
  <sheetFormatPr defaultRowHeight="14.25"/>
  <cols>
    <col min="1" max="1" width="2.75" customWidth="1"/>
    <col min="2" max="2" width="12.5" customWidth="1"/>
    <col min="3" max="3" width="11" customWidth="1"/>
    <col min="4" max="4" width="12" customWidth="1"/>
    <col min="5" max="5" width="13.5" customWidth="1"/>
    <col min="6" max="6" width="13.75" customWidth="1"/>
    <col min="7" max="7" width="15.625" customWidth="1"/>
    <col min="8" max="10" width="12.5" customWidth="1"/>
    <col min="11" max="11" width="18.125" customWidth="1"/>
    <col min="12" max="13" width="2.75" customWidth="1"/>
    <col min="14" max="15" width="13" customWidth="1"/>
    <col min="16" max="16" width="18" customWidth="1"/>
    <col min="17" max="17" width="12" customWidth="1"/>
    <col min="18" max="22" width="13" customWidth="1"/>
  </cols>
  <sheetData>
    <row r="1" spans="1:13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6.1" customHeight="1">
      <c r="A2" s="1"/>
      <c r="B2" s="32" t="s">
        <v>18</v>
      </c>
      <c r="C2" s="32" t="s">
        <v>18</v>
      </c>
      <c r="D2" s="32" t="s">
        <v>18</v>
      </c>
      <c r="E2" s="32" t="s">
        <v>18</v>
      </c>
      <c r="F2" s="32" t="s">
        <v>18</v>
      </c>
      <c r="G2" s="32" t="s">
        <v>18</v>
      </c>
      <c r="H2" s="32" t="s">
        <v>18</v>
      </c>
      <c r="I2" s="32" t="s">
        <v>18</v>
      </c>
      <c r="J2" s="32" t="s">
        <v>18</v>
      </c>
      <c r="K2" s="32" t="s">
        <v>18</v>
      </c>
      <c r="L2" s="1"/>
      <c r="M2" s="1"/>
    </row>
    <row r="3" spans="1:13" ht="26.1" customHeight="1">
      <c r="A3" s="1"/>
      <c r="B3" s="32" t="s">
        <v>18</v>
      </c>
      <c r="C3" s="32" t="s">
        <v>18</v>
      </c>
      <c r="D3" s="32" t="s">
        <v>18</v>
      </c>
      <c r="E3" s="32" t="s">
        <v>18</v>
      </c>
      <c r="F3" s="32" t="s">
        <v>18</v>
      </c>
      <c r="G3" s="32" t="s">
        <v>18</v>
      </c>
      <c r="H3" s="32" t="s">
        <v>18</v>
      </c>
      <c r="I3" s="32" t="s">
        <v>18</v>
      </c>
      <c r="J3" s="32" t="s">
        <v>18</v>
      </c>
      <c r="K3" s="32" t="s">
        <v>18</v>
      </c>
      <c r="L3" s="1"/>
      <c r="M3" s="1"/>
    </row>
    <row r="4" spans="1:13" ht="26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9.950000000000003" customHeight="1">
      <c r="A5" s="1"/>
      <c r="B5" s="2" t="s">
        <v>12</v>
      </c>
      <c r="C5" s="2" t="s">
        <v>5</v>
      </c>
      <c r="D5" s="2" t="s">
        <v>13</v>
      </c>
      <c r="E5" s="2" t="s">
        <v>19</v>
      </c>
      <c r="F5" s="2" t="s">
        <v>20</v>
      </c>
      <c r="G5" s="2" t="s">
        <v>21</v>
      </c>
      <c r="H5" s="2" t="s">
        <v>51</v>
      </c>
      <c r="I5" s="2" t="s">
        <v>52</v>
      </c>
      <c r="J5" s="2" t="s">
        <v>53</v>
      </c>
      <c r="K5" s="2" t="s">
        <v>22</v>
      </c>
      <c r="L5" s="1"/>
      <c r="M5" s="1"/>
    </row>
    <row r="6" spans="1:13" ht="26.1" customHeight="1">
      <c r="A6" s="1"/>
      <c r="B6" s="4" t="s">
        <v>16</v>
      </c>
      <c r="C6" s="4" t="s">
        <v>9</v>
      </c>
      <c r="D6" s="4" t="s">
        <v>49</v>
      </c>
      <c r="E6" s="7">
        <f>IF(ISNUMBER(Parameters!E23),Parameters!E23,"")</f>
        <v>167</v>
      </c>
      <c r="F6" s="9">
        <f>IF(COUNT(Parameters!G17,Parameters!H23)&lt;2,"",MOD(Parameters!H23-Parameters!G17+180,360)-180)</f>
        <v>21.612491046787994</v>
      </c>
      <c r="G6" s="11">
        <f>IF(COUNT(E6:F6)&lt;2,"",IF(E6&lt;=0,"",RADIANS(F6)/E6))</f>
        <v>2.2587372953547687E-3</v>
      </c>
      <c r="H6" s="5">
        <f>IF(ISNUMBER(G6),1000*Parameters!E7*G6^2,"")</f>
        <v>4.8029556626481638</v>
      </c>
      <c r="I6" s="5">
        <f>IF(ISNUMBER(G6),1000*Parameters!E8*G6^2,"")</f>
        <v>10.142565608820032</v>
      </c>
      <c r="J6" s="5">
        <f>IF(ISNUMBER(G6),1000*Parameters!E9*G6^2,"")</f>
        <v>18.6686364607279</v>
      </c>
      <c r="K6" s="13" t="str">
        <f>IF(COUNT(Parameters!C17:F17,Parameters!F23:G23)&lt;6,"待补坐标",IF(NOT(ISNUMBER(E6)),"待填轮行程",IF(E6&lt;=0,"轮行程须大于0",IF(COUNT(Parameters!G17,Parameters!H23)&lt;2,"无效半径",""))))</f>
        <v/>
      </c>
      <c r="L6" s="1"/>
      <c r="M6" s="1"/>
    </row>
    <row r="7" spans="1:13" ht="26.1" customHeight="1">
      <c r="A7" s="1"/>
      <c r="B7" s="3" t="s">
        <v>16</v>
      </c>
      <c r="C7" s="3" t="s">
        <v>10</v>
      </c>
      <c r="D7" s="3" t="s">
        <v>49</v>
      </c>
      <c r="E7" s="8">
        <f>IF(ISNUMBER(Parameters!E24),Parameters!E24,"")</f>
        <v>166</v>
      </c>
      <c r="F7" s="10">
        <f>IF(COUNT(Parameters!G18,Parameters!H24)&lt;2,"",MOD(Parameters!H24-Parameters!G18+180,360)-180)</f>
        <v>28.491745365811482</v>
      </c>
      <c r="G7" s="12">
        <f>IF(COUNT(E7:F7)&lt;2,"",IF(E7&lt;=0,"",RADIANS(F7)/E7))</f>
        <v>2.9956311221279912E-3</v>
      </c>
      <c r="H7" s="6">
        <f>IF(ISNUMBER(G7),1000*Parameters!E10*G7^2,"")</f>
        <v>12.805673798881909</v>
      </c>
      <c r="I7" s="6">
        <f>IF(ISNUMBER(G7),1000*Parameters!E11*G7^2,"")</f>
        <v>26.335968635928243</v>
      </c>
      <c r="J7" s="6">
        <f>IF(ISNUMBER(G7),1000*Parameters!E12*G7^2,"")</f>
        <v>44.351822584553837</v>
      </c>
      <c r="K7" s="14" t="str">
        <f>IF(COUNT(Parameters!C18:F18,Parameters!F24:G24)&lt;6,"待补坐标",IF(NOT(ISNUMBER(E7)),"待填轮行程",IF(E7&lt;=0,"轮行程须大于0",IF(COUNT(Parameters!G18,Parameters!H24)&lt;2,"无效半径",""))))</f>
        <v/>
      </c>
      <c r="L7" s="1"/>
      <c r="M7" s="1"/>
    </row>
    <row r="8" spans="1:13" ht="26.1" customHeight="1">
      <c r="A8" s="1"/>
      <c r="B8" s="4" t="s">
        <v>17</v>
      </c>
      <c r="C8" s="4" t="s">
        <v>9</v>
      </c>
      <c r="D8" s="4" t="s">
        <v>49</v>
      </c>
      <c r="E8" s="7">
        <f>IF(ISNUMBER(Parameters!E25),Parameters!E25,"")</f>
        <v>266</v>
      </c>
      <c r="F8" s="9">
        <f>IF(COUNT(Parameters!G17,Parameters!H25)&lt;2,"",MOD(Parameters!H25-Parameters!G17+180,360)-180)</f>
        <v>31.430802962145577</v>
      </c>
      <c r="G8" s="11">
        <f>IF(COUNT(E8:F8)&lt;2,"",IF(E8&lt;=0,"",RADIANS(F8)/E8))</f>
        <v>2.062296985845966E-3</v>
      </c>
      <c r="H8" s="5">
        <f>IF(ISNUMBER(G8),1000*Parameters!E7*G8^2,"")</f>
        <v>4.0038661085437566</v>
      </c>
      <c r="I8" s="5">
        <f>IF(ISNUMBER(G8),1000*Parameters!E8*G8^2,"")</f>
        <v>8.4551008893647595</v>
      </c>
      <c r="J8" s="5">
        <f>IF(ISNUMBER(G8),1000*Parameters!E9*G8^2,"")</f>
        <v>15.562650598490066</v>
      </c>
      <c r="K8" s="13" t="str">
        <f>IF(COUNT(Parameters!C17:F17,Parameters!F25:G25)&lt;6,"待补坐标",IF(NOT(ISNUMBER(E8)),"待填轮行程",IF(E8&lt;=0,"轮行程须大于0",IF(COUNT(Parameters!G17,Parameters!H25)&lt;2,"无效半径",""))))</f>
        <v/>
      </c>
      <c r="L8" s="1"/>
      <c r="M8" s="1"/>
    </row>
    <row r="9" spans="1:13" ht="26.1" customHeight="1">
      <c r="A9" s="1"/>
      <c r="B9" s="3" t="s">
        <v>17</v>
      </c>
      <c r="C9" s="3" t="s">
        <v>10</v>
      </c>
      <c r="D9" s="3" t="s">
        <v>49</v>
      </c>
      <c r="E9" s="8">
        <f>IF(ISNUMBER(Parameters!E26),Parameters!E26,"")</f>
        <v>268</v>
      </c>
      <c r="F9" s="10">
        <f>IF(COUNT(Parameters!G18,Parameters!H26)&lt;2,"",MOD(Parameters!H26-Parameters!G18+180,360)-180)</f>
        <v>42.81876809853668</v>
      </c>
      <c r="G9" s="12">
        <f>IF(COUNT(E9:F9)&lt;2,"",IF(E9&lt;=0,"",RADIANS(F9)/E9))</f>
        <v>2.7885391230126001E-3</v>
      </c>
      <c r="H9" s="6">
        <f>IF(ISNUMBER(G9),1000*Parameters!E10*G9^2,"")</f>
        <v>11.096327112164881</v>
      </c>
      <c r="I9" s="6">
        <f>IF(ISNUMBER(G9),1000*Parameters!E11*G9^2,"")</f>
        <v>22.82055028025858</v>
      </c>
      <c r="J9" s="6">
        <f>IF(ISNUMBER(G9),1000*Parameters!E12*G9^2,"")</f>
        <v>38.431584245249276</v>
      </c>
      <c r="K9" s="14" t="str">
        <f>IF(COUNT(Parameters!C18:F18,Parameters!F26:G26)&lt;6,"待补坐标",IF(NOT(ISNUMBER(E9)),"待填轮行程",IF(E9&lt;=0,"轮行程须大于0",IF(COUNT(Parameters!G18,Parameters!H26)&lt;2,"无效半径",""))))</f>
        <v/>
      </c>
      <c r="L9" s="1"/>
      <c r="M9" s="1"/>
    </row>
    <row r="10" spans="1:13" ht="26.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6.1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6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6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9.950000000000003" customHeight="1">
      <c r="A14" s="1"/>
      <c r="B14" s="2" t="s">
        <v>23</v>
      </c>
      <c r="C14" s="2" t="s">
        <v>9</v>
      </c>
      <c r="D14" s="2" t="s">
        <v>10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 ht="26.1" customHeight="1">
      <c r="A15" s="1"/>
      <c r="B15" s="3" t="s">
        <v>46</v>
      </c>
      <c r="C15" s="6">
        <f>IF(ISNUMBER(H8),H8,NA())</f>
        <v>4.0038661085437566</v>
      </c>
      <c r="D15" s="6">
        <f>IF(ISNUMBER(H9),H9,NA())</f>
        <v>11.096327112164881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ht="26.1" customHeight="1">
      <c r="A16" s="1"/>
      <c r="B16" s="4" t="s">
        <v>47</v>
      </c>
      <c r="C16" s="5">
        <f>IF(ISNUMBER(I8),I8,NA())</f>
        <v>8.4551008893647595</v>
      </c>
      <c r="D16" s="5">
        <f>IF(ISNUMBER(I9),I9,NA())</f>
        <v>22.82055028025858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ht="26.1" customHeight="1">
      <c r="A17" s="1"/>
      <c r="B17" s="3" t="s">
        <v>48</v>
      </c>
      <c r="C17" s="6">
        <f>IF(ISNUMBER(J8),J8,NA())</f>
        <v>15.562650598490066</v>
      </c>
      <c r="D17" s="6">
        <f>IF(ISNUMBER(J9),J9,NA())</f>
        <v>38.431584245249276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ht="26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6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6.1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9.950000000000003" customHeight="1">
      <c r="A21" s="1"/>
      <c r="B21" s="2" t="s">
        <v>23</v>
      </c>
      <c r="C21" s="2" t="s">
        <v>9</v>
      </c>
      <c r="D21" s="2" t="s">
        <v>10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 ht="26.1" customHeight="1">
      <c r="A22" s="1"/>
      <c r="B22" s="4" t="s">
        <v>46</v>
      </c>
      <c r="C22" s="5">
        <f>IF(ISNUMBER(H6),H6,NA())</f>
        <v>4.8029556626481638</v>
      </c>
      <c r="D22" s="5">
        <f>IF(ISNUMBER(H7),H7,NA())</f>
        <v>12.805673798881909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 ht="26.1" customHeight="1">
      <c r="A23" s="1"/>
      <c r="B23" s="3" t="s">
        <v>47</v>
      </c>
      <c r="C23" s="6">
        <f>IF(ISNUMBER(I6),I6,NA())</f>
        <v>10.142565608820032</v>
      </c>
      <c r="D23" s="6">
        <f>IF(ISNUMBER(I7),I7,NA())</f>
        <v>26.335968635928243</v>
      </c>
      <c r="E23" s="1"/>
      <c r="F23" s="1"/>
      <c r="G23" s="1"/>
      <c r="H23" s="1"/>
      <c r="I23" s="1"/>
      <c r="J23" s="1"/>
      <c r="K23" s="1"/>
      <c r="L23" s="1"/>
      <c r="M23" s="1"/>
    </row>
    <row r="24" spans="1:13" ht="26.1" customHeight="1">
      <c r="A24" s="1"/>
      <c r="B24" s="4" t="s">
        <v>48</v>
      </c>
      <c r="C24" s="5">
        <f>IF(ISNUMBER(J6),J6,NA())</f>
        <v>18.6686364607279</v>
      </c>
      <c r="D24" s="5">
        <f>IF(ISNUMBER(J7),J7,NA())</f>
        <v>44.351822584553837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 ht="26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6.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6.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6.1" customHeight="1">
      <c r="A29" s="1"/>
      <c r="B29" s="35" t="s">
        <v>24</v>
      </c>
      <c r="C29" s="35" t="s">
        <v>24</v>
      </c>
      <c r="D29" s="35" t="s">
        <v>24</v>
      </c>
      <c r="E29" s="1"/>
      <c r="F29" s="1"/>
      <c r="G29" s="1"/>
      <c r="H29" s="1"/>
      <c r="I29" s="1"/>
      <c r="J29" s="1"/>
      <c r="K29" s="1"/>
      <c r="L29" s="1"/>
      <c r="M29" s="1"/>
    </row>
    <row r="30" spans="1:13" ht="26.1" customHeight="1">
      <c r="A30" s="1"/>
      <c r="B30" s="1" t="s">
        <v>25</v>
      </c>
      <c r="C30" s="1">
        <v>223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6.1" customHeight="1">
      <c r="A31" s="1"/>
      <c r="B31" s="1" t="s">
        <v>26</v>
      </c>
      <c r="C31" s="1">
        <v>267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6.1" customHeight="1">
      <c r="A32" s="1"/>
      <c r="B32" s="1" t="s">
        <v>27</v>
      </c>
      <c r="C32" s="1">
        <v>236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6.1" customHeight="1">
      <c r="A33" s="1"/>
      <c r="B33" s="1" t="s">
        <v>28</v>
      </c>
      <c r="C33" s="1">
        <v>238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6.1" customHeight="1">
      <c r="A34" s="1"/>
      <c r="B34" s="1" t="s">
        <v>29</v>
      </c>
      <c r="C34" s="1">
        <v>279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6.1" customHeight="1">
      <c r="A35" s="1"/>
      <c r="B35" s="1" t="s">
        <v>30</v>
      </c>
      <c r="C35" s="1">
        <v>16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6.1" customHeight="1">
      <c r="A36" s="1"/>
      <c r="B36" s="1" t="s">
        <v>31</v>
      </c>
      <c r="C36" s="1">
        <v>23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6.1" customHeight="1">
      <c r="A37" s="1"/>
      <c r="B37" s="1" t="s">
        <v>32</v>
      </c>
      <c r="C37" s="1">
        <v>24</v>
      </c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6.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6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6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6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6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6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6.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6.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6.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6.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26.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6.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26.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6.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26.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26.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6.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26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6.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6.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26.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.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26.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6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26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26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26.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26.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26.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26.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26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26.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26.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26.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26.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26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26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26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26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26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26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26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26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6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26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26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26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26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26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26.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26.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26.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26.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21.95" customHeight="1"/>
    <row r="92" spans="1:13" ht="21.95" customHeight="1"/>
    <row r="93" spans="1:13" ht="21.95" customHeight="1"/>
    <row r="94" spans="1:13" ht="21.95" customHeight="1"/>
    <row r="95" spans="1:13" ht="21.95" customHeight="1"/>
    <row r="96" spans="1:13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  <row r="118" ht="21.95" customHeight="1"/>
    <row r="119" ht="21.95" customHeight="1"/>
    <row r="120" ht="21.95" customHeight="1"/>
    <row r="121" ht="21.95" customHeight="1"/>
    <row r="122" ht="21.95" customHeight="1"/>
    <row r="123" ht="21.95" customHeight="1"/>
    <row r="124" ht="35.1" customHeight="1"/>
    <row r="125" ht="21.95" customHeight="1"/>
    <row r="126" ht="21.95" customHeight="1"/>
    <row r="127" ht="21.95" customHeight="1"/>
    <row r="128" ht="21.95" customHeight="1"/>
    <row r="129" ht="21.95" customHeight="1"/>
    <row r="130" ht="21.95" customHeight="1"/>
    <row r="131" ht="21.95" customHeight="1"/>
    <row r="132" ht="21.95" customHeight="1"/>
    <row r="133" ht="21.95" customHeight="1"/>
    <row r="134" ht="21.95" customHeight="1"/>
    <row r="135" ht="21.95" customHeight="1"/>
    <row r="136" ht="21.95" customHeight="1"/>
    <row r="137" ht="21.95" customHeight="1"/>
    <row r="138" ht="21.95" customHeight="1"/>
    <row r="139" ht="21.95" customHeight="1"/>
    <row r="140" ht="21.95" customHeight="1"/>
    <row r="141" ht="21.95" customHeight="1"/>
    <row r="142" ht="21.95" customHeight="1"/>
    <row r="143" ht="21.95" customHeight="1"/>
    <row r="144" ht="21.95" customHeight="1"/>
    <row r="145" ht="21.95" customHeight="1"/>
    <row r="146" ht="21.95" customHeight="1"/>
    <row r="147" ht="21.95" customHeight="1"/>
    <row r="148" ht="21.95" customHeight="1"/>
    <row r="149" ht="21.95" customHeight="1"/>
    <row r="150" ht="21.95" customHeight="1"/>
    <row r="151" ht="21.95" customHeight="1"/>
    <row r="152" ht="21.95" customHeight="1"/>
    <row r="153" ht="21.95" customHeight="1"/>
    <row r="154" ht="21.95" customHeight="1"/>
    <row r="155" ht="21.95" customHeight="1"/>
    <row r="156" ht="21.95" customHeight="1"/>
    <row r="157" ht="21.95" customHeight="1"/>
  </sheetData>
  <mergeCells count="2">
    <mergeCell ref="B2:K3"/>
    <mergeCell ref="B29:D29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Parameters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2026-10-18T14:59:41Z</dcterms:modified>
</cp:coreProperties>
</file>