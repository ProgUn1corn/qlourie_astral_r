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18E9617B-6FDB-47FE-A911-64F5FD8327D6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Comparison" sheetId="1" r:id="rId1"/>
    <sheet name="Parameters" sheetId="5" r:id="rId2"/>
    <sheet name="Samples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7" l="1"/>
  <c r="J41" i="7"/>
  <c r="H41" i="7"/>
  <c r="I41" i="7" s="1"/>
  <c r="G41" i="7"/>
  <c r="F41" i="7"/>
  <c r="K40" i="7"/>
  <c r="J40" i="7"/>
  <c r="H40" i="7"/>
  <c r="I40" i="7" s="1"/>
  <c r="G40" i="7"/>
  <c r="F40" i="7"/>
  <c r="K39" i="7"/>
  <c r="J39" i="7"/>
  <c r="H39" i="7"/>
  <c r="I39" i="7" s="1"/>
  <c r="G39" i="7"/>
  <c r="F39" i="7"/>
  <c r="K38" i="7"/>
  <c r="J38" i="7"/>
  <c r="H38" i="7"/>
  <c r="G38" i="7"/>
  <c r="F38" i="7"/>
  <c r="K37" i="7"/>
  <c r="J37" i="7"/>
  <c r="H37" i="7"/>
  <c r="G37" i="7"/>
  <c r="F37" i="7"/>
  <c r="K36" i="7"/>
  <c r="J36" i="7"/>
  <c r="H36" i="7"/>
  <c r="G36" i="7"/>
  <c r="F36" i="7"/>
  <c r="K35" i="7"/>
  <c r="J35" i="7"/>
  <c r="H35" i="7"/>
  <c r="G35" i="7"/>
  <c r="F35" i="7"/>
  <c r="K34" i="7"/>
  <c r="J34" i="7"/>
  <c r="H34" i="7"/>
  <c r="G34" i="7"/>
  <c r="F34" i="7"/>
  <c r="K33" i="7"/>
  <c r="J33" i="7"/>
  <c r="H33" i="7"/>
  <c r="G33" i="7"/>
  <c r="F33" i="7"/>
  <c r="K32" i="7"/>
  <c r="J32" i="7"/>
  <c r="H32" i="7"/>
  <c r="I32" i="7" s="1"/>
  <c r="G32" i="7"/>
  <c r="F32" i="7"/>
  <c r="K31" i="7"/>
  <c r="J31" i="7"/>
  <c r="H31" i="7"/>
  <c r="G31" i="7"/>
  <c r="F31" i="7"/>
  <c r="K30" i="7"/>
  <c r="J30" i="7"/>
  <c r="H30" i="7"/>
  <c r="G30" i="7"/>
  <c r="F30" i="7"/>
  <c r="K29" i="7"/>
  <c r="J29" i="7"/>
  <c r="H29" i="7"/>
  <c r="G29" i="7"/>
  <c r="F29" i="7"/>
  <c r="K28" i="7"/>
  <c r="J28" i="7"/>
  <c r="H28" i="7"/>
  <c r="G28" i="7"/>
  <c r="F28" i="7"/>
  <c r="K27" i="7"/>
  <c r="J27" i="7"/>
  <c r="H27" i="7"/>
  <c r="G27" i="7"/>
  <c r="F27" i="7"/>
  <c r="K26" i="7"/>
  <c r="J26" i="7"/>
  <c r="H26" i="7"/>
  <c r="G26" i="7"/>
  <c r="F26" i="7"/>
  <c r="K25" i="7"/>
  <c r="J25" i="7"/>
  <c r="H25" i="7"/>
  <c r="I25" i="7" s="1"/>
  <c r="G25" i="7"/>
  <c r="F25" i="7"/>
  <c r="K24" i="7"/>
  <c r="J24" i="7"/>
  <c r="H24" i="7"/>
  <c r="G24" i="7"/>
  <c r="F24" i="7"/>
  <c r="K23" i="7"/>
  <c r="J23" i="7"/>
  <c r="H23" i="7"/>
  <c r="I23" i="7" s="1"/>
  <c r="G23" i="7"/>
  <c r="F23" i="7"/>
  <c r="K22" i="7"/>
  <c r="J22" i="7"/>
  <c r="H22" i="7"/>
  <c r="I22" i="7" s="1"/>
  <c r="G22" i="7"/>
  <c r="F22" i="7"/>
  <c r="K21" i="7"/>
  <c r="J21" i="7"/>
  <c r="H21" i="7"/>
  <c r="G21" i="7"/>
  <c r="F21" i="7"/>
  <c r="K20" i="7"/>
  <c r="J20" i="7"/>
  <c r="H20" i="7"/>
  <c r="I20" i="7" s="1"/>
  <c r="G20" i="7"/>
  <c r="F20" i="7"/>
  <c r="K19" i="7"/>
  <c r="J19" i="7"/>
  <c r="H19" i="7"/>
  <c r="G19" i="7"/>
  <c r="F19" i="7"/>
  <c r="K18" i="7"/>
  <c r="J18" i="7"/>
  <c r="H18" i="7"/>
  <c r="I18" i="7" s="1"/>
  <c r="G18" i="7"/>
  <c r="F18" i="7"/>
  <c r="K17" i="7"/>
  <c r="J17" i="7"/>
  <c r="H17" i="7"/>
  <c r="I17" i="7" s="1"/>
  <c r="G17" i="7"/>
  <c r="F17" i="7"/>
  <c r="K16" i="7"/>
  <c r="J16" i="7"/>
  <c r="H16" i="7"/>
  <c r="I16" i="7" s="1"/>
  <c r="G16" i="7"/>
  <c r="F16" i="7"/>
  <c r="K15" i="7"/>
  <c r="J15" i="7"/>
  <c r="H15" i="7"/>
  <c r="G15" i="7"/>
  <c r="F15" i="7"/>
  <c r="K14" i="7"/>
  <c r="L14" i="7" s="1"/>
  <c r="C68" i="7" s="1"/>
  <c r="J14" i="7"/>
  <c r="H14" i="7"/>
  <c r="I14" i="7" s="1"/>
  <c r="G14" i="7"/>
  <c r="F14" i="7"/>
  <c r="K13" i="7"/>
  <c r="J13" i="7"/>
  <c r="H13" i="7"/>
  <c r="G13" i="7"/>
  <c r="F13" i="7"/>
  <c r="K12" i="7"/>
  <c r="J12" i="7"/>
  <c r="H12" i="7"/>
  <c r="I12" i="7" s="1"/>
  <c r="G12" i="7"/>
  <c r="F12" i="7"/>
  <c r="K11" i="7"/>
  <c r="J11" i="7"/>
  <c r="H11" i="7"/>
  <c r="I11" i="7" s="1"/>
  <c r="G11" i="7"/>
  <c r="F11" i="7"/>
  <c r="K10" i="7"/>
  <c r="J10" i="7"/>
  <c r="H10" i="7"/>
  <c r="G10" i="7"/>
  <c r="F10" i="7"/>
  <c r="K9" i="7"/>
  <c r="J9" i="7"/>
  <c r="H9" i="7"/>
  <c r="G9" i="7"/>
  <c r="F9" i="7"/>
  <c r="K8" i="7"/>
  <c r="J8" i="7"/>
  <c r="H8" i="7"/>
  <c r="I8" i="7" s="1"/>
  <c r="G8" i="7"/>
  <c r="F8" i="7"/>
  <c r="K7" i="7"/>
  <c r="J7" i="7"/>
  <c r="H7" i="7"/>
  <c r="I7" i="7" s="1"/>
  <c r="G7" i="7"/>
  <c r="F7" i="7"/>
  <c r="K6" i="7"/>
  <c r="J6" i="7"/>
  <c r="H6" i="7"/>
  <c r="G6" i="7"/>
  <c r="F6" i="7"/>
  <c r="I38" i="7" l="1"/>
  <c r="I35" i="7"/>
  <c r="L35" i="7" s="1"/>
  <c r="D48" i="7" s="1"/>
  <c r="I26" i="7"/>
  <c r="I29" i="7"/>
  <c r="I13" i="7"/>
  <c r="I10" i="7"/>
  <c r="I9" i="7"/>
  <c r="I6" i="7"/>
  <c r="I21" i="7"/>
  <c r="I15" i="7"/>
  <c r="L15" i="7" s="1"/>
  <c r="D60" i="7" s="1"/>
  <c r="I19" i="7"/>
  <c r="I37" i="7"/>
  <c r="I34" i="7"/>
  <c r="L40" i="7"/>
  <c r="D53" i="7" s="1"/>
  <c r="I36" i="7"/>
  <c r="I33" i="7"/>
  <c r="L33" i="7" s="1"/>
  <c r="D46" i="7" s="1"/>
  <c r="I24" i="7"/>
  <c r="I28" i="7"/>
  <c r="L28" i="7" s="1"/>
  <c r="C50" i="7" s="1"/>
  <c r="I30" i="7"/>
  <c r="I31" i="7"/>
  <c r="I27" i="7"/>
  <c r="L27" i="7" s="1"/>
  <c r="C49" i="7" s="1"/>
  <c r="L39" i="7"/>
  <c r="D52" i="7" s="1"/>
  <c r="L38" i="7"/>
  <c r="D51" i="7" s="1"/>
  <c r="L37" i="7"/>
  <c r="D50" i="7" s="1"/>
  <c r="L36" i="7"/>
  <c r="D49" i="7" s="1"/>
  <c r="L34" i="7"/>
  <c r="D47" i="7" s="1"/>
  <c r="L32" i="7"/>
  <c r="C54" i="7" s="1"/>
  <c r="L31" i="7"/>
  <c r="C53" i="7" s="1"/>
  <c r="L30" i="7"/>
  <c r="C52" i="7" s="1"/>
  <c r="L29" i="7"/>
  <c r="C51" i="7" s="1"/>
  <c r="L26" i="7"/>
  <c r="C48" i="7" s="1"/>
  <c r="L25" i="7"/>
  <c r="C47" i="7" s="1"/>
  <c r="L24" i="7"/>
  <c r="C46" i="7" s="1"/>
  <c r="L23" i="7"/>
  <c r="D68" i="7" s="1"/>
  <c r="L22" i="7"/>
  <c r="D67" i="7" s="1"/>
  <c r="L21" i="7"/>
  <c r="D66" i="7" s="1"/>
  <c r="L20" i="7"/>
  <c r="D65" i="7" s="1"/>
  <c r="L19" i="7"/>
  <c r="D64" i="7" s="1"/>
  <c r="L18" i="7"/>
  <c r="D63" i="7" s="1"/>
  <c r="L17" i="7"/>
  <c r="D62" i="7" s="1"/>
  <c r="L16" i="7"/>
  <c r="D61" i="7" s="1"/>
  <c r="L13" i="7"/>
  <c r="C67" i="7" s="1"/>
  <c r="L12" i="7"/>
  <c r="C66" i="7" s="1"/>
  <c r="L11" i="7"/>
  <c r="C65" i="7" s="1"/>
  <c r="L10" i="7"/>
  <c r="C64" i="7" s="1"/>
  <c r="L9" i="7"/>
  <c r="C63" i="7" s="1"/>
  <c r="L8" i="7"/>
  <c r="C62" i="7" s="1"/>
  <c r="L7" i="7"/>
  <c r="C61" i="7" s="1"/>
  <c r="L6" i="7"/>
  <c r="C60" i="7" s="1"/>
  <c r="L41" i="7"/>
  <c r="D54" i="7" s="1"/>
  <c r="E12" i="5"/>
  <c r="E10" i="5"/>
  <c r="E9" i="5"/>
  <c r="E7" i="5"/>
</calcChain>
</file>

<file path=xl/sharedStrings.xml><?xml version="1.0" encoding="utf-8"?>
<sst xmlns="http://schemas.openxmlformats.org/spreadsheetml/2006/main" count="371" uniqueCount="91">
  <si>
    <t>Astral · Anti-Roll Bar Stiffness</t>
  </si>
  <si>
    <t>等效轮端刚度 · 对侧轮固定</t>
  </si>
  <si>
    <t>Front / Rear · Tarmac / Gravel</t>
  </si>
  <si>
    <t>Astral · ARB Parameters</t>
  </si>
  <si>
    <t>Axle</t>
  </si>
  <si>
    <t>Bar</t>
  </si>
  <si>
    <t>Diameter (mm)</t>
  </si>
  <si>
    <t>Torsion (N·m/rad)</t>
  </si>
  <si>
    <t>Front</t>
  </si>
  <si>
    <t>Soft</t>
  </si>
  <si>
    <t>Medium</t>
  </si>
  <si>
    <t>Hard</t>
  </si>
  <si>
    <t>Rear</t>
  </si>
  <si>
    <t>几何测量 · 全伸展 → 静态车高（旧连杆）</t>
  </si>
  <si>
    <t>几何测量 · 全伸展至静态车高 · 当前为原大倾角连杆的测试数据</t>
  </si>
  <si>
    <t>Surface</t>
  </si>
  <si>
    <t>Position</t>
  </si>
  <si>
    <t>Wheel travel (mm)</t>
  </si>
  <si>
    <t>ARB travel (mm)</t>
  </si>
  <si>
    <t>Effective arm (mm)</t>
  </si>
  <si>
    <t>Tarmac</t>
  </si>
  <si>
    <t>Inner</t>
  </si>
  <si>
    <t>Middle</t>
  </si>
  <si>
    <t>Outer</t>
  </si>
  <si>
    <t>Gravel</t>
  </si>
  <si>
    <t>Astral · ARB Calculations</t>
  </si>
  <si>
    <t>旧表原值</t>
  </si>
  <si>
    <t>Diameter
(mm)</t>
  </si>
  <si>
    <t>Wheel
(mm)</t>
  </si>
  <si>
    <t>ARB
(mm)</t>
  </si>
  <si>
    <t>MR</t>
  </si>
  <si>
    <t>Arm
(mm)</t>
  </si>
  <si>
    <t>Torsion
(N·m/rad)</t>
  </si>
  <si>
    <t>Rate
(N/mm)</t>
  </si>
  <si>
    <t>Original row</t>
  </si>
  <si>
    <t>原位置</t>
  </si>
  <si>
    <t>值</t>
  </si>
  <si>
    <t>Tarmac!A3:G3</t>
  </si>
  <si>
    <t>Tarmac!I19</t>
  </si>
  <si>
    <t>Tarmac!A4:G4</t>
  </si>
  <si>
    <t>Tarmac!J19</t>
  </si>
  <si>
    <t>Tarmac!A5:G5</t>
  </si>
  <si>
    <t>Tarmac!K19</t>
  </si>
  <si>
    <t>Tarmac!A11:G11</t>
  </si>
  <si>
    <t>Tarmac!I20</t>
  </si>
  <si>
    <t>Tarmac!A12:G12</t>
  </si>
  <si>
    <t>Tarmac!J20</t>
  </si>
  <si>
    <t>Tarmac!A13:G13</t>
  </si>
  <si>
    <t>Gravel!K6</t>
  </si>
  <si>
    <t>Tarmac!A19:G19</t>
  </si>
  <si>
    <t>Gravel!K7</t>
  </si>
  <si>
    <t>Tarmac!A20:G20</t>
  </si>
  <si>
    <t>Gravel!K8</t>
  </si>
  <si>
    <t>Tarmac!A21:G21</t>
  </si>
  <si>
    <t>Tarmac!A6:G6</t>
  </si>
  <si>
    <t>Tarmac!A7:G7</t>
  </si>
  <si>
    <t>Tarmac!A8:G8</t>
  </si>
  <si>
    <t>Tarmac!A14:G14</t>
  </si>
  <si>
    <t>Tarmac!A15:G15</t>
  </si>
  <si>
    <t>Tarmac!A16:G16</t>
  </si>
  <si>
    <t>Tarmac!A22:G22</t>
  </si>
  <si>
    <t>Tarmac!A23:G23</t>
  </si>
  <si>
    <t>Tarmac!A24:G24</t>
  </si>
  <si>
    <t>Gravel!A3:G3</t>
  </si>
  <si>
    <t>Gravel!A4:G4</t>
  </si>
  <si>
    <t>Gravel!A5:G5</t>
  </si>
  <si>
    <t>Gravel!A11:G11</t>
  </si>
  <si>
    <t>Gravel!A12:G12</t>
  </si>
  <si>
    <t>Gravel!A13:G13</t>
  </si>
  <si>
    <t>Gravel!A19:G19</t>
  </si>
  <si>
    <t>Gravel!A20:G20</t>
  </si>
  <si>
    <t>Gravel!A21:G21</t>
  </si>
  <si>
    <t>Gravel!A6:G6</t>
  </si>
  <si>
    <t>Gravel!A7:G7</t>
  </si>
  <si>
    <t>Gravel!A8:G8</t>
  </si>
  <si>
    <t>Gravel!A14:G14</t>
  </si>
  <si>
    <t>Gravel!A15:G15</t>
  </si>
  <si>
    <t>Gravel!A16:G16</t>
  </si>
  <si>
    <t>Gravel!A22:G22</t>
  </si>
  <si>
    <t>Gravel!A23:G23</t>
  </si>
  <si>
    <t>Gravel!A24:G24</t>
  </si>
  <si>
    <t>Setting</t>
  </si>
  <si>
    <t>Soft Inner</t>
  </si>
  <si>
    <t>Soft Middle</t>
  </si>
  <si>
    <t>Soft Outer</t>
  </si>
  <si>
    <t>Medium Inner</t>
  </si>
  <si>
    <t>Medium Middle</t>
  </si>
  <si>
    <t>Medium Outer</t>
  </si>
  <si>
    <t>Hard Inner</t>
  </si>
  <si>
    <t>Hard Middle</t>
  </si>
  <si>
    <t>Hard Outer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</si>
</sst>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00"/>
  </numFmts>
  <fonts count="12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43B53"/>
      <name val="Arial"/>
      <family val="2"/>
    </font>
    <font>
      <b/>
      <sz val="22"/>
      <color rgb="FF243B53"/>
      <name val="Arial"/>
      <family val="2"/>
    </font>
    <font>
      <sz val="11"/>
      <color rgb="FF627D98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5" fillId="4" borderId="0" xfId="0" applyFont="1" applyFill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/>
    </xf>
    <xf numFmtId="176" fontId="4" fillId="3" borderId="2" xfId="0" applyNumberFormat="1" applyFont="1" applyFill="1" applyBorder="1" applyAlignment="1">
      <alignment vertical="center"/>
    </xf>
    <xf numFmtId="1" fontId="4" fillId="3" borderId="2" xfId="0" applyNumberFormat="1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0" fontId="9" fillId="6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center" wrapText="1"/>
    </xf>
    <xf numFmtId="1" fontId="1" fillId="5" borderId="2" xfId="0" applyNumberFormat="1" applyFont="1" applyFill="1" applyBorder="1" applyAlignment="1">
      <alignment vertical="center"/>
    </xf>
    <xf numFmtId="1" fontId="1" fillId="4" borderId="2" xfId="0" applyNumberFormat="1" applyFont="1" applyFill="1" applyBorder="1" applyAlignment="1">
      <alignment vertical="center"/>
    </xf>
    <xf numFmtId="176" fontId="1" fillId="5" borderId="2" xfId="0" applyNumberFormat="1" applyFont="1" applyFill="1" applyBorder="1" applyAlignment="1">
      <alignment vertical="center"/>
    </xf>
    <xf numFmtId="177" fontId="1" fillId="5" borderId="2" xfId="0" applyNumberFormat="1" applyFont="1" applyFill="1" applyBorder="1" applyAlignment="1">
      <alignment vertical="center"/>
    </xf>
    <xf numFmtId="2" fontId="1" fillId="5" borderId="2" xfId="0" applyNumberFormat="1" applyFont="1" applyFill="1" applyBorder="1" applyAlignment="1">
      <alignment vertical="center"/>
    </xf>
    <xf numFmtId="176" fontId="1" fillId="4" borderId="2" xfId="0" applyNumberFormat="1" applyFont="1" applyFill="1" applyBorder="1" applyAlignment="1">
      <alignment vertical="center"/>
    </xf>
    <xf numFmtId="177" fontId="1" fillId="4" borderId="2" xfId="0" applyNumberFormat="1" applyFont="1" applyFill="1" applyBorder="1" applyAlignment="1">
      <alignment vertical="center"/>
    </xf>
    <xf numFmtId="2" fontId="1" fillId="4" borderId="2" xfId="0" applyNumberFormat="1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9" fillId="6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75">
                <a:latin typeface="Arial"/>
                <a:ea typeface="微软雅黑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Samples!$B$46:$B$54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Samples!$C$46:$C$54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3.4498072823536003</c:v>
                </c:pt>
                <c:pt idx="3">
                  <c:v>0</c:v>
                </c:pt>
                <c:pt idx="4">
                  <c:v>0</c:v>
                </c:pt>
                <c:pt idx="5">
                  <c:v>7.2850759317158564</c:v>
                </c:pt>
                <c:pt idx="6">
                  <c:v>0</c:v>
                </c:pt>
                <c:pt idx="7">
                  <c:v>0</c:v>
                </c:pt>
                <c:pt idx="8">
                  <c:v>13.409076105924663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76-4620-A808-32DD969C6A2E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Samples!$B$46:$B$54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Samples!$D$46:$D$54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10.336836627762153</c:v>
                </c:pt>
                <c:pt idx="3">
                  <c:v>0</c:v>
                </c:pt>
                <c:pt idx="4">
                  <c:v>0</c:v>
                </c:pt>
                <c:pt idx="5">
                  <c:v>21.25859283150157</c:v>
                </c:pt>
                <c:pt idx="6">
                  <c:v>0</c:v>
                </c:pt>
                <c:pt idx="7">
                  <c:v>0</c:v>
                </c:pt>
                <c:pt idx="8">
                  <c:v>35.801126235157867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76-4620-A808-32DD969C6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75">
                <a:latin typeface="Arial"/>
                <a:ea typeface="微软雅黑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Samples!$B$60:$B$68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Samples!$C$60:$C$68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4.6484711999035211</c:v>
                </c:pt>
                <c:pt idx="3">
                  <c:v>0</c:v>
                </c:pt>
                <c:pt idx="4">
                  <c:v>0</c:v>
                </c:pt>
                <c:pt idx="5">
                  <c:v>9.8163354894966037</c:v>
                </c:pt>
                <c:pt idx="6">
                  <c:v>0</c:v>
                </c:pt>
                <c:pt idx="7">
                  <c:v>0</c:v>
                </c:pt>
                <c:pt idx="8">
                  <c:v>18.068169898806641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89-4F23-8845-EBBC0CE01DBE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Samples!$B$60:$B$68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Samples!$D$60:$D$68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9.4999426990225206</c:v>
                </c:pt>
                <c:pt idx="3">
                  <c:v>0</c:v>
                </c:pt>
                <c:pt idx="4">
                  <c:v>0</c:v>
                </c:pt>
                <c:pt idx="5">
                  <c:v>19.537448547722441</c:v>
                </c:pt>
                <c:pt idx="6">
                  <c:v>0</c:v>
                </c:pt>
                <c:pt idx="7">
                  <c:v>0</c:v>
                </c:pt>
                <c:pt idx="8">
                  <c:v>32.902585195264187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9-4F23-8845-EBBC0CE01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15</xdr:col>
      <xdr:colOff>0</xdr:colOff>
      <xdr:row>46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3B53"/>
  </sheetPr>
  <dimension ref="A1:O48"/>
  <sheetViews>
    <sheetView showGridLines="0" workbookViewId="0"/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17" t="s">
        <v>0</v>
      </c>
      <c r="C2" s="18" t="s">
        <v>0</v>
      </c>
      <c r="D2" s="18" t="s">
        <v>0</v>
      </c>
      <c r="E2" s="18" t="s">
        <v>0</v>
      </c>
      <c r="F2" s="18" t="s">
        <v>0</v>
      </c>
      <c r="G2" s="18" t="s">
        <v>0</v>
      </c>
      <c r="H2" s="18" t="s">
        <v>0</v>
      </c>
      <c r="I2" s="18" t="s">
        <v>0</v>
      </c>
      <c r="J2" s="18" t="s">
        <v>0</v>
      </c>
      <c r="K2" s="18" t="s">
        <v>0</v>
      </c>
      <c r="L2" s="18" t="s">
        <v>0</v>
      </c>
      <c r="M2" s="18" t="s">
        <v>0</v>
      </c>
      <c r="N2" s="18" t="s">
        <v>0</v>
      </c>
      <c r="O2" s="1"/>
    </row>
    <row r="3" spans="1:15" ht="12" customHeight="1">
      <c r="A3" s="1"/>
      <c r="B3" s="18" t="s">
        <v>0</v>
      </c>
      <c r="C3" s="18" t="s">
        <v>0</v>
      </c>
      <c r="D3" s="18" t="s">
        <v>0</v>
      </c>
      <c r="E3" s="18" t="s">
        <v>0</v>
      </c>
      <c r="F3" s="18" t="s">
        <v>0</v>
      </c>
      <c r="G3" s="18" t="s">
        <v>0</v>
      </c>
      <c r="H3" s="18" t="s">
        <v>0</v>
      </c>
      <c r="I3" s="18" t="s">
        <v>0</v>
      </c>
      <c r="J3" s="18" t="s">
        <v>0</v>
      </c>
      <c r="K3" s="18" t="s">
        <v>0</v>
      </c>
      <c r="L3" s="18" t="s">
        <v>0</v>
      </c>
      <c r="M3" s="18" t="s">
        <v>0</v>
      </c>
      <c r="N3" s="18" t="s">
        <v>0</v>
      </c>
      <c r="O3" s="1"/>
    </row>
    <row r="4" spans="1:15" ht="24" customHeight="1">
      <c r="A4" s="1"/>
      <c r="B4" s="21" t="s">
        <v>1</v>
      </c>
      <c r="C4" s="22" t="s">
        <v>2</v>
      </c>
      <c r="D4" s="22" t="s">
        <v>2</v>
      </c>
      <c r="E4" s="22" t="s">
        <v>2</v>
      </c>
      <c r="F4" s="22" t="s">
        <v>2</v>
      </c>
      <c r="G4" s="22" t="s">
        <v>2</v>
      </c>
      <c r="H4" s="22" t="s">
        <v>2</v>
      </c>
      <c r="I4" s="22" t="s">
        <v>2</v>
      </c>
      <c r="J4" s="22" t="s">
        <v>2</v>
      </c>
      <c r="K4" s="22" t="s">
        <v>2</v>
      </c>
      <c r="L4" s="22" t="s">
        <v>2</v>
      </c>
      <c r="M4" s="22" t="s">
        <v>2</v>
      </c>
      <c r="N4" s="22" t="s">
        <v>2</v>
      </c>
      <c r="O4" s="1"/>
    </row>
    <row r="5" spans="1:15" ht="2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4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4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4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4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4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4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4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4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4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4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4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4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4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4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4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4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4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4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4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4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4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4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4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4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4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4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4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4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4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4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4" customHeight="1">
      <c r="A48" s="1"/>
      <c r="O48" s="1"/>
    </row>
  </sheetData>
  <mergeCells count="2">
    <mergeCell ref="B2:N3"/>
    <mergeCell ref="B4:N4"/>
  </mergeCells>
  <phoneticPr fontId="1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B53"/>
  </sheetPr>
  <dimension ref="A1:I56"/>
  <sheetViews>
    <sheetView showGridLines="0" tabSelected="1" workbookViewId="0">
      <pane ySplit="6" topLeftCell="A8" activePane="bottomLeft" state="frozen"/>
      <selection pane="bottomLeft" activeCell="P9" sqref="P9"/>
    </sheetView>
  </sheetViews>
  <sheetFormatPr defaultRowHeight="14.25"/>
  <cols>
    <col min="1" max="1" width="2.75" customWidth="1"/>
    <col min="2" max="2" width="14" customWidth="1"/>
    <col min="3" max="3" width="12.875" customWidth="1"/>
    <col min="4" max="4" width="16.75" customWidth="1"/>
    <col min="5" max="7" width="18.5" customWidth="1"/>
    <col min="8" max="8" width="15" customWidth="1"/>
    <col min="9" max="9" width="3.75" customWidth="1"/>
    <col min="10" max="14" width="10" customWidth="1"/>
    <col min="15" max="15" width="10.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35.1" customHeight="1">
      <c r="A2" s="1"/>
      <c r="B2" s="17" t="s">
        <v>3</v>
      </c>
      <c r="C2" s="18" t="s">
        <v>3</v>
      </c>
      <c r="D2" s="18" t="s">
        <v>3</v>
      </c>
      <c r="E2" s="18" t="s">
        <v>3</v>
      </c>
      <c r="F2" s="18" t="s">
        <v>3</v>
      </c>
      <c r="G2" s="18" t="s">
        <v>3</v>
      </c>
      <c r="H2" s="18" t="s">
        <v>3</v>
      </c>
      <c r="I2" s="1"/>
    </row>
    <row r="3" spans="1:9" ht="12" customHeight="1">
      <c r="A3" s="1"/>
      <c r="B3" s="18" t="s">
        <v>3</v>
      </c>
      <c r="C3" s="18" t="s">
        <v>3</v>
      </c>
      <c r="D3" s="18" t="s">
        <v>3</v>
      </c>
      <c r="E3" s="18" t="s">
        <v>3</v>
      </c>
      <c r="F3" s="18" t="s">
        <v>3</v>
      </c>
      <c r="G3" s="18" t="s">
        <v>3</v>
      </c>
      <c r="H3" s="18" t="s">
        <v>3</v>
      </c>
      <c r="I3" s="1"/>
    </row>
    <row r="4" spans="1:9" ht="24" customHeight="1">
      <c r="A4" s="1"/>
      <c r="I4" s="1"/>
    </row>
    <row r="5" spans="1:9" ht="24" customHeight="1">
      <c r="A5" s="1"/>
      <c r="B5" s="1"/>
      <c r="C5" s="1"/>
      <c r="D5" s="1"/>
      <c r="E5" s="1"/>
      <c r="F5" s="1"/>
      <c r="G5" s="1"/>
      <c r="H5" s="1"/>
      <c r="I5" s="1"/>
    </row>
    <row r="6" spans="1:9" ht="32.1" customHeight="1">
      <c r="A6" s="1"/>
      <c r="B6" s="2" t="s">
        <v>4</v>
      </c>
      <c r="C6" s="2" t="s">
        <v>5</v>
      </c>
      <c r="D6" s="2" t="s">
        <v>6</v>
      </c>
      <c r="E6" s="2" t="s">
        <v>7</v>
      </c>
      <c r="F6" s="1"/>
      <c r="G6" s="1"/>
      <c r="H6" s="1"/>
      <c r="I6" s="1"/>
    </row>
    <row r="7" spans="1:9" ht="30.95" customHeight="1">
      <c r="A7" s="1"/>
      <c r="B7" s="3" t="s">
        <v>8</v>
      </c>
      <c r="C7" s="3" t="s">
        <v>9</v>
      </c>
      <c r="D7" s="4">
        <v>14.6</v>
      </c>
      <c r="E7" s="9">
        <f>$E$8*(D7/$D$8)^4</f>
        <v>941.40636852684645</v>
      </c>
      <c r="F7" s="1"/>
      <c r="G7" s="1"/>
      <c r="H7" s="1"/>
      <c r="I7" s="1"/>
    </row>
    <row r="8" spans="1:9" ht="30.95" customHeight="1">
      <c r="A8" s="1"/>
      <c r="B8" s="6" t="s">
        <v>8</v>
      </c>
      <c r="C8" s="6" t="s">
        <v>10</v>
      </c>
      <c r="D8" s="4">
        <v>17.600000000000001</v>
      </c>
      <c r="E8" s="5">
        <v>1988</v>
      </c>
      <c r="F8" s="1"/>
      <c r="G8" s="1"/>
      <c r="H8" s="1"/>
      <c r="I8" s="1"/>
    </row>
    <row r="9" spans="1:9" ht="30.95" customHeight="1">
      <c r="A9" s="1"/>
      <c r="B9" s="3" t="s">
        <v>8</v>
      </c>
      <c r="C9" s="3" t="s">
        <v>11</v>
      </c>
      <c r="D9" s="4">
        <v>20.5</v>
      </c>
      <c r="E9" s="9">
        <f>$E$8*(D9/$D$8)^4</f>
        <v>3659.1579207191103</v>
      </c>
      <c r="F9" s="1"/>
      <c r="G9" s="1"/>
      <c r="H9" s="1"/>
      <c r="I9" s="1"/>
    </row>
    <row r="10" spans="1:9" ht="30.95" customHeight="1">
      <c r="A10" s="1"/>
      <c r="B10" s="6" t="s">
        <v>12</v>
      </c>
      <c r="C10" s="6" t="s">
        <v>9</v>
      </c>
      <c r="D10" s="4">
        <v>16.2</v>
      </c>
      <c r="E10" s="10">
        <f>$E$11*(D10/$D$11)^4</f>
        <v>1429.0674406245321</v>
      </c>
      <c r="F10" s="1"/>
      <c r="G10" s="1"/>
      <c r="H10" s="1"/>
      <c r="I10" s="1"/>
    </row>
    <row r="11" spans="1:9" ht="30.95" customHeight="1">
      <c r="A11" s="1"/>
      <c r="B11" s="3" t="s">
        <v>12</v>
      </c>
      <c r="C11" s="3" t="s">
        <v>10</v>
      </c>
      <c r="D11" s="4">
        <v>19.399999999999999</v>
      </c>
      <c r="E11" s="5">
        <v>2939</v>
      </c>
      <c r="F11" s="1"/>
      <c r="G11" s="1"/>
      <c r="H11" s="1"/>
      <c r="I11" s="1"/>
    </row>
    <row r="12" spans="1:9" ht="30.95" customHeight="1">
      <c r="A12" s="1"/>
      <c r="B12" s="6" t="s">
        <v>12</v>
      </c>
      <c r="C12" s="6" t="s">
        <v>11</v>
      </c>
      <c r="D12" s="4">
        <v>22.1</v>
      </c>
      <c r="E12" s="10">
        <f>$E$11*(D12/$D$11)^4</f>
        <v>4949.5049290944507</v>
      </c>
      <c r="F12" s="1"/>
      <c r="G12" s="1"/>
      <c r="H12" s="1"/>
      <c r="I12" s="1"/>
    </row>
    <row r="13" spans="1:9" ht="24" customHeight="1">
      <c r="A13" s="1"/>
      <c r="B13" s="1"/>
      <c r="C13" s="1"/>
      <c r="D13" s="1"/>
      <c r="E13" s="1"/>
      <c r="F13" s="1"/>
      <c r="G13" s="1"/>
      <c r="H13" s="1"/>
      <c r="I13" s="1"/>
    </row>
    <row r="14" spans="1:9" ht="24" customHeight="1">
      <c r="A14" s="1"/>
      <c r="B14" s="19" t="s">
        <v>13</v>
      </c>
      <c r="C14" s="20" t="s">
        <v>14</v>
      </c>
      <c r="D14" s="20" t="s">
        <v>14</v>
      </c>
      <c r="E14" s="20" t="s">
        <v>14</v>
      </c>
      <c r="F14" s="20" t="s">
        <v>14</v>
      </c>
      <c r="G14" s="20" t="s">
        <v>14</v>
      </c>
      <c r="H14" s="20" t="s">
        <v>14</v>
      </c>
      <c r="I14" s="1"/>
    </row>
    <row r="15" spans="1:9" ht="24" customHeight="1">
      <c r="A15" s="1"/>
      <c r="B15" s="1"/>
      <c r="C15" s="1"/>
      <c r="D15" s="1"/>
      <c r="E15" s="1"/>
      <c r="F15" s="1"/>
      <c r="G15" s="1"/>
      <c r="H15" s="1"/>
      <c r="I15" s="1"/>
    </row>
    <row r="16" spans="1:9" ht="39.950000000000003" customHeight="1">
      <c r="A16" s="1"/>
      <c r="B16" s="2" t="s">
        <v>15</v>
      </c>
      <c r="C16" s="2" t="s">
        <v>4</v>
      </c>
      <c r="D16" s="2" t="s">
        <v>16</v>
      </c>
      <c r="E16" s="2" t="s">
        <v>17</v>
      </c>
      <c r="F16" s="2" t="s">
        <v>18</v>
      </c>
      <c r="G16" s="2" t="s">
        <v>19</v>
      </c>
      <c r="H16" s="1"/>
      <c r="I16" s="1"/>
    </row>
    <row r="17" spans="1:9" ht="30.95" customHeight="1">
      <c r="A17" s="1"/>
      <c r="B17" s="3" t="s">
        <v>20</v>
      </c>
      <c r="C17" s="3" t="s">
        <v>8</v>
      </c>
      <c r="D17" s="3" t="s">
        <v>21</v>
      </c>
      <c r="E17" s="4"/>
      <c r="F17" s="4"/>
      <c r="G17" s="4"/>
      <c r="H17" s="1"/>
      <c r="I17" s="1"/>
    </row>
    <row r="18" spans="1:9" ht="30.95" customHeight="1">
      <c r="A18" s="1"/>
      <c r="B18" s="6" t="s">
        <v>20</v>
      </c>
      <c r="C18" s="6" t="s">
        <v>8</v>
      </c>
      <c r="D18" s="6" t="s">
        <v>22</v>
      </c>
      <c r="E18" s="4"/>
      <c r="F18" s="4"/>
      <c r="G18" s="4"/>
      <c r="H18" s="1"/>
      <c r="I18" s="1"/>
    </row>
    <row r="19" spans="1:9" ht="30.95" customHeight="1">
      <c r="A19" s="1"/>
      <c r="B19" s="3" t="s">
        <v>20</v>
      </c>
      <c r="C19" s="3" t="s">
        <v>8</v>
      </c>
      <c r="D19" s="3" t="s">
        <v>23</v>
      </c>
      <c r="E19" s="4">
        <v>127</v>
      </c>
      <c r="F19" s="4">
        <v>46</v>
      </c>
      <c r="G19" s="4">
        <v>163</v>
      </c>
      <c r="H19" s="1"/>
      <c r="I19" s="1"/>
    </row>
    <row r="20" spans="1:9" ht="30.95" customHeight="1">
      <c r="A20" s="1"/>
      <c r="B20" s="6" t="s">
        <v>20</v>
      </c>
      <c r="C20" s="6" t="s">
        <v>12</v>
      </c>
      <c r="D20" s="6" t="s">
        <v>21</v>
      </c>
      <c r="E20" s="4"/>
      <c r="F20" s="4"/>
      <c r="G20" s="4"/>
      <c r="H20" s="1"/>
      <c r="I20" s="1"/>
    </row>
    <row r="21" spans="1:9" ht="30.95" customHeight="1">
      <c r="A21" s="1"/>
      <c r="B21" s="3" t="s">
        <v>20</v>
      </c>
      <c r="C21" s="3" t="s">
        <v>12</v>
      </c>
      <c r="D21" s="3" t="s">
        <v>22</v>
      </c>
      <c r="E21" s="4"/>
      <c r="F21" s="4"/>
      <c r="G21" s="4"/>
      <c r="H21" s="1"/>
      <c r="I21" s="1"/>
    </row>
    <row r="22" spans="1:9" ht="30.95" customHeight="1">
      <c r="A22" s="1"/>
      <c r="B22" s="6" t="s">
        <v>20</v>
      </c>
      <c r="C22" s="6" t="s">
        <v>12</v>
      </c>
      <c r="D22" s="6" t="s">
        <v>23</v>
      </c>
      <c r="E22" s="4">
        <v>136</v>
      </c>
      <c r="F22" s="4">
        <v>54</v>
      </c>
      <c r="G22" s="4">
        <v>154</v>
      </c>
      <c r="H22" s="1"/>
      <c r="I22" s="1"/>
    </row>
    <row r="23" spans="1:9" ht="30.95" customHeight="1">
      <c r="A23" s="1"/>
      <c r="B23" s="3" t="s">
        <v>24</v>
      </c>
      <c r="C23" s="3" t="s">
        <v>8</v>
      </c>
      <c r="D23" s="3" t="s">
        <v>21</v>
      </c>
      <c r="E23" s="4"/>
      <c r="F23" s="4"/>
      <c r="G23" s="4"/>
      <c r="H23" s="1"/>
      <c r="I23" s="1"/>
    </row>
    <row r="24" spans="1:9" ht="30.95" customHeight="1">
      <c r="A24" s="1"/>
      <c r="B24" s="6" t="s">
        <v>24</v>
      </c>
      <c r="C24" s="6" t="s">
        <v>8</v>
      </c>
      <c r="D24" s="6" t="s">
        <v>22</v>
      </c>
      <c r="E24" s="4"/>
      <c r="F24" s="4"/>
      <c r="G24" s="4"/>
      <c r="H24" s="1"/>
      <c r="I24" s="1"/>
    </row>
    <row r="25" spans="1:9" ht="30.95" customHeight="1">
      <c r="A25" s="1"/>
      <c r="B25" s="3" t="s">
        <v>24</v>
      </c>
      <c r="C25" s="3" t="s">
        <v>8</v>
      </c>
      <c r="D25" s="3" t="s">
        <v>23</v>
      </c>
      <c r="E25" s="4">
        <v>266</v>
      </c>
      <c r="F25" s="4">
        <v>83</v>
      </c>
      <c r="G25" s="4">
        <v>163</v>
      </c>
      <c r="H25" s="1"/>
      <c r="I25" s="1"/>
    </row>
    <row r="26" spans="1:9" ht="30.95" customHeight="1">
      <c r="A26" s="1"/>
      <c r="B26" s="6" t="s">
        <v>24</v>
      </c>
      <c r="C26" s="6" t="s">
        <v>12</v>
      </c>
      <c r="D26" s="6" t="s">
        <v>21</v>
      </c>
      <c r="E26" s="4"/>
      <c r="F26" s="4"/>
      <c r="G26" s="4"/>
      <c r="H26" s="1"/>
      <c r="I26" s="1"/>
    </row>
    <row r="27" spans="1:9" ht="30.95" customHeight="1">
      <c r="A27" s="1"/>
      <c r="B27" s="3" t="s">
        <v>24</v>
      </c>
      <c r="C27" s="3" t="s">
        <v>12</v>
      </c>
      <c r="D27" s="3" t="s">
        <v>22</v>
      </c>
      <c r="E27" s="4"/>
      <c r="F27" s="4"/>
      <c r="G27" s="4"/>
      <c r="H27" s="1"/>
      <c r="I27" s="1"/>
    </row>
    <row r="28" spans="1:9" ht="30.95" customHeight="1">
      <c r="A28" s="1"/>
      <c r="B28" s="6" t="s">
        <v>24</v>
      </c>
      <c r="C28" s="6" t="s">
        <v>12</v>
      </c>
      <c r="D28" s="6" t="s">
        <v>23</v>
      </c>
      <c r="E28" s="4">
        <v>268</v>
      </c>
      <c r="F28" s="4">
        <v>111</v>
      </c>
      <c r="G28" s="4">
        <v>154</v>
      </c>
      <c r="H28" s="1"/>
      <c r="I28" s="1"/>
    </row>
    <row r="29" spans="1:9" ht="24" customHeight="1">
      <c r="A29" s="1"/>
      <c r="B29" s="1"/>
      <c r="C29" s="1"/>
      <c r="D29" s="1"/>
      <c r="E29" s="1"/>
      <c r="F29" s="1"/>
      <c r="G29" s="1"/>
      <c r="H29" s="1"/>
      <c r="I29" s="1"/>
    </row>
    <row r="30" spans="1:9" ht="24" customHeight="1">
      <c r="A30" s="1"/>
      <c r="I30" s="1"/>
    </row>
    <row r="31" spans="1:9" ht="24" customHeight="1">
      <c r="A31" s="1"/>
      <c r="I31" s="1"/>
    </row>
    <row r="32" spans="1:9" ht="24" customHeight="1">
      <c r="A32" s="1"/>
      <c r="I32" s="1"/>
    </row>
    <row r="33" spans="1:9" ht="24" customHeight="1">
      <c r="A33" s="1"/>
      <c r="I33" s="1"/>
    </row>
    <row r="34" spans="1:9" ht="24" customHeight="1">
      <c r="A34" s="1"/>
      <c r="I34" s="1"/>
    </row>
    <row r="35" spans="1:9" ht="24" customHeight="1">
      <c r="A35" s="1"/>
      <c r="I35" s="1"/>
    </row>
    <row r="36" spans="1:9" ht="24" customHeight="1">
      <c r="A36" s="1"/>
      <c r="I36" s="1"/>
    </row>
    <row r="37" spans="1:9" ht="24" customHeight="1">
      <c r="A37" s="1"/>
      <c r="I37" s="1"/>
    </row>
    <row r="38" spans="1:9" ht="24" customHeight="1">
      <c r="A38" s="1"/>
      <c r="I38" s="1"/>
    </row>
    <row r="39" spans="1:9" ht="32.1" customHeight="1">
      <c r="A39" s="1"/>
      <c r="I39" s="1"/>
    </row>
    <row r="40" spans="1:9" ht="30.95" customHeight="1">
      <c r="A40" s="1"/>
      <c r="I40" s="1"/>
    </row>
    <row r="41" spans="1:9" ht="30.95" customHeight="1">
      <c r="A41" s="1"/>
      <c r="I41" s="1"/>
    </row>
    <row r="42" spans="1:9" ht="30.95" customHeight="1">
      <c r="A42" s="1"/>
      <c r="I42" s="1"/>
    </row>
    <row r="43" spans="1:9" ht="30.95" customHeight="1">
      <c r="A43" s="1"/>
      <c r="I43" s="1"/>
    </row>
    <row r="44" spans="1:9" ht="30.95" customHeight="1">
      <c r="A44" s="1"/>
      <c r="I44" s="1"/>
    </row>
    <row r="45" spans="1:9" ht="30.95" customHeight="1">
      <c r="A45" s="1"/>
      <c r="I45" s="1"/>
    </row>
    <row r="46" spans="1:9" ht="30.95" customHeight="1">
      <c r="A46" s="1"/>
      <c r="I46" s="1"/>
    </row>
    <row r="47" spans="1:9" ht="30.95" customHeight="1">
      <c r="A47" s="1"/>
      <c r="I47" s="1"/>
    </row>
    <row r="48" spans="1:9" ht="24" customHeight="1">
      <c r="A48" s="1"/>
      <c r="I48" s="1"/>
    </row>
    <row r="49" spans="1:9" ht="24" customHeight="1">
      <c r="A49" s="1"/>
      <c r="I49" s="1"/>
    </row>
    <row r="50" spans="1:9" ht="24" customHeight="1">
      <c r="A50" s="1"/>
      <c r="I50" s="1"/>
    </row>
    <row r="51" spans="1:9" ht="24" customHeight="1">
      <c r="A51" s="1"/>
      <c r="I51" s="1"/>
    </row>
    <row r="52" spans="1:9" ht="24" customHeight="1">
      <c r="A52" s="1"/>
      <c r="I52" s="1"/>
    </row>
    <row r="53" spans="1:9" ht="24" customHeight="1">
      <c r="A53" s="1"/>
      <c r="I53" s="1"/>
    </row>
    <row r="54" spans="1:9" ht="24" customHeight="1">
      <c r="A54" s="1"/>
      <c r="I54" s="1"/>
    </row>
    <row r="55" spans="1:9" ht="24" customHeight="1">
      <c r="A55" s="1"/>
      <c r="I55" s="1"/>
    </row>
    <row r="56" spans="1:9" ht="24" customHeight="1">
      <c r="A56" s="1"/>
      <c r="B56" s="1"/>
      <c r="C56" s="1"/>
      <c r="D56" s="1"/>
      <c r="E56" s="1"/>
      <c r="F56" s="1"/>
      <c r="G56" s="1"/>
      <c r="H56" s="1"/>
      <c r="I56" s="1"/>
    </row>
  </sheetData>
  <mergeCells count="2">
    <mergeCell ref="B2:H3"/>
    <mergeCell ref="B14:H14"/>
  </mergeCells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B53"/>
  </sheetPr>
  <dimension ref="A1:Q157"/>
  <sheetViews>
    <sheetView showGridLines="0" workbookViewId="0">
      <pane ySplit="5" topLeftCell="A8" activePane="bottomLeft" state="frozen"/>
      <selection pane="bottomLeft" activeCell="L29" sqref="L29"/>
    </sheetView>
  </sheetViews>
  <sheetFormatPr defaultRowHeight="14.25"/>
  <cols>
    <col min="1" max="1" width="2.75" customWidth="1"/>
    <col min="2" max="2" width="18.125" customWidth="1"/>
    <col min="3" max="3" width="9.625" customWidth="1"/>
    <col min="4" max="5" width="10.25" customWidth="1"/>
    <col min="6" max="8" width="12.25" customWidth="1"/>
    <col min="9" max="9" width="11.25" customWidth="1"/>
    <col min="10" max="10" width="14.5" customWidth="1"/>
    <col min="11" max="11" width="16.25" customWidth="1"/>
    <col min="12" max="12" width="13.75" customWidth="1"/>
    <col min="13" max="13" width="22.5" customWidth="1"/>
    <col min="14" max="15" width="13" customWidth="1"/>
    <col min="16" max="16" width="18" customWidth="1"/>
    <col min="17" max="17" width="12" customWidth="1"/>
    <col min="18" max="22" width="13" customWidth="1"/>
  </cols>
  <sheetData>
    <row r="1" spans="1:17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7" ht="35.1" customHeight="1">
      <c r="A2" s="1"/>
      <c r="B2" s="17" t="s">
        <v>25</v>
      </c>
      <c r="C2" s="18" t="s">
        <v>25</v>
      </c>
      <c r="D2" s="18" t="s">
        <v>25</v>
      </c>
      <c r="E2" s="18" t="s">
        <v>25</v>
      </c>
      <c r="F2" s="18" t="s">
        <v>25</v>
      </c>
      <c r="G2" s="18" t="s">
        <v>25</v>
      </c>
      <c r="H2" s="18" t="s">
        <v>25</v>
      </c>
      <c r="I2" s="18" t="s">
        <v>25</v>
      </c>
      <c r="J2" s="18" t="s">
        <v>25</v>
      </c>
      <c r="K2" s="18" t="s">
        <v>25</v>
      </c>
      <c r="L2" s="18" t="s">
        <v>25</v>
      </c>
      <c r="M2" s="18" t="s">
        <v>25</v>
      </c>
      <c r="N2" s="1"/>
    </row>
    <row r="3" spans="1:17" ht="12" customHeight="1">
      <c r="A3" s="1"/>
      <c r="B3" s="18" t="s">
        <v>25</v>
      </c>
      <c r="C3" s="18" t="s">
        <v>25</v>
      </c>
      <c r="D3" s="18" t="s">
        <v>25</v>
      </c>
      <c r="E3" s="18" t="s">
        <v>25</v>
      </c>
      <c r="F3" s="18" t="s">
        <v>25</v>
      </c>
      <c r="G3" s="18" t="s">
        <v>25</v>
      </c>
      <c r="H3" s="18" t="s">
        <v>25</v>
      </c>
      <c r="I3" s="18" t="s">
        <v>25</v>
      </c>
      <c r="J3" s="18" t="s">
        <v>25</v>
      </c>
      <c r="K3" s="18" t="s">
        <v>25</v>
      </c>
      <c r="L3" s="18" t="s">
        <v>25</v>
      </c>
      <c r="M3" s="18" t="s">
        <v>25</v>
      </c>
      <c r="N3" s="1"/>
    </row>
    <row r="4" spans="1:17" ht="24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7" t="s">
        <v>26</v>
      </c>
    </row>
    <row r="5" spans="1:17" ht="42" customHeight="1">
      <c r="A5" s="1"/>
      <c r="B5" s="2" t="s">
        <v>15</v>
      </c>
      <c r="C5" s="2" t="s">
        <v>4</v>
      </c>
      <c r="D5" s="2" t="s">
        <v>5</v>
      </c>
      <c r="E5" s="2" t="s">
        <v>16</v>
      </c>
      <c r="F5" s="2" t="s">
        <v>27</v>
      </c>
      <c r="G5" s="2" t="s">
        <v>28</v>
      </c>
      <c r="H5" s="2" t="s">
        <v>29</v>
      </c>
      <c r="I5" s="2" t="s">
        <v>30</v>
      </c>
      <c r="J5" s="2" t="s">
        <v>31</v>
      </c>
      <c r="K5" s="2" t="s">
        <v>32</v>
      </c>
      <c r="L5" s="2" t="s">
        <v>33</v>
      </c>
      <c r="M5" s="2" t="s">
        <v>34</v>
      </c>
      <c r="N5" s="1"/>
      <c r="P5" s="2" t="s">
        <v>35</v>
      </c>
      <c r="Q5" s="2" t="s">
        <v>36</v>
      </c>
    </row>
    <row r="6" spans="1:17" ht="30.95" customHeight="1">
      <c r="A6" s="1"/>
      <c r="B6" s="3" t="s">
        <v>20</v>
      </c>
      <c r="C6" s="3" t="s">
        <v>8</v>
      </c>
      <c r="D6" s="3" t="s">
        <v>9</v>
      </c>
      <c r="E6" s="3" t="s">
        <v>21</v>
      </c>
      <c r="F6" s="11">
        <f>Parameters!D7</f>
        <v>14.6</v>
      </c>
      <c r="G6" s="11">
        <f>Parameters!E17</f>
        <v>0</v>
      </c>
      <c r="H6" s="11">
        <f>Parameters!F17</f>
        <v>0</v>
      </c>
      <c r="I6" s="12" t="e">
        <f t="shared" ref="I6:I41" si="0">H6/G6</f>
        <v>#DIV/0!</v>
      </c>
      <c r="J6" s="11">
        <f>Parameters!G17</f>
        <v>0</v>
      </c>
      <c r="K6" s="9">
        <f>Parameters!E7</f>
        <v>941.40636852684645</v>
      </c>
      <c r="L6" s="13" t="e">
        <f t="shared" ref="L6:L41" si="1">1000*K6*I6^2/J6^2</f>
        <v>#DIV/0!</v>
      </c>
      <c r="M6" s="3" t="s">
        <v>37</v>
      </c>
      <c r="N6" s="1"/>
      <c r="P6" s="3" t="s">
        <v>38</v>
      </c>
      <c r="Q6" s="9">
        <v>223</v>
      </c>
    </row>
    <row r="7" spans="1:17" ht="30.95" customHeight="1">
      <c r="A7" s="1"/>
      <c r="B7" s="6" t="s">
        <v>20</v>
      </c>
      <c r="C7" s="6" t="s">
        <v>8</v>
      </c>
      <c r="D7" s="6" t="s">
        <v>9</v>
      </c>
      <c r="E7" s="6" t="s">
        <v>22</v>
      </c>
      <c r="F7" s="14">
        <f>Parameters!D7</f>
        <v>14.6</v>
      </c>
      <c r="G7" s="14">
        <f>Parameters!E18</f>
        <v>0</v>
      </c>
      <c r="H7" s="14">
        <f>Parameters!F18</f>
        <v>0</v>
      </c>
      <c r="I7" s="15" t="e">
        <f t="shared" si="0"/>
        <v>#DIV/0!</v>
      </c>
      <c r="J7" s="14">
        <f>Parameters!G18</f>
        <v>0</v>
      </c>
      <c r="K7" s="10">
        <f>Parameters!E7</f>
        <v>941.40636852684645</v>
      </c>
      <c r="L7" s="16" t="e">
        <f t="shared" si="1"/>
        <v>#DIV/0!</v>
      </c>
      <c r="M7" s="6" t="s">
        <v>39</v>
      </c>
      <c r="N7" s="1"/>
      <c r="P7" s="6" t="s">
        <v>40</v>
      </c>
      <c r="Q7" s="10">
        <v>267</v>
      </c>
    </row>
    <row r="8" spans="1:17" ht="30.95" customHeight="1">
      <c r="A8" s="1"/>
      <c r="B8" s="3" t="s">
        <v>20</v>
      </c>
      <c r="C8" s="3" t="s">
        <v>8</v>
      </c>
      <c r="D8" s="3" t="s">
        <v>9</v>
      </c>
      <c r="E8" s="3" t="s">
        <v>23</v>
      </c>
      <c r="F8" s="11">
        <f>Parameters!D7</f>
        <v>14.6</v>
      </c>
      <c r="G8" s="11">
        <f>Parameters!E19</f>
        <v>127</v>
      </c>
      <c r="H8" s="11">
        <f>Parameters!F19</f>
        <v>46</v>
      </c>
      <c r="I8" s="12">
        <f t="shared" si="0"/>
        <v>0.36220472440944884</v>
      </c>
      <c r="J8" s="11">
        <f>Parameters!G19</f>
        <v>163</v>
      </c>
      <c r="K8" s="9">
        <f>Parameters!E7</f>
        <v>941.40636852684645</v>
      </c>
      <c r="L8" s="13">
        <f t="shared" si="1"/>
        <v>4.6484711999035211</v>
      </c>
      <c r="M8" s="3" t="s">
        <v>41</v>
      </c>
      <c r="N8" s="1"/>
      <c r="P8" s="3" t="s">
        <v>42</v>
      </c>
      <c r="Q8" s="9">
        <v>236</v>
      </c>
    </row>
    <row r="9" spans="1:17" ht="30.95" customHeight="1">
      <c r="A9" s="1"/>
      <c r="B9" s="6" t="s">
        <v>20</v>
      </c>
      <c r="C9" s="6" t="s">
        <v>8</v>
      </c>
      <c r="D9" s="6" t="s">
        <v>10</v>
      </c>
      <c r="E9" s="6" t="s">
        <v>21</v>
      </c>
      <c r="F9" s="14">
        <f>Parameters!D8</f>
        <v>17.600000000000001</v>
      </c>
      <c r="G9" s="14">
        <f>Parameters!E17</f>
        <v>0</v>
      </c>
      <c r="H9" s="14">
        <f>Parameters!F17</f>
        <v>0</v>
      </c>
      <c r="I9" s="15" t="e">
        <f t="shared" si="0"/>
        <v>#DIV/0!</v>
      </c>
      <c r="J9" s="14">
        <f>Parameters!G17</f>
        <v>0</v>
      </c>
      <c r="K9" s="10">
        <f>Parameters!E8</f>
        <v>1988</v>
      </c>
      <c r="L9" s="16" t="e">
        <f t="shared" si="1"/>
        <v>#DIV/0!</v>
      </c>
      <c r="M9" s="6" t="s">
        <v>43</v>
      </c>
      <c r="N9" s="1"/>
      <c r="P9" s="6" t="s">
        <v>44</v>
      </c>
      <c r="Q9" s="10">
        <v>238</v>
      </c>
    </row>
    <row r="10" spans="1:17" ht="30.95" customHeight="1">
      <c r="A10" s="1"/>
      <c r="B10" s="3" t="s">
        <v>20</v>
      </c>
      <c r="C10" s="3" t="s">
        <v>8</v>
      </c>
      <c r="D10" s="3" t="s">
        <v>10</v>
      </c>
      <c r="E10" s="3" t="s">
        <v>22</v>
      </c>
      <c r="F10" s="11">
        <f>Parameters!D8</f>
        <v>17.600000000000001</v>
      </c>
      <c r="G10" s="11">
        <f>Parameters!E18</f>
        <v>0</v>
      </c>
      <c r="H10" s="11">
        <f>Parameters!F18</f>
        <v>0</v>
      </c>
      <c r="I10" s="12" t="e">
        <f t="shared" si="0"/>
        <v>#DIV/0!</v>
      </c>
      <c r="J10" s="11">
        <f>Parameters!G18</f>
        <v>0</v>
      </c>
      <c r="K10" s="9">
        <f>Parameters!E8</f>
        <v>1988</v>
      </c>
      <c r="L10" s="13" t="e">
        <f t="shared" si="1"/>
        <v>#DIV/0!</v>
      </c>
      <c r="M10" s="3" t="s">
        <v>45</v>
      </c>
      <c r="N10" s="1"/>
      <c r="P10" s="3" t="s">
        <v>46</v>
      </c>
      <c r="Q10" s="9">
        <v>279</v>
      </c>
    </row>
    <row r="11" spans="1:17" ht="30.95" customHeight="1">
      <c r="A11" s="1"/>
      <c r="B11" s="6" t="s">
        <v>20</v>
      </c>
      <c r="C11" s="6" t="s">
        <v>8</v>
      </c>
      <c r="D11" s="6" t="s">
        <v>10</v>
      </c>
      <c r="E11" s="6" t="s">
        <v>23</v>
      </c>
      <c r="F11" s="14">
        <f>Parameters!D8</f>
        <v>17.600000000000001</v>
      </c>
      <c r="G11" s="14">
        <f>Parameters!E19</f>
        <v>127</v>
      </c>
      <c r="H11" s="14">
        <f>Parameters!F19</f>
        <v>46</v>
      </c>
      <c r="I11" s="15">
        <f t="shared" si="0"/>
        <v>0.36220472440944884</v>
      </c>
      <c r="J11" s="14">
        <f>Parameters!G19</f>
        <v>163</v>
      </c>
      <c r="K11" s="10">
        <f>Parameters!E8</f>
        <v>1988</v>
      </c>
      <c r="L11" s="16">
        <f t="shared" si="1"/>
        <v>9.8163354894966037</v>
      </c>
      <c r="M11" s="6" t="s">
        <v>47</v>
      </c>
      <c r="N11" s="1"/>
      <c r="P11" s="6" t="s">
        <v>48</v>
      </c>
      <c r="Q11" s="10">
        <v>16</v>
      </c>
    </row>
    <row r="12" spans="1:17" ht="30.95" customHeight="1">
      <c r="A12" s="1"/>
      <c r="B12" s="3" t="s">
        <v>20</v>
      </c>
      <c r="C12" s="3" t="s">
        <v>8</v>
      </c>
      <c r="D12" s="3" t="s">
        <v>11</v>
      </c>
      <c r="E12" s="3" t="s">
        <v>21</v>
      </c>
      <c r="F12" s="11">
        <f>Parameters!D9</f>
        <v>20.5</v>
      </c>
      <c r="G12" s="11">
        <f>Parameters!E17</f>
        <v>0</v>
      </c>
      <c r="H12" s="11">
        <f>Parameters!F17</f>
        <v>0</v>
      </c>
      <c r="I12" s="12" t="e">
        <f t="shared" si="0"/>
        <v>#DIV/0!</v>
      </c>
      <c r="J12" s="11">
        <f>Parameters!G17</f>
        <v>0</v>
      </c>
      <c r="K12" s="9">
        <f>Parameters!E9</f>
        <v>3659.1579207191103</v>
      </c>
      <c r="L12" s="13" t="e">
        <f t="shared" si="1"/>
        <v>#DIV/0!</v>
      </c>
      <c r="M12" s="3" t="s">
        <v>49</v>
      </c>
      <c r="N12" s="1"/>
      <c r="P12" s="3" t="s">
        <v>50</v>
      </c>
      <c r="Q12" s="9">
        <v>23</v>
      </c>
    </row>
    <row r="13" spans="1:17" ht="30.95" customHeight="1">
      <c r="A13" s="1"/>
      <c r="B13" s="6" t="s">
        <v>20</v>
      </c>
      <c r="C13" s="6" t="s">
        <v>8</v>
      </c>
      <c r="D13" s="6" t="s">
        <v>11</v>
      </c>
      <c r="E13" s="6" t="s">
        <v>22</v>
      </c>
      <c r="F13" s="14">
        <f>Parameters!D9</f>
        <v>20.5</v>
      </c>
      <c r="G13" s="14">
        <f>Parameters!E18</f>
        <v>0</v>
      </c>
      <c r="H13" s="14">
        <f>Parameters!F18</f>
        <v>0</v>
      </c>
      <c r="I13" s="15" t="e">
        <f t="shared" si="0"/>
        <v>#DIV/0!</v>
      </c>
      <c r="J13" s="14">
        <f>Parameters!G18</f>
        <v>0</v>
      </c>
      <c r="K13" s="10">
        <f>Parameters!E9</f>
        <v>3659.1579207191103</v>
      </c>
      <c r="L13" s="16" t="e">
        <f t="shared" si="1"/>
        <v>#DIV/0!</v>
      </c>
      <c r="M13" s="6" t="s">
        <v>51</v>
      </c>
      <c r="N13" s="1"/>
      <c r="P13" s="6" t="s">
        <v>52</v>
      </c>
      <c r="Q13" s="10">
        <v>24</v>
      </c>
    </row>
    <row r="14" spans="1:17" ht="30.95" customHeight="1">
      <c r="A14" s="1"/>
      <c r="B14" s="3" t="s">
        <v>20</v>
      </c>
      <c r="C14" s="3" t="s">
        <v>8</v>
      </c>
      <c r="D14" s="3" t="s">
        <v>11</v>
      </c>
      <c r="E14" s="3" t="s">
        <v>23</v>
      </c>
      <c r="F14" s="11">
        <f>Parameters!D9</f>
        <v>20.5</v>
      </c>
      <c r="G14" s="11">
        <f>Parameters!E19</f>
        <v>127</v>
      </c>
      <c r="H14" s="11">
        <f>Parameters!F19</f>
        <v>46</v>
      </c>
      <c r="I14" s="12">
        <f t="shared" si="0"/>
        <v>0.36220472440944884</v>
      </c>
      <c r="J14" s="11">
        <f>Parameters!G19</f>
        <v>163</v>
      </c>
      <c r="K14" s="9">
        <f>Parameters!E9</f>
        <v>3659.1579207191103</v>
      </c>
      <c r="L14" s="13">
        <f t="shared" si="1"/>
        <v>18.068169898806641</v>
      </c>
      <c r="M14" s="3" t="s">
        <v>53</v>
      </c>
      <c r="N14" s="1"/>
    </row>
    <row r="15" spans="1:17" ht="30.95" customHeight="1">
      <c r="A15" s="1"/>
      <c r="B15" s="6" t="s">
        <v>20</v>
      </c>
      <c r="C15" s="6" t="s">
        <v>12</v>
      </c>
      <c r="D15" s="6" t="s">
        <v>9</v>
      </c>
      <c r="E15" s="6" t="s">
        <v>21</v>
      </c>
      <c r="F15" s="14">
        <f>Parameters!D10</f>
        <v>16.2</v>
      </c>
      <c r="G15" s="14">
        <f>Parameters!E20</f>
        <v>0</v>
      </c>
      <c r="H15" s="14">
        <f>Parameters!F20</f>
        <v>0</v>
      </c>
      <c r="I15" s="15" t="e">
        <f t="shared" si="0"/>
        <v>#DIV/0!</v>
      </c>
      <c r="J15" s="14">
        <f>Parameters!G20</f>
        <v>0</v>
      </c>
      <c r="K15" s="10">
        <f>Parameters!E10</f>
        <v>1429.0674406245321</v>
      </c>
      <c r="L15" s="16" t="e">
        <f t="shared" si="1"/>
        <v>#DIV/0!</v>
      </c>
      <c r="M15" s="6" t="s">
        <v>54</v>
      </c>
      <c r="N15" s="1"/>
    </row>
    <row r="16" spans="1:17" ht="30.95" customHeight="1">
      <c r="A16" s="1"/>
      <c r="B16" s="3" t="s">
        <v>20</v>
      </c>
      <c r="C16" s="3" t="s">
        <v>12</v>
      </c>
      <c r="D16" s="3" t="s">
        <v>9</v>
      </c>
      <c r="E16" s="3" t="s">
        <v>22</v>
      </c>
      <c r="F16" s="11">
        <f>Parameters!D10</f>
        <v>16.2</v>
      </c>
      <c r="G16" s="11">
        <f>Parameters!E21</f>
        <v>0</v>
      </c>
      <c r="H16" s="11">
        <f>Parameters!F21</f>
        <v>0</v>
      </c>
      <c r="I16" s="12" t="e">
        <f t="shared" si="0"/>
        <v>#DIV/0!</v>
      </c>
      <c r="J16" s="11">
        <f>Parameters!G21</f>
        <v>0</v>
      </c>
      <c r="K16" s="9">
        <f>Parameters!E10</f>
        <v>1429.0674406245321</v>
      </c>
      <c r="L16" s="13" t="e">
        <f t="shared" si="1"/>
        <v>#DIV/0!</v>
      </c>
      <c r="M16" s="3" t="s">
        <v>55</v>
      </c>
      <c r="N16" s="1"/>
    </row>
    <row r="17" spans="1:14" ht="30.95" customHeight="1">
      <c r="A17" s="1"/>
      <c r="B17" s="6" t="s">
        <v>20</v>
      </c>
      <c r="C17" s="6" t="s">
        <v>12</v>
      </c>
      <c r="D17" s="6" t="s">
        <v>9</v>
      </c>
      <c r="E17" s="6" t="s">
        <v>23</v>
      </c>
      <c r="F17" s="14">
        <f>Parameters!D10</f>
        <v>16.2</v>
      </c>
      <c r="G17" s="14">
        <f>Parameters!E22</f>
        <v>136</v>
      </c>
      <c r="H17" s="14">
        <f>Parameters!F22</f>
        <v>54</v>
      </c>
      <c r="I17" s="15">
        <f t="shared" si="0"/>
        <v>0.39705882352941174</v>
      </c>
      <c r="J17" s="14">
        <f>Parameters!G22</f>
        <v>154</v>
      </c>
      <c r="K17" s="10">
        <f>Parameters!E10</f>
        <v>1429.0674406245321</v>
      </c>
      <c r="L17" s="16">
        <f t="shared" si="1"/>
        <v>9.4999426990225206</v>
      </c>
      <c r="M17" s="6" t="s">
        <v>56</v>
      </c>
      <c r="N17" s="1"/>
    </row>
    <row r="18" spans="1:14" ht="30.95" customHeight="1">
      <c r="A18" s="1"/>
      <c r="B18" s="3" t="s">
        <v>20</v>
      </c>
      <c r="C18" s="3" t="s">
        <v>12</v>
      </c>
      <c r="D18" s="3" t="s">
        <v>10</v>
      </c>
      <c r="E18" s="3" t="s">
        <v>21</v>
      </c>
      <c r="F18" s="11">
        <f>Parameters!D11</f>
        <v>19.399999999999999</v>
      </c>
      <c r="G18" s="11">
        <f>Parameters!E20</f>
        <v>0</v>
      </c>
      <c r="H18" s="11">
        <f>Parameters!F20</f>
        <v>0</v>
      </c>
      <c r="I18" s="12" t="e">
        <f t="shared" si="0"/>
        <v>#DIV/0!</v>
      </c>
      <c r="J18" s="11">
        <f>Parameters!G20</f>
        <v>0</v>
      </c>
      <c r="K18" s="9">
        <f>Parameters!E11</f>
        <v>2939</v>
      </c>
      <c r="L18" s="13" t="e">
        <f t="shared" si="1"/>
        <v>#DIV/0!</v>
      </c>
      <c r="M18" s="3" t="s">
        <v>57</v>
      </c>
      <c r="N18" s="1"/>
    </row>
    <row r="19" spans="1:14" ht="30.95" customHeight="1">
      <c r="A19" s="1"/>
      <c r="B19" s="6" t="s">
        <v>20</v>
      </c>
      <c r="C19" s="6" t="s">
        <v>12</v>
      </c>
      <c r="D19" s="6" t="s">
        <v>10</v>
      </c>
      <c r="E19" s="6" t="s">
        <v>22</v>
      </c>
      <c r="F19" s="14">
        <f>Parameters!D11</f>
        <v>19.399999999999999</v>
      </c>
      <c r="G19" s="14">
        <f>Parameters!E21</f>
        <v>0</v>
      </c>
      <c r="H19" s="14">
        <f>Parameters!F21</f>
        <v>0</v>
      </c>
      <c r="I19" s="15" t="e">
        <f t="shared" si="0"/>
        <v>#DIV/0!</v>
      </c>
      <c r="J19" s="14">
        <f>Parameters!G21</f>
        <v>0</v>
      </c>
      <c r="K19" s="10">
        <f>Parameters!E11</f>
        <v>2939</v>
      </c>
      <c r="L19" s="16" t="e">
        <f t="shared" si="1"/>
        <v>#DIV/0!</v>
      </c>
      <c r="M19" s="6" t="s">
        <v>58</v>
      </c>
      <c r="N19" s="1"/>
    </row>
    <row r="20" spans="1:14" ht="30.95" customHeight="1">
      <c r="A20" s="1"/>
      <c r="B20" s="3" t="s">
        <v>20</v>
      </c>
      <c r="C20" s="3" t="s">
        <v>12</v>
      </c>
      <c r="D20" s="3" t="s">
        <v>10</v>
      </c>
      <c r="E20" s="3" t="s">
        <v>23</v>
      </c>
      <c r="F20" s="11">
        <f>Parameters!D11</f>
        <v>19.399999999999999</v>
      </c>
      <c r="G20" s="11">
        <f>Parameters!E22</f>
        <v>136</v>
      </c>
      <c r="H20" s="11">
        <f>Parameters!F22</f>
        <v>54</v>
      </c>
      <c r="I20" s="12">
        <f t="shared" si="0"/>
        <v>0.39705882352941174</v>
      </c>
      <c r="J20" s="11">
        <f>Parameters!G22</f>
        <v>154</v>
      </c>
      <c r="K20" s="9">
        <f>Parameters!E11</f>
        <v>2939</v>
      </c>
      <c r="L20" s="13">
        <f t="shared" si="1"/>
        <v>19.537448547722441</v>
      </c>
      <c r="M20" s="3" t="s">
        <v>59</v>
      </c>
      <c r="N20" s="1"/>
    </row>
    <row r="21" spans="1:14" ht="30.95" customHeight="1">
      <c r="A21" s="1"/>
      <c r="B21" s="6" t="s">
        <v>20</v>
      </c>
      <c r="C21" s="6" t="s">
        <v>12</v>
      </c>
      <c r="D21" s="6" t="s">
        <v>11</v>
      </c>
      <c r="E21" s="6" t="s">
        <v>21</v>
      </c>
      <c r="F21" s="14">
        <f>Parameters!D12</f>
        <v>22.1</v>
      </c>
      <c r="G21" s="14">
        <f>Parameters!E20</f>
        <v>0</v>
      </c>
      <c r="H21" s="14">
        <f>Parameters!F20</f>
        <v>0</v>
      </c>
      <c r="I21" s="15" t="e">
        <f t="shared" si="0"/>
        <v>#DIV/0!</v>
      </c>
      <c r="J21" s="14">
        <f>Parameters!G20</f>
        <v>0</v>
      </c>
      <c r="K21" s="10">
        <f>Parameters!E12</f>
        <v>4949.5049290944507</v>
      </c>
      <c r="L21" s="16" t="e">
        <f t="shared" si="1"/>
        <v>#DIV/0!</v>
      </c>
      <c r="M21" s="6" t="s">
        <v>60</v>
      </c>
      <c r="N21" s="1"/>
    </row>
    <row r="22" spans="1:14" ht="30.95" customHeight="1">
      <c r="A22" s="1"/>
      <c r="B22" s="3" t="s">
        <v>20</v>
      </c>
      <c r="C22" s="3" t="s">
        <v>12</v>
      </c>
      <c r="D22" s="3" t="s">
        <v>11</v>
      </c>
      <c r="E22" s="3" t="s">
        <v>22</v>
      </c>
      <c r="F22" s="11">
        <f>Parameters!D12</f>
        <v>22.1</v>
      </c>
      <c r="G22" s="11">
        <f>Parameters!E21</f>
        <v>0</v>
      </c>
      <c r="H22" s="11">
        <f>Parameters!F21</f>
        <v>0</v>
      </c>
      <c r="I22" s="12" t="e">
        <f t="shared" si="0"/>
        <v>#DIV/0!</v>
      </c>
      <c r="J22" s="11">
        <f>Parameters!G21</f>
        <v>0</v>
      </c>
      <c r="K22" s="9">
        <f>Parameters!E12</f>
        <v>4949.5049290944507</v>
      </c>
      <c r="L22" s="13" t="e">
        <f t="shared" si="1"/>
        <v>#DIV/0!</v>
      </c>
      <c r="M22" s="3" t="s">
        <v>61</v>
      </c>
      <c r="N22" s="1"/>
    </row>
    <row r="23" spans="1:14" ht="30.95" customHeight="1">
      <c r="A23" s="1"/>
      <c r="B23" s="6" t="s">
        <v>20</v>
      </c>
      <c r="C23" s="6" t="s">
        <v>12</v>
      </c>
      <c r="D23" s="6" t="s">
        <v>11</v>
      </c>
      <c r="E23" s="6" t="s">
        <v>23</v>
      </c>
      <c r="F23" s="14">
        <f>Parameters!D12</f>
        <v>22.1</v>
      </c>
      <c r="G23" s="14">
        <f>Parameters!E22</f>
        <v>136</v>
      </c>
      <c r="H23" s="14">
        <f>Parameters!F22</f>
        <v>54</v>
      </c>
      <c r="I23" s="15">
        <f t="shared" si="0"/>
        <v>0.39705882352941174</v>
      </c>
      <c r="J23" s="14">
        <f>Parameters!G22</f>
        <v>154</v>
      </c>
      <c r="K23" s="10">
        <f>Parameters!E12</f>
        <v>4949.5049290944507</v>
      </c>
      <c r="L23" s="16">
        <f t="shared" si="1"/>
        <v>32.902585195264187</v>
      </c>
      <c r="M23" s="6" t="s">
        <v>62</v>
      </c>
      <c r="N23" s="1"/>
    </row>
    <row r="24" spans="1:14" ht="30.95" customHeight="1">
      <c r="A24" s="1"/>
      <c r="B24" s="3" t="s">
        <v>24</v>
      </c>
      <c r="C24" s="3" t="s">
        <v>8</v>
      </c>
      <c r="D24" s="3" t="s">
        <v>9</v>
      </c>
      <c r="E24" s="3" t="s">
        <v>21</v>
      </c>
      <c r="F24" s="11">
        <f>Parameters!D7</f>
        <v>14.6</v>
      </c>
      <c r="G24" s="11">
        <f>Parameters!E23</f>
        <v>0</v>
      </c>
      <c r="H24" s="11">
        <f>Parameters!F23</f>
        <v>0</v>
      </c>
      <c r="I24" s="12" t="e">
        <f t="shared" si="0"/>
        <v>#DIV/0!</v>
      </c>
      <c r="J24" s="11">
        <f>Parameters!G23</f>
        <v>0</v>
      </c>
      <c r="K24" s="9">
        <f>Parameters!E7</f>
        <v>941.40636852684645</v>
      </c>
      <c r="L24" s="13" t="e">
        <f t="shared" si="1"/>
        <v>#DIV/0!</v>
      </c>
      <c r="M24" s="3" t="s">
        <v>63</v>
      </c>
      <c r="N24" s="1"/>
    </row>
    <row r="25" spans="1:14" ht="30.95" customHeight="1">
      <c r="A25" s="1"/>
      <c r="B25" s="6" t="s">
        <v>24</v>
      </c>
      <c r="C25" s="6" t="s">
        <v>8</v>
      </c>
      <c r="D25" s="6" t="s">
        <v>9</v>
      </c>
      <c r="E25" s="6" t="s">
        <v>22</v>
      </c>
      <c r="F25" s="14">
        <f>Parameters!D7</f>
        <v>14.6</v>
      </c>
      <c r="G25" s="14">
        <f>Parameters!E24</f>
        <v>0</v>
      </c>
      <c r="H25" s="14">
        <f>Parameters!F24</f>
        <v>0</v>
      </c>
      <c r="I25" s="15" t="e">
        <f t="shared" si="0"/>
        <v>#DIV/0!</v>
      </c>
      <c r="J25" s="14">
        <f>Parameters!G24</f>
        <v>0</v>
      </c>
      <c r="K25" s="10">
        <f>Parameters!E7</f>
        <v>941.40636852684645</v>
      </c>
      <c r="L25" s="16" t="e">
        <f t="shared" si="1"/>
        <v>#DIV/0!</v>
      </c>
      <c r="M25" s="6" t="s">
        <v>64</v>
      </c>
      <c r="N25" s="1"/>
    </row>
    <row r="26" spans="1:14" ht="30.95" customHeight="1">
      <c r="A26" s="1"/>
      <c r="B26" s="3" t="s">
        <v>24</v>
      </c>
      <c r="C26" s="3" t="s">
        <v>8</v>
      </c>
      <c r="D26" s="3" t="s">
        <v>9</v>
      </c>
      <c r="E26" s="3" t="s">
        <v>23</v>
      </c>
      <c r="F26" s="11">
        <f>Parameters!D7</f>
        <v>14.6</v>
      </c>
      <c r="G26" s="11">
        <f>Parameters!E25</f>
        <v>266</v>
      </c>
      <c r="H26" s="11">
        <f>Parameters!F25</f>
        <v>83</v>
      </c>
      <c r="I26" s="12">
        <f t="shared" si="0"/>
        <v>0.31203007518796994</v>
      </c>
      <c r="J26" s="11">
        <f>Parameters!G25</f>
        <v>163</v>
      </c>
      <c r="K26" s="9">
        <f>Parameters!E7</f>
        <v>941.40636852684645</v>
      </c>
      <c r="L26" s="13">
        <f t="shared" si="1"/>
        <v>3.4498072823536003</v>
      </c>
      <c r="M26" s="3" t="s">
        <v>65</v>
      </c>
      <c r="N26" s="1"/>
    </row>
    <row r="27" spans="1:14" ht="30.95" customHeight="1">
      <c r="A27" s="1"/>
      <c r="B27" s="6" t="s">
        <v>24</v>
      </c>
      <c r="C27" s="6" t="s">
        <v>8</v>
      </c>
      <c r="D27" s="6" t="s">
        <v>10</v>
      </c>
      <c r="E27" s="6" t="s">
        <v>21</v>
      </c>
      <c r="F27" s="14">
        <f>Parameters!D8</f>
        <v>17.600000000000001</v>
      </c>
      <c r="G27" s="14">
        <f>Parameters!E23</f>
        <v>0</v>
      </c>
      <c r="H27" s="14">
        <f>Parameters!F23</f>
        <v>0</v>
      </c>
      <c r="I27" s="15" t="e">
        <f t="shared" si="0"/>
        <v>#DIV/0!</v>
      </c>
      <c r="J27" s="14">
        <f>Parameters!G23</f>
        <v>0</v>
      </c>
      <c r="K27" s="10">
        <f>Parameters!E8</f>
        <v>1988</v>
      </c>
      <c r="L27" s="16" t="e">
        <f t="shared" si="1"/>
        <v>#DIV/0!</v>
      </c>
      <c r="M27" s="6" t="s">
        <v>66</v>
      </c>
      <c r="N27" s="1"/>
    </row>
    <row r="28" spans="1:14" ht="30.95" customHeight="1">
      <c r="A28" s="1"/>
      <c r="B28" s="3" t="s">
        <v>24</v>
      </c>
      <c r="C28" s="3" t="s">
        <v>8</v>
      </c>
      <c r="D28" s="3" t="s">
        <v>10</v>
      </c>
      <c r="E28" s="3" t="s">
        <v>22</v>
      </c>
      <c r="F28" s="11">
        <f>Parameters!D8</f>
        <v>17.600000000000001</v>
      </c>
      <c r="G28" s="11">
        <f>Parameters!E24</f>
        <v>0</v>
      </c>
      <c r="H28" s="11">
        <f>Parameters!F24</f>
        <v>0</v>
      </c>
      <c r="I28" s="12" t="e">
        <f t="shared" si="0"/>
        <v>#DIV/0!</v>
      </c>
      <c r="J28" s="11">
        <f>Parameters!G24</f>
        <v>0</v>
      </c>
      <c r="K28" s="9">
        <f>Parameters!E8</f>
        <v>1988</v>
      </c>
      <c r="L28" s="13" t="e">
        <f t="shared" si="1"/>
        <v>#DIV/0!</v>
      </c>
      <c r="M28" s="3" t="s">
        <v>67</v>
      </c>
      <c r="N28" s="1"/>
    </row>
    <row r="29" spans="1:14" ht="30.95" customHeight="1">
      <c r="A29" s="1"/>
      <c r="B29" s="6" t="s">
        <v>24</v>
      </c>
      <c r="C29" s="6" t="s">
        <v>8</v>
      </c>
      <c r="D29" s="6" t="s">
        <v>10</v>
      </c>
      <c r="E29" s="6" t="s">
        <v>23</v>
      </c>
      <c r="F29" s="14">
        <f>Parameters!D8</f>
        <v>17.600000000000001</v>
      </c>
      <c r="G29" s="14">
        <f>Parameters!E25</f>
        <v>266</v>
      </c>
      <c r="H29" s="14">
        <f>Parameters!F25</f>
        <v>83</v>
      </c>
      <c r="I29" s="15">
        <f t="shared" si="0"/>
        <v>0.31203007518796994</v>
      </c>
      <c r="J29" s="14">
        <f>Parameters!G25</f>
        <v>163</v>
      </c>
      <c r="K29" s="10">
        <f>Parameters!E8</f>
        <v>1988</v>
      </c>
      <c r="L29" s="16">
        <f t="shared" si="1"/>
        <v>7.2850759317158564</v>
      </c>
      <c r="M29" s="6" t="s">
        <v>68</v>
      </c>
      <c r="N29" s="1"/>
    </row>
    <row r="30" spans="1:14" ht="30.95" customHeight="1">
      <c r="A30" s="1"/>
      <c r="B30" s="3" t="s">
        <v>24</v>
      </c>
      <c r="C30" s="3" t="s">
        <v>8</v>
      </c>
      <c r="D30" s="3" t="s">
        <v>11</v>
      </c>
      <c r="E30" s="3" t="s">
        <v>21</v>
      </c>
      <c r="F30" s="11">
        <f>Parameters!D9</f>
        <v>20.5</v>
      </c>
      <c r="G30" s="11">
        <f>Parameters!E23</f>
        <v>0</v>
      </c>
      <c r="H30" s="11">
        <f>Parameters!F23</f>
        <v>0</v>
      </c>
      <c r="I30" s="12" t="e">
        <f t="shared" si="0"/>
        <v>#DIV/0!</v>
      </c>
      <c r="J30" s="11">
        <f>Parameters!G23</f>
        <v>0</v>
      </c>
      <c r="K30" s="9">
        <f>Parameters!E9</f>
        <v>3659.1579207191103</v>
      </c>
      <c r="L30" s="13" t="e">
        <f t="shared" si="1"/>
        <v>#DIV/0!</v>
      </c>
      <c r="M30" s="3" t="s">
        <v>69</v>
      </c>
      <c r="N30" s="1"/>
    </row>
    <row r="31" spans="1:14" ht="30.95" customHeight="1">
      <c r="A31" s="1"/>
      <c r="B31" s="6" t="s">
        <v>24</v>
      </c>
      <c r="C31" s="6" t="s">
        <v>8</v>
      </c>
      <c r="D31" s="6" t="s">
        <v>11</v>
      </c>
      <c r="E31" s="6" t="s">
        <v>22</v>
      </c>
      <c r="F31" s="14">
        <f>Parameters!D9</f>
        <v>20.5</v>
      </c>
      <c r="G31" s="14">
        <f>Parameters!E24</f>
        <v>0</v>
      </c>
      <c r="H31" s="14">
        <f>Parameters!F24</f>
        <v>0</v>
      </c>
      <c r="I31" s="15" t="e">
        <f t="shared" si="0"/>
        <v>#DIV/0!</v>
      </c>
      <c r="J31" s="14">
        <f>Parameters!G24</f>
        <v>0</v>
      </c>
      <c r="K31" s="10">
        <f>Parameters!E9</f>
        <v>3659.1579207191103</v>
      </c>
      <c r="L31" s="16" t="e">
        <f t="shared" si="1"/>
        <v>#DIV/0!</v>
      </c>
      <c r="M31" s="6" t="s">
        <v>70</v>
      </c>
      <c r="N31" s="1"/>
    </row>
    <row r="32" spans="1:14" ht="30.95" customHeight="1">
      <c r="A32" s="1"/>
      <c r="B32" s="3" t="s">
        <v>24</v>
      </c>
      <c r="C32" s="3" t="s">
        <v>8</v>
      </c>
      <c r="D32" s="3" t="s">
        <v>11</v>
      </c>
      <c r="E32" s="3" t="s">
        <v>23</v>
      </c>
      <c r="F32" s="11">
        <f>Parameters!D9</f>
        <v>20.5</v>
      </c>
      <c r="G32" s="11">
        <f>Parameters!E25</f>
        <v>266</v>
      </c>
      <c r="H32" s="11">
        <f>Parameters!F25</f>
        <v>83</v>
      </c>
      <c r="I32" s="12">
        <f t="shared" si="0"/>
        <v>0.31203007518796994</v>
      </c>
      <c r="J32" s="11">
        <f>Parameters!G25</f>
        <v>163</v>
      </c>
      <c r="K32" s="9">
        <f>Parameters!E9</f>
        <v>3659.1579207191103</v>
      </c>
      <c r="L32" s="13">
        <f t="shared" si="1"/>
        <v>13.409076105924663</v>
      </c>
      <c r="M32" s="3" t="s">
        <v>71</v>
      </c>
      <c r="N32" s="1"/>
    </row>
    <row r="33" spans="1:14" ht="30.95" customHeight="1">
      <c r="A33" s="1"/>
      <c r="B33" s="6" t="s">
        <v>24</v>
      </c>
      <c r="C33" s="6" t="s">
        <v>12</v>
      </c>
      <c r="D33" s="6" t="s">
        <v>9</v>
      </c>
      <c r="E33" s="6" t="s">
        <v>21</v>
      </c>
      <c r="F33" s="14">
        <f>Parameters!D10</f>
        <v>16.2</v>
      </c>
      <c r="G33" s="14">
        <f>Parameters!E26</f>
        <v>0</v>
      </c>
      <c r="H33" s="14">
        <f>Parameters!F26</f>
        <v>0</v>
      </c>
      <c r="I33" s="15" t="e">
        <f t="shared" si="0"/>
        <v>#DIV/0!</v>
      </c>
      <c r="J33" s="14">
        <f>Parameters!G26</f>
        <v>0</v>
      </c>
      <c r="K33" s="10">
        <f>Parameters!E10</f>
        <v>1429.0674406245321</v>
      </c>
      <c r="L33" s="16" t="e">
        <f t="shared" si="1"/>
        <v>#DIV/0!</v>
      </c>
      <c r="M33" s="6" t="s">
        <v>72</v>
      </c>
      <c r="N33" s="1"/>
    </row>
    <row r="34" spans="1:14" ht="30.95" customHeight="1">
      <c r="A34" s="1"/>
      <c r="B34" s="3" t="s">
        <v>24</v>
      </c>
      <c r="C34" s="3" t="s">
        <v>12</v>
      </c>
      <c r="D34" s="3" t="s">
        <v>9</v>
      </c>
      <c r="E34" s="3" t="s">
        <v>22</v>
      </c>
      <c r="F34" s="11">
        <f>Parameters!D10</f>
        <v>16.2</v>
      </c>
      <c r="G34" s="11">
        <f>Parameters!E27</f>
        <v>0</v>
      </c>
      <c r="H34" s="11">
        <f>Parameters!F27</f>
        <v>0</v>
      </c>
      <c r="I34" s="12" t="e">
        <f t="shared" si="0"/>
        <v>#DIV/0!</v>
      </c>
      <c r="J34" s="11">
        <f>Parameters!G27</f>
        <v>0</v>
      </c>
      <c r="K34" s="9">
        <f>Parameters!E10</f>
        <v>1429.0674406245321</v>
      </c>
      <c r="L34" s="13" t="e">
        <f t="shared" si="1"/>
        <v>#DIV/0!</v>
      </c>
      <c r="M34" s="3" t="s">
        <v>73</v>
      </c>
      <c r="N34" s="1"/>
    </row>
    <row r="35" spans="1:14" ht="30.95" customHeight="1">
      <c r="A35" s="1"/>
      <c r="B35" s="6" t="s">
        <v>24</v>
      </c>
      <c r="C35" s="6" t="s">
        <v>12</v>
      </c>
      <c r="D35" s="6" t="s">
        <v>9</v>
      </c>
      <c r="E35" s="6" t="s">
        <v>23</v>
      </c>
      <c r="F35" s="14">
        <f>Parameters!D10</f>
        <v>16.2</v>
      </c>
      <c r="G35" s="14">
        <f>Parameters!E28</f>
        <v>268</v>
      </c>
      <c r="H35" s="14">
        <f>Parameters!F28</f>
        <v>111</v>
      </c>
      <c r="I35" s="15">
        <f t="shared" si="0"/>
        <v>0.41417910447761191</v>
      </c>
      <c r="J35" s="14">
        <f>Parameters!G28</f>
        <v>154</v>
      </c>
      <c r="K35" s="10">
        <f>Parameters!E10</f>
        <v>1429.0674406245321</v>
      </c>
      <c r="L35" s="16">
        <f t="shared" si="1"/>
        <v>10.336836627762153</v>
      </c>
      <c r="M35" s="6" t="s">
        <v>74</v>
      </c>
      <c r="N35" s="1"/>
    </row>
    <row r="36" spans="1:14" ht="30.95" customHeight="1">
      <c r="A36" s="1"/>
      <c r="B36" s="3" t="s">
        <v>24</v>
      </c>
      <c r="C36" s="3" t="s">
        <v>12</v>
      </c>
      <c r="D36" s="3" t="s">
        <v>10</v>
      </c>
      <c r="E36" s="3" t="s">
        <v>21</v>
      </c>
      <c r="F36" s="11">
        <f>Parameters!D11</f>
        <v>19.399999999999999</v>
      </c>
      <c r="G36" s="11">
        <f>Parameters!E26</f>
        <v>0</v>
      </c>
      <c r="H36" s="11">
        <f>Parameters!F26</f>
        <v>0</v>
      </c>
      <c r="I36" s="12" t="e">
        <f t="shared" si="0"/>
        <v>#DIV/0!</v>
      </c>
      <c r="J36" s="11">
        <f>Parameters!G26</f>
        <v>0</v>
      </c>
      <c r="K36" s="9">
        <f>Parameters!E11</f>
        <v>2939</v>
      </c>
      <c r="L36" s="13" t="e">
        <f t="shared" si="1"/>
        <v>#DIV/0!</v>
      </c>
      <c r="M36" s="3" t="s">
        <v>75</v>
      </c>
      <c r="N36" s="1"/>
    </row>
    <row r="37" spans="1:14" ht="30.95" customHeight="1">
      <c r="A37" s="1"/>
      <c r="B37" s="6" t="s">
        <v>24</v>
      </c>
      <c r="C37" s="6" t="s">
        <v>12</v>
      </c>
      <c r="D37" s="6" t="s">
        <v>10</v>
      </c>
      <c r="E37" s="6" t="s">
        <v>22</v>
      </c>
      <c r="F37" s="14">
        <f>Parameters!D11</f>
        <v>19.399999999999999</v>
      </c>
      <c r="G37" s="14">
        <f>Parameters!E27</f>
        <v>0</v>
      </c>
      <c r="H37" s="14">
        <f>Parameters!F27</f>
        <v>0</v>
      </c>
      <c r="I37" s="15" t="e">
        <f t="shared" si="0"/>
        <v>#DIV/0!</v>
      </c>
      <c r="J37" s="14">
        <f>Parameters!G27</f>
        <v>0</v>
      </c>
      <c r="K37" s="10">
        <f>Parameters!E11</f>
        <v>2939</v>
      </c>
      <c r="L37" s="16" t="e">
        <f t="shared" si="1"/>
        <v>#DIV/0!</v>
      </c>
      <c r="M37" s="6" t="s">
        <v>76</v>
      </c>
      <c r="N37" s="1"/>
    </row>
    <row r="38" spans="1:14" ht="30.95" customHeight="1">
      <c r="A38" s="1"/>
      <c r="B38" s="3" t="s">
        <v>24</v>
      </c>
      <c r="C38" s="3" t="s">
        <v>12</v>
      </c>
      <c r="D38" s="3" t="s">
        <v>10</v>
      </c>
      <c r="E38" s="3" t="s">
        <v>23</v>
      </c>
      <c r="F38" s="11">
        <f>Parameters!D11</f>
        <v>19.399999999999999</v>
      </c>
      <c r="G38" s="11">
        <f>Parameters!E28</f>
        <v>268</v>
      </c>
      <c r="H38" s="11">
        <f>Parameters!F28</f>
        <v>111</v>
      </c>
      <c r="I38" s="12">
        <f t="shared" si="0"/>
        <v>0.41417910447761191</v>
      </c>
      <c r="J38" s="11">
        <f>Parameters!G28</f>
        <v>154</v>
      </c>
      <c r="K38" s="9">
        <f>Parameters!E11</f>
        <v>2939</v>
      </c>
      <c r="L38" s="13">
        <f t="shared" si="1"/>
        <v>21.25859283150157</v>
      </c>
      <c r="M38" s="3" t="s">
        <v>77</v>
      </c>
      <c r="N38" s="1"/>
    </row>
    <row r="39" spans="1:14" ht="30.95" customHeight="1">
      <c r="A39" s="1"/>
      <c r="B39" s="6" t="s">
        <v>24</v>
      </c>
      <c r="C39" s="6" t="s">
        <v>12</v>
      </c>
      <c r="D39" s="6" t="s">
        <v>11</v>
      </c>
      <c r="E39" s="6" t="s">
        <v>21</v>
      </c>
      <c r="F39" s="14">
        <f>Parameters!D12</f>
        <v>22.1</v>
      </c>
      <c r="G39" s="14">
        <f>Parameters!E26</f>
        <v>0</v>
      </c>
      <c r="H39" s="14">
        <f>Parameters!F26</f>
        <v>0</v>
      </c>
      <c r="I39" s="15" t="e">
        <f t="shared" si="0"/>
        <v>#DIV/0!</v>
      </c>
      <c r="J39" s="14">
        <f>Parameters!G26</f>
        <v>0</v>
      </c>
      <c r="K39" s="10">
        <f>Parameters!E12</f>
        <v>4949.5049290944507</v>
      </c>
      <c r="L39" s="16" t="e">
        <f t="shared" si="1"/>
        <v>#DIV/0!</v>
      </c>
      <c r="M39" s="6" t="s">
        <v>78</v>
      </c>
      <c r="N39" s="1"/>
    </row>
    <row r="40" spans="1:14" ht="30.95" customHeight="1">
      <c r="A40" s="1"/>
      <c r="B40" s="3" t="s">
        <v>24</v>
      </c>
      <c r="C40" s="3" t="s">
        <v>12</v>
      </c>
      <c r="D40" s="3" t="s">
        <v>11</v>
      </c>
      <c r="E40" s="3" t="s">
        <v>22</v>
      </c>
      <c r="F40" s="11">
        <f>Parameters!D12</f>
        <v>22.1</v>
      </c>
      <c r="G40" s="11">
        <f>Parameters!E27</f>
        <v>0</v>
      </c>
      <c r="H40" s="11">
        <f>Parameters!F27</f>
        <v>0</v>
      </c>
      <c r="I40" s="12" t="e">
        <f t="shared" si="0"/>
        <v>#DIV/0!</v>
      </c>
      <c r="J40" s="11">
        <f>Parameters!G27</f>
        <v>0</v>
      </c>
      <c r="K40" s="9">
        <f>Parameters!E12</f>
        <v>4949.5049290944507</v>
      </c>
      <c r="L40" s="13" t="e">
        <f t="shared" si="1"/>
        <v>#DIV/0!</v>
      </c>
      <c r="M40" s="3" t="s">
        <v>79</v>
      </c>
      <c r="N40" s="1"/>
    </row>
    <row r="41" spans="1:14" ht="30.95" customHeight="1">
      <c r="A41" s="1"/>
      <c r="B41" s="6" t="s">
        <v>24</v>
      </c>
      <c r="C41" s="6" t="s">
        <v>12</v>
      </c>
      <c r="D41" s="6" t="s">
        <v>11</v>
      </c>
      <c r="E41" s="6" t="s">
        <v>23</v>
      </c>
      <c r="F41" s="14">
        <f>Parameters!D12</f>
        <v>22.1</v>
      </c>
      <c r="G41" s="14">
        <f>Parameters!E28</f>
        <v>268</v>
      </c>
      <c r="H41" s="14">
        <f>Parameters!F28</f>
        <v>111</v>
      </c>
      <c r="I41" s="15">
        <f t="shared" si="0"/>
        <v>0.41417910447761191</v>
      </c>
      <c r="J41" s="14">
        <f>Parameters!G28</f>
        <v>154</v>
      </c>
      <c r="K41" s="10">
        <f>Parameters!E12</f>
        <v>4949.5049290944507</v>
      </c>
      <c r="L41" s="16">
        <f t="shared" si="1"/>
        <v>35.801126235157867</v>
      </c>
      <c r="M41" s="6" t="s">
        <v>80</v>
      </c>
      <c r="N41" s="1"/>
    </row>
    <row r="42" spans="1:14" ht="24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24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24" customHeight="1">
      <c r="A44" s="1"/>
      <c r="B44" s="8" t="s">
        <v>24</v>
      </c>
      <c r="C44" s="8"/>
      <c r="D44" s="8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32.1" customHeight="1">
      <c r="A45" s="1"/>
      <c r="B45" s="2" t="s">
        <v>81</v>
      </c>
      <c r="C45" s="2" t="s">
        <v>8</v>
      </c>
      <c r="D45" s="2" t="s">
        <v>12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30.95" customHeight="1">
      <c r="A46" s="1"/>
      <c r="B46" s="3" t="s">
        <v>82</v>
      </c>
      <c r="C46" s="13" t="e">
        <f t="shared" ref="C46:C54" si="2">L24</f>
        <v>#DIV/0!</v>
      </c>
      <c r="D46" s="13" t="e">
        <f t="shared" ref="D46:D54" si="3">L33</f>
        <v>#DIV/0!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30.95" customHeight="1">
      <c r="A47" s="1"/>
      <c r="B47" s="6" t="s">
        <v>83</v>
      </c>
      <c r="C47" s="16" t="e">
        <f t="shared" si="2"/>
        <v>#DIV/0!</v>
      </c>
      <c r="D47" s="16" t="e">
        <f t="shared" si="3"/>
        <v>#DIV/0!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30.95" customHeight="1">
      <c r="A48" s="1"/>
      <c r="B48" s="3" t="s">
        <v>84</v>
      </c>
      <c r="C48" s="13">
        <f t="shared" si="2"/>
        <v>3.4498072823536003</v>
      </c>
      <c r="D48" s="13">
        <f t="shared" si="3"/>
        <v>10.336836627762153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30.95" customHeight="1">
      <c r="A49" s="1"/>
      <c r="B49" s="6" t="s">
        <v>85</v>
      </c>
      <c r="C49" s="16" t="e">
        <f t="shared" si="2"/>
        <v>#DIV/0!</v>
      </c>
      <c r="D49" s="16" t="e">
        <f t="shared" si="3"/>
        <v>#DIV/0!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30.95" customHeight="1">
      <c r="A50" s="1"/>
      <c r="B50" s="3" t="s">
        <v>86</v>
      </c>
      <c r="C50" s="13" t="e">
        <f t="shared" si="2"/>
        <v>#DIV/0!</v>
      </c>
      <c r="D50" s="13" t="e">
        <f t="shared" si="3"/>
        <v>#DIV/0!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30.95" customHeight="1">
      <c r="A51" s="1"/>
      <c r="B51" s="6" t="s">
        <v>87</v>
      </c>
      <c r="C51" s="16">
        <f t="shared" si="2"/>
        <v>7.2850759317158564</v>
      </c>
      <c r="D51" s="16">
        <f t="shared" si="3"/>
        <v>21.25859283150157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30.95" customHeight="1">
      <c r="A52" s="1"/>
      <c r="B52" s="3" t="s">
        <v>88</v>
      </c>
      <c r="C52" s="13" t="e">
        <f t="shared" si="2"/>
        <v>#DIV/0!</v>
      </c>
      <c r="D52" s="13" t="e">
        <f t="shared" si="3"/>
        <v>#DIV/0!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30.95" customHeight="1">
      <c r="A53" s="1"/>
      <c r="B53" s="6" t="s">
        <v>89</v>
      </c>
      <c r="C53" s="16" t="e">
        <f t="shared" si="2"/>
        <v>#DIV/0!</v>
      </c>
      <c r="D53" s="16" t="e">
        <f t="shared" si="3"/>
        <v>#DIV/0!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30.95" customHeight="1">
      <c r="A54" s="1"/>
      <c r="B54" s="3" t="s">
        <v>90</v>
      </c>
      <c r="C54" s="13">
        <f t="shared" si="2"/>
        <v>13.409076105924663</v>
      </c>
      <c r="D54" s="13">
        <f t="shared" si="3"/>
        <v>35.801126235157867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24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24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24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24" customHeight="1">
      <c r="A58" s="1"/>
      <c r="B58" s="8" t="s">
        <v>20</v>
      </c>
      <c r="C58" s="8"/>
      <c r="D58" s="8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32.1" customHeight="1">
      <c r="A59" s="1"/>
      <c r="B59" s="2" t="s">
        <v>81</v>
      </c>
      <c r="C59" s="2" t="s">
        <v>8</v>
      </c>
      <c r="D59" s="2" t="s">
        <v>12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30.95" customHeight="1">
      <c r="A60" s="1"/>
      <c r="B60" s="3" t="s">
        <v>82</v>
      </c>
      <c r="C60" s="13" t="e">
        <f t="shared" ref="C60:C68" si="4">L6</f>
        <v>#DIV/0!</v>
      </c>
      <c r="D60" s="13" t="e">
        <f t="shared" ref="D60:D68" si="5">L15</f>
        <v>#DIV/0!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30.95" customHeight="1">
      <c r="A61" s="1"/>
      <c r="B61" s="6" t="s">
        <v>83</v>
      </c>
      <c r="C61" s="16" t="e">
        <f t="shared" si="4"/>
        <v>#DIV/0!</v>
      </c>
      <c r="D61" s="16" t="e">
        <f t="shared" si="5"/>
        <v>#DIV/0!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30.95" customHeight="1">
      <c r="A62" s="1"/>
      <c r="B62" s="3" t="s">
        <v>84</v>
      </c>
      <c r="C62" s="13">
        <f t="shared" si="4"/>
        <v>4.6484711999035211</v>
      </c>
      <c r="D62" s="13">
        <f t="shared" si="5"/>
        <v>9.4999426990225206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30.95" customHeight="1">
      <c r="A63" s="1"/>
      <c r="B63" s="6" t="s">
        <v>85</v>
      </c>
      <c r="C63" s="16" t="e">
        <f t="shared" si="4"/>
        <v>#DIV/0!</v>
      </c>
      <c r="D63" s="16" t="e">
        <f t="shared" si="5"/>
        <v>#DIV/0!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30.95" customHeight="1">
      <c r="A64" s="1"/>
      <c r="B64" s="3" t="s">
        <v>86</v>
      </c>
      <c r="C64" s="13" t="e">
        <f t="shared" si="4"/>
        <v>#DIV/0!</v>
      </c>
      <c r="D64" s="13" t="e">
        <f t="shared" si="5"/>
        <v>#DIV/0!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30.95" customHeight="1">
      <c r="A65" s="1"/>
      <c r="B65" s="6" t="s">
        <v>87</v>
      </c>
      <c r="C65" s="16">
        <f t="shared" si="4"/>
        <v>9.8163354894966037</v>
      </c>
      <c r="D65" s="16">
        <f t="shared" si="5"/>
        <v>19.537448547722441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30.95" customHeight="1">
      <c r="A66" s="1"/>
      <c r="B66" s="3" t="s">
        <v>88</v>
      </c>
      <c r="C66" s="13" t="e">
        <f t="shared" si="4"/>
        <v>#DIV/0!</v>
      </c>
      <c r="D66" s="13" t="e">
        <f t="shared" si="5"/>
        <v>#DIV/0!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30.95" customHeight="1">
      <c r="A67" s="1"/>
      <c r="B67" s="6" t="s">
        <v>89</v>
      </c>
      <c r="C67" s="16" t="e">
        <f t="shared" si="4"/>
        <v>#DIV/0!</v>
      </c>
      <c r="D67" s="16" t="e">
        <f t="shared" si="5"/>
        <v>#DIV/0!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30.95" customHeight="1">
      <c r="A68" s="1"/>
      <c r="B68" s="3" t="s">
        <v>90</v>
      </c>
      <c r="C68" s="13">
        <f t="shared" si="4"/>
        <v>18.068169898806641</v>
      </c>
      <c r="D68" s="13">
        <f t="shared" si="5"/>
        <v>32.902585195264187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24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24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24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21.95" customHeight="1"/>
    <row r="73" spans="1:14" ht="21.95" customHeight="1"/>
    <row r="74" spans="1:14" ht="21.95" customHeight="1"/>
    <row r="75" spans="1:14" ht="21.95" customHeight="1"/>
    <row r="76" spans="1:14" ht="21.95" customHeight="1"/>
    <row r="77" spans="1:14" ht="21.95" customHeight="1"/>
    <row r="78" spans="1:14" ht="21.95" customHeight="1"/>
    <row r="79" spans="1:14" ht="21.95" customHeight="1"/>
    <row r="80" spans="1:14" ht="21.95" customHeight="1"/>
    <row r="81" ht="21.95" customHeight="1"/>
    <row r="82" ht="21.95" customHeight="1"/>
    <row r="83" ht="21.95" customHeight="1"/>
    <row r="84" ht="35.1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1">
    <mergeCell ref="B2:M3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2026-10-17T17:14:48Z</dcterms:modified>
</cp:coreProperties>
</file>