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C28B7A00-A207-4C95-8828-9EE51BFB8FB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ullCalcOnLoad="1" forceFullCalc="1" calcMode="auto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<sst xmlns="http://schemas.openxmlformats.org/spreadsheetml/2006/main" count="276" uniqueCount="58">
  <si>
    <t>Astral · ARB Outer Reference</t>
  </si>
  <si>
    <t>区间等效轮端刚度 · 整段角运动比 · 对侧轮固定</t>
  </si>
  <si>
    <t>整段角运动比换算值；不代表行程内每一位置的瞬时刚度。</t>
  </si>
  <si>
    <t>Astral · ARB Outer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</si>
  <si>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</si>
  <si>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</si>
  <si>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</si>
  <si>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</si>
  <si>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</si>
  <si>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</si>
  <si>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</si>
  <si>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</si>
  <si>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</si>
  <si>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</si>
  <si>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同侧 arb1 / arb2：车身相对坐标（m），按当前横向转轴计算。</t>
  </si>
  <si>
    <t>轮行程：同一测量区间的轮心 Z 变化（mm）。</t>
  </si>
  <si>
    <t>Tarmac / Front / Outer</t>
  </si>
  <si>
    <t>Wheel ΔZ (mm)</t>
  </si>
  <si>
    <t>历史数据</t>
  </si>
  <si>
    <t>State</t>
  </si>
  <si>
    <t>arb1 Y (m)</t>
  </si>
  <si>
    <t>arb1 Z (m)</t>
  </si>
  <si>
    <t>arb2 Y (m)</t>
  </si>
  <si>
    <t>arb2 Z (m)</t>
  </si>
  <si>
    <t>Arm angle (°)</t>
  </si>
  <si>
    <t>Radius (mm)</t>
  </si>
  <si>
    <t>Start</t>
  </si>
  <si>
    <t>End</t>
  </si>
  <si>
    <t>Tarmac / Rear / Outer</t>
  </si>
  <si>
    <t>Gravel / Front / Outer</t>
  </si>
  <si>
    <t>生成位置 → 无弹簧压缩限位</t>
  </si>
  <si>
    <t>Gravel / Rear / Outer</t>
  </si>
  <si>
    <t>原 Z 测量记录（不参与刚度计算）</t>
  </si>
  <si>
    <t>Surface</t>
  </si>
  <si>
    <t>Position</t>
  </si>
  <si>
    <t>ARB ΔZ (mm)</t>
  </si>
  <si>
    <t>Original arm (mm)</t>
  </si>
  <si>
    <t>Tarmac</t>
  </si>
  <si>
    <t>Outer</t>
  </si>
  <si>
    <t>Gravel</t>
  </si>
  <si>
    <t>Astral · ARB Calculations</t>
  </si>
  <si>
    <t>Wheel ΔZ
(mm)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</si>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</sst>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6" formatCode="0.0"/>
    <numFmt numFmtId="177" formatCode="0.0000"/>
    <numFmt numFmtId="178" formatCode="0.000"/>
    <numFmt numFmtId="179" formatCode="0.000000"/>
    <numFmt numFmtId="180" formatCode="0.0"/>
    <numFmt numFmtId="181" formatCode="0.0000"/>
    <numFmt numFmtId="182" formatCode="0.000"/>
    <numFmt numFmtId="183" formatCode="0.000000"/>
    <numFmt numFmtId="184" formatCode="0"/>
    <numFmt numFmtId="185" formatCode="0.00"/>
  </numFmts>
  <fonts count="29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sz val="9"/>
      <name val="宋体"/>
      <family val="3"/>
    </font>
    <font>
      <sz val="11"/>
      <color rgb="FF283C50"/>
      <name val="Arial"/>
    </font>
    <font>
      <b/>
      <sz val="20"/>
      <color rgb="FF283C50"/>
      <name val="Arial"/>
    </font>
    <font>
      <sz val="11"/>
      <color rgb="FF667B91"/>
      <name val="Microsoft YaHei"/>
    </font>
    <font>
      <b/>
      <sz val="11"/>
      <color rgb="FFFFFFFF"/>
      <name val="Arial"/>
    </font>
    <font>
      <sz val="11"/>
      <color rgb="FF195DB1"/>
      <name val="Arial"/>
    </font>
    <font>
      <b/>
      <sz val="12"/>
      <color rgb="FF667B91"/>
      <name val="Microsoft YaHei"/>
    </font>
    <font>
      <sz val="10"/>
      <color rgb="FF667B91"/>
      <name val="Microsoft YaHei"/>
    </font>
  </fonts>
  <fills count="1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1" fillId="7" borderId="2"/>
  </cellStyleXfs>
  <cellXfs count="79">
    <xf numFmtId="0" fontId="0" fillId="0" borderId="0" xfId="0"/>
    <xf numFmtId="0" fontId="7" fillId="6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5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76" fontId="6" fillId="5" borderId="1" xfId="0" applyNumberFormat="1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right" vertical="center"/>
    </xf>
    <xf numFmtId="1" fontId="1" fillId="4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176" fontId="6" fillId="5" borderId="0" xfId="0" applyNumberFormat="1" applyFont="1" applyFill="1" applyAlignment="1">
      <alignment horizontal="right" vertical="center"/>
    </xf>
    <xf numFmtId="177" fontId="6" fillId="5" borderId="1" xfId="0" applyNumberFormat="1" applyFont="1" applyFill="1" applyBorder="1" applyAlignment="1">
      <alignment horizontal="right"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1" fillId="7" borderId="2" xfId="1"/>
    <xf numFmtId="0" fontId="18" fillId="13" borderId="2" xfId="1" applyFont="1" applyFill="1" applyAlignment="1">
      <alignment vertical="center"/>
    </xf>
    <xf numFmtId="0" fontId="12" fillId="9" borderId="2" xfId="1" applyFont="1" applyFill="1" applyAlignment="1">
      <alignment vertical="center"/>
    </xf>
    <xf numFmtId="0" fontId="16" fillId="10" borderId="2" xfId="1" applyFont="1" applyFill="1" applyAlignment="1">
      <alignment horizontal="center" vertical="center" wrapText="1"/>
    </xf>
    <xf numFmtId="0" fontId="12" fillId="11" borderId="3" xfId="1" applyFont="1" applyFill="1" applyBorder="1" applyAlignment="1">
      <alignment vertical="center"/>
    </xf>
    <xf numFmtId="0" fontId="12" fillId="9" borderId="3" xfId="1" applyFont="1" applyFill="1" applyBorder="1" applyAlignment="1">
      <alignment vertical="center"/>
    </xf>
    <xf numFmtId="180" fontId="17" fillId="12" borderId="3" xfId="1" applyNumberFormat="1" applyFont="1" applyFill="1" applyBorder="1" applyAlignment="1">
      <alignment horizontal="right" vertical="center"/>
    </xf>
    <xf numFmtId="1" fontId="17" fillId="12" borderId="3" xfId="1" applyNumberFormat="1" applyFont="1" applyFill="1" applyBorder="1" applyAlignment="1">
      <alignment horizontal="right" vertical="center"/>
    </xf>
    <xf numFmtId="1" fontId="12" fillId="11" borderId="3" xfId="1" applyNumberFormat="1" applyFont="1" applyFill="1" applyBorder="1" applyAlignment="1">
      <alignment vertical="center"/>
    </xf>
    <xf numFmtId="1" fontId="12" fillId="9" borderId="3" xfId="1" applyNumberFormat="1" applyFont="1" applyFill="1" applyBorder="1" applyAlignment="1">
      <alignment vertical="center"/>
    </xf>
    <xf numFmtId="180" fontId="17" fillId="12" borderId="2" xfId="1" applyNumberFormat="1" applyFont="1" applyFill="1" applyAlignment="1">
      <alignment horizontal="right" vertical="center"/>
    </xf>
    <xf numFmtId="181" fontId="17" fillId="12" borderId="3" xfId="1" applyNumberFormat="1" applyFont="1" applyFill="1" applyBorder="1" applyAlignment="1">
      <alignment horizontal="right" vertical="center"/>
    </xf>
    <xf numFmtId="2" fontId="12" fillId="9" borderId="3" xfId="1" applyNumberFormat="1" applyFont="1" applyFill="1" applyBorder="1" applyAlignment="1">
      <alignment vertical="center"/>
    </xf>
    <xf numFmtId="2" fontId="12" fillId="11" borderId="3" xfId="1" applyNumberFormat="1" applyFont="1" applyFill="1" applyBorder="1" applyAlignment="1">
      <alignment vertical="center"/>
    </xf>
    <xf numFmtId="180" fontId="12" fillId="9" borderId="3" xfId="1" applyNumberFormat="1" applyFont="1" applyFill="1" applyBorder="1" applyAlignment="1">
      <alignment vertical="center"/>
    </xf>
    <xf numFmtId="180" fontId="12" fillId="11" borderId="3" xfId="1" applyNumberFormat="1" applyFont="1" applyFill="1" applyBorder="1" applyAlignment="1">
      <alignment vertical="center"/>
    </xf>
    <xf numFmtId="182" fontId="12" fillId="9" borderId="3" xfId="1" applyNumberFormat="1" applyFont="1" applyFill="1" applyBorder="1" applyAlignment="1">
      <alignment vertical="center"/>
    </xf>
    <xf numFmtId="182" fontId="12" fillId="11" borderId="3" xfId="1" applyNumberFormat="1" applyFont="1" applyFill="1" applyBorder="1" applyAlignment="1">
      <alignment vertical="center"/>
    </xf>
    <xf numFmtId="183" fontId="12" fillId="9" borderId="3" xfId="1" applyNumberFormat="1" applyFont="1" applyFill="1" applyBorder="1" applyAlignment="1">
      <alignment vertical="center"/>
    </xf>
    <xf numFmtId="183" fontId="12" fillId="11" borderId="3" xfId="1" applyNumberFormat="1" applyFont="1" applyFill="1" applyBorder="1" applyAlignment="1">
      <alignment vertical="center"/>
    </xf>
    <xf numFmtId="0" fontId="20" fillId="9" borderId="3" xfId="1" applyFont="1" applyFill="1" applyBorder="1" applyAlignment="1">
      <alignment vertical="center"/>
    </xf>
    <xf numFmtId="0" fontId="20" fillId="11" borderId="3" xfId="1" applyFont="1" applyFill="1" applyBorder="1" applyAlignment="1">
      <alignment vertical="center"/>
    </xf>
    <xf numFmtId="0" fontId="15" fillId="9" borderId="2" xfId="1" applyFont="1" applyFill="1" applyAlignment="1">
      <alignment vertical="center"/>
    </xf>
    <xf numFmtId="0" fontId="19" fillId="13" borderId="2" xfId="1" applyFont="1" applyFill="1" applyAlignment="1">
      <alignment vertical="center"/>
    </xf>
    <xf numFmtId="0" fontId="13" fillId="9" borderId="2" xfId="1" applyFont="1" applyFill="1" applyAlignment="1">
      <alignment vertical="center"/>
    </xf>
    <xf numFmtId="0" fontId="14" fillId="9" borderId="2" xfId="1" applyFont="1" applyFill="1" applyAlignment="1">
      <alignment vertical="center"/>
    </xf>
    <xf numFmtId="0" fontId="11" fillId="14" borderId="2" xfId="1" applyNumberFormat="1" applyFont="1" applyFill="1" applyBorder="1"/>
    <xf numFmtId="0" fontId="22" fillId="14" borderId="2" xfId="1" applyNumberFormat="1" applyFont="1" applyFill="1" applyBorder="1"/>
    <xf numFmtId="0" fontId="22" fillId="14" borderId="2" xfId="1" applyNumberFormat="1" applyFont="1" applyFill="1" applyBorder="1" applyAlignment="1">
      <alignment vertical="center"/>
    </xf>
    <xf numFmtId="0" fontId="23" fillId="14" borderId="2" xfId="1" applyNumberFormat="1" applyFont="1" applyFill="1" applyBorder="1" applyAlignment="1">
      <alignment vertical="center"/>
    </xf>
    <xf numFmtId="0" fontId="24" fillId="14" borderId="2" xfId="1" applyNumberFormat="1" applyFont="1" applyFill="1" applyBorder="1" applyAlignment="1">
      <alignment vertical="center"/>
    </xf>
    <xf numFmtId="0" fontId="22" fillId="15" borderId="2" xfId="1" applyNumberFormat="1" applyFont="1" applyFill="1" applyBorder="1" applyAlignment="1">
      <alignment vertical="center"/>
    </xf>
    <xf numFmtId="0" fontId="25" fillId="15" borderId="2" xfId="1" applyNumberFormat="1" applyFont="1" applyFill="1" applyBorder="1" applyAlignment="1">
      <alignment vertical="center"/>
    </xf>
    <xf numFmtId="0" fontId="25" fillId="15" borderId="2" xfId="1" applyNumberFormat="1" applyFont="1" applyFill="1" applyBorder="1" applyAlignment="1">
      <alignment vertical="center" wrapText="1"/>
    </xf>
    <xf numFmtId="0" fontId="25" fillId="15" borderId="2" xfId="1" applyNumberFormat="1" applyFont="1" applyFill="1" applyBorder="1" applyAlignment="1">
      <alignment horizontal="center" vertical="center" wrapText="1"/>
    </xf>
    <xf numFmtId="0" fontId="22" fillId="16" borderId="2" xfId="1" applyNumberFormat="1" applyFont="1" applyFill="1" applyBorder="1" applyAlignment="1">
      <alignment vertical="center"/>
    </xf>
    <xf numFmtId="0" fontId="22" fillId="16" borderId="3" xfId="1" applyNumberFormat="1" applyFont="1" applyFill="1" applyBorder="1" applyAlignment="1">
      <alignment vertical="center"/>
    </xf>
    <xf numFmtId="0" fontId="22" fillId="14" borderId="3" xfId="1" applyNumberFormat="1" applyFont="1" applyFill="1" applyBorder="1" applyAlignment="1">
      <alignment vertical="center"/>
    </xf>
    <xf numFmtId="0" fontId="22" fillId="17" borderId="3" xfId="1" applyNumberFormat="1" applyFont="1" applyFill="1" applyBorder="1" applyAlignment="1">
      <alignment vertical="center"/>
    </xf>
    <xf numFmtId="0" fontId="26" fillId="17" borderId="3" xfId="1" applyNumberFormat="1" applyFont="1" applyFill="1" applyBorder="1" applyAlignment="1">
      <alignment vertical="center"/>
    </xf>
    <xf numFmtId="0" fontId="26" fillId="17" borderId="3" xfId="1" applyNumberFormat="1" applyFont="1" applyFill="1" applyBorder="1" applyAlignment="1">
      <alignment horizontal="right" vertical="center"/>
    </xf>
    <xf numFmtId="180" fontId="26" fillId="17" borderId="3" xfId="1" applyNumberFormat="1" applyFont="1" applyFill="1" applyBorder="1" applyAlignment="1">
      <alignment horizontal="right" vertical="center"/>
    </xf>
    <xf numFmtId="184" fontId="26" fillId="17" borderId="3" xfId="1" applyNumberFormat="1" applyFont="1" applyFill="1" applyBorder="1" applyAlignment="1">
      <alignment horizontal="right" vertical="center"/>
    </xf>
    <xf numFmtId="184" fontId="22" fillId="16" borderId="3" xfId="1" applyNumberFormat="1" applyFont="1" applyFill="1" applyBorder="1" applyAlignment="1">
      <alignment vertical="center"/>
    </xf>
    <xf numFmtId="184" fontId="22" fillId="14" borderId="3" xfId="1" applyNumberFormat="1" applyFont="1" applyFill="1" applyBorder="1" applyAlignment="1">
      <alignment vertical="center"/>
    </xf>
    <xf numFmtId="0" fontId="27" fillId="14" borderId="2" xfId="1" applyNumberFormat="1" applyFont="1" applyFill="1" applyBorder="1" applyAlignment="1">
      <alignment vertical="center"/>
    </xf>
    <xf numFmtId="0" fontId="27" fillId="18" borderId="2" xfId="1" applyNumberFormat="1" applyFont="1" applyFill="1" applyBorder="1" applyAlignment="1">
      <alignment vertical="center"/>
    </xf>
    <xf numFmtId="0" fontId="28" fillId="14" borderId="2" xfId="1" applyNumberFormat="1" applyFont="1" applyFill="1" applyBorder="1" applyAlignment="1">
      <alignment vertical="center"/>
    </xf>
    <xf numFmtId="181" fontId="26" fillId="17" borderId="3" xfId="1" applyNumberFormat="1" applyFont="1" applyFill="1" applyBorder="1" applyAlignment="1">
      <alignment horizontal="right" vertical="center"/>
    </xf>
    <xf numFmtId="185" fontId="22" fillId="16" borderId="3" xfId="1" applyNumberFormat="1" applyFont="1" applyFill="1" applyBorder="1" applyAlignment="1">
      <alignment vertical="center"/>
    </xf>
    <xf numFmtId="185" fontId="22" fillId="14" borderId="3" xfId="1" applyNumberFormat="1" applyFont="1" applyFill="1" applyBorder="1" applyAlignment="1">
      <alignment vertical="center"/>
    </xf>
    <xf numFmtId="180" fontId="22" fillId="16" borderId="3" xfId="1" applyNumberFormat="1" applyFont="1" applyFill="1" applyBorder="1" applyAlignment="1">
      <alignment vertical="center"/>
    </xf>
    <xf numFmtId="180" fontId="22" fillId="14" borderId="3" xfId="1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Samples!$C$15:$C$17</c:f>
              <c:numCache>
                <c:formatCode>General</c:formatCode>
                <c:ptCount val="3"/>
                <c:pt idx="0">
                  <c:v>4.003866108543757</c:v>
                </c:pt>
                <c:pt idx="1">
                  <c:v>8.45510088936476</c:v>
                </c:pt>
                <c:pt idx="2">
                  <c:v>15.56265059849007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8FD-812F-DC5A5E9BD63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Samples!$D$15:$D$17</c:f>
              <c:numCache>
                <c:formatCode>General</c:formatCode>
                <c:ptCount val="3"/>
                <c:pt idx="0">
                  <c:v>11.112357594531261</c:v>
                </c:pt>
                <c:pt idx="1">
                  <c:v>22.853518344840758</c:v>
                </c:pt>
                <c:pt idx="2">
                  <c:v>38.48710503400469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E-48FD-812F-DC5A5E9BD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Samples!$C$22:$C$24</c:f>
              <c:numCache>
                <c:formatCode>General</c:formatCode>
                <c:ptCount val="3"/>
                <c:pt idx="0">
                  <c:v>4.802955662648164</c:v>
                </c:pt>
                <c:pt idx="1">
                  <c:v>10.142565608820032</c:v>
                </c:pt>
                <c:pt idx="2">
                  <c:v>18.668636460727903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4E09-BDA1-01980E03FBE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Samples!$D$22:$D$24</c:f>
              <c:numCache>
                <c:formatCode>General</c:formatCode>
                <c:ptCount val="3"/>
                <c:pt idx="0">
                  <c:v>12.824173715651444</c:v>
                </c:pt>
                <c:pt idx="1">
                  <c:v>26.374015304573856</c:v>
                </c:pt>
                <c:pt idx="2">
                  <c:v>44.415896138142486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E-4E09-BDA1-01980E03F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7" zoomScale="76" workbookViewId="0">
      <selection activeCell="D48" sqref="D48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6.1" customHeight="1">
      <c r="A2" s="2"/>
      <c r="B2" s="24" t="s">
        <v>0</v>
      </c>
      <c r="C2" s="24" t="s">
        <v>0</v>
      </c>
      <c r="D2" s="24" t="s">
        <v>0</v>
      </c>
      <c r="E2" s="24" t="s">
        <v>0</v>
      </c>
      <c r="F2" s="24" t="s">
        <v>0</v>
      </c>
      <c r="G2" s="24" t="s">
        <v>0</v>
      </c>
      <c r="H2" s="24" t="s">
        <v>0</v>
      </c>
      <c r="I2" s="24" t="s">
        <v>0</v>
      </c>
      <c r="J2" s="24" t="s">
        <v>0</v>
      </c>
      <c r="K2" s="24" t="s">
        <v>0</v>
      </c>
      <c r="L2" s="24" t="s">
        <v>0</v>
      </c>
      <c r="M2" s="24" t="s">
        <v>0</v>
      </c>
      <c r="N2" s="24" t="s">
        <v>0</v>
      </c>
      <c r="O2" s="2"/>
    </row>
    <row r="3" spans="1:15" ht="26.1" customHeight="1">
      <c r="A3" s="2"/>
      <c r="B3" s="24" t="s">
        <v>0</v>
      </c>
      <c r="C3" s="24" t="s">
        <v>0</v>
      </c>
      <c r="D3" s="24" t="s">
        <v>0</v>
      </c>
      <c r="E3" s="24" t="s">
        <v>0</v>
      </c>
      <c r="F3" s="24" t="s">
        <v>0</v>
      </c>
      <c r="G3" s="24" t="s">
        <v>0</v>
      </c>
      <c r="H3" s="24" t="s">
        <v>0</v>
      </c>
      <c r="I3" s="24" t="s">
        <v>0</v>
      </c>
      <c r="J3" s="24" t="s">
        <v>0</v>
      </c>
      <c r="K3" s="24" t="s">
        <v>0</v>
      </c>
      <c r="L3" s="24" t="s">
        <v>0</v>
      </c>
      <c r="M3" s="24" t="s">
        <v>0</v>
      </c>
      <c r="N3" s="24" t="s">
        <v>0</v>
      </c>
      <c r="O3" s="2"/>
    </row>
    <row r="4" spans="1:15" ht="26.1" customHeight="1">
      <c r="A4" s="2"/>
      <c r="B4" s="25" t="s">
        <v>1</v>
      </c>
      <c r="C4" s="25" t="s">
        <v>1</v>
      </c>
      <c r="D4" s="25" t="s">
        <v>1</v>
      </c>
      <c r="E4" s="25" t="s">
        <v>1</v>
      </c>
      <c r="F4" s="25" t="s">
        <v>1</v>
      </c>
      <c r="G4" s="25" t="s">
        <v>1</v>
      </c>
      <c r="H4" s="25" t="s">
        <v>1</v>
      </c>
      <c r="I4" s="25" t="s">
        <v>1</v>
      </c>
      <c r="J4" s="25" t="s">
        <v>1</v>
      </c>
      <c r="K4" s="25" t="s">
        <v>1</v>
      </c>
      <c r="L4" s="25" t="s">
        <v>1</v>
      </c>
      <c r="M4" s="25" t="s">
        <v>1</v>
      </c>
      <c r="N4" s="25" t="s">
        <v>1</v>
      </c>
      <c r="O4" s="2"/>
    </row>
    <row r="5" spans="1:15" ht="26.1" customHeight="1">
      <c r="A5" s="2"/>
      <c r="B5" s="22" t="str">
        <f>IF(COUNT(Samples!H6:J9)=0,"待补节点坐标；暂无刚度结果。","")</f>
        <v/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"/>
    </row>
    <row r="6" spans="1:15" ht="26.1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ht="26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6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6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6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6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6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6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6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6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6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6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6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6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6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6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6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6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6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6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6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6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6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6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6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6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6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6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ht="26.1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26.1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ht="26.1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ht="26.1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ht="26.1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ht="26.1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26.1" customHeight="1">
      <c r="A49" s="2"/>
      <c r="B49" s="22" t="s">
        <v>2</v>
      </c>
      <c r="C49" s="22" t="s">
        <v>2</v>
      </c>
      <c r="D49" s="22" t="s">
        <v>2</v>
      </c>
      <c r="E49" s="22" t="s">
        <v>2</v>
      </c>
      <c r="F49" s="22" t="s">
        <v>2</v>
      </c>
      <c r="G49" s="22" t="s">
        <v>2</v>
      </c>
      <c r="H49" s="22" t="s">
        <v>2</v>
      </c>
      <c r="I49" s="22" t="s">
        <v>2</v>
      </c>
      <c r="J49" s="22" t="s">
        <v>2</v>
      </c>
      <c r="K49" s="22" t="s">
        <v>2</v>
      </c>
      <c r="L49" s="22" t="s">
        <v>2</v>
      </c>
      <c r="M49" s="22" t="s">
        <v>2</v>
      </c>
      <c r="N49" s="22" t="s">
        <v>2</v>
      </c>
      <c r="O49" s="2"/>
    </row>
  </sheetData>
  <mergeCells count="4">
    <mergeCell ref="B2:N3"/>
    <mergeCell ref="B4:N4"/>
    <mergeCell ref="B5:N5"/>
    <mergeCell ref="B49:N49"/>
  </mergeCells>
  <phoneticPr fontId="10" type="noConversion"/>
  <pageMargins left="0.7" right="0.7" top="0.75" bottom="0.75" header="0.3" footer="0.3"/>
  <drawing r:id="rId1"/>
</worksheet>
</file>

<file path=xl/worksheets/sheet2.xml><?xml version="1.0" encoding="utf-8"?>
<x:worksheet xmlns:x="http://schemas.openxmlformats.org/spreadsheetml/2006/main">
  <x:sheetPr>
    <x:tabColor rgb="FF31475E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2.75" hidden="0" customWidth="1"/>
    <x:col min="2" max="2" width="13.5" hidden="0" customWidth="1"/>
    <x:col min="3" max="3" width="13.75" hidden="0" customWidth="1"/>
    <x:col min="4" max="4" width="15.5" hidden="0" customWidth="1"/>
    <x:col min="5" max="5" width="18.1299991607666" hidden="0" customWidth="1"/>
    <x:col min="6" max="6" width="16.5" hidden="0" customWidth="1"/>
    <x:col min="7" max="8" width="16.25" customWidth="1"/>
    <x:col min="9" max="9" width="15.630000114440918" hidden="0" customWidth="1"/>
    <x:col min="10" max="14" width="10" customWidth="1"/>
    <x:col min="15" max="15" width="10.5" customWidth="1"/>
    <x:col min="7" max="7" width="16.5" hidden="0" customWidth="1"/>
    <x:col min="8" max="8" width="15.630000114440918" hidden="0" customWidth="1"/>
    <x:col min="10" max="10" width="2.75" hidden="0" customWidth="1"/>
  </x:cols>
  <x:sheetData>
    <x:row r="1" ht="27" customHeight="1">
      <x:c r="A1" s="54"/>
      <x:c r="B1" s="54"/>
      <x:c r="C1" s="54"/>
      <x:c r="D1" s="54"/>
      <x:c r="E1" s="54"/>
      <x:c r="F1" s="54"/>
      <x:c r="G1" s="54"/>
      <x:c r="H1" s="54"/>
      <x:c r="I1" s="54"/>
      <x:c r="J1" s="54"/>
    </x:row>
    <x:row r="2" ht="27" customHeight="1">
      <x:c r="A2" s="54"/>
      <x:c r="B2" s="55" t="str">
        <x:v>Astral · ARB Outer Parameters</x:v>
      </x:c>
      <x:c r="C2" s="55" t="str">
        <x:v>Astral · ARB Outer Parameters</x:v>
      </x:c>
      <x:c r="D2" s="55" t="str">
        <x:v>Astral · ARB Outer Parameters</x:v>
      </x:c>
      <x:c r="E2" s="55" t="str">
        <x:v>Astral · ARB Outer Parameters</x:v>
      </x:c>
      <x:c r="F2" s="55" t="str">
        <x:v>Astral · ARB Outer Parameters</x:v>
      </x:c>
      <x:c r="G2" s="55" t="str">
        <x:v>Astral · ARB Outer Parameters</x:v>
      </x:c>
      <x:c r="H2" s="55" t="str">
        <x:v>Astral · ARB Outer Parameters</x:v>
      </x:c>
      <x:c r="I2" s="55" t="str">
        <x:v>Astral · ARB Outer Parameters</x:v>
      </x:c>
      <x:c r="J2" s="54"/>
    </x:row>
    <x:row r="3" ht="27" customHeight="1">
      <x:c r="A3" s="54"/>
      <x:c r="B3" s="55" t="str">
        <x:v>Astral · ARB Outer Parameters</x:v>
      </x:c>
      <x:c r="C3" s="55" t="str">
        <x:v>Astral · ARB Outer Parameters</x:v>
      </x:c>
      <x:c r="D3" s="55" t="str">
        <x:v>Astral · ARB Outer Parameters</x:v>
      </x:c>
      <x:c r="E3" s="55" t="str">
        <x:v>Astral · ARB Outer Parameters</x:v>
      </x:c>
      <x:c r="F3" s="55" t="str">
        <x:v>Astral · ARB Outer Parameters</x:v>
      </x:c>
      <x:c r="G3" s="55" t="str">
        <x:v>Astral · ARB Outer Parameters</x:v>
      </x:c>
      <x:c r="H3" s="55" t="str">
        <x:v>Astral · ARB Outer Parameters</x:v>
      </x:c>
      <x:c r="I3" s="55" t="str">
        <x:v>Astral · ARB Outer Parameters</x:v>
      </x:c>
      <x:c r="J3" s="54"/>
    </x:row>
    <x:row r="4" ht="27" customHeight="1">
      <x:c r="A4" s="54"/>
      <x:c r="B4" s="56" t="str">
        <x:v>黄色单元格为手动输入。</x:v>
      </x:c>
      <x:c r="C4" s="56" t="str">
        <x:v>黄色单元格为手动输入。</x:v>
      </x:c>
      <x:c r="D4" s="56" t="str">
        <x:v>黄色单元格为手动输入。</x:v>
      </x:c>
      <x:c r="E4" s="56" t="str">
        <x:v>黄色单元格为手动输入。</x:v>
      </x:c>
      <x:c r="F4" s="56" t="str">
        <x:v>黄色单元格为手动输入。</x:v>
      </x:c>
      <x:c r="G4" s="56" t="str">
        <x:v>黄色单元格为手动输入。</x:v>
      </x:c>
      <x:c r="H4" s="56" t="str">
        <x:v>黄色单元格为手动输入。</x:v>
      </x:c>
      <x:c r="I4" s="56" t="str">
        <x:v>黄色单元格为手动输入。</x:v>
      </x:c>
      <x:c r="J4" s="54"/>
    </x:row>
    <x:row r="5" ht="27" customHeight="1">
      <x:c r="A5" s="54"/>
      <x:c r="B5" s="54"/>
      <x:c r="C5" s="54"/>
      <x:c r="D5" s="54"/>
      <x:c r="E5" s="54"/>
      <x:c r="F5" s="54"/>
      <x:c r="G5" s="54"/>
      <x:c r="H5" s="54"/>
      <x:c r="I5" s="54"/>
      <x:c r="J5" s="54"/>
    </x:row>
    <x:row r="6" ht="42" customHeight="1">
      <x:c r="A6" s="54"/>
      <x:c r="B6" s="60" t="str">
        <x:v>Axle</x:v>
      </x:c>
      <x:c r="C6" s="60" t="str">
        <x:v>Bar</x:v>
      </x:c>
      <x:c r="D6" s="60" t="str">
        <x:v>Diameter
(mm)</x:v>
      </x:c>
      <x:c r="E6" s="60" t="str">
        <x:v>Torsion
(N·m/rad)</x:v>
      </x:c>
      <x:c r="F6" s="54"/>
      <x:c r="G6" s="54"/>
      <x:c r="H6" s="54"/>
      <x:c r="I6" s="54"/>
      <x:c r="J6" s="54"/>
    </x:row>
    <x:row r="7" ht="27" customHeight="1">
      <x:c r="A7" s="54"/>
      <x:c r="B7" s="62" t="str">
        <x:v>Front</x:v>
      </x:c>
      <x:c r="C7" s="62" t="str">
        <x:v>Soft</x:v>
      </x:c>
      <x:c r="D7" s="67" t="n">
        <x:v>14.6</x:v>
      </x:c>
      <x:c r="E7" s="69">
        <x:f>$E$8*(D7/$D$8)^4</x:f>
        <x:v>941.4063685268464</x:v>
      </x:c>
      <x:c r="F7" s="54"/>
      <x:c r="G7" s="54"/>
      <x:c r="H7" s="54"/>
      <x:c r="I7" s="54"/>
      <x:c r="J7" s="54"/>
    </x:row>
    <x:row r="8" ht="27" customHeight="1">
      <x:c r="A8" s="54"/>
      <x:c r="B8" s="63" t="str">
        <x:v>Front</x:v>
      </x:c>
      <x:c r="C8" s="63" t="str">
        <x:v>Medium</x:v>
      </x:c>
      <x:c r="D8" s="67" t="n">
        <x:v>17.6</x:v>
      </x:c>
      <x:c r="E8" s="68" t="n">
        <x:v>1988</x:v>
      </x:c>
      <x:c r="F8" s="54"/>
      <x:c r="G8" s="54"/>
      <x:c r="H8" s="54"/>
      <x:c r="I8" s="54"/>
      <x:c r="J8" s="54"/>
    </x:row>
    <x:row r="9" ht="27" customHeight="1">
      <x:c r="A9" s="54"/>
      <x:c r="B9" s="62" t="str">
        <x:v>Front</x:v>
      </x:c>
      <x:c r="C9" s="62" t="str">
        <x:v>Hard</x:v>
      </x:c>
      <x:c r="D9" s="67" t="n">
        <x:v>20.5</x:v>
      </x:c>
      <x:c r="E9" s="69">
        <x:f>$E$8*(D9/$D$8)^4</x:f>
        <x:v>3659.1579207191103</x:v>
      </x:c>
      <x:c r="F9" s="54"/>
      <x:c r="G9" s="54"/>
      <x:c r="H9" s="54"/>
      <x:c r="I9" s="54"/>
      <x:c r="J9" s="54"/>
    </x:row>
    <x:row r="10" ht="27" customHeight="1">
      <x:c r="A10" s="54"/>
      <x:c r="B10" s="63" t="str">
        <x:v>Rear</x:v>
      </x:c>
      <x:c r="C10" s="63" t="str">
        <x:v>Soft</x:v>
      </x:c>
      <x:c r="D10" s="67" t="n">
        <x:v>16.2</x:v>
      </x:c>
      <x:c r="E10" s="70">
        <x:f>$E$11*(D10/$D$11)^4</x:f>
        <x:v>1429.067440624532</x:v>
      </x:c>
      <x:c r="F10" s="54"/>
      <x:c r="G10" s="54"/>
      <x:c r="H10" s="54"/>
      <x:c r="I10" s="54"/>
      <x:c r="J10" s="54"/>
    </x:row>
    <x:row r="11" ht="27" customHeight="1">
      <x:c r="A11" s="54"/>
      <x:c r="B11" s="62" t="str">
        <x:v>Rear</x:v>
      </x:c>
      <x:c r="C11" s="62" t="str">
        <x:v>Medium</x:v>
      </x:c>
      <x:c r="D11" s="67" t="n">
        <x:v>19.4</x:v>
      </x:c>
      <x:c r="E11" s="68" t="n">
        <x:v>2939</x:v>
      </x:c>
      <x:c r="F11" s="54"/>
      <x:c r="G11" s="54"/>
      <x:c r="H11" s="54"/>
      <x:c r="I11" s="54"/>
      <x:c r="J11" s="54"/>
    </x:row>
    <x:row r="12" ht="27" customHeight="1">
      <x:c r="A12" s="54"/>
      <x:c r="B12" s="63" t="str">
        <x:v>Rear</x:v>
      </x:c>
      <x:c r="C12" s="63" t="str">
        <x:v>Hard</x:v>
      </x:c>
      <x:c r="D12" s="67" t="n">
        <x:v>22.1</x:v>
      </x:c>
      <x:c r="E12" s="70">
        <x:f>$E$11*(D12/$D$11)^4</x:f>
        <x:v>4949.504929094451</x:v>
      </x:c>
      <x:c r="F12" s="54"/>
      <x:c r="G12" s="54"/>
      <x:c r="H12" s="54"/>
      <x:c r="I12" s="54"/>
      <x:c r="J12" s="54"/>
    </x:row>
    <x:row r="13" ht="27" customHeight="1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</x:row>
    <x:row r="14" ht="27" customHeight="1">
      <x:c r="A14" s="54"/>
      <x:c r="B14" s="72" t="str">
        <x:v>固定几何 · 生成位置 / 转轴</x:v>
      </x:c>
      <x:c r="C14" s="72" t="str">
        <x:v>固定几何 · 生成位置 / 转轴</x:v>
      </x:c>
      <x:c r="D14" s="72" t="str">
        <x:v>固定几何 · 生成位置 / 转轴</x:v>
      </x:c>
      <x:c r="E14" s="72" t="str">
        <x:v>固定几何 · 生成位置 / 转轴</x:v>
      </x:c>
      <x:c r="F14" s="72" t="str">
        <x:v>固定几何 · 生成位置 / 转轴</x:v>
      </x:c>
      <x:c r="G14" s="72" t="str">
        <x:v>固定几何 · 生成位置 / 转轴</x:v>
      </x:c>
      <x:c r="H14" s="72" t="str">
        <x:v>固定几何 · 生成位置 / 转轴</x:v>
      </x:c>
      <x:c r="I14" s="72" t="str">
        <x:v>固定几何 · 生成位置 / 转轴</x:v>
      </x:c>
      <x:c r="J14" s="54"/>
    </x:row>
    <x:row r="15" ht="27" customHeight="1">
      <x:c r="A15" s="54"/>
      <x:c r="B15" s="73" t="str">
        <x:v>节点使用车身相对坐标（m）；旋转半径按 Y/Z 计算。</x:v>
      </x:c>
      <x:c r="C15" s="73" t="str">
        <x:v>节点使用车身相对坐标（m）；旋转半径按 Y/Z 计算。</x:v>
      </x:c>
      <x:c r="D15" s="73" t="str">
        <x:v>节点使用车身相对坐标（m）；旋转半径按 Y/Z 计算。</x:v>
      </x:c>
      <x:c r="E15" s="73" t="str">
        <x:v>节点使用车身相对坐标（m）；旋转半径按 Y/Z 计算。</x:v>
      </x:c>
      <x:c r="F15" s="73" t="str">
        <x:v>节点使用车身相对坐标（m）；旋转半径按 Y/Z 计算。</x:v>
      </x:c>
      <x:c r="G15" s="73" t="str">
        <x:v>节点使用车身相对坐标（m）；旋转半径按 Y/Z 计算。</x:v>
      </x:c>
      <x:c r="H15" s="73" t="str">
        <x:v>节点使用车身相对坐标（m）；旋转半径按 Y/Z 计算。</x:v>
      </x:c>
      <x:c r="I15" s="73" t="str">
        <x:v>节点使用车身相对坐标（m）；旋转半径按 Y/Z 计算。</x:v>
      </x:c>
      <x:c r="J15" s="54"/>
    </x:row>
    <x:row r="16" ht="42" customHeight="1">
      <x:c r="A16" s="54"/>
      <x:c r="B16" s="60" t="str">
        <x:v>Axle</x:v>
      </x:c>
      <x:c r="C16" s="60" t="str">
        <x:v>arb1 Start Y
(m)</x:v>
      </x:c>
      <x:c r="D16" s="60" t="str">
        <x:v>arb1 Start Z
(m)</x:v>
      </x:c>
      <x:c r="E16" s="60" t="str">
        <x:v>arb2 Y
(m)</x:v>
      </x:c>
      <x:c r="F16" s="60" t="str">
        <x:v>arb2 Z
(m)</x:v>
      </x:c>
      <x:c r="G16" s="60" t="str">
        <x:v>Start angle
(°)</x:v>
      </x:c>
      <x:c r="H16" s="60" t="str">
        <x:v>Radius
(mm)</x:v>
      </x:c>
      <x:c r="I16" s="54"/>
      <x:c r="J16" s="54"/>
    </x:row>
    <x:row r="17" ht="27" customHeight="1">
      <x:c r="A17" s="54"/>
      <x:c r="B17" s="62" t="str">
        <x:v>Front</x:v>
      </x:c>
      <x:c r="C17" s="74" t="n">
        <x:v>-1.061</x:v>
      </x:c>
      <x:c r="D17" s="74" t="n">
        <x:v>0.195</x:v>
      </x:c>
      <x:c r="E17" s="74" t="n">
        <x:v>-0.899</x:v>
      </x:c>
      <x:c r="F17" s="74" t="n">
        <x:v>0.185</x:v>
      </x:c>
      <x:c r="G17" s="75">
        <x:f>IF(COUNT(C17:F17)&lt;4,"",IF(H17=0,"无效半径",IF(D17&lt;F17,-1,1)*DEGREES(ACOS(MAX(-1,MIN(1,(E17-C17)*1000/H17))))))</x:f>
        <x:v>3.532294583890938</x:v>
      </x:c>
      <x:c r="H17" s="77">
        <x:f>IF(COUNT(C17:F17)&lt;4,"",1000*SQRT((C17-E17)^2+(D17-F17)^2))</x:f>
        <x:v>162.30834852218777</x:v>
      </x:c>
      <x:c r="I17" s="54"/>
      <x:c r="J17" s="54"/>
    </x:row>
    <x:row r="18" ht="27" customHeight="1">
      <x:c r="A18" s="54"/>
      <x:c r="B18" s="63" t="str">
        <x:v>Rear</x:v>
      </x:c>
      <x:c r="C18" s="74" t="n">
        <x:v>1.321</x:v>
      </x:c>
      <x:c r="D18" s="74" t="n">
        <x:v>0.186</x:v>
      </x:c>
      <x:c r="E18" s="74" t="n">
        <x:v>1.455</x:v>
      </x:c>
      <x:c r="F18" s="74" t="n">
        <x:v>0.261</x:v>
      </x:c>
      <x:c r="G18" s="76">
        <x:f>IF(COUNT(C18:F18)&lt;4,"",IF(H18=0,"无效半径",IF(D18&lt;F18,-1,1)*DEGREES(ACOS(MAX(-1,MIN(1,(E18-C18)*1000/H18))))))</x:f>
        <x:v>-29.235804568699994</x:v>
      </x:c>
      <x:c r="H18" s="78">
        <x:f>IF(COUNT(C18:F18)&lt;4,"",1000*SQRT((C18-E18)^2+(D18-F18)^2))</x:f>
        <x:v>153.5610627730872</x:v>
      </x:c>
      <x:c r="I18" s="54"/>
      <x:c r="J18" s="54"/>
    </x:row>
    <x:row r="19" ht="27" customHeight="1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</x:row>
    <x:row r="20" ht="27" customHeight="1">
      <x:c r="A20" s="54"/>
      <x:c r="B20" s="72" t="str">
        <x:v>测量 · 每组填写轮行程和 arb1 终点</x:v>
      </x:c>
      <x:c r="C20" s="72" t="str">
        <x:v>测量 · 每组填写轮行程和 arb1 终点</x:v>
      </x:c>
      <x:c r="D20" s="72" t="str">
        <x:v>测量 · 每组填写轮行程和 arb1 终点</x:v>
      </x:c>
      <x:c r="E20" s="72" t="str">
        <x:v>测量 · 每组填写轮行程和 arb1 终点</x:v>
      </x:c>
      <x:c r="F20" s="72" t="str">
        <x:v>测量 · 每组填写轮行程和 arb1 终点</x:v>
      </x:c>
      <x:c r="G20" s="72" t="str">
        <x:v>测量 · 每组填写轮行程和 arb1 终点</x:v>
      </x:c>
      <x:c r="H20" s="72" t="str">
        <x:v>测量 · 每组填写轮行程和 arb1 终点</x:v>
      </x:c>
      <x:c r="I20" s="72" t="str">
        <x:v>测量 · 每组填写轮行程和 arb1 终点</x:v>
      </x:c>
      <x:c r="J20" s="54"/>
    </x:row>
    <x:row r="21" ht="27" customHeight="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</x:row>
    <x:row r="22" ht="42" customHeight="1">
      <x:c r="A22" s="54"/>
      <x:c r="B22" s="60" t="str">
        <x:v>Surface</x:v>
      </x:c>
      <x:c r="C22" s="60" t="str">
        <x:v>Axle</x:v>
      </x:c>
      <x:c r="D22" s="60" t="str">
        <x:v>Position</x:v>
      </x:c>
      <x:c r="E22" s="60" t="str">
        <x:v>Wheel ΔZ
(mm)</x:v>
      </x:c>
      <x:c r="F22" s="60" t="str">
        <x:v>arb1 End Y
(m)</x:v>
      </x:c>
      <x:c r="G22" s="60" t="str">
        <x:v>arb1 End Z
(m)</x:v>
      </x:c>
      <x:c r="H22" s="60" t="str">
        <x:v>End angle
(°)</x:v>
      </x:c>
      <x:c r="I22" s="60" t="str">
        <x:v>Radius
(mm)</x:v>
      </x:c>
      <x:c r="J22" s="54"/>
    </x:row>
    <x:row r="23" ht="27" customHeight="1">
      <x:c r="A23" s="54"/>
      <x:c r="B23" s="62" t="str">
        <x:v>Tarmac</x:v>
      </x:c>
      <x:c r="C23" s="62" t="str">
        <x:v>Front</x:v>
      </x:c>
      <x:c r="D23" s="62" t="str">
        <x:v>Outer</x:v>
      </x:c>
      <x:c r="E23" s="67" t="n">
        <x:v>167</x:v>
      </x:c>
      <x:c r="F23" s="74" t="n">
        <x:v>-1.046</x:v>
      </x:c>
      <x:c r="G23" s="74" t="n">
        <x:v>0.254</x:v>
      </x:c>
      <x:c r="H23" s="75">
        <x:f>IF(COUNT(F23:G23,E17:F17)&lt;4,"",IF(I23=0,"无效半径",IF(G23&lt;F17,-1,1)*DEGREES(ACOS(MAX(-1,MIN(1,(E17-F23)*1000/I23))))))</x:f>
        <x:v>25.144785630678925</x:v>
      </x:c>
      <x:c r="I23" s="77">
        <x:f>IF(COUNT(F23:G23,E17:F17)&lt;4,"",1000*SQRT((F23-E17)^2+(G23-F17)^2))</x:f>
        <x:v>162.3884232326923</x:v>
      </x:c>
      <x:c r="J23" s="54"/>
    </x:row>
    <x:row r="24" ht="27" customHeight="1">
      <x:c r="A24" s="54"/>
      <x:c r="B24" s="63" t="str">
        <x:v>Tarmac</x:v>
      </x:c>
      <x:c r="C24" s="63" t="str">
        <x:v>Rear</x:v>
      </x:c>
      <x:c r="D24" s="63" t="str">
        <x:v>Outer</x:v>
      </x:c>
      <x:c r="E24" s="67" t="n">
        <x:v>166</x:v>
      </x:c>
      <x:c r="F24" s="74" t="n">
        <x:v>1.301</x:v>
      </x:c>
      <x:c r="G24" s="74" t="n">
        <x:v>0.259</x:v>
      </x:c>
      <x:c r="H24" s="76">
        <x:f>IF(COUNT(F24:G24,E18:F18)&lt;4,"",IF(I24=0,"无效半径",IF(G24&lt;F18,-1,1)*DEGREES(ACOS(MAX(-1,MIN(1,(E18-F24)*1000/I24))))))</x:f>
        <x:v>-0.7440592028885111</x:v>
      </x:c>
      <x:c r="I24" s="78">
        <x:f>IF(COUNT(F24:G24,E18:F18)&lt;4,"",1000*SQRT((F24-E18)^2+(G24-F18)^2))</x:f>
        <x:v>154.0129864654278</x:v>
      </x:c>
      <x:c r="J24" s="54"/>
    </x:row>
    <x:row r="25" ht="27" customHeight="1">
      <x:c r="A25" s="54"/>
      <x:c r="B25" s="62" t="str">
        <x:v>Gravel</x:v>
      </x:c>
      <x:c r="C25" s="62" t="str">
        <x:v>Front</x:v>
      </x:c>
      <x:c r="D25" s="62" t="str">
        <x:v>Outer</x:v>
      </x:c>
      <x:c r="E25" s="67" t="n">
        <x:v>266</x:v>
      </x:c>
      <x:c r="F25" s="74" t="n">
        <x:v>-1.032</x:v>
      </x:c>
      <x:c r="G25" s="74" t="n">
        <x:v>0.278</x:v>
      </x:c>
      <x:c r="H25" s="75">
        <x:f>IF(COUNT(F25:G25,E17:F17)&lt;4,"",IF(I25=0,"无效半径",IF(G25&lt;F17,-1,1)*DEGREES(ACOS(MAX(-1,MIN(1,(E17-F25)*1000/I25))))))</x:f>
        <x:v>34.963097546036515</x:v>
      </x:c>
      <x:c r="I25" s="77">
        <x:f>IF(COUNT(F25:G25,E17:F17)&lt;4,"",1000*SQRT((F25-E17)^2+(G25-F17)^2))</x:f>
        <x:v>162.28986413205234</x:v>
      </x:c>
      <x:c r="J25" s="54"/>
    </x:row>
    <x:row r="26" ht="27" customHeight="1">
      <x:c r="A26" s="54"/>
      <x:c r="B26" s="63" t="str">
        <x:v>Gravel</x:v>
      </x:c>
      <x:c r="C26" s="63" t="str">
        <x:v>Rear</x:v>
      </x:c>
      <x:c r="D26" s="63" t="str">
        <x:v>Outer</x:v>
      </x:c>
      <x:c r="E26" s="67" t="n">
        <x:v>268</x:v>
      </x:c>
      <x:c r="F26" s="74" t="n">
        <x:v>1.306</x:v>
      </x:c>
      <x:c r="G26" s="74" t="n">
        <x:v>0.297</x:v>
      </x:c>
      <x:c r="H26" s="76">
        <x:f>IF(COUNT(F26:G26,E18:F18)&lt;4,"",IF(I26=0,"无效半径",IF(G26&lt;F18,-1,1)*DEGREES(ACOS(MAX(-1,MIN(1,(E18-F26)*1000/I26))))))</x:f>
        <x:v>13.582963529836704</x:v>
      </x:c>
      <x:c r="I26" s="78">
        <x:f>IF(COUNT(F26:G26,E18:F18)&lt;4,"",1000*SQRT((F26-E18)^2+(G26-F18)^2))</x:f>
        <x:v>153.28731193415848</x:v>
      </x:c>
      <x:c r="J26" s="54"/>
    </x:row>
    <x:row r="27" ht="27" customHeight="1">
      <x:c r="A27" s="54"/>
      <x:c r="B27" s="54"/>
      <x:c r="C27" s="54"/>
      <x:c r="D27" s="54"/>
      <x:c r="E27" s="54"/>
      <x:c r="F27" s="54"/>
      <x:c r="G27" s="54"/>
      <x:c r="H27" s="54"/>
      <x:c r="I27" s="54"/>
      <x:c r="J27" s="54"/>
    </x:row>
    <x:row r="28" ht="27" customHeight="1">
      <x:c r="A28" s="54"/>
      <x:c r="B28" s="54"/>
      <x:c r="C28" s="54"/>
      <x:c r="D28" s="54"/>
      <x:c r="E28" s="54"/>
      <x:c r="F28" s="54"/>
      <x:c r="G28" s="54"/>
      <x:c r="H28" s="54"/>
      <x:c r="I28" s="54"/>
      <x:c r="J28" s="54"/>
    </x:row>
    <x:row r="29" ht="27" customHeight="1">
      <x:c r="A29" s="54"/>
      <x:c r="B29" s="54"/>
      <x:c r="C29" s="54"/>
      <x:c r="D29" s="54"/>
      <x:c r="E29" s="54"/>
      <x:c r="F29" s="54"/>
      <x:c r="G29" s="54"/>
      <x:c r="H29" s="54"/>
      <x:c r="I29" s="54"/>
      <x:c r="J29" s="54"/>
    </x:row>
    <x:row r="30" ht="27" customHeight="1">
      <x:c r="A30" s="54"/>
      <x:c r="B30" s="72" t="str">
        <x:v>原 Z 测量记录（不参与刚度计算）</x:v>
      </x:c>
      <x:c r="C30" s="72" t="str">
        <x:v>原 Z 测量记录（不参与刚度计算）</x:v>
      </x:c>
      <x:c r="D30" s="72" t="str">
        <x:v>原 Z 测量记录（不参与刚度计算）</x:v>
      </x:c>
      <x:c r="E30" s="72" t="str">
        <x:v>原 Z 测量记录（不参与刚度计算）</x:v>
      </x:c>
      <x:c r="F30" s="72" t="str">
        <x:v>原 Z 测量记录（不参与刚度计算）</x:v>
      </x:c>
      <x:c r="G30" s="72" t="str">
        <x:v>原 Z 测量记录（不参与刚度计算）</x:v>
      </x:c>
      <x:c r="H30" s="72" t="str">
        <x:v>原 Z 测量记录（不参与刚度计算）</x:v>
      </x:c>
      <x:c r="I30" s="72" t="str">
        <x:v>原 Z 测量记录（不参与刚度计算）</x:v>
      </x:c>
      <x:c r="J30" s="54"/>
    </x:row>
    <x:row r="31" ht="42" customHeight="1">
      <x:c r="A31" s="54"/>
      <x:c r="B31" s="60" t="str">
        <x:v>Surface</x:v>
      </x:c>
      <x:c r="C31" s="60" t="str">
        <x:v>Axle</x:v>
      </x:c>
      <x:c r="D31" s="60" t="str">
        <x:v>Position</x:v>
      </x:c>
      <x:c r="E31" s="60" t="str">
        <x:v>ARB ΔZ (mm)</x:v>
      </x:c>
      <x:c r="F31" s="60" t="str">
        <x:v>Original arm (mm)</x:v>
      </x:c>
      <x:c r="G31" s="54"/>
      <x:c r="H31" s="54"/>
      <x:c r="I31" s="54"/>
      <x:c r="J31" s="54"/>
    </x:row>
    <x:row r="32" ht="27" customHeight="1">
      <x:c r="A32" s="54"/>
      <x:c r="B32" s="63" t="str">
        <x:v>Tarmac</x:v>
      </x:c>
      <x:c r="C32" s="63" t="str">
        <x:v>Front</x:v>
      </x:c>
      <x:c r="D32" s="63" t="str">
        <x:v>Outer</x:v>
      </x:c>
      <x:c r="E32" s="78" t="n">
        <x:v>46</x:v>
      </x:c>
      <x:c r="F32" s="78" t="n">
        <x:v>163</x:v>
      </x:c>
      <x:c r="G32" s="54"/>
      <x:c r="H32" s="54"/>
      <x:c r="I32" s="54"/>
      <x:c r="J32" s="54"/>
    </x:row>
    <x:row r="33" ht="27" customHeight="1">
      <x:c r="A33" s="54"/>
      <x:c r="B33" s="62" t="str">
        <x:v>Tarmac</x:v>
      </x:c>
      <x:c r="C33" s="62" t="str">
        <x:v>Rear</x:v>
      </x:c>
      <x:c r="D33" s="62" t="str">
        <x:v>Outer</x:v>
      </x:c>
      <x:c r="E33" s="77" t="n">
        <x:v>54</x:v>
      </x:c>
      <x:c r="F33" s="77" t="n">
        <x:v>154</x:v>
      </x:c>
      <x:c r="G33" s="54"/>
      <x:c r="H33" s="54"/>
      <x:c r="I33" s="54"/>
      <x:c r="J33" s="54"/>
    </x:row>
    <x:row r="34" ht="27" customHeight="1">
      <x:c r="A34" s="54"/>
      <x:c r="B34" s="63" t="str">
        <x:v>Gravel</x:v>
      </x:c>
      <x:c r="C34" s="63" t="str">
        <x:v>Front</x:v>
      </x:c>
      <x:c r="D34" s="63" t="str">
        <x:v>Outer</x:v>
      </x:c>
      <x:c r="E34" s="78" t="n">
        <x:v>83</x:v>
      </x:c>
      <x:c r="F34" s="78" t="n">
        <x:v>163</x:v>
      </x:c>
      <x:c r="G34" s="54"/>
      <x:c r="H34" s="54"/>
      <x:c r="I34" s="54"/>
      <x:c r="J34" s="54"/>
    </x:row>
    <x:row r="35" ht="27" customHeight="1">
      <x:c r="A35" s="54"/>
      <x:c r="B35" s="62" t="str">
        <x:v>Gravel</x:v>
      </x:c>
      <x:c r="C35" s="62" t="str">
        <x:v>Rear</x:v>
      </x:c>
      <x:c r="D35" s="62" t="str">
        <x:v>Outer</x:v>
      </x:c>
      <x:c r="E35" s="77" t="n">
        <x:v>111</x:v>
      </x:c>
      <x:c r="F35" s="77" t="n">
        <x:v>154</x:v>
      </x:c>
      <x:c r="G35" s="54"/>
      <x:c r="H35" s="54"/>
      <x:c r="I35" s="54"/>
      <x:c r="J35" s="54"/>
    </x:row>
    <x:row r="36" ht="27" customHeight="1">
      <x:c r="A36" s="54"/>
      <x:c r="B36" s="54"/>
      <x:c r="C36" s="54"/>
      <x:c r="D36" s="54"/>
      <x:c r="E36" s="54"/>
      <x:c r="F36" s="54"/>
      <x:c r="G36" s="54"/>
      <x:c r="H36" s="54"/>
      <x:c r="I36" s="54"/>
      <x:c r="J36" s="54"/>
    </x:row>
    <x:row r="37" ht="27" customHeight="1">
      <x:c r="A37" s="54"/>
      <x:c r="B37" s="54"/>
      <x:c r="C37" s="54"/>
      <x:c r="D37" s="54"/>
      <x:c r="E37" s="54"/>
      <x:c r="F37" s="54"/>
      <x:c r="G37" s="54"/>
      <x:c r="H37" s="54"/>
      <x:c r="I37" s="54"/>
      <x:c r="J37" s="54"/>
    </x:row>
    <x:row r="38" ht="27" customHeight="1">
      <x:c r="A38" s="54"/>
      <x:c r="B38" s="54"/>
      <x:c r="C38" s="54"/>
      <x:c r="D38" s="54"/>
      <x:c r="E38" s="54"/>
      <x:c r="F38" s="54"/>
      <x:c r="G38" s="54"/>
      <x:c r="H38" s="54"/>
      <x:c r="I38" s="54"/>
      <x:c r="J38" s="54"/>
    </x:row>
    <x:row r="39" ht="27" customHeight="1">
      <x:c r="A39" s="54"/>
      <x:c r="B39" s="54"/>
      <x:c r="C39" s="54"/>
      <x:c r="D39" s="54"/>
      <x:c r="E39" s="54"/>
      <x:c r="F39" s="54"/>
      <x:c r="G39" s="54"/>
      <x:c r="H39" s="54"/>
      <x:c r="I39" s="54"/>
      <x:c r="J39" s="54"/>
    </x:row>
    <x:row r="40" ht="27" customHeight="1">
      <x:c r="A40" s="54"/>
      <x:c r="B40" s="54"/>
      <x:c r="C40" s="54"/>
      <x:c r="D40" s="54"/>
      <x:c r="E40" s="54"/>
      <x:c r="F40" s="54"/>
      <x:c r="G40" s="54"/>
      <x:c r="H40" s="54"/>
      <x:c r="I40" s="54"/>
      <x:c r="J40" s="54"/>
    </x:row>
    <x:row r="41" ht="27" customHeight="1">
      <x:c r="A41" s="54"/>
      <x:c r="B41" s="54"/>
      <x:c r="C41" s="54"/>
      <x:c r="D41" s="54"/>
      <x:c r="E41" s="54"/>
      <x:c r="F41" s="54"/>
      <x:c r="G41" s="54"/>
      <x:c r="H41" s="54"/>
      <x:c r="I41" s="54"/>
      <x:c r="J41" s="54"/>
    </x:row>
    <x:row r="42" ht="27" customHeight="1">
      <x:c r="A42" s="54"/>
      <x:c r="B42" s="54"/>
      <x:c r="C42" s="54"/>
      <x:c r="D42" s="54"/>
      <x:c r="E42" s="54"/>
      <x:c r="F42" s="54"/>
      <x:c r="G42" s="54"/>
      <x:c r="H42" s="54"/>
      <x:c r="I42" s="54"/>
      <x:c r="J42" s="54"/>
    </x:row>
    <x:row r="43" ht="27" customHeight="1">
      <x:c r="A43" s="54"/>
      <x:c r="B43" s="54"/>
      <x:c r="C43" s="54"/>
      <x:c r="D43" s="54"/>
      <x:c r="E43" s="54"/>
      <x:c r="F43" s="54"/>
      <x:c r="G43" s="54"/>
      <x:c r="H43" s="54"/>
      <x:c r="I43" s="54"/>
      <x:c r="J43" s="54"/>
    </x:row>
    <x:row r="44" ht="27" customHeight="1">
      <x:c r="A44" s="54"/>
      <x:c r="B44" s="54"/>
      <x:c r="C44" s="54"/>
      <x:c r="D44" s="54"/>
      <x:c r="E44" s="54"/>
      <x:c r="F44" s="54"/>
      <x:c r="G44" s="54"/>
      <x:c r="H44" s="54"/>
      <x:c r="I44" s="54"/>
      <x:c r="J44" s="54"/>
    </x:row>
    <x:row r="45" ht="27" customHeight="1">
      <x:c r="A45" s="54"/>
      <x:c r="B45" s="54"/>
      <x:c r="C45" s="54"/>
      <x:c r="D45" s="54"/>
      <x:c r="E45" s="54"/>
      <x:c r="F45" s="54"/>
      <x:c r="G45" s="54"/>
      <x:c r="H45" s="54"/>
      <x:c r="I45" s="54"/>
      <x:c r="J45" s="54"/>
    </x:row>
    <x:row r="46" ht="27" customHeight="1">
      <x:c r="A46" s="54"/>
      <x:c r="B46" s="54"/>
      <x:c r="C46" s="54"/>
      <x:c r="D46" s="54"/>
      <x:c r="E46" s="54"/>
      <x:c r="F46" s="54"/>
      <x:c r="G46" s="54"/>
      <x:c r="H46" s="54"/>
      <x:c r="I46" s="54"/>
      <x:c r="J46" s="54"/>
    </x:row>
    <x:row r="47" ht="27" customHeight="1">
      <x:c r="A47" s="54"/>
      <x:c r="B47" s="54"/>
      <x:c r="C47" s="54"/>
      <x:c r="D47" s="54"/>
      <x:c r="E47" s="54"/>
      <x:c r="F47" s="54"/>
      <x:c r="G47" s="54"/>
      <x:c r="H47" s="54"/>
      <x:c r="I47" s="54"/>
      <x:c r="J47" s="54"/>
    </x:row>
    <x:row r="48" ht="27" customHeight="1">
      <x:c r="A48" s="54"/>
      <x:c r="B48" s="54"/>
      <x:c r="C48" s="54"/>
      <x:c r="D48" s="54"/>
      <x:c r="E48" s="54"/>
      <x:c r="F48" s="54"/>
      <x:c r="G48" s="54"/>
      <x:c r="H48" s="54"/>
      <x:c r="I48" s="54"/>
      <x:c r="J48" s="54"/>
    </x:row>
    <x:row r="49" ht="27" customHeight="1">
      <x:c r="A49" s="54"/>
      <x:c r="B49" s="54"/>
      <x:c r="C49" s="54"/>
      <x:c r="D49" s="54"/>
      <x:c r="E49" s="54"/>
      <x:c r="F49" s="54"/>
      <x:c r="G49" s="54"/>
      <x:c r="H49" s="54"/>
      <x:c r="I49" s="54"/>
      <x:c r="J49" s="54"/>
    </x:row>
    <x:row r="50" ht="27" customHeight="1">
      <x:c r="A50" s="54"/>
      <x:c r="B50" s="54"/>
      <x:c r="C50" s="54"/>
      <x:c r="D50" s="54"/>
      <x:c r="E50" s="54"/>
      <x:c r="F50" s="54"/>
      <x:c r="G50" s="54"/>
      <x:c r="H50" s="54"/>
      <x:c r="I50" s="54"/>
      <x:c r="J50" s="54"/>
    </x:row>
    <x:row r="51" ht="27" customHeight="1">
      <x:c r="A51" s="54"/>
      <x:c r="B51" s="54"/>
      <x:c r="C51" s="54"/>
      <x:c r="D51" s="54"/>
      <x:c r="E51" s="54"/>
      <x:c r="F51" s="54"/>
      <x:c r="G51" s="54"/>
      <x:c r="H51" s="54"/>
      <x:c r="I51" s="54"/>
      <x:c r="J51" s="54"/>
    </x:row>
    <x:row r="52" ht="27" customHeight="1">
      <x:c r="A52" s="54"/>
      <x:c r="B52" s="54"/>
      <x:c r="C52" s="54"/>
      <x:c r="D52" s="54"/>
      <x:c r="E52" s="54"/>
      <x:c r="F52" s="54"/>
      <x:c r="G52" s="54"/>
      <x:c r="H52" s="54"/>
      <x:c r="I52" s="54"/>
      <x:c r="J52" s="54"/>
    </x:row>
    <x:row r="53" ht="27" customHeight="1">
      <x:c r="A53" s="54"/>
      <x:c r="B53" s="54"/>
      <x:c r="C53" s="54"/>
      <x:c r="D53" s="54"/>
      <x:c r="E53" s="54"/>
      <x:c r="F53" s="54"/>
      <x:c r="G53" s="54"/>
      <x:c r="H53" s="54"/>
      <x:c r="I53" s="54"/>
      <x:c r="J53" s="54"/>
    </x:row>
    <x:row r="54" ht="27" customHeight="1">
      <x:c r="A54" s="54"/>
      <x:c r="B54" s="54"/>
      <x:c r="C54" s="54"/>
      <x:c r="D54" s="54"/>
      <x:c r="E54" s="54"/>
      <x:c r="F54" s="54"/>
      <x:c r="G54" s="54"/>
      <x:c r="H54" s="54"/>
      <x:c r="I54" s="54"/>
      <x:c r="J54" s="54"/>
    </x:row>
    <x:row r="55" ht="27" customHeight="1">
      <x:c r="A55" s="54"/>
      <x:c r="B55" s="54"/>
      <x:c r="C55" s="54"/>
      <x:c r="D55" s="54"/>
      <x:c r="E55" s="54"/>
      <x:c r="F55" s="54"/>
      <x:c r="G55" s="54"/>
      <x:c r="H55" s="54"/>
      <x:c r="I55" s="54"/>
      <x:c r="J55" s="54"/>
    </x:row>
    <x:row r="56" ht="27" customHeight="1">
      <x:c r="A56" s="54"/>
      <x:c r="B56" s="54"/>
      <x:c r="C56" s="54"/>
      <x:c r="D56" s="54"/>
      <x:c r="E56" s="54"/>
      <x:c r="F56" s="54"/>
      <x:c r="G56" s="54"/>
      <x:c r="H56" s="54"/>
      <x:c r="I56" s="54"/>
      <x:c r="J56" s="54"/>
    </x:row>
    <x:row r="57" ht="27" customHeight="1">
      <x:c r="A57" s="54"/>
      <x:c r="B57" s="54"/>
      <x:c r="C57" s="54"/>
      <x:c r="D57" s="54"/>
      <x:c r="E57" s="54"/>
      <x:c r="F57" s="54"/>
      <x:c r="G57" s="54"/>
      <x:c r="H57" s="54"/>
      <x:c r="I57" s="54"/>
      <x:c r="J57" s="54"/>
    </x:row>
    <x:row r="58" ht="27" customHeight="1">
      <x:c r="A58" s="54"/>
      <x:c r="B58" s="54"/>
      <x:c r="C58" s="54"/>
      <x:c r="D58" s="54"/>
      <x:c r="E58" s="54"/>
      <x:c r="F58" s="54"/>
      <x:c r="G58" s="54"/>
      <x:c r="H58" s="54"/>
      <x:c r="I58" s="54"/>
      <x:c r="J58" s="54"/>
    </x:row>
    <x:row r="59" ht="27" customHeight="1">
      <x:c r="A59" s="54"/>
      <x:c r="B59" s="54"/>
      <x:c r="C59" s="54"/>
      <x:c r="D59" s="54"/>
      <x:c r="E59" s="54"/>
      <x:c r="F59" s="54"/>
      <x:c r="G59" s="54"/>
      <x:c r="H59" s="54"/>
      <x:c r="I59" s="54"/>
      <x:c r="J59" s="54"/>
    </x:row>
    <x:row r="60" ht="27" customHeight="1">
      <x:c r="A60" s="54"/>
      <x:c r="B60" s="54"/>
      <x:c r="C60" s="54"/>
      <x:c r="D60" s="54"/>
      <x:c r="E60" s="54"/>
      <x:c r="F60" s="54"/>
      <x:c r="G60" s="54"/>
      <x:c r="H60" s="54"/>
      <x:c r="I60" s="54"/>
      <x:c r="J60" s="54"/>
    </x:row>
    <x:row r="61" ht="27" customHeight="1">
      <x:c r="A61" s="54"/>
      <x:c r="B61" s="54"/>
      <x:c r="C61" s="54"/>
      <x:c r="D61" s="54"/>
      <x:c r="E61" s="54"/>
      <x:c r="F61" s="54"/>
      <x:c r="G61" s="54"/>
      <x:c r="H61" s="54"/>
      <x:c r="I61" s="54"/>
      <x:c r="J61" s="54"/>
    </x:row>
    <x:row r="62" ht="27" customHeight="1">
      <x:c r="A62" s="54"/>
      <x:c r="B62" s="54"/>
      <x:c r="C62" s="54"/>
      <x:c r="D62" s="54"/>
      <x:c r="E62" s="54"/>
      <x:c r="F62" s="54"/>
      <x:c r="G62" s="54"/>
      <x:c r="H62" s="54"/>
      <x:c r="I62" s="54"/>
      <x:c r="J62" s="54"/>
    </x:row>
    <x:row r="63" ht="27" customHeight="1">
      <x:c r="A63" s="54"/>
      <x:c r="B63" s="54"/>
      <x:c r="C63" s="54"/>
      <x:c r="D63" s="54"/>
      <x:c r="E63" s="54"/>
      <x:c r="F63" s="54"/>
      <x:c r="G63" s="54"/>
      <x:c r="H63" s="54"/>
      <x:c r="I63" s="54"/>
      <x:c r="J63" s="54"/>
    </x:row>
    <x:row r="64" ht="27" customHeight="1">
      <x:c r="A64" s="54"/>
      <x:c r="B64" s="54"/>
      <x:c r="C64" s="54"/>
      <x:c r="D64" s="54"/>
      <x:c r="E64" s="54"/>
      <x:c r="F64" s="54"/>
      <x:c r="G64" s="54"/>
      <x:c r="H64" s="54"/>
      <x:c r="I64" s="54"/>
      <x:c r="J64" s="54"/>
    </x:row>
    <x:row r="65" ht="27" customHeight="1">
      <x:c r="A65" s="54"/>
      <x:c r="B65" s="54"/>
      <x:c r="C65" s="54"/>
      <x:c r="D65" s="54"/>
      <x:c r="E65" s="54"/>
      <x:c r="F65" s="54"/>
      <x:c r="G65" s="54"/>
      <x:c r="H65" s="54"/>
      <x:c r="I65" s="54"/>
      <x:c r="J65" s="54"/>
    </x:row>
  </x:sheetData>
  <x:mergeCells>
    <x:mergeCell ref="B2:I3"/>
    <x:mergeCell ref="B4:I4"/>
    <x:mergeCell ref="B14:I14"/>
    <x:mergeCell ref="B15:I15"/>
    <x:mergeCell ref="B20:I20"/>
    <x:mergeCell ref="B30:I30"/>
  </x:mergeCells>
  <x:pageMargins left="0.7" right="0.7" top="0.75" bottom="0.75" header="0.3" footer="0.3"/>
</x: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tabSelected="1" workbookViewId="0">
      <pane ySplit="5" topLeftCell="A6" activePane="bottomLeft" state="frozen"/>
      <selection pane="bottomLeft" activeCell="J8" sqref="J8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6.1" customHeight="1">
      <c r="A2" s="2"/>
      <c r="B2" s="24" t="s">
        <v>40</v>
      </c>
      <c r="C2" s="24" t="s">
        <v>40</v>
      </c>
      <c r="D2" s="24" t="s">
        <v>40</v>
      </c>
      <c r="E2" s="24" t="s">
        <v>40</v>
      </c>
      <c r="F2" s="24" t="s">
        <v>40</v>
      </c>
      <c r="G2" s="24" t="s">
        <v>40</v>
      </c>
      <c r="H2" s="24" t="s">
        <v>40</v>
      </c>
      <c r="I2" s="24" t="s">
        <v>40</v>
      </c>
      <c r="J2" s="24" t="s">
        <v>40</v>
      </c>
      <c r="K2" s="24" t="s">
        <v>40</v>
      </c>
      <c r="L2" s="2"/>
      <c r="M2" s="2"/>
    </row>
    <row r="3" spans="1:13" ht="26.1" customHeight="1">
      <c r="A3" s="2"/>
      <c r="B3" s="24" t="s">
        <v>40</v>
      </c>
      <c r="C3" s="24" t="s">
        <v>40</v>
      </c>
      <c r="D3" s="24" t="s">
        <v>40</v>
      </c>
      <c r="E3" s="24" t="s">
        <v>40</v>
      </c>
      <c r="F3" s="24" t="s">
        <v>40</v>
      </c>
      <c r="G3" s="24" t="s">
        <v>40</v>
      </c>
      <c r="H3" s="24" t="s">
        <v>40</v>
      </c>
      <c r="I3" s="24" t="s">
        <v>40</v>
      </c>
      <c r="J3" s="24" t="s">
        <v>40</v>
      </c>
      <c r="K3" s="24" t="s">
        <v>40</v>
      </c>
      <c r="L3" s="2"/>
      <c r="M3" s="2"/>
    </row>
    <row r="4" spans="1:13" ht="26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39.950000000000003" customHeight="1">
      <c r="A5" s="2"/>
      <c r="B5" s="3" t="s">
        <v>33</v>
      </c>
      <c r="C5" s="3" t="s">
        <v>5</v>
      </c>
      <c r="D5" s="3" t="s">
        <v>34</v>
      </c>
      <c r="E5" s="3" t="s">
        <v>41</v>
      </c>
      <c r="F5" s="3" t="s">
        <v>42</v>
      </c>
      <c r="G5" s="3" t="s">
        <v>43</v>
      </c>
      <c r="H5" s="3" t="s">
        <v>44</v>
      </c>
      <c r="I5" s="3" t="s">
        <v>45</v>
      </c>
      <c r="J5" s="3" t="s">
        <v>46</v>
      </c>
      <c r="K5" s="3" t="s">
        <v>47</v>
      </c>
      <c r="L5" s="2"/>
      <c r="M5" s="2"/>
    </row>
    <row r="6" spans="1:13" ht="26.1" customHeight="1">
      <c r="A6" s="2"/>
      <c r="B6" s="5" t="s">
        <v>37</v>
      </c>
      <c r="C6" s="5" t="s">
        <v>9</v>
      </c>
      <c r="D6" s="5" t="s">
        <v>38</v>
      </c>
      <c r="E6" s="14">
        <f>IF(ISNUMBER(Parameters!E23),Parameters!E23,"")</f>
        <v>167</v>
      </c>
      <c r="F6" s="16">
        <f>IF(COUNT(Parameters!G17,Parameters!H23)&lt;2,"",MOD(Parameters!H23-Parameters!G17+180,360)-180)</f>
        <v>21.612491046787994</v>
      </c>
      <c r="G6" s="18">
        <f>IF(COUNT(E6:F6)&lt;2,"",IF(E6&lt;=0,"",RADIANS(F6)/E6))</f>
        <v>0.0022587372953547687</v>
      </c>
      <c r="H6" s="12">
        <f>IF(ISNUMBER(G6),1000*Parameters!E7*G6^2,"")</f>
        <v>4.802955662648164</v>
      </c>
      <c r="I6" s="12">
        <f>IF(ISNUMBER(G6),1000*Parameters!E8*G6^2,"")</f>
        <v>10.142565608820032</v>
      </c>
      <c r="J6" s="12">
        <f>IF(ISNUMBER(G6),1000*Parameters!E9*G6^2,"")</f>
        <v>18.668636460727903</v>
      </c>
      <c r="K6" s="20" t="str">
        <f>IF(COUNT(Parameters!C17:F17,Parameters!F23:G23)&lt;6,"待补坐标",IF(NOT(ISNUMBER(E6)),"待填轮行程",IF(E6&lt;=0,"轮行程须大于0",IF(COUNT(Parameters!G17,Parameters!H23)&lt;2,"无效半径",""))))</f>
        <v/>
      </c>
      <c r="L6" s="2"/>
      <c r="M6" s="2"/>
    </row>
    <row r="7" spans="1:13" ht="26.1" customHeight="1">
      <c r="A7" s="2"/>
      <c r="B7" s="4" t="s">
        <v>37</v>
      </c>
      <c r="C7" s="4" t="s">
        <v>13</v>
      </c>
      <c r="D7" s="4" t="s">
        <v>38</v>
      </c>
      <c r="E7" s="15">
        <f>IF(ISNUMBER(Parameters!E24),Parameters!E24,"")</f>
        <v>166</v>
      </c>
      <c r="F7" s="17">
        <f>IF(COUNT(Parameters!G18,Parameters!H24)&lt;2,"",MOD(Parameters!H24-Parameters!G18+180,360)-180)</f>
        <v>28.491745365811482</v>
      </c>
      <c r="G7" s="19">
        <f>IF(COUNT(E7:F7)&lt;2,"",IF(E7&lt;=0,"",RADIANS(F7)/E7))</f>
        <v>0.002995631122127991</v>
      </c>
      <c r="H7" s="13">
        <f>IF(ISNUMBER(G7),1000*Parameters!E10*G7^2,"")</f>
        <v>12.824173715651444</v>
      </c>
      <c r="I7" s="13">
        <f>IF(ISNUMBER(G7),1000*Parameters!E11*G7^2,"")</f>
        <v>26.374015304573856</v>
      </c>
      <c r="J7" s="13">
        <f>IF(ISNUMBER(G7),1000*Parameters!E12*G7^2,"")</f>
        <v>44.415896138142486</v>
      </c>
      <c r="K7" s="21" t="str">
        <f>IF(COUNT(Parameters!C18:F18,Parameters!F24:G24)&lt;6,"待补坐标",IF(NOT(ISNUMBER(E7)),"待填轮行程",IF(E7&lt;=0,"轮行程须大于0",IF(COUNT(Parameters!G18,Parameters!H24)&lt;2,"无效半径",""))))</f>
        <v/>
      </c>
      <c r="L7" s="2"/>
      <c r="M7" s="2"/>
    </row>
    <row r="8" spans="1:13" ht="26.1" customHeight="1">
      <c r="A8" s="2"/>
      <c r="B8" s="5" t="s">
        <v>39</v>
      </c>
      <c r="C8" s="5" t="s">
        <v>9</v>
      </c>
      <c r="D8" s="5" t="s">
        <v>38</v>
      </c>
      <c r="E8" s="14">
        <f>IF(ISNUMBER(Parameters!E25),Parameters!E25,"")</f>
        <v>266</v>
      </c>
      <c r="F8" s="16">
        <f>IF(COUNT(Parameters!G17,Parameters!H25)&lt;2,"",MOD(Parameters!H25-Parameters!G17+180,360)-180)</f>
        <v>31.430802962145577</v>
      </c>
      <c r="G8" s="18">
        <f>IF(COUNT(E8:F8)&lt;2,"",IF(E8&lt;=0,"",RADIANS(F8)/E8))</f>
        <v>0.002062296985845966</v>
      </c>
      <c r="H8" s="12">
        <f>IF(ISNUMBER(G8),1000*Parameters!E7*G8^2,"")</f>
        <v>4.003866108543757</v>
      </c>
      <c r="I8" s="12">
        <f>IF(ISNUMBER(G8),1000*Parameters!E8*G8^2,"")</f>
        <v>8.45510088936476</v>
      </c>
      <c r="J8" s="12">
        <f>IF(ISNUMBER(G8),1000*Parameters!E9*G8^2,"")</f>
        <v>15.56265059849007</v>
      </c>
      <c r="K8" s="20" t="str">
        <f>IF(COUNT(Parameters!C17:F17,Parameters!F25:G25)&lt;6,"待补坐标",IF(NOT(ISNUMBER(E8)),"待填轮行程",IF(E8&lt;=0,"轮行程须大于0",IF(COUNT(Parameters!G17,Parameters!H25)&lt;2,"无效半径",""))))</f>
        <v/>
      </c>
      <c r="L8" s="2"/>
      <c r="M8" s="2"/>
    </row>
    <row r="9" spans="1:13" ht="26.1" customHeight="1">
      <c r="A9" s="2"/>
      <c r="B9" s="4" t="s">
        <v>39</v>
      </c>
      <c r="C9" s="4" t="s">
        <v>13</v>
      </c>
      <c r="D9" s="4" t="s">
        <v>38</v>
      </c>
      <c r="E9" s="15">
        <f>IF(ISNUMBER(Parameters!E26),Parameters!E26,"")</f>
        <v>268</v>
      </c>
      <c r="F9" s="17">
        <f>IF(COUNT(Parameters!G18,Parameters!H26)&lt;2,"",MOD(Parameters!H26-Parameters!G18+180,360)-180)</f>
        <v>42.81876809853668</v>
      </c>
      <c r="G9" s="19">
        <f>IF(COUNT(E9:F9)&lt;2,"",IF(E9&lt;=0,"",RADIANS(F9)/E9))</f>
        <v>0.0027885391230126</v>
      </c>
      <c r="H9" s="13">
        <f>IF(ISNUMBER(G9),1000*Parameters!E10*G9^2,"")</f>
        <v>11.112357594531261</v>
      </c>
      <c r="I9" s="13">
        <f>IF(ISNUMBER(G9),1000*Parameters!E11*G9^2,"")</f>
        <v>22.853518344840758</v>
      </c>
      <c r="J9" s="13">
        <f>IF(ISNUMBER(G9),1000*Parameters!E12*G9^2,"")</f>
        <v>38.48710503400469</v>
      </c>
      <c r="K9" s="21" t="str">
        <f>IF(COUNT(Parameters!C18:F18,Parameters!F26:G26)&lt;6,"待补坐标",IF(NOT(ISNUMBER(E9)),"待填轮行程",IF(E9&lt;=0,"轮行程须大于0",IF(COUNT(Parameters!G18,Parameters!H26)&lt;2,"无效半径",""))))</f>
        <v/>
      </c>
      <c r="L9" s="2"/>
      <c r="M9" s="2"/>
    </row>
    <row r="10" spans="1:13" ht="26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ht="26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ht="26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26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ht="39.950000000000003" customHeight="1">
      <c r="A14" s="2"/>
      <c r="B14" s="3" t="s">
        <v>48</v>
      </c>
      <c r="C14" s="3" t="s">
        <v>9</v>
      </c>
      <c r="D14" s="3" t="s">
        <v>13</v>
      </c>
      <c r="E14" s="2"/>
      <c r="F14" s="2"/>
      <c r="G14" s="2"/>
      <c r="H14" s="2"/>
      <c r="I14" s="2"/>
      <c r="J14" s="2"/>
      <c r="K14" s="2"/>
      <c r="L14" s="2"/>
      <c r="M14" s="2"/>
    </row>
    <row r="15" spans="1:13" ht="26.1" customHeight="1">
      <c r="A15" s="2"/>
      <c r="B15" s="4" t="s">
        <v>10</v>
      </c>
      <c r="C15" s="13">
        <f>IF(ISNUMBER(H8),H8,NA())</f>
        <v>4.003866108543757</v>
      </c>
      <c r="D15" s="13">
        <f>IF(ISNUMBER(H9),H9,NA())</f>
        <v>11.112357594531261</v>
      </c>
      <c r="E15" s="2"/>
      <c r="F15" s="2"/>
      <c r="G15" s="2"/>
      <c r="H15" s="2"/>
      <c r="I15" s="2"/>
      <c r="J15" s="2"/>
      <c r="K15" s="2"/>
      <c r="L15" s="2"/>
      <c r="M15" s="2"/>
    </row>
    <row r="16" spans="1:13" ht="26.1" customHeight="1">
      <c r="A16" s="2"/>
      <c r="B16" s="5" t="s">
        <v>11</v>
      </c>
      <c r="C16" s="12">
        <f>IF(ISNUMBER(I8),I8,NA())</f>
        <v>8.45510088936476</v>
      </c>
      <c r="D16" s="12">
        <f>IF(ISNUMBER(I9),I9,NA())</f>
        <v>22.853518344840758</v>
      </c>
      <c r="E16" s="2"/>
      <c r="F16" s="2"/>
      <c r="G16" s="2"/>
      <c r="H16" s="2"/>
      <c r="I16" s="2"/>
      <c r="J16" s="2"/>
      <c r="K16" s="2"/>
      <c r="L16" s="2"/>
      <c r="M16" s="2"/>
    </row>
    <row r="17" spans="1:13" ht="26.1" customHeight="1">
      <c r="A17" s="2"/>
      <c r="B17" s="4" t="s">
        <v>12</v>
      </c>
      <c r="C17" s="13">
        <f>IF(ISNUMBER(J8),J8,NA())</f>
        <v>15.56265059849007</v>
      </c>
      <c r="D17" s="13">
        <f>IF(ISNUMBER(J9),J9,NA())</f>
        <v>38.48710503400469</v>
      </c>
      <c r="E17" s="2"/>
      <c r="F17" s="2"/>
      <c r="G17" s="2"/>
      <c r="H17" s="2"/>
      <c r="I17" s="2"/>
      <c r="J17" s="2"/>
      <c r="K17" s="2"/>
      <c r="L17" s="2"/>
      <c r="M17" s="2"/>
    </row>
    <row r="18" spans="1:13" ht="26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ht="26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ht="26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ht="39.950000000000003" customHeight="1">
      <c r="A21" s="2"/>
      <c r="B21" s="3" t="s">
        <v>48</v>
      </c>
      <c r="C21" s="3" t="s">
        <v>9</v>
      </c>
      <c r="D21" s="3" t="s">
        <v>13</v>
      </c>
      <c r="E21" s="2"/>
      <c r="F21" s="2"/>
      <c r="G21" s="2"/>
      <c r="H21" s="2"/>
      <c r="I21" s="2"/>
      <c r="J21" s="2"/>
      <c r="K21" s="2"/>
      <c r="L21" s="2"/>
      <c r="M21" s="2"/>
    </row>
    <row r="22" spans="1:13" ht="26.1" customHeight="1">
      <c r="A22" s="2"/>
      <c r="B22" s="5" t="s">
        <v>10</v>
      </c>
      <c r="C22" s="12">
        <f>IF(ISNUMBER(H6),H6,NA())</f>
        <v>4.802955662648164</v>
      </c>
      <c r="D22" s="12">
        <f>IF(ISNUMBER(H7),H7,NA())</f>
        <v>12.824173715651444</v>
      </c>
      <c r="E22" s="2"/>
      <c r="F22" s="2"/>
      <c r="G22" s="2"/>
      <c r="H22" s="2"/>
      <c r="I22" s="2"/>
      <c r="J22" s="2"/>
      <c r="K22" s="2"/>
      <c r="L22" s="2"/>
      <c r="M22" s="2"/>
    </row>
    <row r="23" spans="1:13" ht="26.1" customHeight="1">
      <c r="A23" s="2"/>
      <c r="B23" s="4" t="s">
        <v>11</v>
      </c>
      <c r="C23" s="13">
        <f>IF(ISNUMBER(I6),I6,NA())</f>
        <v>10.142565608820032</v>
      </c>
      <c r="D23" s="13">
        <f>IF(ISNUMBER(I7),I7,NA())</f>
        <v>26.374015304573856</v>
      </c>
      <c r="E23" s="2"/>
      <c r="F23" s="2"/>
      <c r="G23" s="2"/>
      <c r="H23" s="2"/>
      <c r="I23" s="2"/>
      <c r="J23" s="2"/>
      <c r="K23" s="2"/>
      <c r="L23" s="2"/>
      <c r="M23" s="2"/>
    </row>
    <row r="24" spans="1:13" ht="26.1" customHeight="1">
      <c r="A24" s="2"/>
      <c r="B24" s="5" t="s">
        <v>12</v>
      </c>
      <c r="C24" s="12">
        <f>IF(ISNUMBER(J6),J6,NA())</f>
        <v>18.668636460727903</v>
      </c>
      <c r="D24" s="12">
        <f>IF(ISNUMBER(J7),J7,NA())</f>
        <v>44.415896138142486</v>
      </c>
      <c r="E24" s="2"/>
      <c r="F24" s="2"/>
      <c r="G24" s="2"/>
      <c r="H24" s="2"/>
      <c r="I24" s="2"/>
      <c r="J24" s="2"/>
      <c r="K24" s="2"/>
      <c r="L24" s="2"/>
      <c r="M24" s="2"/>
    </row>
    <row r="25" spans="1:13" ht="26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ht="26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ht="26.1" customHeight="1">
      <c r="A29" s="2"/>
      <c r="B29" s="23" t="s">
        <v>49</v>
      </c>
      <c r="C29" s="23" t="s">
        <v>49</v>
      </c>
      <c r="D29" s="23" t="s">
        <v>49</v>
      </c>
      <c r="E29" s="2"/>
      <c r="F29" s="2"/>
      <c r="G29" s="2"/>
      <c r="H29" s="2"/>
      <c r="I29" s="2"/>
      <c r="J29" s="2"/>
      <c r="K29" s="2"/>
      <c r="L29" s="2"/>
      <c r="M29" s="2"/>
    </row>
    <row r="30" spans="1:13" ht="26.1" customHeight="1">
      <c r="A30" s="2"/>
      <c r="B30" s="2" t="s">
        <v>50</v>
      </c>
      <c r="C30" s="2">
        <v>223</v>
      </c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ht="26.1" customHeight="1">
      <c r="A31" s="2"/>
      <c r="B31" s="2" t="s">
        <v>51</v>
      </c>
      <c r="C31" s="2">
        <v>267</v>
      </c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ht="26.1" customHeight="1">
      <c r="A32" s="2"/>
      <c r="B32" s="2" t="s">
        <v>52</v>
      </c>
      <c r="C32" s="2">
        <v>236</v>
      </c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ht="26.1" customHeight="1">
      <c r="A33" s="2"/>
      <c r="B33" s="2" t="s">
        <v>53</v>
      </c>
      <c r="C33" s="2">
        <v>238</v>
      </c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ht="26.1" customHeight="1">
      <c r="A34" s="2"/>
      <c r="B34" s="2" t="s">
        <v>54</v>
      </c>
      <c r="C34" s="2">
        <v>279</v>
      </c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ht="26.1" customHeight="1">
      <c r="A35" s="2"/>
      <c r="B35" s="2" t="s">
        <v>55</v>
      </c>
      <c r="C35" s="2">
        <v>16</v>
      </c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ht="26.1" customHeight="1">
      <c r="A36" s="2"/>
      <c r="B36" s="2" t="s">
        <v>56</v>
      </c>
      <c r="C36" s="2">
        <v>23</v>
      </c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ht="26.1" customHeight="1">
      <c r="A37" s="2"/>
      <c r="B37" s="2" t="s">
        <v>57</v>
      </c>
      <c r="C37" s="2">
        <v>24</v>
      </c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ht="26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ht="26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26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26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26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26.1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26.1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26.1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ht="26.1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ht="26.1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ht="26.1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ht="26.1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26.1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26.1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26.1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26.1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ht="26.1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ht="26.1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ht="26.1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ht="26.1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ht="26.1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ht="26.1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ht="26.1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ht="26.1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ht="26.1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ht="26.1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ht="26.1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ht="26.1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ht="26.1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ht="26.1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ht="26.1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ht="26.1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ht="26.1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ht="26.1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ht="26.1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ht="26.1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ht="26.1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ht="26.1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ht="26.1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ht="26.1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ht="26.1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ht="26.1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ht="26.1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ht="26.1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ht="26.1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ht="26.1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ht="26.1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ht="26.1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ht="26.1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ht="26.1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ht="26.1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ht="26.1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ht="26.1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29:D29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2026-10-18T04:05:15Z</dcterms:modified>
</cp:coreProperties>
</file>