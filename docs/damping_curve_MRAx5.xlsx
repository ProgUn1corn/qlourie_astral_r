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0DB9E4E6-A907-40B4-91FE-3B0F5964DBCE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<sst xmlns="http://schemas.openxmlformats.org/spreadsheetml/2006/main" count="220" uniqueCount="90">
  <si>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</si>
  <si>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</si>
  <si>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</si>
  <si>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</si>
  <si>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</si>
  <si>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</si>
  <si>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</si>
  <si>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</si>
  <si>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</si>
  <si>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</si>
  <si>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</si>
  <si>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</si>
  <si>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</si>
  <si>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</si>
  <si>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</si>
  <si>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</si>
  <si>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</si>
  <si>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</si>
  <si>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</si>
  <si>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</si>
  <si>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</si>
  <si>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</si>
  <si>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</si>
  <si>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</si>
  <si>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</si>
  <si>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</si>
  <si>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</si>
  <si>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</si>
  <si>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</si>
  <si>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</si>
  <si>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</si>
  <si>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</si>
  <si>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</si>
  <si>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</si>
  <si>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</si>
  <si>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</si>
  <si>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</si>
  <si>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</si>
  <si>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</si>
  <si>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</si>
  <si>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</si>
  <si>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</si>
  <si>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</si>
  <si>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</si>
  <si>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</si>
  <si>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</si>
  <si>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</si>
  <si>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</si>
  <si>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</si>
  <si>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</si>
  <si>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</si>
  <si>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</si>
  <si>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</si>
  <si>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</si>
  <si>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</si>
  <si>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</si>
  <si>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</si>
  <si>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</si>
  <si>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</si>
  <si>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</si>
  <si>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CTM Racing · MRAx5 · Damping Calculator</t>
  </si>
  <si>
    <t>MRA65 / MRA85 · 砂石拉力 · c / C / R 调节与阻尼力计算</t>
  </si>
  <si>
    <t>当前曲线参数</t>
  </si>
  <si>
    <t>HSbump · 高速增量</t>
  </si>
  <si>
    <t>CTM Racing · MRAx5 · Valving Parameters</t>
  </si>
  <si>
    <t>HSbump · 高速增量</t>
  </si>
  <si>
    <t>LSR · R（MRA65）</t>
  </si>
  <si>
    <t>Adjusters · 调节格数</t>
  </si>
  <si>
    <t>Model · 基础阻尼模型</t>
  </si>
  <si>
    <t>理论曲线采用连续分段接续假设；仅计算基础阻尼，不包含气体支撑、弹簧、HBS/HRS 或 LRS/DSV。</t>
  </si>
  <si>
    <t>CTM Racing · MRAx5 · LSC Sweep · 读取对应 Sweep 页的阀系选择</t>
  </si>
  <si>
    <t>CTM Racing · MRAx5 · HSC Sweep · 读取对应 Sweep 页的阀系选择</t>
  </si>
  <si>
    <t>CTM Racing · MRAx5 · LSR Sweep · 读取对应 Sweep 页的阀系选择</t>
  </si>
  <si>
    <t>CTM Racing · MRAx5 · Full Sweep · 读取对应 Sweep 页的阀系选择</t>
  </si>
  <si>
    <t>CTM Racing · MRAx5 · LSC Sweep</t>
  </si>
  <si>
    <t>砂石拉力 · Type-A / Type-B 阀系；各页独立选择。</t>
  </si>
  <si>
    <t>CTM Racing · MRAx5 · HSC Sweep</t>
  </si>
  <si>
    <t>砂石拉力 · Type-A / Type-B 阀系；各页独立选择。</t>
  </si>
  <si>
    <t>CTM Racing · MRAx5 · LSR Sweep</t>
  </si>
  <si>
    <t>砂石拉力 · Type-A / Type-B 阀系；各页独立选择。</t>
  </si>
  <si>
    <t>CTM Racing · MRAx5 · Full Sweep</t>
  </si>
  <si>
    <t>砂石拉力 · Type-A / Type-B 阀系；各页独立选择。</t>
  </si>
  <si>
    <t>避震器型号</t>
  </si>
  <si>
    <t>MRA65</t>
  </si>
  <si>
    <t>MRA65 / MRA85 / MRA85 (Mod) · 砂石拉力系列；黄色单元格为可编辑标定。</t>
  </si>
  <si>
    <t>LSC · 全系列</t>
  </si>
  <si>
    <t>HSC · 全系列</t>
  </si>
  <si>
    <t>LSR · MRA65 / 8系改型</t>
  </si>
  <si>
    <t>LSR · MRA85</t>
  </si>
  <si>
    <t>MRA65 与 MRA85 (Mod)：40 格回弹；MRA85：60 格。Sweep 采用 40 格标尺，型号在计算器选择。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</si>
</sst>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 applyAlignment="1">
      <alignment vertical="center" wrapText="1"/>
    </xf>
    <xf numFmtId="0" fontId="1" fillId="0" borderId="0" xfId="1" applyFont="1" applyAlignment="1">
      <alignment vertical="center" wrapText="1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680.40000000000009</c:v>
                </c:pt>
                <c:pt idx="9">
                  <c:v>730.80000000000007</c:v>
                </c:pt>
                <c:pt idx="10">
                  <c:v>781.2</c:v>
                </c:pt>
                <c:pt idx="11">
                  <c:v>831.60000000000014</c:v>
                </c:pt>
                <c:pt idx="12">
                  <c:v>882</c:v>
                </c:pt>
                <c:pt idx="13">
                  <c:v>982.40000000000009</c:v>
                </c:pt>
                <c:pt idx="14">
                  <c:v>1082.8</c:v>
                </c:pt>
                <c:pt idx="15">
                  <c:v>1183.2</c:v>
                </c:pt>
                <c:pt idx="16">
                  <c:v>1283.6000000000001</c:v>
                </c:pt>
                <c:pt idx="17">
                  <c:v>1384</c:v>
                </c:pt>
                <c:pt idx="18">
                  <c:v>1484.4</c:v>
                </c:pt>
                <c:pt idx="19">
                  <c:v>1584.8000000000002</c:v>
                </c:pt>
                <c:pt idx="20">
                  <c:v>1685.2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904.80000000000007</c:v>
                </c:pt>
                <c:pt idx="9">
                  <c:v>969.6</c:v>
                </c:pt>
                <c:pt idx="10">
                  <c:v>1034.4000000000001</c:v>
                </c:pt>
                <c:pt idx="11">
                  <c:v>1099.2</c:v>
                </c:pt>
                <c:pt idx="12">
                  <c:v>1164</c:v>
                </c:pt>
                <c:pt idx="13">
                  <c:v>1278.8000000000002</c:v>
                </c:pt>
                <c:pt idx="14">
                  <c:v>1393.6</c:v>
                </c:pt>
                <c:pt idx="15">
                  <c:v>1508.4</c:v>
                </c:pt>
                <c:pt idx="16">
                  <c:v>1623.2</c:v>
                </c:pt>
                <c:pt idx="17">
                  <c:v>1738</c:v>
                </c:pt>
                <c:pt idx="18">
                  <c:v>1852.8000000000002</c:v>
                </c:pt>
                <c:pt idx="19">
                  <c:v>1967.6</c:v>
                </c:pt>
                <c:pt idx="20">
                  <c:v>2082.4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1128</c:v>
                </c:pt>
                <c:pt idx="9">
                  <c:v>1206</c:v>
                </c:pt>
                <c:pt idx="10">
                  <c:v>1284</c:v>
                </c:pt>
                <c:pt idx="11">
                  <c:v>1362</c:v>
                </c:pt>
                <c:pt idx="12">
                  <c:v>1440</c:v>
                </c:pt>
                <c:pt idx="13">
                  <c:v>1568</c:v>
                </c:pt>
                <c:pt idx="14">
                  <c:v>1696</c:v>
                </c:pt>
                <c:pt idx="15">
                  <c:v>1824</c:v>
                </c:pt>
                <c:pt idx="16">
                  <c:v>1952</c:v>
                </c:pt>
                <c:pt idx="17">
                  <c:v>2080</c:v>
                </c:pt>
                <c:pt idx="18">
                  <c:v>2208</c:v>
                </c:pt>
                <c:pt idx="19">
                  <c:v>2336</c:v>
                </c:pt>
                <c:pt idx="20">
                  <c:v>2464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1350</c:v>
                </c:pt>
                <c:pt idx="9">
                  <c:v>1440</c:v>
                </c:pt>
                <c:pt idx="10">
                  <c:v>1530</c:v>
                </c:pt>
                <c:pt idx="11">
                  <c:v>1620</c:v>
                </c:pt>
                <c:pt idx="12">
                  <c:v>1710</c:v>
                </c:pt>
                <c:pt idx="13">
                  <c:v>1850</c:v>
                </c:pt>
                <c:pt idx="14">
                  <c:v>1990</c:v>
                </c:pt>
                <c:pt idx="15">
                  <c:v>2130</c:v>
                </c:pt>
                <c:pt idx="16">
                  <c:v>2270</c:v>
                </c:pt>
                <c:pt idx="17">
                  <c:v>2410</c:v>
                </c:pt>
                <c:pt idx="18">
                  <c:v>2550</c:v>
                </c:pt>
                <c:pt idx="19">
                  <c:v>2690</c:v>
                </c:pt>
                <c:pt idx="20">
                  <c:v>2830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1570.8000000000002</c:v>
                </c:pt>
                <c:pt idx="9">
                  <c:v>1671.6000000000001</c:v>
                </c:pt>
                <c:pt idx="10">
                  <c:v>1772.4</c:v>
                </c:pt>
                <c:pt idx="11">
                  <c:v>1873.2000000000003</c:v>
                </c:pt>
                <c:pt idx="12">
                  <c:v>1974</c:v>
                </c:pt>
                <c:pt idx="13">
                  <c:v>2124.8000000000002</c:v>
                </c:pt>
                <c:pt idx="14">
                  <c:v>2275.6</c:v>
                </c:pt>
                <c:pt idx="15">
                  <c:v>2426.4</c:v>
                </c:pt>
                <c:pt idx="16">
                  <c:v>2577.2000000000003</c:v>
                </c:pt>
                <c:pt idx="17">
                  <c:v>2728</c:v>
                </c:pt>
                <c:pt idx="18">
                  <c:v>2878.8</c:v>
                </c:pt>
                <c:pt idx="19">
                  <c:v>3029.6</c:v>
                </c:pt>
                <c:pt idx="20">
                  <c:v>3180.4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828</c:v>
                </c:pt>
                <c:pt idx="7">
                  <c:v>906</c:v>
                </c:pt>
                <c:pt idx="8">
                  <c:v>984</c:v>
                </c:pt>
                <c:pt idx="9">
                  <c:v>1062</c:v>
                </c:pt>
                <c:pt idx="10">
                  <c:v>1140</c:v>
                </c:pt>
                <c:pt idx="11">
                  <c:v>1218</c:v>
                </c:pt>
                <c:pt idx="12">
                  <c:v>1296</c:v>
                </c:pt>
                <c:pt idx="13">
                  <c:v>1424</c:v>
                </c:pt>
                <c:pt idx="14">
                  <c:v>1552</c:v>
                </c:pt>
                <c:pt idx="15">
                  <c:v>1680</c:v>
                </c:pt>
                <c:pt idx="16">
                  <c:v>1808</c:v>
                </c:pt>
                <c:pt idx="17">
                  <c:v>1936</c:v>
                </c:pt>
                <c:pt idx="18">
                  <c:v>2064</c:v>
                </c:pt>
                <c:pt idx="19">
                  <c:v>2192</c:v>
                </c:pt>
                <c:pt idx="20">
                  <c:v>2320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978</c:v>
                </c:pt>
                <c:pt idx="8">
                  <c:v>1056</c:v>
                </c:pt>
                <c:pt idx="9">
                  <c:v>1134</c:v>
                </c:pt>
                <c:pt idx="10">
                  <c:v>1212</c:v>
                </c:pt>
                <c:pt idx="11">
                  <c:v>1290</c:v>
                </c:pt>
                <c:pt idx="12">
                  <c:v>1368</c:v>
                </c:pt>
                <c:pt idx="13">
                  <c:v>1496</c:v>
                </c:pt>
                <c:pt idx="14">
                  <c:v>1624</c:v>
                </c:pt>
                <c:pt idx="15">
                  <c:v>1752</c:v>
                </c:pt>
                <c:pt idx="16">
                  <c:v>1880</c:v>
                </c:pt>
                <c:pt idx="17">
                  <c:v>2008</c:v>
                </c:pt>
                <c:pt idx="18">
                  <c:v>2136</c:v>
                </c:pt>
                <c:pt idx="19">
                  <c:v>2264</c:v>
                </c:pt>
                <c:pt idx="20">
                  <c:v>2392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1128</c:v>
                </c:pt>
                <c:pt idx="9">
                  <c:v>1206</c:v>
                </c:pt>
                <c:pt idx="10">
                  <c:v>1284</c:v>
                </c:pt>
                <c:pt idx="11">
                  <c:v>1362</c:v>
                </c:pt>
                <c:pt idx="12">
                  <c:v>1440</c:v>
                </c:pt>
                <c:pt idx="13">
                  <c:v>1568</c:v>
                </c:pt>
                <c:pt idx="14">
                  <c:v>1696</c:v>
                </c:pt>
                <c:pt idx="15">
                  <c:v>1824</c:v>
                </c:pt>
                <c:pt idx="16">
                  <c:v>1952</c:v>
                </c:pt>
                <c:pt idx="17">
                  <c:v>2080</c:v>
                </c:pt>
                <c:pt idx="18">
                  <c:v>2208</c:v>
                </c:pt>
                <c:pt idx="19">
                  <c:v>2336</c:v>
                </c:pt>
                <c:pt idx="20">
                  <c:v>2464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1278</c:v>
                </c:pt>
                <c:pt idx="10">
                  <c:v>1356</c:v>
                </c:pt>
                <c:pt idx="11">
                  <c:v>1434</c:v>
                </c:pt>
                <c:pt idx="12">
                  <c:v>1512</c:v>
                </c:pt>
                <c:pt idx="13">
                  <c:v>1640</c:v>
                </c:pt>
                <c:pt idx="14">
                  <c:v>1768</c:v>
                </c:pt>
                <c:pt idx="15">
                  <c:v>1896</c:v>
                </c:pt>
                <c:pt idx="16">
                  <c:v>2024</c:v>
                </c:pt>
                <c:pt idx="17">
                  <c:v>2152</c:v>
                </c:pt>
                <c:pt idx="18">
                  <c:v>2280</c:v>
                </c:pt>
                <c:pt idx="19">
                  <c:v>2408</c:v>
                </c:pt>
                <c:pt idx="20">
                  <c:v>2536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1428</c:v>
                </c:pt>
                <c:pt idx="11">
                  <c:v>1506</c:v>
                </c:pt>
                <c:pt idx="12">
                  <c:v>1584</c:v>
                </c:pt>
                <c:pt idx="13">
                  <c:v>1712</c:v>
                </c:pt>
                <c:pt idx="14">
                  <c:v>1840</c:v>
                </c:pt>
                <c:pt idx="15">
                  <c:v>1968</c:v>
                </c:pt>
                <c:pt idx="16">
                  <c:v>2096</c:v>
                </c:pt>
                <c:pt idx="17">
                  <c:v>2224</c:v>
                </c:pt>
                <c:pt idx="18">
                  <c:v>2352</c:v>
                </c:pt>
                <c:pt idx="19">
                  <c:v>2480</c:v>
                </c:pt>
                <c:pt idx="20">
                  <c:v>2608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80</c:v>
                </c:pt>
                <c:pt idx="2">
                  <c:v>160</c:v>
                </c:pt>
                <c:pt idx="3">
                  <c:v>240</c:v>
                </c:pt>
                <c:pt idx="4">
                  <c:v>320</c:v>
                </c:pt>
                <c:pt idx="5">
                  <c:v>372.8</c:v>
                </c:pt>
                <c:pt idx="6">
                  <c:v>425.59999999999997</c:v>
                </c:pt>
                <c:pt idx="7">
                  <c:v>478.4</c:v>
                </c:pt>
                <c:pt idx="8">
                  <c:v>531.20000000000005</c:v>
                </c:pt>
                <c:pt idx="9">
                  <c:v>584</c:v>
                </c:pt>
                <c:pt idx="10">
                  <c:v>636.79999999999995</c:v>
                </c:pt>
                <c:pt idx="11">
                  <c:v>689.6</c:v>
                </c:pt>
                <c:pt idx="12">
                  <c:v>742.4</c:v>
                </c:pt>
                <c:pt idx="13">
                  <c:v>795.2</c:v>
                </c:pt>
                <c:pt idx="14">
                  <c:v>847.99999999999989</c:v>
                </c:pt>
                <c:pt idx="15">
                  <c:v>900.80000000000007</c:v>
                </c:pt>
                <c:pt idx="16">
                  <c:v>953.60000000000014</c:v>
                </c:pt>
                <c:pt idx="17">
                  <c:v>1006.3999999999999</c:v>
                </c:pt>
                <c:pt idx="18">
                  <c:v>1059.1999999999998</c:v>
                </c:pt>
                <c:pt idx="19">
                  <c:v>1112</c:v>
                </c:pt>
                <c:pt idx="20">
                  <c:v>1164.8000000000002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102.5</c:v>
                </c:pt>
                <c:pt idx="2">
                  <c:v>205</c:v>
                </c:pt>
                <c:pt idx="3">
                  <c:v>307.5</c:v>
                </c:pt>
                <c:pt idx="4">
                  <c:v>410</c:v>
                </c:pt>
                <c:pt idx="5">
                  <c:v>493.02499999999998</c:v>
                </c:pt>
                <c:pt idx="6">
                  <c:v>556.57499999999993</c:v>
                </c:pt>
                <c:pt idx="7">
                  <c:v>620.125</c:v>
                </c:pt>
                <c:pt idx="8">
                  <c:v>683.67499999999995</c:v>
                </c:pt>
                <c:pt idx="9">
                  <c:v>747.22500000000002</c:v>
                </c:pt>
                <c:pt idx="10">
                  <c:v>810.77500000000009</c:v>
                </c:pt>
                <c:pt idx="11">
                  <c:v>874.32500000000005</c:v>
                </c:pt>
                <c:pt idx="12">
                  <c:v>937.875</c:v>
                </c:pt>
                <c:pt idx="13">
                  <c:v>1001.4250000000001</c:v>
                </c:pt>
                <c:pt idx="14">
                  <c:v>1064.9749999999999</c:v>
                </c:pt>
                <c:pt idx="15">
                  <c:v>1128.5250000000001</c:v>
                </c:pt>
                <c:pt idx="16">
                  <c:v>1192.075</c:v>
                </c:pt>
                <c:pt idx="17">
                  <c:v>1255.625</c:v>
                </c:pt>
                <c:pt idx="18">
                  <c:v>1319.1750000000002</c:v>
                </c:pt>
                <c:pt idx="19">
                  <c:v>1382.7249999999999</c:v>
                </c:pt>
                <c:pt idx="20">
                  <c:v>1446.2750000000001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697.5</c:v>
                </c:pt>
                <c:pt idx="7">
                  <c:v>770</c:v>
                </c:pt>
                <c:pt idx="8">
                  <c:v>842.5</c:v>
                </c:pt>
                <c:pt idx="9">
                  <c:v>915</c:v>
                </c:pt>
                <c:pt idx="10">
                  <c:v>987.5</c:v>
                </c:pt>
                <c:pt idx="11">
                  <c:v>1060</c:v>
                </c:pt>
                <c:pt idx="12">
                  <c:v>1132.5</c:v>
                </c:pt>
                <c:pt idx="13">
                  <c:v>1205</c:v>
                </c:pt>
                <c:pt idx="14">
                  <c:v>1277.5</c:v>
                </c:pt>
                <c:pt idx="15">
                  <c:v>1350</c:v>
                </c:pt>
                <c:pt idx="16">
                  <c:v>1422.5</c:v>
                </c:pt>
                <c:pt idx="17">
                  <c:v>1495</c:v>
                </c:pt>
                <c:pt idx="18">
                  <c:v>1567.5</c:v>
                </c:pt>
                <c:pt idx="19">
                  <c:v>1640</c:v>
                </c:pt>
                <c:pt idx="20">
                  <c:v>1712.5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147.5</c:v>
                </c:pt>
                <c:pt idx="2">
                  <c:v>295</c:v>
                </c:pt>
                <c:pt idx="3">
                  <c:v>442.5</c:v>
                </c:pt>
                <c:pt idx="4">
                  <c:v>590</c:v>
                </c:pt>
                <c:pt idx="5">
                  <c:v>737.5</c:v>
                </c:pt>
                <c:pt idx="6">
                  <c:v>851.07500000000005</c:v>
                </c:pt>
                <c:pt idx="7">
                  <c:v>930.72500000000002</c:v>
                </c:pt>
                <c:pt idx="8">
                  <c:v>1010.3750000000001</c:v>
                </c:pt>
                <c:pt idx="9">
                  <c:v>1090.0250000000001</c:v>
                </c:pt>
                <c:pt idx="10">
                  <c:v>1169.6750000000002</c:v>
                </c:pt>
                <c:pt idx="11">
                  <c:v>1249.3250000000003</c:v>
                </c:pt>
                <c:pt idx="12">
                  <c:v>1328.9749999999999</c:v>
                </c:pt>
                <c:pt idx="13">
                  <c:v>1408.625</c:v>
                </c:pt>
                <c:pt idx="14">
                  <c:v>1488.2750000000001</c:v>
                </c:pt>
                <c:pt idx="15">
                  <c:v>1567.9250000000002</c:v>
                </c:pt>
                <c:pt idx="16">
                  <c:v>1647.5750000000003</c:v>
                </c:pt>
                <c:pt idx="17">
                  <c:v>1727.2249999999999</c:v>
                </c:pt>
                <c:pt idx="18">
                  <c:v>1806.875</c:v>
                </c:pt>
                <c:pt idx="19">
                  <c:v>1886.5250000000001</c:v>
                </c:pt>
                <c:pt idx="20">
                  <c:v>1966.1750000000002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510</c:v>
                </c:pt>
                <c:pt idx="4">
                  <c:v>680</c:v>
                </c:pt>
                <c:pt idx="5">
                  <c:v>850</c:v>
                </c:pt>
                <c:pt idx="6">
                  <c:v>1020</c:v>
                </c:pt>
                <c:pt idx="7">
                  <c:v>1105</c:v>
                </c:pt>
                <c:pt idx="8">
                  <c:v>1190</c:v>
                </c:pt>
                <c:pt idx="9">
                  <c:v>1275</c:v>
                </c:pt>
                <c:pt idx="10">
                  <c:v>1360</c:v>
                </c:pt>
                <c:pt idx="11">
                  <c:v>1445</c:v>
                </c:pt>
                <c:pt idx="12">
                  <c:v>1530</c:v>
                </c:pt>
                <c:pt idx="13">
                  <c:v>1615</c:v>
                </c:pt>
                <c:pt idx="14">
                  <c:v>1700</c:v>
                </c:pt>
                <c:pt idx="15">
                  <c:v>1785</c:v>
                </c:pt>
                <c:pt idx="16">
                  <c:v>1870</c:v>
                </c:pt>
                <c:pt idx="17">
                  <c:v>1955</c:v>
                </c:pt>
                <c:pt idx="18">
                  <c:v>2040</c:v>
                </c:pt>
                <c:pt idx="19">
                  <c:v>2125</c:v>
                </c:pt>
                <c:pt idx="20">
                  <c:v>2210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736</c:v>
                </c:pt>
                <c:pt idx="13">
                  <c:v>836</c:v>
                </c:pt>
                <c:pt idx="14">
                  <c:v>936</c:v>
                </c:pt>
                <c:pt idx="15">
                  <c:v>1036</c:v>
                </c:pt>
                <c:pt idx="16">
                  <c:v>1136.0000000000002</c:v>
                </c:pt>
                <c:pt idx="17">
                  <c:v>1236</c:v>
                </c:pt>
                <c:pt idx="18">
                  <c:v>1336</c:v>
                </c:pt>
                <c:pt idx="19">
                  <c:v>1436</c:v>
                </c:pt>
                <c:pt idx="20">
                  <c:v>1536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1072.4000000000001</c:v>
                </c:pt>
                <c:pt idx="13">
                  <c:v>1230.1500000000001</c:v>
                </c:pt>
                <c:pt idx="14">
                  <c:v>1387.9</c:v>
                </c:pt>
                <c:pt idx="15">
                  <c:v>1545.65</c:v>
                </c:pt>
                <c:pt idx="16">
                  <c:v>1703.4</c:v>
                </c:pt>
                <c:pt idx="17">
                  <c:v>1861.1499999999999</c:v>
                </c:pt>
                <c:pt idx="18">
                  <c:v>2018.9</c:v>
                </c:pt>
                <c:pt idx="19">
                  <c:v>2176.6499999999996</c:v>
                </c:pt>
                <c:pt idx="20">
                  <c:v>2334.4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1934.75</c:v>
                </c:pt>
                <c:pt idx="14">
                  <c:v>2203.5</c:v>
                </c:pt>
                <c:pt idx="15">
                  <c:v>2472.25</c:v>
                </c:pt>
                <c:pt idx="16">
                  <c:v>2741</c:v>
                </c:pt>
                <c:pt idx="17">
                  <c:v>3009.75</c:v>
                </c:pt>
                <c:pt idx="18">
                  <c:v>3278.5</c:v>
                </c:pt>
                <c:pt idx="19">
                  <c:v>3547.25</c:v>
                </c:pt>
                <c:pt idx="20">
                  <c:v>3816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2245.1999999999998</c:v>
                </c:pt>
                <c:pt idx="14">
                  <c:v>2567.1999999999998</c:v>
                </c:pt>
                <c:pt idx="15">
                  <c:v>2889.2</c:v>
                </c:pt>
                <c:pt idx="16">
                  <c:v>3211.2000000000003</c:v>
                </c:pt>
                <c:pt idx="17">
                  <c:v>3533.2</c:v>
                </c:pt>
                <c:pt idx="18">
                  <c:v>3855.2000000000003</c:v>
                </c:pt>
                <c:pt idx="19">
                  <c:v>4177.2</c:v>
                </c:pt>
                <c:pt idx="20">
                  <c:v>4499.2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-272.36</c:v>
                </c:pt>
                <c:pt idx="6">
                  <c:v>-320.76</c:v>
                </c:pt>
                <c:pt idx="7">
                  <c:v>-369.15999999999997</c:v>
                </c:pt>
                <c:pt idx="8">
                  <c:v>-417.56</c:v>
                </c:pt>
                <c:pt idx="9">
                  <c:v>-465.96000000000004</c:v>
                </c:pt>
                <c:pt idx="10">
                  <c:v>-514.36</c:v>
                </c:pt>
                <c:pt idx="11">
                  <c:v>-562.76</c:v>
                </c:pt>
                <c:pt idx="12">
                  <c:v>-611.16</c:v>
                </c:pt>
                <c:pt idx="13">
                  <c:v>-659.56000000000006</c:v>
                </c:pt>
                <c:pt idx="14">
                  <c:v>-707.96</c:v>
                </c:pt>
                <c:pt idx="15">
                  <c:v>-756.36</c:v>
                </c:pt>
                <c:pt idx="16">
                  <c:v>-804.7600000000001</c:v>
                </c:pt>
                <c:pt idx="17">
                  <c:v>-853.16</c:v>
                </c:pt>
                <c:pt idx="18">
                  <c:v>-901.56000000000006</c:v>
                </c:pt>
                <c:pt idx="19">
                  <c:v>-949.95999999999992</c:v>
                </c:pt>
                <c:pt idx="20">
                  <c:v>-998.36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-453.84</c:v>
                </c:pt>
                <c:pt idx="7">
                  <c:v>-518.93999999999994</c:v>
                </c:pt>
                <c:pt idx="8">
                  <c:v>-584.04000000000008</c:v>
                </c:pt>
                <c:pt idx="9">
                  <c:v>-649.1400000000001</c:v>
                </c:pt>
                <c:pt idx="10">
                  <c:v>-714.24</c:v>
                </c:pt>
                <c:pt idx="11">
                  <c:v>-779.34000000000015</c:v>
                </c:pt>
                <c:pt idx="12">
                  <c:v>-844.44</c:v>
                </c:pt>
                <c:pt idx="13">
                  <c:v>-909.54000000000008</c:v>
                </c:pt>
                <c:pt idx="14">
                  <c:v>-974.64</c:v>
                </c:pt>
                <c:pt idx="15">
                  <c:v>-1039.7400000000002</c:v>
                </c:pt>
                <c:pt idx="16">
                  <c:v>-1104.8400000000001</c:v>
                </c:pt>
                <c:pt idx="17">
                  <c:v>-1169.94</c:v>
                </c:pt>
                <c:pt idx="18">
                  <c:v>-1235.0400000000002</c:v>
                </c:pt>
                <c:pt idx="19">
                  <c:v>-1300.1400000000001</c:v>
                </c:pt>
                <c:pt idx="20">
                  <c:v>-1365.2400000000002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-591.99999999999989</c:v>
                </c:pt>
                <c:pt idx="7">
                  <c:v>-671.99999999999989</c:v>
                </c:pt>
                <c:pt idx="8">
                  <c:v>-752</c:v>
                </c:pt>
                <c:pt idx="9">
                  <c:v>-832</c:v>
                </c:pt>
                <c:pt idx="10">
                  <c:v>-912</c:v>
                </c:pt>
                <c:pt idx="11">
                  <c:v>-992</c:v>
                </c:pt>
                <c:pt idx="12">
                  <c:v>-1072</c:v>
                </c:pt>
                <c:pt idx="13">
                  <c:v>-1152</c:v>
                </c:pt>
                <c:pt idx="14">
                  <c:v>-1232</c:v>
                </c:pt>
                <c:pt idx="15">
                  <c:v>-1312</c:v>
                </c:pt>
                <c:pt idx="16">
                  <c:v>-1392</c:v>
                </c:pt>
                <c:pt idx="17">
                  <c:v>-1472</c:v>
                </c:pt>
                <c:pt idx="18">
                  <c:v>-1552</c:v>
                </c:pt>
                <c:pt idx="19">
                  <c:v>-1632</c:v>
                </c:pt>
                <c:pt idx="20">
                  <c:v>-1712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-831.04</c:v>
                </c:pt>
                <c:pt idx="8">
                  <c:v>-924.1400000000001</c:v>
                </c:pt>
                <c:pt idx="9">
                  <c:v>-1017.24</c:v>
                </c:pt>
                <c:pt idx="10">
                  <c:v>-1110.3400000000001</c:v>
                </c:pt>
                <c:pt idx="11">
                  <c:v>-1203.44</c:v>
                </c:pt>
                <c:pt idx="12">
                  <c:v>-1296.54</c:v>
                </c:pt>
                <c:pt idx="13">
                  <c:v>-1389.64</c:v>
                </c:pt>
                <c:pt idx="14">
                  <c:v>-1482.7399999999998</c:v>
                </c:pt>
                <c:pt idx="15">
                  <c:v>-1575.8400000000001</c:v>
                </c:pt>
                <c:pt idx="16">
                  <c:v>-1668.94</c:v>
                </c:pt>
                <c:pt idx="17">
                  <c:v>-1762.04</c:v>
                </c:pt>
                <c:pt idx="18">
                  <c:v>-1855.1399999999999</c:v>
                </c:pt>
                <c:pt idx="19">
                  <c:v>-1948.2399999999998</c:v>
                </c:pt>
                <c:pt idx="20">
                  <c:v>-2041.3400000000001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-998.75999999999988</c:v>
                </c:pt>
                <c:pt idx="8">
                  <c:v>-1103.1600000000001</c:v>
                </c:pt>
                <c:pt idx="9">
                  <c:v>-1207.56</c:v>
                </c:pt>
                <c:pt idx="10">
                  <c:v>-1311.96</c:v>
                </c:pt>
                <c:pt idx="11">
                  <c:v>-1416.3600000000001</c:v>
                </c:pt>
                <c:pt idx="12">
                  <c:v>-1520.7599999999998</c:v>
                </c:pt>
                <c:pt idx="13">
                  <c:v>-1625.1599999999999</c:v>
                </c:pt>
                <c:pt idx="14">
                  <c:v>-1729.56</c:v>
                </c:pt>
                <c:pt idx="15">
                  <c:v>-1833.96</c:v>
                </c:pt>
                <c:pt idx="16">
                  <c:v>-1938.3600000000001</c:v>
                </c:pt>
                <c:pt idx="17">
                  <c:v>-2042.76</c:v>
                </c:pt>
                <c:pt idx="18">
                  <c:v>-2147.16</c:v>
                </c:pt>
                <c:pt idx="19">
                  <c:v>-2251.5599999999995</c:v>
                </c:pt>
                <c:pt idx="20">
                  <c:v>-2355.96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60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61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82</v>
      </c>
      <c r="C6" s="9" t="s">
        <v>83</v>
      </c>
      <c r="D6" s="1"/>
      <c r="E6" s="1"/>
      <c r="F6" s="23" t="s">
        <v>28</v>
      </c>
      <c r="G6" s="23"/>
      <c r="H6" s="23"/>
      <c r="I6" s="23"/>
      <c r="J6" s="23"/>
      <c r="K6" s="1"/>
      <c r="L6" s="1"/>
      <c r="M6" s="1"/>
      <c r="N6" s="1"/>
      <c r="O6" s="1"/>
    </row>
    <row r="7" spans="1:15" ht="23" customHeight="1">
      <c r="A7" s="1"/>
      <c r="B7" s="1" t="s">
        <v>12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14</v>
      </c>
      <c r="C8" s="3">
        <v>-10</v>
      </c>
      <c r="D8" s="1"/>
      <c r="E8" s="1"/>
      <c r="F8" s="20" t="s">
        <v>29</v>
      </c>
      <c r="G8" s="20"/>
      <c r="H8" s="20"/>
      <c r="I8" s="24">
        <f>IF(C18="OK",Samples!F165*MIN(C10,Samples!G165)+Samples!I165*MAX(0,C10-Samples!G165)+Samples!J165*MAX(0,C10-Samples!K165),"检查输入")</f>
        <v>1952</v>
      </c>
      <c r="J8" s="24"/>
      <c r="K8" s="1"/>
      <c r="L8" s="1"/>
      <c r="M8" s="1"/>
      <c r="N8" s="1"/>
      <c r="O8" s="1"/>
    </row>
    <row r="9" spans="1:15" ht="23" customHeight="1">
      <c r="A9" s="1"/>
      <c r="B9" s="1" t="s">
        <v>30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31</v>
      </c>
      <c r="C10" s="16">
        <v>0.8</v>
      </c>
      <c r="D10" s="1"/>
      <c r="E10" s="1"/>
      <c r="F10" s="20" t="s">
        <v>32</v>
      </c>
      <c r="G10" s="20"/>
      <c r="H10" s="20"/>
      <c r="I10" s="24">
        <f>IF(C18="OK",Samples!M165*MIN(C10,Samples!N165)+Samples!P165*MAX(0,C10-Samples!N165),"检查输入")</f>
        <v>1422.5</v>
      </c>
      <c r="J10" s="24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33</v>
      </c>
      <c r="C13" s="1">
        <f>Parameters!D23</f>
        <v>24</v>
      </c>
      <c r="D13" s="1"/>
      <c r="E13" s="1"/>
      <c r="F13" s="23" t="s">
        <v>62</v>
      </c>
      <c r="G13" s="23"/>
      <c r="H13" s="23"/>
      <c r="I13" s="23"/>
      <c r="J13" s="23"/>
      <c r="K13" s="1"/>
      <c r="L13" s="1"/>
      <c r="M13" s="1"/>
      <c r="N13" s="1"/>
      <c r="O13" s="1"/>
    </row>
    <row r="14" spans="1:15" ht="23" customHeight="1">
      <c r="A14" s="1"/>
      <c r="B14" s="1" t="s">
        <v>34</v>
      </c>
      <c r="C14" s="1">
        <f>Parameters!D24</f>
        <v>20</v>
      </c>
      <c r="D14" s="1"/>
      <c r="E14" s="1"/>
      <c r="F14" s="20" t="s">
        <v>15</v>
      </c>
      <c r="G14" s="20"/>
      <c r="H14" s="20"/>
      <c r="I14" s="18">
        <f>Samples!F165</f>
        <v>3000</v>
      </c>
      <c r="J14" s="1" t="s">
        <v>16</v>
      </c>
      <c r="K14" s="1"/>
      <c r="L14" s="1"/>
      <c r="M14" s="1"/>
      <c r="N14" s="1"/>
      <c r="O14" s="1"/>
    </row>
    <row r="15" spans="1:15" ht="23" customHeight="1">
      <c r="A15" s="1"/>
      <c r="B15" s="1" t="s">
        <v>35</v>
      </c>
      <c r="C15" s="1">
        <f>IF(C6="MRA85",Parameters!D26,Parameters!D25)</f>
        <v>40</v>
      </c>
      <c r="D15" s="1"/>
      <c r="E15" s="1"/>
      <c r="F15" s="20" t="s">
        <v>36</v>
      </c>
      <c r="G15" s="20"/>
      <c r="H15" s="20"/>
      <c r="I15" s="18">
        <f>Samples!I165</f>
        <v>1560</v>
      </c>
      <c r="J15" s="1" t="s">
        <v>16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0" t="s">
        <v>63</v>
      </c>
      <c r="G16" s="20"/>
      <c r="H16" s="20"/>
      <c r="I16" s="18">
        <f>Samples!J165</f>
        <v>1000</v>
      </c>
      <c r="J16" s="1" t="s">
        <v>16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0" t="s">
        <v>37</v>
      </c>
      <c r="G17" s="20"/>
      <c r="H17" s="20"/>
      <c r="I17" s="18">
        <f>Samples!L165</f>
        <v>2560</v>
      </c>
      <c r="J17" s="1" t="s">
        <v>16</v>
      </c>
      <c r="K17" s="1"/>
      <c r="L17" s="1"/>
      <c r="M17" s="1"/>
      <c r="N17" s="1"/>
      <c r="O17" s="1"/>
    </row>
    <row r="18" spans="1:15" ht="23" customHeight="1">
      <c r="A18" s="1"/>
      <c r="B18" s="1" t="s">
        <v>38</v>
      </c>
      <c r="C18" s="1" t="str">
        <f>IF(AND(OR(C4="Type-A",C4="Type-B"),OR(C6="MRA65",C6="MRA85",C6="MRA85 (Mod)"),COUNT(C7:C10)=4,C7&gt;=-C13,C7&lt;=0,C8&gt;=-C14,C8&lt;=0,C9&gt;=-C15,C9&lt;=0,C10&gt;=0,INT(C7)=C7,INT(C8)=C8,INT(C9)=C9),"OK","检查输入")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0" t="s">
        <v>20</v>
      </c>
      <c r="G19" s="20"/>
      <c r="H19" s="20"/>
      <c r="I19" s="18">
        <f>Samples!M165</f>
        <v>2500</v>
      </c>
      <c r="J19" s="1" t="s">
        <v>16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0" t="s">
        <v>39</v>
      </c>
      <c r="G20" s="20"/>
      <c r="H20" s="20"/>
      <c r="I20" s="18">
        <f>Samples!P165</f>
        <v>1450</v>
      </c>
      <c r="J20" s="1" t="s">
        <v>16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0" t="s">
        <v>56</v>
      </c>
      <c r="G22" s="20"/>
      <c r="H22" s="20"/>
      <c r="I22" s="5">
        <f>Samples!G165</f>
        <v>0.35</v>
      </c>
      <c r="J22" s="1" t="s">
        <v>17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0" t="s">
        <v>57</v>
      </c>
      <c r="G23" s="20"/>
      <c r="H23" s="20"/>
      <c r="I23" s="5">
        <f>Samples!K165</f>
        <v>0.6</v>
      </c>
      <c r="J23" s="1" t="s">
        <v>17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0" t="s">
        <v>21</v>
      </c>
      <c r="G24" s="20"/>
      <c r="H24" s="20"/>
      <c r="I24" s="5">
        <f>Samples!N165</f>
        <v>0.25</v>
      </c>
      <c r="J24" s="1" t="s">
        <v>17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2" t="s">
        <v>40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"MRA65,MRA85,MRA85 (Mod)"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3" zoomScaleNormal="14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75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2</v>
      </c>
      <c r="C6" s="3">
        <v>-10</v>
      </c>
      <c r="D6" s="1"/>
      <c r="E6" s="20" t="s">
        <v>3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77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5</v>
      </c>
      <c r="C6" s="3">
        <v>-12</v>
      </c>
      <c r="D6" s="1"/>
      <c r="E6" s="20" t="s">
        <v>6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2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79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7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80" workbookViewId="0">
      <pane ySplit="4" topLeftCell="A1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80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1" t="s">
        <v>81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8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tabSelected="1" zoomScale="111" workbookViewId="0">
      <pane ySplit="4" topLeftCell="A5" activePane="bottomLeft" state="frozen"/>
      <selection pane="bottomLeft" activeCell="N14" sqref="N14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64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1"/>
    </row>
    <row r="3" spans="1:15" ht="23" customHeight="1">
      <c r="A3" s="1"/>
      <c r="B3" s="21" t="s">
        <v>84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3" t="s">
        <v>1</v>
      </c>
      <c r="E5" s="23"/>
      <c r="F5" s="23"/>
      <c r="G5" s="23"/>
      <c r="H5" s="23"/>
      <c r="I5" s="1"/>
      <c r="J5" s="23" t="s">
        <v>9</v>
      </c>
      <c r="K5" s="23"/>
      <c r="L5" s="23"/>
      <c r="M5" s="23"/>
      <c r="N5" s="23"/>
      <c r="O5" s="1"/>
    </row>
    <row r="6" spans="1:15" ht="23" customHeight="1">
      <c r="A6" s="1"/>
      <c r="B6" s="1" t="s">
        <v>10</v>
      </c>
      <c r="C6" s="1" t="s">
        <v>11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12</v>
      </c>
      <c r="C7" s="1" t="s">
        <v>13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14</v>
      </c>
      <c r="C8" s="1" t="s">
        <v>13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15</v>
      </c>
      <c r="C10" s="1" t="s">
        <v>16</v>
      </c>
      <c r="D10" s="3">
        <v>1200</v>
      </c>
      <c r="E10" s="6">
        <f>(D10+F10)/2</f>
        <v>1800</v>
      </c>
      <c r="F10" s="3">
        <v>2400</v>
      </c>
      <c r="G10" s="6">
        <f>(F10+H10)/2</f>
        <v>3000</v>
      </c>
      <c r="H10" s="3">
        <v>3600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56</v>
      </c>
      <c r="C11" s="1" t="s">
        <v>17</v>
      </c>
      <c r="D11" s="4">
        <v>0.12</v>
      </c>
      <c r="E11" s="5">
        <f>(D11+F11)/2</f>
        <v>0.12</v>
      </c>
      <c r="F11" s="4">
        <v>0.12</v>
      </c>
      <c r="G11" s="5">
        <f>(F11+H11)/2</f>
        <v>0.12</v>
      </c>
      <c r="H11" s="4">
        <v>0.12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18</v>
      </c>
      <c r="C12" s="1" t="s">
        <v>19</v>
      </c>
      <c r="D12" s="4">
        <v>1</v>
      </c>
      <c r="E12" s="5">
        <f>(D12+F12)/2</f>
        <v>0.97499999999999998</v>
      </c>
      <c r="F12" s="4">
        <v>0.95</v>
      </c>
      <c r="G12" s="5">
        <f>(F12+H12)/2</f>
        <v>0.92500000000000004</v>
      </c>
      <c r="H12" s="4">
        <v>0.9</v>
      </c>
      <c r="I12" s="1"/>
      <c r="J12" s="4">
        <v>0.56000000000000005</v>
      </c>
      <c r="K12" s="5">
        <f>(J12+L12)/2</f>
        <v>0.54</v>
      </c>
      <c r="L12" s="4">
        <v>0.52</v>
      </c>
      <c r="M12" s="5">
        <f>(L12+N12)/2</f>
        <v>0.5</v>
      </c>
      <c r="N12" s="4">
        <v>0.48</v>
      </c>
      <c r="O12" s="1"/>
    </row>
    <row r="13" spans="1:15" ht="23" customHeight="1">
      <c r="A13" s="1"/>
      <c r="B13" s="1" t="s">
        <v>65</v>
      </c>
      <c r="C13" s="1" t="s">
        <v>16</v>
      </c>
      <c r="D13" s="3">
        <v>800</v>
      </c>
      <c r="E13" s="6">
        <f>(D13+F13)/2</f>
        <v>1400</v>
      </c>
      <c r="F13" s="3">
        <v>2000</v>
      </c>
      <c r="G13" s="6">
        <f>(F13+H13)/2</f>
        <v>2600</v>
      </c>
      <c r="H13" s="3">
        <v>3200</v>
      </c>
      <c r="I13" s="1"/>
      <c r="J13" s="3">
        <v>1000</v>
      </c>
      <c r="K13" s="6">
        <f>(J13+L13)/2</f>
        <v>1000</v>
      </c>
      <c r="L13" s="3">
        <v>1000</v>
      </c>
      <c r="M13" s="6">
        <f>(L13+N13)/2</f>
        <v>1000</v>
      </c>
      <c r="N13" s="3">
        <v>1000</v>
      </c>
      <c r="O13" s="1"/>
    </row>
    <row r="14" spans="1:15" ht="23" customHeight="1">
      <c r="A14" s="1"/>
      <c r="B14" s="1" t="s">
        <v>57</v>
      </c>
      <c r="C14" s="1" t="s">
        <v>17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66</v>
      </c>
      <c r="C16" s="1" t="s">
        <v>13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20</v>
      </c>
      <c r="C17" s="1" t="s">
        <v>16</v>
      </c>
      <c r="D17" s="3">
        <v>1100</v>
      </c>
      <c r="E17" s="6">
        <f>(D17+F17)/2</f>
        <v>1550</v>
      </c>
      <c r="F17" s="3">
        <v>2000</v>
      </c>
      <c r="G17" s="6">
        <f>(F17+H17)/2</f>
        <v>2450</v>
      </c>
      <c r="H17" s="3">
        <v>2900</v>
      </c>
      <c r="I17" s="1"/>
      <c r="J17" s="3">
        <v>1600</v>
      </c>
      <c r="K17" s="6">
        <f>(J17+L17)/2</f>
        <v>2050</v>
      </c>
      <c r="L17" s="3">
        <v>2500</v>
      </c>
      <c r="M17" s="6">
        <f>(L17+N17)/2</f>
        <v>2950</v>
      </c>
      <c r="N17" s="3">
        <v>3400</v>
      </c>
      <c r="O17" s="1"/>
    </row>
    <row r="18" spans="1:15" ht="23" customHeight="1">
      <c r="A18" s="1"/>
      <c r="B18" s="1" t="s">
        <v>21</v>
      </c>
      <c r="C18" s="1" t="s">
        <v>17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" customHeight="1">
      <c r="A19" s="1"/>
      <c r="B19" s="1" t="s">
        <v>22</v>
      </c>
      <c r="C19" s="1" t="s">
        <v>19</v>
      </c>
      <c r="D19" s="4">
        <v>0.88</v>
      </c>
      <c r="E19" s="5">
        <f>(D19+F19)/2</f>
        <v>0.84000000000000008</v>
      </c>
      <c r="F19" s="4">
        <v>0.8</v>
      </c>
      <c r="G19" s="5">
        <f>(F19+H19)/2</f>
        <v>0.76</v>
      </c>
      <c r="H19" s="4">
        <v>0.72</v>
      </c>
      <c r="I19" s="1"/>
      <c r="J19" s="4">
        <v>0.66</v>
      </c>
      <c r="K19" s="5">
        <f>(J19+L19)/2</f>
        <v>0.62</v>
      </c>
      <c r="L19" s="4">
        <v>0.57999999999999996</v>
      </c>
      <c r="M19" s="5">
        <f>(L19+N19)/2</f>
        <v>0.54</v>
      </c>
      <c r="N19" s="4">
        <v>0.5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3" t="s">
        <v>67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1"/>
    </row>
    <row r="23" spans="1:15" ht="23" customHeight="1">
      <c r="A23" s="1"/>
      <c r="B23" s="20" t="s">
        <v>85</v>
      </c>
      <c r="C23" s="20"/>
      <c r="D23" s="1">
        <v>24</v>
      </c>
      <c r="E23" s="1"/>
      <c r="F23" s="27" t="s">
        <v>89</v>
      </c>
      <c r="G23" s="27"/>
      <c r="H23" s="27"/>
      <c r="I23" s="27"/>
      <c r="J23" s="27"/>
      <c r="K23" s="27"/>
      <c r="L23" s="27"/>
      <c r="M23" s="27"/>
      <c r="N23" s="27"/>
      <c r="O23" s="1"/>
    </row>
    <row r="24" spans="1:15" ht="23" customHeight="1">
      <c r="A24" s="1"/>
      <c r="B24" s="20" t="s">
        <v>86</v>
      </c>
      <c r="C24" s="20"/>
      <c r="D24" s="1">
        <v>20</v>
      </c>
      <c r="E24" s="1"/>
      <c r="F24" s="27"/>
      <c r="G24" s="27"/>
      <c r="H24" s="27"/>
      <c r="I24" s="27"/>
      <c r="J24" s="27"/>
      <c r="K24" s="27"/>
      <c r="L24" s="27"/>
      <c r="M24" s="27"/>
      <c r="N24" s="27"/>
      <c r="O24" s="1"/>
    </row>
    <row r="25" spans="1:15" ht="23" customHeight="1">
      <c r="A25" s="1"/>
      <c r="B25" s="20" t="s">
        <v>87</v>
      </c>
      <c r="C25" s="20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0" t="s">
        <v>88</v>
      </c>
      <c r="C26" s="20"/>
      <c r="D26" s="1">
        <v>60</v>
      </c>
      <c r="E26" s="1"/>
      <c r="F26" s="20" t="s">
        <v>23</v>
      </c>
      <c r="G26" s="20"/>
      <c r="H26" s="20"/>
      <c r="I26" s="20"/>
      <c r="J26" s="20"/>
      <c r="K26" s="20"/>
      <c r="L26" s="20"/>
      <c r="M26" s="20"/>
      <c r="N26" s="20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3" t="s">
        <v>68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1"/>
    </row>
    <row r="29" spans="1:15" ht="23" customHeight="1">
      <c r="A29" s="1"/>
      <c r="B29" s="25" t="s">
        <v>24</v>
      </c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1"/>
    </row>
    <row r="30" spans="1:15" ht="31" customHeight="1">
      <c r="A30" s="1"/>
      <c r="B30" s="26" t="s">
        <v>58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1"/>
    </row>
    <row r="31" spans="1:15" ht="23" customHeight="1">
      <c r="A31" s="1"/>
      <c r="B31" s="25" t="s">
        <v>25</v>
      </c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1"/>
    </row>
    <row r="32" spans="1:15" ht="23" customHeight="1">
      <c r="A32" s="1"/>
      <c r="B32" s="25" t="s">
        <v>69</v>
      </c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1"/>
    </row>
    <row r="33" spans="1:15" ht="23" customHeight="1">
      <c r="A33" s="1"/>
      <c r="B33" s="25" t="s">
        <v>26</v>
      </c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1"/>
    </row>
    <row r="34" spans="1:15" ht="23" customHeight="1">
      <c r="A34" s="1"/>
      <c r="B34" s="25" t="s">
        <v>59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1"/>
    </row>
    <row r="35" spans="1:15" ht="23" customHeight="1">
      <c r="A35" s="1"/>
      <c r="B35" s="25" t="s">
        <v>27</v>
      </c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70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41</v>
      </c>
      <c r="C4" s="12" t="s">
        <v>42</v>
      </c>
      <c r="D4" s="12" t="s">
        <v>43</v>
      </c>
      <c r="E4" s="12" t="s">
        <v>44</v>
      </c>
      <c r="F4" s="12" t="s">
        <v>15</v>
      </c>
      <c r="G4" s="12" t="s">
        <v>56</v>
      </c>
      <c r="H4" s="12" t="s">
        <v>45</v>
      </c>
      <c r="I4" s="12" t="s">
        <v>36</v>
      </c>
      <c r="J4" s="12" t="s">
        <v>46</v>
      </c>
      <c r="K4" s="12" t="s">
        <v>57</v>
      </c>
      <c r="L4" s="12" t="s">
        <v>47</v>
      </c>
      <c r="M4" s="12" t="s">
        <v>20</v>
      </c>
      <c r="N4" s="12" t="s">
        <v>21</v>
      </c>
      <c r="O4" s="12" t="s">
        <v>48</v>
      </c>
      <c r="P4" s="13" t="s">
        <v>39</v>
      </c>
      <c r="Q4" s="13" t="s">
        <v>49</v>
      </c>
      <c r="R4" s="13" t="s">
        <v>50</v>
      </c>
      <c r="S4" s="13" t="s">
        <v>51</v>
      </c>
      <c r="T4" s="13" t="s">
        <v>52</v>
      </c>
      <c r="U4" s="13" t="s">
        <v>53</v>
      </c>
      <c r="V4" s="13" t="s">
        <v>54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0.56000000000000005</v>
      </c>
      <c r="I5" s="7">
        <f>F5*H5</f>
        <v>1008.0000000000001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1000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2008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1600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8">
        <f>M5*O5</f>
        <v>1056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0.54</v>
      </c>
      <c r="I6" s="7">
        <f>F6*H6</f>
        <v>1296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1000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2296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2050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8">
        <f>M6*O6</f>
        <v>1271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0.52</v>
      </c>
      <c r="I7" s="7">
        <f>F7*H7</f>
        <v>1560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1000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2560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8">
        <f>M7*O7</f>
        <v>1450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</v>
      </c>
      <c r="I8" s="7">
        <f>F8*H8</f>
        <v>1800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1000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2800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2950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8">
        <f>M8*O8</f>
        <v>1593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0.48</v>
      </c>
      <c r="I9" s="7">
        <f>F9*H9</f>
        <v>2016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1000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3016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3400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8">
        <f>M9*O9</f>
        <v>1700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31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90</v>
      </c>
      <c r="D15" s="14">
        <f t="shared" si="1"/>
        <v>120</v>
      </c>
      <c r="E15" s="14">
        <f t="shared" si="2"/>
        <v>150</v>
      </c>
      <c r="F15" s="14">
        <f t="shared" si="3"/>
        <v>180</v>
      </c>
      <c r="G15" s="14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180</v>
      </c>
      <c r="D16" s="14">
        <f t="shared" si="1"/>
        <v>240</v>
      </c>
      <c r="E16" s="14">
        <f t="shared" si="2"/>
        <v>300</v>
      </c>
      <c r="F16" s="14">
        <f t="shared" si="3"/>
        <v>360</v>
      </c>
      <c r="G16" s="14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270</v>
      </c>
      <c r="D17" s="14">
        <f t="shared" si="1"/>
        <v>360</v>
      </c>
      <c r="E17" s="14">
        <f t="shared" si="2"/>
        <v>450</v>
      </c>
      <c r="F17" s="14">
        <f t="shared" si="3"/>
        <v>540</v>
      </c>
      <c r="G17" s="14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360</v>
      </c>
      <c r="D18" s="14">
        <f t="shared" si="1"/>
        <v>480</v>
      </c>
      <c r="E18" s="14">
        <f t="shared" si="2"/>
        <v>600</v>
      </c>
      <c r="F18" s="14">
        <f t="shared" si="3"/>
        <v>720</v>
      </c>
      <c r="G18" s="14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450</v>
      </c>
      <c r="D19" s="14">
        <f t="shared" si="1"/>
        <v>600</v>
      </c>
      <c r="E19" s="14">
        <f t="shared" si="2"/>
        <v>750</v>
      </c>
      <c r="F19" s="14">
        <f t="shared" si="3"/>
        <v>900</v>
      </c>
      <c r="G19" s="14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540</v>
      </c>
      <c r="D20" s="14">
        <f t="shared" si="1"/>
        <v>720</v>
      </c>
      <c r="E20" s="14">
        <f t="shared" si="2"/>
        <v>900</v>
      </c>
      <c r="F20" s="14">
        <f t="shared" si="3"/>
        <v>1080</v>
      </c>
      <c r="G20" s="14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630</v>
      </c>
      <c r="D21" s="14">
        <f t="shared" si="1"/>
        <v>840</v>
      </c>
      <c r="E21" s="14">
        <f t="shared" si="2"/>
        <v>1050</v>
      </c>
      <c r="F21" s="14">
        <f t="shared" si="3"/>
        <v>1260</v>
      </c>
      <c r="G21" s="14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680.40000000000009</v>
      </c>
      <c r="D22" s="14">
        <f t="shared" si="1"/>
        <v>904.80000000000007</v>
      </c>
      <c r="E22" s="14">
        <f t="shared" si="2"/>
        <v>1128</v>
      </c>
      <c r="F22" s="14">
        <f t="shared" si="3"/>
        <v>1350</v>
      </c>
      <c r="G22" s="14">
        <f t="shared" si="4"/>
        <v>1570.8000000000002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730.80000000000007</v>
      </c>
      <c r="D23" s="14">
        <f t="shared" si="1"/>
        <v>969.6</v>
      </c>
      <c r="E23" s="14">
        <f t="shared" si="2"/>
        <v>1206</v>
      </c>
      <c r="F23" s="14">
        <f t="shared" si="3"/>
        <v>1440</v>
      </c>
      <c r="G23" s="14">
        <f t="shared" si="4"/>
        <v>1671.6000000000001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781.2</v>
      </c>
      <c r="D24" s="14">
        <f t="shared" si="1"/>
        <v>1034.4000000000001</v>
      </c>
      <c r="E24" s="14">
        <f t="shared" si="2"/>
        <v>1284</v>
      </c>
      <c r="F24" s="14">
        <f t="shared" si="3"/>
        <v>1530</v>
      </c>
      <c r="G24" s="14">
        <f t="shared" si="4"/>
        <v>1772.4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831.60000000000014</v>
      </c>
      <c r="D25" s="14">
        <f t="shared" si="1"/>
        <v>1099.2</v>
      </c>
      <c r="E25" s="14">
        <f t="shared" si="2"/>
        <v>1362</v>
      </c>
      <c r="F25" s="14">
        <f t="shared" si="3"/>
        <v>1620</v>
      </c>
      <c r="G25" s="14">
        <f t="shared" si="4"/>
        <v>1873.2000000000003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882</v>
      </c>
      <c r="D26" s="14">
        <f t="shared" si="1"/>
        <v>1164</v>
      </c>
      <c r="E26" s="14">
        <f t="shared" si="2"/>
        <v>1440</v>
      </c>
      <c r="F26" s="14">
        <f t="shared" si="3"/>
        <v>1710</v>
      </c>
      <c r="G26" s="14">
        <f t="shared" si="4"/>
        <v>1974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982.40000000000009</v>
      </c>
      <c r="D27" s="14">
        <f t="shared" si="1"/>
        <v>1278.8000000000002</v>
      </c>
      <c r="E27" s="14">
        <f t="shared" si="2"/>
        <v>1568</v>
      </c>
      <c r="F27" s="14">
        <f t="shared" si="3"/>
        <v>1850</v>
      </c>
      <c r="G27" s="14">
        <f t="shared" si="4"/>
        <v>2124.8000000000002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1082.8</v>
      </c>
      <c r="D28" s="14">
        <f t="shared" si="1"/>
        <v>1393.6</v>
      </c>
      <c r="E28" s="14">
        <f t="shared" si="2"/>
        <v>1696</v>
      </c>
      <c r="F28" s="14">
        <f t="shared" si="3"/>
        <v>1990</v>
      </c>
      <c r="G28" s="14">
        <f t="shared" si="4"/>
        <v>2275.6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1183.2</v>
      </c>
      <c r="D29" s="14">
        <f t="shared" si="1"/>
        <v>1508.4</v>
      </c>
      <c r="E29" s="14">
        <f t="shared" si="2"/>
        <v>1824</v>
      </c>
      <c r="F29" s="14">
        <f t="shared" si="3"/>
        <v>2130</v>
      </c>
      <c r="G29" s="14">
        <f t="shared" si="4"/>
        <v>2426.4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1283.6000000000001</v>
      </c>
      <c r="D30" s="14">
        <f t="shared" si="1"/>
        <v>1623.2</v>
      </c>
      <c r="E30" s="14">
        <f t="shared" si="2"/>
        <v>1952</v>
      </c>
      <c r="F30" s="14">
        <f t="shared" si="3"/>
        <v>2270</v>
      </c>
      <c r="G30" s="14">
        <f t="shared" si="4"/>
        <v>2577.2000000000003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1384</v>
      </c>
      <c r="D31" s="14">
        <f t="shared" si="1"/>
        <v>1738</v>
      </c>
      <c r="E31" s="14">
        <f t="shared" si="2"/>
        <v>2080</v>
      </c>
      <c r="F31" s="14">
        <f t="shared" si="3"/>
        <v>2410</v>
      </c>
      <c r="G31" s="14">
        <f t="shared" si="4"/>
        <v>2728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1484.4</v>
      </c>
      <c r="D32" s="14">
        <f t="shared" si="1"/>
        <v>1852.8000000000002</v>
      </c>
      <c r="E32" s="14">
        <f t="shared" si="2"/>
        <v>2208</v>
      </c>
      <c r="F32" s="14">
        <f t="shared" si="3"/>
        <v>2550</v>
      </c>
      <c r="G32" s="14">
        <f t="shared" si="4"/>
        <v>2878.8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1584.8000000000002</v>
      </c>
      <c r="D33" s="14">
        <f t="shared" si="1"/>
        <v>1967.6</v>
      </c>
      <c r="E33" s="14">
        <f t="shared" si="2"/>
        <v>2336</v>
      </c>
      <c r="F33" s="14">
        <f t="shared" si="3"/>
        <v>2690</v>
      </c>
      <c r="G33" s="14">
        <f t="shared" si="4"/>
        <v>3029.6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1685.2</v>
      </c>
      <c r="D34" s="14">
        <f t="shared" si="1"/>
        <v>2082.4</v>
      </c>
      <c r="E34" s="14">
        <f t="shared" si="2"/>
        <v>2464</v>
      </c>
      <c r="F34" s="14">
        <f t="shared" si="3"/>
        <v>2830</v>
      </c>
      <c r="G34" s="14">
        <f t="shared" si="4"/>
        <v>3180.4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71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41</v>
      </c>
      <c r="C44" s="13" t="s">
        <v>42</v>
      </c>
      <c r="D44" s="13" t="s">
        <v>43</v>
      </c>
      <c r="E44" s="13" t="s">
        <v>44</v>
      </c>
      <c r="F44" s="13" t="s">
        <v>15</v>
      </c>
      <c r="G44" s="13" t="s">
        <v>56</v>
      </c>
      <c r="H44" s="13" t="s">
        <v>45</v>
      </c>
      <c r="I44" s="13" t="s">
        <v>36</v>
      </c>
      <c r="J44" s="13" t="s">
        <v>46</v>
      </c>
      <c r="K44" s="13" t="s">
        <v>57</v>
      </c>
      <c r="L44" s="13" t="s">
        <v>47</v>
      </c>
      <c r="M44" s="13" t="s">
        <v>20</v>
      </c>
      <c r="N44" s="13" t="s">
        <v>21</v>
      </c>
      <c r="O44" s="13" t="s">
        <v>48</v>
      </c>
      <c r="P44" s="13" t="s">
        <v>39</v>
      </c>
      <c r="Q44" s="13" t="s">
        <v>49</v>
      </c>
      <c r="R44" s="13" t="s">
        <v>50</v>
      </c>
      <c r="S44" s="13" t="s">
        <v>51</v>
      </c>
      <c r="T44" s="13" t="s">
        <v>52</v>
      </c>
      <c r="U44" s="13" t="s">
        <v>53</v>
      </c>
      <c r="V44" s="13" t="s">
        <v>54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0.52</v>
      </c>
      <c r="I45" s="8">
        <f>F45*H45</f>
        <v>1560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1000</v>
      </c>
      <c r="K45" s="8">
        <f>IF('HSC Sweep'!$C$4="Type-B",Parameters!$L$14,INDEX(Parameters!$D$14:$H$14,1,R45)+(INDEX(Parameters!$D$14:$H$14,1,R45+1)-INDEX(Parameters!$D$14:$H$14,1,R45))*U45)</f>
        <v>0.6</v>
      </c>
      <c r="L45" s="8">
        <f>I45+J45</f>
        <v>2560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1600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0.66</v>
      </c>
      <c r="P45" s="8">
        <f>M45*O45</f>
        <v>1056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0.52</v>
      </c>
      <c r="I46" s="8">
        <f>F46*H46</f>
        <v>1560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8">
        <f>IF('HSC Sweep'!$C$4="Type-B",Parameters!$L$14,INDEX(Parameters!$D$14:$H$14,1,R46)+(INDEX(Parameters!$D$14:$H$14,1,R46+1)-INDEX(Parameters!$D$14:$H$14,1,R46))*U46)</f>
        <v>0.6</v>
      </c>
      <c r="L46" s="8">
        <f>I46+J46</f>
        <v>2560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2050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0.62</v>
      </c>
      <c r="P46" s="8">
        <f>M46*O46</f>
        <v>1271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0.52</v>
      </c>
      <c r="I47" s="8">
        <f>F47*H47</f>
        <v>1560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1000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2560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8">
        <f>M47*O47</f>
        <v>1450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0.52</v>
      </c>
      <c r="I48" s="8">
        <f>F48*H48</f>
        <v>1560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1000</v>
      </c>
      <c r="K48" s="8">
        <f>IF('HSC Sweep'!$C$4="Type-B",Parameters!$L$14,INDEX(Parameters!$D$14:$H$14,1,R48)+(INDEX(Parameters!$D$14:$H$14,1,R48+1)-INDEX(Parameters!$D$14:$H$14,1,R48))*U48)</f>
        <v>0.6</v>
      </c>
      <c r="L48" s="8">
        <f>I48+J48</f>
        <v>2560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2950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0.54</v>
      </c>
      <c r="P48" s="8">
        <f>M48*O48</f>
        <v>1593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0.52</v>
      </c>
      <c r="I49" s="8">
        <f>F49*H49</f>
        <v>1560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1000</v>
      </c>
      <c r="K49" s="8">
        <f>IF('HSC Sweep'!$C$4="Type-B",Parameters!$L$14,INDEX(Parameters!$D$14:$H$14,1,R49)+(INDEX(Parameters!$D$14:$H$14,1,R49+1)-INDEX(Parameters!$D$14:$H$14,1,R49))*U49)</f>
        <v>0.6</v>
      </c>
      <c r="L49" s="8">
        <f>I49+J49</f>
        <v>2560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3400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</v>
      </c>
      <c r="P49" s="8">
        <f>M49*O49</f>
        <v>1700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31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150</v>
      </c>
      <c r="D55" s="15">
        <f t="shared" si="6"/>
        <v>150</v>
      </c>
      <c r="E55" s="15">
        <f t="shared" si="7"/>
        <v>150</v>
      </c>
      <c r="F55" s="15">
        <f t="shared" si="8"/>
        <v>150</v>
      </c>
      <c r="G55" s="15">
        <f t="shared" si="9"/>
        <v>150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300</v>
      </c>
      <c r="D56" s="15">
        <f t="shared" si="6"/>
        <v>300</v>
      </c>
      <c r="E56" s="15">
        <f t="shared" si="7"/>
        <v>300</v>
      </c>
      <c r="F56" s="15">
        <f t="shared" si="8"/>
        <v>300</v>
      </c>
      <c r="G56" s="15">
        <f t="shared" si="9"/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450</v>
      </c>
      <c r="D57" s="15">
        <f t="shared" si="6"/>
        <v>450</v>
      </c>
      <c r="E57" s="15">
        <f t="shared" si="7"/>
        <v>450</v>
      </c>
      <c r="F57" s="15">
        <f t="shared" si="8"/>
        <v>450</v>
      </c>
      <c r="G57" s="15">
        <f t="shared" si="9"/>
        <v>450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600</v>
      </c>
      <c r="D58" s="15">
        <f t="shared" si="6"/>
        <v>600</v>
      </c>
      <c r="E58" s="15">
        <f t="shared" si="7"/>
        <v>600</v>
      </c>
      <c r="F58" s="15">
        <f t="shared" si="8"/>
        <v>600</v>
      </c>
      <c r="G58" s="15">
        <f t="shared" si="9"/>
        <v>600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750</v>
      </c>
      <c r="D59" s="15">
        <f t="shared" si="6"/>
        <v>750</v>
      </c>
      <c r="E59" s="15">
        <f t="shared" si="7"/>
        <v>750</v>
      </c>
      <c r="F59" s="15">
        <f t="shared" si="8"/>
        <v>750</v>
      </c>
      <c r="G59" s="15">
        <f t="shared" si="9"/>
        <v>750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828</v>
      </c>
      <c r="D60" s="15">
        <f t="shared" si="6"/>
        <v>900</v>
      </c>
      <c r="E60" s="15">
        <f t="shared" si="7"/>
        <v>900</v>
      </c>
      <c r="F60" s="15">
        <f t="shared" si="8"/>
        <v>900</v>
      </c>
      <c r="G60" s="15">
        <f t="shared" si="9"/>
        <v>900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906</v>
      </c>
      <c r="D61" s="15">
        <f t="shared" si="6"/>
        <v>978</v>
      </c>
      <c r="E61" s="15">
        <f t="shared" si="7"/>
        <v>1050</v>
      </c>
      <c r="F61" s="15">
        <f t="shared" si="8"/>
        <v>1050</v>
      </c>
      <c r="G61" s="15">
        <f t="shared" si="9"/>
        <v>1050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984</v>
      </c>
      <c r="D62" s="15">
        <f t="shared" si="6"/>
        <v>1056</v>
      </c>
      <c r="E62" s="15">
        <f t="shared" si="7"/>
        <v>1128</v>
      </c>
      <c r="F62" s="15">
        <f t="shared" si="8"/>
        <v>1200</v>
      </c>
      <c r="G62" s="15">
        <f t="shared" si="9"/>
        <v>1200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1062</v>
      </c>
      <c r="D63" s="15">
        <f t="shared" si="6"/>
        <v>1134</v>
      </c>
      <c r="E63" s="15">
        <f t="shared" si="7"/>
        <v>1206</v>
      </c>
      <c r="F63" s="15">
        <f t="shared" si="8"/>
        <v>1278</v>
      </c>
      <c r="G63" s="15">
        <f t="shared" si="9"/>
        <v>1350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1140</v>
      </c>
      <c r="D64" s="15">
        <f t="shared" si="6"/>
        <v>1212</v>
      </c>
      <c r="E64" s="15">
        <f t="shared" si="7"/>
        <v>1284</v>
      </c>
      <c r="F64" s="15">
        <f t="shared" si="8"/>
        <v>1356</v>
      </c>
      <c r="G64" s="15">
        <f t="shared" si="9"/>
        <v>1428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1218</v>
      </c>
      <c r="D65" s="15">
        <f t="shared" si="6"/>
        <v>1290</v>
      </c>
      <c r="E65" s="15">
        <f t="shared" si="7"/>
        <v>1362</v>
      </c>
      <c r="F65" s="15">
        <f t="shared" si="8"/>
        <v>1434</v>
      </c>
      <c r="G65" s="15">
        <f t="shared" si="9"/>
        <v>1506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1296</v>
      </c>
      <c r="D66" s="15">
        <f t="shared" si="6"/>
        <v>1368</v>
      </c>
      <c r="E66" s="15">
        <f t="shared" si="7"/>
        <v>1440</v>
      </c>
      <c r="F66" s="15">
        <f t="shared" si="8"/>
        <v>1512</v>
      </c>
      <c r="G66" s="15">
        <f t="shared" si="9"/>
        <v>1584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1424</v>
      </c>
      <c r="D67" s="15">
        <f t="shared" si="6"/>
        <v>1496</v>
      </c>
      <c r="E67" s="15">
        <f t="shared" si="7"/>
        <v>1568</v>
      </c>
      <c r="F67" s="15">
        <f t="shared" si="8"/>
        <v>1640</v>
      </c>
      <c r="G67" s="15">
        <f t="shared" si="9"/>
        <v>1712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1552</v>
      </c>
      <c r="D68" s="15">
        <f t="shared" si="6"/>
        <v>1624</v>
      </c>
      <c r="E68" s="15">
        <f t="shared" si="7"/>
        <v>1696</v>
      </c>
      <c r="F68" s="15">
        <f t="shared" si="8"/>
        <v>1768</v>
      </c>
      <c r="G68" s="15">
        <f t="shared" si="9"/>
        <v>1840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1680</v>
      </c>
      <c r="D69" s="15">
        <f t="shared" si="6"/>
        <v>1752</v>
      </c>
      <c r="E69" s="15">
        <f t="shared" si="7"/>
        <v>1824</v>
      </c>
      <c r="F69" s="15">
        <f t="shared" si="8"/>
        <v>1896</v>
      </c>
      <c r="G69" s="15">
        <f t="shared" si="9"/>
        <v>1968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1808</v>
      </c>
      <c r="D70" s="15">
        <f t="shared" si="6"/>
        <v>1880</v>
      </c>
      <c r="E70" s="15">
        <f t="shared" si="7"/>
        <v>1952</v>
      </c>
      <c r="F70" s="15">
        <f t="shared" si="8"/>
        <v>2024</v>
      </c>
      <c r="G70" s="15">
        <f t="shared" si="9"/>
        <v>2096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1936</v>
      </c>
      <c r="D71" s="15">
        <f t="shared" si="6"/>
        <v>2008</v>
      </c>
      <c r="E71" s="15">
        <f t="shared" si="7"/>
        <v>2080</v>
      </c>
      <c r="F71" s="15">
        <f t="shared" si="8"/>
        <v>2152</v>
      </c>
      <c r="G71" s="15">
        <f t="shared" si="9"/>
        <v>2224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2064</v>
      </c>
      <c r="D72" s="15">
        <f t="shared" si="6"/>
        <v>2136</v>
      </c>
      <c r="E72" s="15">
        <f t="shared" si="7"/>
        <v>2208</v>
      </c>
      <c r="F72" s="15">
        <f t="shared" si="8"/>
        <v>2280</v>
      </c>
      <c r="G72" s="15">
        <f t="shared" si="9"/>
        <v>2352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2192</v>
      </c>
      <c r="D73" s="15">
        <f t="shared" si="6"/>
        <v>2264</v>
      </c>
      <c r="E73" s="15">
        <f t="shared" si="7"/>
        <v>2336</v>
      </c>
      <c r="F73" s="15">
        <f t="shared" si="8"/>
        <v>2408</v>
      </c>
      <c r="G73" s="15">
        <f t="shared" si="9"/>
        <v>2480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2320</v>
      </c>
      <c r="D74" s="15">
        <f t="shared" si="6"/>
        <v>2392</v>
      </c>
      <c r="E74" s="15">
        <f t="shared" si="7"/>
        <v>2464</v>
      </c>
      <c r="F74" s="15">
        <f t="shared" si="8"/>
        <v>2536</v>
      </c>
      <c r="G74" s="15">
        <f t="shared" si="9"/>
        <v>2608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72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41</v>
      </c>
      <c r="C84" s="13" t="s">
        <v>42</v>
      </c>
      <c r="D84" s="13" t="s">
        <v>43</v>
      </c>
      <c r="E84" s="13" t="s">
        <v>44</v>
      </c>
      <c r="F84" s="13" t="s">
        <v>15</v>
      </c>
      <c r="G84" s="13" t="s">
        <v>56</v>
      </c>
      <c r="H84" s="13" t="s">
        <v>45</v>
      </c>
      <c r="I84" s="13" t="s">
        <v>36</v>
      </c>
      <c r="J84" s="13" t="s">
        <v>46</v>
      </c>
      <c r="K84" s="13" t="s">
        <v>57</v>
      </c>
      <c r="L84" s="13" t="s">
        <v>47</v>
      </c>
      <c r="M84" s="13" t="s">
        <v>20</v>
      </c>
      <c r="N84" s="13" t="s">
        <v>21</v>
      </c>
      <c r="O84" s="13" t="s">
        <v>48</v>
      </c>
      <c r="P84" s="13" t="s">
        <v>39</v>
      </c>
      <c r="Q84" s="13" t="s">
        <v>49</v>
      </c>
      <c r="R84" s="13" t="s">
        <v>50</v>
      </c>
      <c r="S84" s="13" t="s">
        <v>51</v>
      </c>
      <c r="T84" s="13" t="s">
        <v>52</v>
      </c>
      <c r="U84" s="13" t="s">
        <v>53</v>
      </c>
      <c r="V84" s="13" t="s">
        <v>54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0.25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0.56000000000000005</v>
      </c>
      <c r="I85" s="8">
        <f>F85*H85</f>
        <v>1008.0000000000001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1000</v>
      </c>
      <c r="K85" s="8">
        <f>IF('LSR Sweep'!$C$4="Type-B",Parameters!$L$14,INDEX(Parameters!$D$14:$H$14,1,R85)+(INDEX(Parameters!$D$14:$H$14,1,R85+1)-INDEX(Parameters!$D$14:$H$14,1,R85))*U85)</f>
        <v>0.6</v>
      </c>
      <c r="L85" s="8">
        <f>I85+J85</f>
        <v>2008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1600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0.66</v>
      </c>
      <c r="P85" s="8">
        <f>M85*O85</f>
        <v>1056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2400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0.3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0.54</v>
      </c>
      <c r="I86" s="8">
        <f>F86*H86</f>
        <v>1296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8">
        <f>IF('LSR Sweep'!$C$4="Type-B",Parameters!$L$14,INDEX(Parameters!$D$14:$H$14,1,R86)+(INDEX(Parameters!$D$14:$H$14,1,R86+1)-INDEX(Parameters!$D$14:$H$14,1,R86))*U86)</f>
        <v>0.6</v>
      </c>
      <c r="L86" s="8">
        <f>I86+J86</f>
        <v>2296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2050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0.22500000000000001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0.62</v>
      </c>
      <c r="P86" s="8">
        <f>M86*O86</f>
        <v>1271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3000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0.35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0.52</v>
      </c>
      <c r="I87" s="8">
        <f>F87*H87</f>
        <v>1560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1000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2560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2500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0.57999999999999996</v>
      </c>
      <c r="P87" s="8">
        <f>M87*O87</f>
        <v>1450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3600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0.4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0.5</v>
      </c>
      <c r="I88" s="8">
        <f>F88*H88</f>
        <v>1800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1000</v>
      </c>
      <c r="K88" s="8">
        <f>IF('LSR Sweep'!$C$4="Type-B",Parameters!$L$14,INDEX(Parameters!$D$14:$H$14,1,R88)+(INDEX(Parameters!$D$14:$H$14,1,R88+1)-INDEX(Parameters!$D$14:$H$14,1,R88))*U88)</f>
        <v>0.6</v>
      </c>
      <c r="L88" s="8">
        <f>I88+J88</f>
        <v>2800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2950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0.27500000000000002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0.54</v>
      </c>
      <c r="P88" s="8">
        <f>M88*O88</f>
        <v>1593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0.45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0.48</v>
      </c>
      <c r="I89" s="8">
        <f>F89*H89</f>
        <v>2016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1000</v>
      </c>
      <c r="K89" s="8">
        <f>IF('LSR Sweep'!$C$4="Type-B",Parameters!$L$14,INDEX(Parameters!$D$14:$H$14,1,R89)+(INDEX(Parameters!$D$14:$H$14,1,R89+1)-INDEX(Parameters!$D$14:$H$14,1,R89))*U89)</f>
        <v>0.6</v>
      </c>
      <c r="L89" s="8">
        <f>I89+J89</f>
        <v>3016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3400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0.5</v>
      </c>
      <c r="P89" s="8">
        <f>M89*O89</f>
        <v>1700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31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80</v>
      </c>
      <c r="D95" s="15">
        <f t="shared" si="11"/>
        <v>102.5</v>
      </c>
      <c r="E95" s="15">
        <f t="shared" si="12"/>
        <v>125</v>
      </c>
      <c r="F95" s="15">
        <f t="shared" si="13"/>
        <v>147.5</v>
      </c>
      <c r="G95" s="15">
        <f t="shared" si="14"/>
        <v>170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160</v>
      </c>
      <c r="D96" s="15">
        <f t="shared" si="11"/>
        <v>205</v>
      </c>
      <c r="E96" s="15">
        <f t="shared" si="12"/>
        <v>250</v>
      </c>
      <c r="F96" s="15">
        <f t="shared" si="13"/>
        <v>295</v>
      </c>
      <c r="G96" s="15">
        <f t="shared" si="14"/>
        <v>340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240</v>
      </c>
      <c r="D97" s="15">
        <f t="shared" si="11"/>
        <v>307.5</v>
      </c>
      <c r="E97" s="15">
        <f t="shared" si="12"/>
        <v>375</v>
      </c>
      <c r="F97" s="15">
        <f t="shared" si="13"/>
        <v>442.5</v>
      </c>
      <c r="G97" s="15">
        <f t="shared" si="14"/>
        <v>510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320</v>
      </c>
      <c r="D98" s="15">
        <f t="shared" si="11"/>
        <v>410</v>
      </c>
      <c r="E98" s="15">
        <f t="shared" si="12"/>
        <v>500</v>
      </c>
      <c r="F98" s="15">
        <f t="shared" si="13"/>
        <v>590</v>
      </c>
      <c r="G98" s="15">
        <f t="shared" si="14"/>
        <v>680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372.8</v>
      </c>
      <c r="D99" s="15">
        <f t="shared" si="11"/>
        <v>493.02499999999998</v>
      </c>
      <c r="E99" s="15">
        <f t="shared" si="12"/>
        <v>625</v>
      </c>
      <c r="F99" s="15">
        <f t="shared" si="13"/>
        <v>737.5</v>
      </c>
      <c r="G99" s="15">
        <f t="shared" si="14"/>
        <v>850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425.59999999999997</v>
      </c>
      <c r="D100" s="15">
        <f t="shared" si="11"/>
        <v>556.57499999999993</v>
      </c>
      <c r="E100" s="15">
        <f t="shared" si="12"/>
        <v>697.5</v>
      </c>
      <c r="F100" s="15">
        <f t="shared" si="13"/>
        <v>851.07500000000005</v>
      </c>
      <c r="G100" s="15">
        <f t="shared" si="14"/>
        <v>1020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478.4</v>
      </c>
      <c r="D101" s="15">
        <f t="shared" si="11"/>
        <v>620.125</v>
      </c>
      <c r="E101" s="15">
        <f t="shared" si="12"/>
        <v>770</v>
      </c>
      <c r="F101" s="15">
        <f t="shared" si="13"/>
        <v>930.72500000000002</v>
      </c>
      <c r="G101" s="15">
        <f t="shared" si="14"/>
        <v>1105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531.20000000000005</v>
      </c>
      <c r="D102" s="15">
        <f t="shared" si="11"/>
        <v>683.67499999999995</v>
      </c>
      <c r="E102" s="15">
        <f t="shared" si="12"/>
        <v>842.5</v>
      </c>
      <c r="F102" s="15">
        <f t="shared" si="13"/>
        <v>1010.3750000000001</v>
      </c>
      <c r="G102" s="15">
        <f t="shared" si="14"/>
        <v>1190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584</v>
      </c>
      <c r="D103" s="15">
        <f t="shared" si="11"/>
        <v>747.22500000000002</v>
      </c>
      <c r="E103" s="15">
        <f t="shared" si="12"/>
        <v>915</v>
      </c>
      <c r="F103" s="15">
        <f t="shared" si="13"/>
        <v>1090.0250000000001</v>
      </c>
      <c r="G103" s="15">
        <f t="shared" si="14"/>
        <v>1275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636.79999999999995</v>
      </c>
      <c r="D104" s="15">
        <f t="shared" si="11"/>
        <v>810.77500000000009</v>
      </c>
      <c r="E104" s="15">
        <f t="shared" si="12"/>
        <v>987.5</v>
      </c>
      <c r="F104" s="15">
        <f t="shared" si="13"/>
        <v>1169.6750000000002</v>
      </c>
      <c r="G104" s="15">
        <f t="shared" si="14"/>
        <v>1360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689.6</v>
      </c>
      <c r="D105" s="15">
        <f t="shared" si="11"/>
        <v>874.32500000000005</v>
      </c>
      <c r="E105" s="15">
        <f t="shared" si="12"/>
        <v>1060</v>
      </c>
      <c r="F105" s="15">
        <f t="shared" si="13"/>
        <v>1249.3250000000003</v>
      </c>
      <c r="G105" s="15">
        <f t="shared" si="14"/>
        <v>1445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742.4</v>
      </c>
      <c r="D106" s="15">
        <f t="shared" si="11"/>
        <v>937.875</v>
      </c>
      <c r="E106" s="15">
        <f t="shared" si="12"/>
        <v>1132.5</v>
      </c>
      <c r="F106" s="15">
        <f t="shared" si="13"/>
        <v>1328.9749999999999</v>
      </c>
      <c r="G106" s="15">
        <f t="shared" si="14"/>
        <v>1530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795.2</v>
      </c>
      <c r="D107" s="15">
        <f t="shared" si="11"/>
        <v>1001.4250000000001</v>
      </c>
      <c r="E107" s="15">
        <f t="shared" si="12"/>
        <v>1205</v>
      </c>
      <c r="F107" s="15">
        <f t="shared" si="13"/>
        <v>1408.625</v>
      </c>
      <c r="G107" s="15">
        <f t="shared" si="14"/>
        <v>1615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847.99999999999989</v>
      </c>
      <c r="D108" s="15">
        <f t="shared" si="11"/>
        <v>1064.9749999999999</v>
      </c>
      <c r="E108" s="15">
        <f t="shared" si="12"/>
        <v>1277.5</v>
      </c>
      <c r="F108" s="15">
        <f t="shared" si="13"/>
        <v>1488.2750000000001</v>
      </c>
      <c r="G108" s="15">
        <f t="shared" si="14"/>
        <v>1700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900.80000000000007</v>
      </c>
      <c r="D109" s="15">
        <f t="shared" si="11"/>
        <v>1128.5250000000001</v>
      </c>
      <c r="E109" s="15">
        <f t="shared" si="12"/>
        <v>1350</v>
      </c>
      <c r="F109" s="15">
        <f t="shared" si="13"/>
        <v>1567.9250000000002</v>
      </c>
      <c r="G109" s="15">
        <f t="shared" si="14"/>
        <v>1785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953.60000000000014</v>
      </c>
      <c r="D110" s="15">
        <f t="shared" si="11"/>
        <v>1192.075</v>
      </c>
      <c r="E110" s="15">
        <f t="shared" si="12"/>
        <v>1422.5</v>
      </c>
      <c r="F110" s="15">
        <f t="shared" si="13"/>
        <v>1647.5750000000003</v>
      </c>
      <c r="G110" s="15">
        <f t="shared" si="14"/>
        <v>1870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1006.3999999999999</v>
      </c>
      <c r="D111" s="15">
        <f t="shared" si="11"/>
        <v>1255.625</v>
      </c>
      <c r="E111" s="15">
        <f t="shared" si="12"/>
        <v>1495</v>
      </c>
      <c r="F111" s="15">
        <f t="shared" si="13"/>
        <v>1727.2249999999999</v>
      </c>
      <c r="G111" s="15">
        <f t="shared" si="14"/>
        <v>1955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1059.1999999999998</v>
      </c>
      <c r="D112" s="15">
        <f t="shared" si="11"/>
        <v>1319.1750000000002</v>
      </c>
      <c r="E112" s="15">
        <f t="shared" si="12"/>
        <v>1567.5</v>
      </c>
      <c r="F112" s="15">
        <f t="shared" si="13"/>
        <v>1806.875</v>
      </c>
      <c r="G112" s="15">
        <f t="shared" si="14"/>
        <v>2040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1112</v>
      </c>
      <c r="D113" s="15">
        <f t="shared" si="11"/>
        <v>1382.7249999999999</v>
      </c>
      <c r="E113" s="15">
        <f t="shared" si="12"/>
        <v>1640</v>
      </c>
      <c r="F113" s="15">
        <f t="shared" si="13"/>
        <v>1886.5250000000001</v>
      </c>
      <c r="G113" s="15">
        <f t="shared" si="14"/>
        <v>2125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1164.8000000000002</v>
      </c>
      <c r="D114" s="15">
        <f t="shared" si="11"/>
        <v>1446.2750000000001</v>
      </c>
      <c r="E114" s="15">
        <f t="shared" si="12"/>
        <v>1712.5</v>
      </c>
      <c r="F114" s="15">
        <f t="shared" si="13"/>
        <v>1966.1750000000002</v>
      </c>
      <c r="G114" s="15">
        <f t="shared" si="14"/>
        <v>2210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73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41</v>
      </c>
      <c r="C124" s="13" t="s">
        <v>42</v>
      </c>
      <c r="D124" s="13" t="s">
        <v>43</v>
      </c>
      <c r="E124" s="13" t="s">
        <v>44</v>
      </c>
      <c r="F124" s="13" t="s">
        <v>15</v>
      </c>
      <c r="G124" s="13" t="s">
        <v>56</v>
      </c>
      <c r="H124" s="13" t="s">
        <v>45</v>
      </c>
      <c r="I124" s="13" t="s">
        <v>36</v>
      </c>
      <c r="J124" s="13" t="s">
        <v>46</v>
      </c>
      <c r="K124" s="13" t="s">
        <v>57</v>
      </c>
      <c r="L124" s="13" t="s">
        <v>47</v>
      </c>
      <c r="M124" s="13" t="s">
        <v>20</v>
      </c>
      <c r="N124" s="13" t="s">
        <v>21</v>
      </c>
      <c r="O124" s="13" t="s">
        <v>48</v>
      </c>
      <c r="P124" s="13" t="s">
        <v>39</v>
      </c>
      <c r="Q124" s="13" t="s">
        <v>49</v>
      </c>
      <c r="R124" s="13" t="s">
        <v>50</v>
      </c>
      <c r="S124" s="13" t="s">
        <v>51</v>
      </c>
      <c r="T124" s="13" t="s">
        <v>52</v>
      </c>
      <c r="U124" s="13" t="s">
        <v>53</v>
      </c>
      <c r="V124" s="13" t="s">
        <v>54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8">
        <f>F125*H125</f>
        <v>1200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800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2000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0.88</v>
      </c>
      <c r="P125" s="8">
        <f>M125*O125</f>
        <v>968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8">
        <f>F126*H126</f>
        <v>1755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1400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3155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0.84000000000000008</v>
      </c>
      <c r="P126" s="8">
        <f>M126*O126</f>
        <v>1302.0000000000002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8">
        <f>F127*H127</f>
        <v>2280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4280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</v>
      </c>
      <c r="P127" s="8">
        <f>M127*O127</f>
        <v>1600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8">
        <f>F128*H128</f>
        <v>2775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2600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5375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0.76</v>
      </c>
      <c r="P128" s="8">
        <f>M128*O128</f>
        <v>1862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8">
        <f>F129*H129</f>
        <v>3240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6440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0.72</v>
      </c>
      <c r="P129" s="8">
        <f>M129*O129</f>
        <v>2088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31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60</v>
      </c>
      <c r="D135" s="15">
        <f t="shared" si="16"/>
        <v>90</v>
      </c>
      <c r="E135" s="15">
        <f t="shared" si="17"/>
        <v>120</v>
      </c>
      <c r="F135" s="15">
        <f t="shared" si="18"/>
        <v>150</v>
      </c>
      <c r="G135" s="15">
        <f t="shared" si="19"/>
        <v>180</v>
      </c>
      <c r="H135" s="15">
        <f t="shared" si="20"/>
        <v>-55</v>
      </c>
      <c r="I135" s="15">
        <f t="shared" si="21"/>
        <v>-77.5</v>
      </c>
      <c r="J135" s="15">
        <f t="shared" si="22"/>
        <v>-100</v>
      </c>
      <c r="K135" s="15">
        <f t="shared" si="23"/>
        <v>-122.5</v>
      </c>
      <c r="L135" s="15">
        <f t="shared" si="24"/>
        <v>-145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120</v>
      </c>
      <c r="D136" s="15">
        <f t="shared" si="16"/>
        <v>180</v>
      </c>
      <c r="E136" s="15">
        <f t="shared" si="17"/>
        <v>240</v>
      </c>
      <c r="F136" s="15">
        <f t="shared" si="18"/>
        <v>300</v>
      </c>
      <c r="G136" s="15">
        <f t="shared" si="19"/>
        <v>360</v>
      </c>
      <c r="H136" s="15">
        <f t="shared" si="20"/>
        <v>-110</v>
      </c>
      <c r="I136" s="15">
        <f t="shared" si="21"/>
        <v>-155</v>
      </c>
      <c r="J136" s="15">
        <f t="shared" si="22"/>
        <v>-200</v>
      </c>
      <c r="K136" s="15">
        <f t="shared" si="23"/>
        <v>-245</v>
      </c>
      <c r="L136" s="15">
        <f t="shared" si="24"/>
        <v>-290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180</v>
      </c>
      <c r="D137" s="15">
        <f t="shared" si="16"/>
        <v>268.64999999999998</v>
      </c>
      <c r="E137" s="15">
        <f t="shared" si="17"/>
        <v>356.4</v>
      </c>
      <c r="F137" s="15">
        <f t="shared" si="18"/>
        <v>443.25</v>
      </c>
      <c r="G137" s="15">
        <f t="shared" si="19"/>
        <v>529.20000000000005</v>
      </c>
      <c r="H137" s="15">
        <f t="shared" si="20"/>
        <v>-165</v>
      </c>
      <c r="I137" s="15">
        <f t="shared" si="21"/>
        <v>-232.5</v>
      </c>
      <c r="J137" s="15">
        <f t="shared" si="22"/>
        <v>-300</v>
      </c>
      <c r="K137" s="15">
        <f t="shared" si="23"/>
        <v>-367.5</v>
      </c>
      <c r="L137" s="15">
        <f t="shared" si="24"/>
        <v>-435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240</v>
      </c>
      <c r="D138" s="15">
        <f t="shared" si="16"/>
        <v>356.40000000000003</v>
      </c>
      <c r="E138" s="15">
        <f t="shared" si="17"/>
        <v>470.40000000000003</v>
      </c>
      <c r="F138" s="15">
        <f t="shared" si="18"/>
        <v>582</v>
      </c>
      <c r="G138" s="15">
        <f t="shared" si="19"/>
        <v>691.2</v>
      </c>
      <c r="H138" s="15">
        <f t="shared" si="20"/>
        <v>-220</v>
      </c>
      <c r="I138" s="15">
        <f t="shared" si="21"/>
        <v>-310</v>
      </c>
      <c r="J138" s="15">
        <f t="shared" si="22"/>
        <v>-400</v>
      </c>
      <c r="K138" s="15">
        <f t="shared" si="23"/>
        <v>-490</v>
      </c>
      <c r="L138" s="15">
        <f t="shared" si="24"/>
        <v>-580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300</v>
      </c>
      <c r="D139" s="15">
        <f t="shared" si="16"/>
        <v>444.15</v>
      </c>
      <c r="E139" s="15">
        <f t="shared" si="17"/>
        <v>584.40000000000009</v>
      </c>
      <c r="F139" s="15">
        <f t="shared" si="18"/>
        <v>720.75</v>
      </c>
      <c r="G139" s="15">
        <f t="shared" si="19"/>
        <v>853.2</v>
      </c>
      <c r="H139" s="15">
        <f t="shared" si="20"/>
        <v>-272.36</v>
      </c>
      <c r="I139" s="15">
        <f t="shared" si="21"/>
        <v>-387.5</v>
      </c>
      <c r="J139" s="15">
        <f t="shared" si="22"/>
        <v>-500</v>
      </c>
      <c r="K139" s="15">
        <f t="shared" si="23"/>
        <v>-612.5</v>
      </c>
      <c r="L139" s="15">
        <f t="shared" si="24"/>
        <v>-725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360</v>
      </c>
      <c r="D140" s="15">
        <f t="shared" si="16"/>
        <v>531.9</v>
      </c>
      <c r="E140" s="15">
        <f t="shared" si="17"/>
        <v>698.4</v>
      </c>
      <c r="F140" s="15">
        <f t="shared" si="18"/>
        <v>859.5</v>
      </c>
      <c r="G140" s="15">
        <f t="shared" si="19"/>
        <v>1015.1999999999999</v>
      </c>
      <c r="H140" s="15">
        <f t="shared" si="20"/>
        <v>-320.76</v>
      </c>
      <c r="I140" s="15">
        <f t="shared" si="21"/>
        <v>-453.84</v>
      </c>
      <c r="J140" s="15">
        <f t="shared" si="22"/>
        <v>-591.99999999999989</v>
      </c>
      <c r="K140" s="15">
        <f t="shared" si="23"/>
        <v>-735</v>
      </c>
      <c r="L140" s="15">
        <f t="shared" si="24"/>
        <v>-870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420</v>
      </c>
      <c r="D141" s="15">
        <f t="shared" si="16"/>
        <v>619.65</v>
      </c>
      <c r="E141" s="15">
        <f t="shared" si="17"/>
        <v>812.4</v>
      </c>
      <c r="F141" s="15">
        <f t="shared" si="18"/>
        <v>998.25</v>
      </c>
      <c r="G141" s="15">
        <f t="shared" si="19"/>
        <v>1177.1999999999998</v>
      </c>
      <c r="H141" s="15">
        <f t="shared" si="20"/>
        <v>-369.15999999999997</v>
      </c>
      <c r="I141" s="15">
        <f t="shared" si="21"/>
        <v>-518.93999999999994</v>
      </c>
      <c r="J141" s="15">
        <f t="shared" si="22"/>
        <v>-671.99999999999989</v>
      </c>
      <c r="K141" s="15">
        <f t="shared" si="23"/>
        <v>-831.04</v>
      </c>
      <c r="L141" s="15">
        <f t="shared" si="24"/>
        <v>-998.75999999999988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480.00000000000006</v>
      </c>
      <c r="D142" s="15">
        <f t="shared" si="16"/>
        <v>707.40000000000009</v>
      </c>
      <c r="E142" s="15">
        <f t="shared" si="17"/>
        <v>926.40000000000009</v>
      </c>
      <c r="F142" s="15">
        <f t="shared" si="18"/>
        <v>1137</v>
      </c>
      <c r="G142" s="15">
        <f t="shared" si="19"/>
        <v>1339.2</v>
      </c>
      <c r="H142" s="15">
        <f t="shared" si="20"/>
        <v>-417.56</v>
      </c>
      <c r="I142" s="15">
        <f t="shared" si="21"/>
        <v>-584.04000000000008</v>
      </c>
      <c r="J142" s="15">
        <f t="shared" si="22"/>
        <v>-752</v>
      </c>
      <c r="K142" s="15">
        <f t="shared" si="23"/>
        <v>-924.1400000000001</v>
      </c>
      <c r="L142" s="15">
        <f t="shared" si="24"/>
        <v>-1103.1600000000001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540</v>
      </c>
      <c r="D143" s="15">
        <f t="shared" si="16"/>
        <v>795.15</v>
      </c>
      <c r="E143" s="15">
        <f t="shared" si="17"/>
        <v>1040.4000000000001</v>
      </c>
      <c r="F143" s="15">
        <f t="shared" si="18"/>
        <v>1275.75</v>
      </c>
      <c r="G143" s="15">
        <f t="shared" si="19"/>
        <v>1501.2</v>
      </c>
      <c r="H143" s="15">
        <f t="shared" si="20"/>
        <v>-465.96000000000004</v>
      </c>
      <c r="I143" s="15">
        <f t="shared" si="21"/>
        <v>-649.1400000000001</v>
      </c>
      <c r="J143" s="15">
        <f t="shared" si="22"/>
        <v>-832</v>
      </c>
      <c r="K143" s="15">
        <f t="shared" si="23"/>
        <v>-1017.24</v>
      </c>
      <c r="L143" s="15">
        <f t="shared" si="24"/>
        <v>-1207.56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600</v>
      </c>
      <c r="D144" s="15">
        <f t="shared" si="16"/>
        <v>882.9</v>
      </c>
      <c r="E144" s="15">
        <f t="shared" si="17"/>
        <v>1154.4000000000001</v>
      </c>
      <c r="F144" s="15">
        <f t="shared" si="18"/>
        <v>1414.5</v>
      </c>
      <c r="G144" s="15">
        <f t="shared" si="19"/>
        <v>1663.2</v>
      </c>
      <c r="H144" s="15">
        <f t="shared" si="20"/>
        <v>-514.36</v>
      </c>
      <c r="I144" s="15">
        <f t="shared" si="21"/>
        <v>-714.24</v>
      </c>
      <c r="J144" s="15">
        <f t="shared" si="22"/>
        <v>-912</v>
      </c>
      <c r="K144" s="15">
        <f t="shared" si="23"/>
        <v>-1110.3400000000001</v>
      </c>
      <c r="L144" s="15">
        <f t="shared" si="24"/>
        <v>-1311.96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660.00000000000011</v>
      </c>
      <c r="D145" s="15">
        <f t="shared" si="16"/>
        <v>970.65000000000009</v>
      </c>
      <c r="E145" s="15">
        <f t="shared" si="17"/>
        <v>1268.4000000000001</v>
      </c>
      <c r="F145" s="15">
        <f t="shared" si="18"/>
        <v>1553.2500000000002</v>
      </c>
      <c r="G145" s="15">
        <f t="shared" si="19"/>
        <v>1825.2</v>
      </c>
      <c r="H145" s="15">
        <f t="shared" si="20"/>
        <v>-562.76</v>
      </c>
      <c r="I145" s="15">
        <f t="shared" si="21"/>
        <v>-779.34000000000015</v>
      </c>
      <c r="J145" s="15">
        <f t="shared" si="22"/>
        <v>-992</v>
      </c>
      <c r="K145" s="15">
        <f t="shared" si="23"/>
        <v>-1203.44</v>
      </c>
      <c r="L145" s="15">
        <f t="shared" si="24"/>
        <v>-1416.3600000000001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736</v>
      </c>
      <c r="D146" s="15">
        <f t="shared" si="16"/>
        <v>1072.4000000000001</v>
      </c>
      <c r="E146" s="15">
        <f t="shared" si="17"/>
        <v>1382.3999999999999</v>
      </c>
      <c r="F146" s="15">
        <f t="shared" si="18"/>
        <v>1692</v>
      </c>
      <c r="G146" s="15">
        <f t="shared" si="19"/>
        <v>1987.2</v>
      </c>
      <c r="H146" s="15">
        <f t="shared" si="20"/>
        <v>-611.16</v>
      </c>
      <c r="I146" s="15">
        <f t="shared" si="21"/>
        <v>-844.44</v>
      </c>
      <c r="J146" s="15">
        <f t="shared" si="22"/>
        <v>-1072</v>
      </c>
      <c r="K146" s="15">
        <f t="shared" si="23"/>
        <v>-1296.54</v>
      </c>
      <c r="L146" s="15">
        <f t="shared" si="24"/>
        <v>-1520.7599999999998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836</v>
      </c>
      <c r="D147" s="15">
        <f t="shared" si="16"/>
        <v>1230.1500000000001</v>
      </c>
      <c r="E147" s="15">
        <f t="shared" si="17"/>
        <v>1596.4</v>
      </c>
      <c r="F147" s="15">
        <f t="shared" si="18"/>
        <v>1934.75</v>
      </c>
      <c r="G147" s="15">
        <f t="shared" si="19"/>
        <v>2245.1999999999998</v>
      </c>
      <c r="H147" s="15">
        <f t="shared" si="20"/>
        <v>-659.56000000000006</v>
      </c>
      <c r="I147" s="15">
        <f t="shared" si="21"/>
        <v>-909.54000000000008</v>
      </c>
      <c r="J147" s="15">
        <f t="shared" si="22"/>
        <v>-1152</v>
      </c>
      <c r="K147" s="15">
        <f t="shared" si="23"/>
        <v>-1389.64</v>
      </c>
      <c r="L147" s="15">
        <f t="shared" si="24"/>
        <v>-1625.1599999999999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936</v>
      </c>
      <c r="D148" s="15">
        <f t="shared" si="16"/>
        <v>1387.9</v>
      </c>
      <c r="E148" s="15">
        <f t="shared" si="17"/>
        <v>1810.3999999999999</v>
      </c>
      <c r="F148" s="15">
        <f t="shared" si="18"/>
        <v>2203.5</v>
      </c>
      <c r="G148" s="15">
        <f t="shared" si="19"/>
        <v>2567.1999999999998</v>
      </c>
      <c r="H148" s="15">
        <f t="shared" si="20"/>
        <v>-707.96</v>
      </c>
      <c r="I148" s="15">
        <f t="shared" si="21"/>
        <v>-974.64</v>
      </c>
      <c r="J148" s="15">
        <f t="shared" si="22"/>
        <v>-1232</v>
      </c>
      <c r="K148" s="15">
        <f t="shared" si="23"/>
        <v>-1482.7399999999998</v>
      </c>
      <c r="L148" s="15">
        <f t="shared" si="24"/>
        <v>-1729.56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1036</v>
      </c>
      <c r="D149" s="15">
        <f t="shared" si="16"/>
        <v>1545.65</v>
      </c>
      <c r="E149" s="15">
        <f t="shared" si="17"/>
        <v>2024.4</v>
      </c>
      <c r="F149" s="15">
        <f t="shared" si="18"/>
        <v>2472.25</v>
      </c>
      <c r="G149" s="15">
        <f t="shared" si="19"/>
        <v>2889.2</v>
      </c>
      <c r="H149" s="15">
        <f t="shared" si="20"/>
        <v>-756.36</v>
      </c>
      <c r="I149" s="15">
        <f t="shared" si="21"/>
        <v>-1039.7400000000002</v>
      </c>
      <c r="J149" s="15">
        <f t="shared" si="22"/>
        <v>-1312</v>
      </c>
      <c r="K149" s="15">
        <f t="shared" si="23"/>
        <v>-1575.8400000000001</v>
      </c>
      <c r="L149" s="15">
        <f t="shared" si="24"/>
        <v>-1833.96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1136.0000000000002</v>
      </c>
      <c r="D150" s="15">
        <f t="shared" si="16"/>
        <v>1703.4</v>
      </c>
      <c r="E150" s="15">
        <f t="shared" si="17"/>
        <v>2238.4</v>
      </c>
      <c r="F150" s="15">
        <f t="shared" si="18"/>
        <v>2741</v>
      </c>
      <c r="G150" s="15">
        <f t="shared" si="19"/>
        <v>3211.2000000000003</v>
      </c>
      <c r="H150" s="15">
        <f t="shared" si="20"/>
        <v>-804.7600000000001</v>
      </c>
      <c r="I150" s="15">
        <f t="shared" si="21"/>
        <v>-1104.8400000000001</v>
      </c>
      <c r="J150" s="15">
        <f t="shared" si="22"/>
        <v>-1392</v>
      </c>
      <c r="K150" s="15">
        <f t="shared" si="23"/>
        <v>-1668.94</v>
      </c>
      <c r="L150" s="15">
        <f t="shared" si="24"/>
        <v>-1938.3600000000001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1236</v>
      </c>
      <c r="D151" s="15">
        <f t="shared" si="16"/>
        <v>1861.1499999999999</v>
      </c>
      <c r="E151" s="15">
        <f t="shared" si="17"/>
        <v>2452.3999999999996</v>
      </c>
      <c r="F151" s="15">
        <f t="shared" si="18"/>
        <v>3009.75</v>
      </c>
      <c r="G151" s="15">
        <f t="shared" si="19"/>
        <v>3533.2</v>
      </c>
      <c r="H151" s="15">
        <f t="shared" si="20"/>
        <v>-853.16</v>
      </c>
      <c r="I151" s="15">
        <f t="shared" si="21"/>
        <v>-1169.94</v>
      </c>
      <c r="J151" s="15">
        <f t="shared" si="22"/>
        <v>-1472</v>
      </c>
      <c r="K151" s="15">
        <f t="shared" si="23"/>
        <v>-1762.04</v>
      </c>
      <c r="L151" s="15">
        <f t="shared" si="24"/>
        <v>-2042.76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1336</v>
      </c>
      <c r="D152" s="15">
        <f t="shared" si="16"/>
        <v>2018.9</v>
      </c>
      <c r="E152" s="15">
        <f t="shared" si="17"/>
        <v>2666.4</v>
      </c>
      <c r="F152" s="15">
        <f t="shared" si="18"/>
        <v>3278.5</v>
      </c>
      <c r="G152" s="15">
        <f t="shared" si="19"/>
        <v>3855.2000000000003</v>
      </c>
      <c r="H152" s="15">
        <f t="shared" si="20"/>
        <v>-901.56000000000006</v>
      </c>
      <c r="I152" s="15">
        <f t="shared" si="21"/>
        <v>-1235.0400000000002</v>
      </c>
      <c r="J152" s="15">
        <f t="shared" si="22"/>
        <v>-1552</v>
      </c>
      <c r="K152" s="15">
        <f t="shared" si="23"/>
        <v>-1855.1399999999999</v>
      </c>
      <c r="L152" s="15">
        <f t="shared" si="24"/>
        <v>-2147.16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1436</v>
      </c>
      <c r="D153" s="15">
        <f t="shared" si="16"/>
        <v>2176.6499999999996</v>
      </c>
      <c r="E153" s="15">
        <f t="shared" si="17"/>
        <v>2880.3999999999996</v>
      </c>
      <c r="F153" s="15">
        <f t="shared" si="18"/>
        <v>3547.25</v>
      </c>
      <c r="G153" s="15">
        <f t="shared" si="19"/>
        <v>4177.2</v>
      </c>
      <c r="H153" s="15">
        <f t="shared" si="20"/>
        <v>-949.95999999999992</v>
      </c>
      <c r="I153" s="15">
        <f t="shared" si="21"/>
        <v>-1300.1400000000001</v>
      </c>
      <c r="J153" s="15">
        <f t="shared" si="22"/>
        <v>-1632</v>
      </c>
      <c r="K153" s="15">
        <f t="shared" si="23"/>
        <v>-1948.2399999999998</v>
      </c>
      <c r="L153" s="15">
        <f t="shared" si="24"/>
        <v>-2251.5599999999995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1536</v>
      </c>
      <c r="D154" s="15">
        <f t="shared" si="16"/>
        <v>2334.4</v>
      </c>
      <c r="E154" s="15">
        <f t="shared" si="17"/>
        <v>3094.4</v>
      </c>
      <c r="F154" s="15">
        <f t="shared" si="18"/>
        <v>3816</v>
      </c>
      <c r="G154" s="15">
        <f t="shared" si="19"/>
        <v>4499.2</v>
      </c>
      <c r="H154" s="15">
        <f t="shared" si="20"/>
        <v>-998.36</v>
      </c>
      <c r="I154" s="15">
        <f t="shared" si="21"/>
        <v>-1365.2400000000002</v>
      </c>
      <c r="J154" s="15">
        <f t="shared" si="22"/>
        <v>-1712</v>
      </c>
      <c r="K154" s="15">
        <f t="shared" si="23"/>
        <v>-2041.3400000000001</v>
      </c>
      <c r="L154" s="15">
        <f t="shared" si="24"/>
        <v>-2355.96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55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41</v>
      </c>
      <c r="C164" t="s">
        <v>42</v>
      </c>
      <c r="D164" t="s">
        <v>43</v>
      </c>
      <c r="E164" t="s">
        <v>44</v>
      </c>
      <c r="F164" t="s">
        <v>15</v>
      </c>
      <c r="G164" t="s">
        <v>56</v>
      </c>
      <c r="H164" t="s">
        <v>45</v>
      </c>
      <c r="I164" t="s">
        <v>36</v>
      </c>
      <c r="J164" t="s">
        <v>46</v>
      </c>
      <c r="K164" t="s">
        <v>57</v>
      </c>
      <c r="L164" t="s">
        <v>47</v>
      </c>
      <c r="M164" t="s">
        <v>20</v>
      </c>
      <c r="N164" t="s">
        <v>21</v>
      </c>
      <c r="O164" t="s">
        <v>48</v>
      </c>
      <c r="P164" t="s">
        <v>39</v>
      </c>
      <c r="Q164" t="s">
        <v>49</v>
      </c>
      <c r="R164" t="s">
        <v>50</v>
      </c>
      <c r="S164" t="s">
        <v>51</v>
      </c>
      <c r="T164" t="s">
        <v>52</v>
      </c>
      <c r="U164" t="s">
        <v>53</v>
      </c>
      <c r="V164" t="s">
        <v>54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3000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0.35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0.52</v>
      </c>
      <c r="I165">
        <f>F165*H165</f>
        <v>1560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1000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2560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2500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0.57999999999999996</v>
      </c>
      <c r="P165">
        <f>M165*O165</f>
        <v>1450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2026-10-04T16:13:30Z</dcterms:modified>
</cp:coreProperties>
</file>