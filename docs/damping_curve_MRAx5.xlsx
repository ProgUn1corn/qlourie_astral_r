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666FCB08-1A34-41E7-A62D-545374C5B247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<sst xmlns="http://schemas.openxmlformats.org/spreadsheetml/2006/main" count="220" uniqueCount="90">
  <si>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</si>
  <si>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</si>
  <si>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</si>
  <si>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</si>
  <si>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</si>
  <si>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</si>
  <si>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</si>
  <si>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</si>
  <si>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</si>
  <si>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</si>
  <si>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</si>
  <si>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</si>
  <si>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</si>
  <si>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</si>
  <si>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</si>
  <si>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</si>
  <si>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</si>
  <si>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</si>
  <si>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</si>
  <si>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</si>
  <si>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</si>
  <si>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</si>
  <si>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</si>
  <si>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</si>
  <si>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</si>
  <si>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</si>
  <si>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</si>
  <si>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</si>
  <si>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</si>
  <si>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</si>
  <si>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</si>
  <si>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</si>
  <si>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</si>
  <si>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</si>
  <si>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</si>
  <si>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</si>
  <si>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</si>
  <si>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</si>
  <si>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</si>
  <si>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</si>
  <si>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</si>
  <si>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</si>
  <si>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</si>
  <si>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</si>
  <si>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</si>
  <si>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</si>
  <si>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</si>
  <si>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</si>
  <si>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</si>
  <si>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</si>
  <si>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</si>
  <si>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</si>
  <si>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</si>
  <si>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</si>
  <si>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</si>
  <si>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</si>
  <si>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</si>
  <si>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</si>
  <si>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</si>
  <si>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</si>
  <si>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CTM Racing · MRAx5 · Damping Calculator</t>
  </si>
  <si>
    <t>MRA65 / MRA85 · 砂石拉力 · c / C / R 调节与阻尼力计算</t>
  </si>
  <si>
    <t>当前曲线参数</t>
  </si>
  <si>
    <t>HSbump · 高速增量</t>
  </si>
  <si>
    <t>CTM Racing · MRAx5 · Valving Parameters</t>
  </si>
  <si>
    <t>HSbump · 高速增量</t>
  </si>
  <si>
    <t>LSR · R（MRA65）</t>
  </si>
  <si>
    <t>Adjusters · 调节格数</t>
  </si>
  <si>
    <t>Model · 基础阻尼模型</t>
  </si>
  <si>
    <t>理论曲线采用连续分段接续假设；仅计算基础阻尼，不包含气体支撑、弹簧、HBS/HRS 或 LRS/DSV。</t>
  </si>
  <si>
    <t>CTM Racing · MRAx5 · LSC Sweep · 读取对应 Sweep 页的阀系选择</t>
  </si>
  <si>
    <t>CTM Racing · MRAx5 · HSC Sweep · 读取对应 Sweep 页的阀系选择</t>
  </si>
  <si>
    <t>CTM Racing · MRAx5 · LSR Sweep · 读取对应 Sweep 页的阀系选择</t>
  </si>
  <si>
    <t>CTM Racing · MRAx5 · Full Sweep · 读取对应 Sweep 页的阀系选择</t>
  </si>
  <si>
    <t>CTM Racing · MRAx5 · LSC Sweep</t>
  </si>
  <si>
    <t>砂石拉力 · Type-A / Type-B 阀系；各页独立选择。</t>
  </si>
  <si>
    <t>CTM Racing · MRAx5 · HSC Sweep</t>
  </si>
  <si>
    <t>砂石拉力 · Type-A / Type-B 阀系；各页独立选择。</t>
  </si>
  <si>
    <t>CTM Racing · MRAx5 · LSR Sweep</t>
  </si>
  <si>
    <t>砂石拉力 · Type-A / Type-B 阀系；各页独立选择。</t>
  </si>
  <si>
    <t>CTM Racing · MRAx5 · Full Sweep</t>
  </si>
  <si>
    <t>砂石拉力 · Type-A / Type-B 阀系；各页独立选择。</t>
  </si>
  <si>
    <t>避震器型号</t>
  </si>
  <si>
    <t>MRA65</t>
  </si>
  <si>
    <t>MRA65 / MRA85 / MRA85 (Mod) · 砂石拉力系列；黄色单元格为可编辑标定。</t>
  </si>
  <si>
    <t>LSC · 全系列</t>
  </si>
  <si>
    <t>HSC · 全系列</t>
  </si>
  <si>
    <t>LSR · MRA65 / 8系改型</t>
  </si>
  <si>
    <t>LSR · MRA85</t>
  </si>
  <si>
    <t>MRA65 与 MRA85 (Mod)：40 格回弹；MRA85：60 格。Sweep 采用 40 格标尺，型号在计算器选择。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</si>
</sst>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2" fontId="11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685.80000000000007</c:v>
                </c:pt>
                <c:pt idx="9">
                  <c:v>741.6</c:v>
                </c:pt>
                <c:pt idx="10">
                  <c:v>797.40000000000009</c:v>
                </c:pt>
                <c:pt idx="11">
                  <c:v>853.2</c:v>
                </c:pt>
                <c:pt idx="12">
                  <c:v>909</c:v>
                </c:pt>
                <c:pt idx="13">
                  <c:v>989.80000000000007</c:v>
                </c:pt>
                <c:pt idx="14">
                  <c:v>1070.5999999999999</c:v>
                </c:pt>
                <c:pt idx="15">
                  <c:v>1151.4000000000001</c:v>
                </c:pt>
                <c:pt idx="16">
                  <c:v>1232.2</c:v>
                </c:pt>
                <c:pt idx="17">
                  <c:v>1313</c:v>
                </c:pt>
                <c:pt idx="18">
                  <c:v>1393.8000000000002</c:v>
                </c:pt>
                <c:pt idx="19">
                  <c:v>1474.6</c:v>
                </c:pt>
                <c:pt idx="20">
                  <c:v>1555.4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912</c:v>
                </c:pt>
                <c:pt idx="9">
                  <c:v>984</c:v>
                </c:pt>
                <c:pt idx="10">
                  <c:v>1056</c:v>
                </c:pt>
                <c:pt idx="11">
                  <c:v>1128</c:v>
                </c:pt>
                <c:pt idx="12">
                  <c:v>1200</c:v>
                </c:pt>
                <c:pt idx="13">
                  <c:v>1297</c:v>
                </c:pt>
                <c:pt idx="14">
                  <c:v>1394</c:v>
                </c:pt>
                <c:pt idx="15">
                  <c:v>1491</c:v>
                </c:pt>
                <c:pt idx="16">
                  <c:v>1588</c:v>
                </c:pt>
                <c:pt idx="17">
                  <c:v>1685</c:v>
                </c:pt>
                <c:pt idx="18">
                  <c:v>1782</c:v>
                </c:pt>
                <c:pt idx="19">
                  <c:v>1879</c:v>
                </c:pt>
                <c:pt idx="20">
                  <c:v>1976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1360.8000000000002</c:v>
                </c:pt>
                <c:pt idx="9">
                  <c:v>1461.6000000000001</c:v>
                </c:pt>
                <c:pt idx="10">
                  <c:v>1562.4</c:v>
                </c:pt>
                <c:pt idx="11">
                  <c:v>1663.2000000000003</c:v>
                </c:pt>
                <c:pt idx="12">
                  <c:v>1764</c:v>
                </c:pt>
                <c:pt idx="13">
                  <c:v>1889.8000000000002</c:v>
                </c:pt>
                <c:pt idx="14">
                  <c:v>2015.6</c:v>
                </c:pt>
                <c:pt idx="15">
                  <c:v>2141.4</c:v>
                </c:pt>
                <c:pt idx="16">
                  <c:v>2267.2000000000003</c:v>
                </c:pt>
                <c:pt idx="17">
                  <c:v>2393</c:v>
                </c:pt>
                <c:pt idx="18">
                  <c:v>2518.8000000000002</c:v>
                </c:pt>
                <c:pt idx="19">
                  <c:v>2644.6000000000004</c:v>
                </c:pt>
                <c:pt idx="20">
                  <c:v>2770.4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1583.4</c:v>
                </c:pt>
                <c:pt idx="9">
                  <c:v>1696.8000000000002</c:v>
                </c:pt>
                <c:pt idx="10">
                  <c:v>1810.2</c:v>
                </c:pt>
                <c:pt idx="11">
                  <c:v>1923.6000000000001</c:v>
                </c:pt>
                <c:pt idx="12">
                  <c:v>2037</c:v>
                </c:pt>
                <c:pt idx="13">
                  <c:v>2175.4</c:v>
                </c:pt>
                <c:pt idx="14">
                  <c:v>2313.8000000000002</c:v>
                </c:pt>
                <c:pt idx="15">
                  <c:v>2452.1999999999998</c:v>
                </c:pt>
                <c:pt idx="16">
                  <c:v>2590.6000000000004</c:v>
                </c:pt>
                <c:pt idx="17">
                  <c:v>2729</c:v>
                </c:pt>
                <c:pt idx="18">
                  <c:v>2867.4</c:v>
                </c:pt>
                <c:pt idx="19">
                  <c:v>3005.8</c:v>
                </c:pt>
                <c:pt idx="20">
                  <c:v>3144.2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274.12</c:v>
                </c:pt>
                <c:pt idx="6">
                  <c:v>326.91999999999996</c:v>
                </c:pt>
                <c:pt idx="7">
                  <c:v>379.71999999999997</c:v>
                </c:pt>
                <c:pt idx="8">
                  <c:v>432.52</c:v>
                </c:pt>
                <c:pt idx="9">
                  <c:v>485.32</c:v>
                </c:pt>
                <c:pt idx="10">
                  <c:v>538.12</c:v>
                </c:pt>
                <c:pt idx="11">
                  <c:v>590.92000000000007</c:v>
                </c:pt>
                <c:pt idx="12">
                  <c:v>643.72</c:v>
                </c:pt>
                <c:pt idx="13">
                  <c:v>696.52</c:v>
                </c:pt>
                <c:pt idx="14">
                  <c:v>749.31999999999994</c:v>
                </c:pt>
                <c:pt idx="15">
                  <c:v>802.12</c:v>
                </c:pt>
                <c:pt idx="16">
                  <c:v>854.92000000000007</c:v>
                </c:pt>
                <c:pt idx="17">
                  <c:v>907.72</c:v>
                </c:pt>
                <c:pt idx="18">
                  <c:v>960.5200000000001</c:v>
                </c:pt>
                <c:pt idx="19">
                  <c:v>1013.3199999999999</c:v>
                </c:pt>
                <c:pt idx="20">
                  <c:v>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459.41999999999996</c:v>
                </c:pt>
                <c:pt idx="7">
                  <c:v>530.72</c:v>
                </c:pt>
                <c:pt idx="8">
                  <c:v>602.02</c:v>
                </c:pt>
                <c:pt idx="9">
                  <c:v>673.31999999999994</c:v>
                </c:pt>
                <c:pt idx="10">
                  <c:v>744.62</c:v>
                </c:pt>
                <c:pt idx="11">
                  <c:v>815.92000000000007</c:v>
                </c:pt>
                <c:pt idx="12">
                  <c:v>887.22</c:v>
                </c:pt>
                <c:pt idx="13">
                  <c:v>958.52</c:v>
                </c:pt>
                <c:pt idx="14">
                  <c:v>1029.82</c:v>
                </c:pt>
                <c:pt idx="15">
                  <c:v>1101.1199999999999</c:v>
                </c:pt>
                <c:pt idx="16">
                  <c:v>1172.42</c:v>
                </c:pt>
                <c:pt idx="17">
                  <c:v>1243.7199999999998</c:v>
                </c:pt>
                <c:pt idx="18">
                  <c:v>1315.02</c:v>
                </c:pt>
                <c:pt idx="19">
                  <c:v>1386.32</c:v>
                </c:pt>
                <c:pt idx="20">
                  <c:v>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595.19999999999993</c:v>
                </c:pt>
                <c:pt idx="7">
                  <c:v>683.19999999999993</c:v>
                </c:pt>
                <c:pt idx="8">
                  <c:v>771.2</c:v>
                </c:pt>
                <c:pt idx="9">
                  <c:v>859.2</c:v>
                </c:pt>
                <c:pt idx="10">
                  <c:v>947.19999999999993</c:v>
                </c:pt>
                <c:pt idx="11">
                  <c:v>1035.2</c:v>
                </c:pt>
                <c:pt idx="12">
                  <c:v>1123.1999999999998</c:v>
                </c:pt>
                <c:pt idx="13">
                  <c:v>1211.2</c:v>
                </c:pt>
                <c:pt idx="14">
                  <c:v>1299.1999999999998</c:v>
                </c:pt>
                <c:pt idx="15">
                  <c:v>1387.1999999999998</c:v>
                </c:pt>
                <c:pt idx="16">
                  <c:v>1475.2</c:v>
                </c:pt>
                <c:pt idx="17">
                  <c:v>1563.1999999999998</c:v>
                </c:pt>
                <c:pt idx="18">
                  <c:v>1651.2</c:v>
                </c:pt>
                <c:pt idx="19">
                  <c:v>1739.1999999999998</c:v>
                </c:pt>
                <c:pt idx="20">
                  <c:v>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839.86</c:v>
                </c:pt>
                <c:pt idx="8">
                  <c:v>942.76</c:v>
                </c:pt>
                <c:pt idx="9">
                  <c:v>1045.6600000000001</c:v>
                </c:pt>
                <c:pt idx="10">
                  <c:v>1148.56</c:v>
                </c:pt>
                <c:pt idx="11">
                  <c:v>1251.46</c:v>
                </c:pt>
                <c:pt idx="12">
                  <c:v>1354.3600000000001</c:v>
                </c:pt>
                <c:pt idx="13">
                  <c:v>1457.2600000000002</c:v>
                </c:pt>
                <c:pt idx="14">
                  <c:v>1560.1599999999999</c:v>
                </c:pt>
                <c:pt idx="15">
                  <c:v>1663.06</c:v>
                </c:pt>
                <c:pt idx="16">
                  <c:v>1765.96</c:v>
                </c:pt>
                <c:pt idx="17">
                  <c:v>1868.8600000000001</c:v>
                </c:pt>
                <c:pt idx="18">
                  <c:v>1971.7600000000002</c:v>
                </c:pt>
                <c:pt idx="19">
                  <c:v>2074.66</c:v>
                </c:pt>
                <c:pt idx="20">
                  <c:v>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1003.3999999999999</c:v>
                </c:pt>
                <c:pt idx="8">
                  <c:v>1119.4000000000001</c:v>
                </c:pt>
                <c:pt idx="9">
                  <c:v>1235.4000000000001</c:v>
                </c:pt>
                <c:pt idx="10">
                  <c:v>1351.4</c:v>
                </c:pt>
                <c:pt idx="11">
                  <c:v>1467.4</c:v>
                </c:pt>
                <c:pt idx="12">
                  <c:v>1583.3999999999999</c:v>
                </c:pt>
                <c:pt idx="13">
                  <c:v>1699.4</c:v>
                </c:pt>
                <c:pt idx="14">
                  <c:v>1815.3999999999999</c:v>
                </c:pt>
                <c:pt idx="15">
                  <c:v>1931.4</c:v>
                </c:pt>
                <c:pt idx="16">
                  <c:v>2047.4</c:v>
                </c:pt>
                <c:pt idx="17">
                  <c:v>2163.4</c:v>
                </c:pt>
                <c:pt idx="18">
                  <c:v>2279.4</c:v>
                </c:pt>
                <c:pt idx="19">
                  <c:v>2395.3999999999996</c:v>
                </c:pt>
                <c:pt idx="20">
                  <c:v>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505.8</c:v>
                </c:pt>
                <c:pt idx="7">
                  <c:v>561.6</c:v>
                </c:pt>
                <c:pt idx="8">
                  <c:v>617.40000000000009</c:v>
                </c:pt>
                <c:pt idx="9">
                  <c:v>673.2</c:v>
                </c:pt>
                <c:pt idx="10">
                  <c:v>729</c:v>
                </c:pt>
                <c:pt idx="11">
                  <c:v>784.80000000000007</c:v>
                </c:pt>
                <c:pt idx="12">
                  <c:v>840.59999999999991</c:v>
                </c:pt>
                <c:pt idx="13">
                  <c:v>921.40000000000009</c:v>
                </c:pt>
                <c:pt idx="14">
                  <c:v>1002.1999999999999</c:v>
                </c:pt>
                <c:pt idx="15">
                  <c:v>1083</c:v>
                </c:pt>
                <c:pt idx="16">
                  <c:v>1163.8000000000002</c:v>
                </c:pt>
                <c:pt idx="17">
                  <c:v>1244.5999999999999</c:v>
                </c:pt>
                <c:pt idx="18">
                  <c:v>1325.4</c:v>
                </c:pt>
                <c:pt idx="19">
                  <c:v>1406.1999999999998</c:v>
                </c:pt>
                <c:pt idx="20">
                  <c:v>1487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792</c:v>
                </c:pt>
                <c:pt idx="8">
                  <c:v>864</c:v>
                </c:pt>
                <c:pt idx="9">
                  <c:v>936</c:v>
                </c:pt>
                <c:pt idx="10">
                  <c:v>1008</c:v>
                </c:pt>
                <c:pt idx="11">
                  <c:v>1080</c:v>
                </c:pt>
                <c:pt idx="12">
                  <c:v>1152</c:v>
                </c:pt>
                <c:pt idx="13">
                  <c:v>1249</c:v>
                </c:pt>
                <c:pt idx="14">
                  <c:v>1346</c:v>
                </c:pt>
                <c:pt idx="15">
                  <c:v>1443</c:v>
                </c:pt>
                <c:pt idx="16">
                  <c:v>1540</c:v>
                </c:pt>
                <c:pt idx="17">
                  <c:v>1637</c:v>
                </c:pt>
                <c:pt idx="18">
                  <c:v>1734</c:v>
                </c:pt>
                <c:pt idx="19">
                  <c:v>1831</c:v>
                </c:pt>
                <c:pt idx="20">
                  <c:v>1928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1440</c:v>
                </c:pt>
                <c:pt idx="9">
                  <c:v>1540.8</c:v>
                </c:pt>
                <c:pt idx="10">
                  <c:v>1641.6</c:v>
                </c:pt>
                <c:pt idx="11">
                  <c:v>1742.4</c:v>
                </c:pt>
                <c:pt idx="12">
                  <c:v>1843.1999999999998</c:v>
                </c:pt>
                <c:pt idx="13">
                  <c:v>1969</c:v>
                </c:pt>
                <c:pt idx="14">
                  <c:v>2094.7999999999997</c:v>
                </c:pt>
                <c:pt idx="15">
                  <c:v>2220.6</c:v>
                </c:pt>
                <c:pt idx="16">
                  <c:v>2346.4</c:v>
                </c:pt>
                <c:pt idx="17">
                  <c:v>2472.1999999999998</c:v>
                </c:pt>
                <c:pt idx="18">
                  <c:v>2598</c:v>
                </c:pt>
                <c:pt idx="19">
                  <c:v>2723.8</c:v>
                </c:pt>
                <c:pt idx="20">
                  <c:v>2849.6000000000004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1680</c:v>
                </c:pt>
                <c:pt idx="9">
                  <c:v>1890</c:v>
                </c:pt>
                <c:pt idx="10">
                  <c:v>2003.4</c:v>
                </c:pt>
                <c:pt idx="11">
                  <c:v>2116.8000000000002</c:v>
                </c:pt>
                <c:pt idx="12">
                  <c:v>2230.1999999999998</c:v>
                </c:pt>
                <c:pt idx="13">
                  <c:v>2368.6</c:v>
                </c:pt>
                <c:pt idx="14">
                  <c:v>2507</c:v>
                </c:pt>
                <c:pt idx="15">
                  <c:v>2645.4</c:v>
                </c:pt>
                <c:pt idx="16">
                  <c:v>2783.8</c:v>
                </c:pt>
                <c:pt idx="17">
                  <c:v>2922.2</c:v>
                </c:pt>
                <c:pt idx="18">
                  <c:v>3060.6</c:v>
                </c:pt>
                <c:pt idx="19">
                  <c:v>3199</c:v>
                </c:pt>
                <c:pt idx="20">
                  <c:v>3337.4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-80</c:v>
                </c:pt>
                <c:pt idx="2">
                  <c:v>-160</c:v>
                </c:pt>
                <c:pt idx="3">
                  <c:v>-240</c:v>
                </c:pt>
                <c:pt idx="4">
                  <c:v>-320</c:v>
                </c:pt>
                <c:pt idx="5">
                  <c:v>-372.8</c:v>
                </c:pt>
                <c:pt idx="6">
                  <c:v>-425.59999999999997</c:v>
                </c:pt>
                <c:pt idx="7">
                  <c:v>-478.4</c:v>
                </c:pt>
                <c:pt idx="8">
                  <c:v>-531.20000000000005</c:v>
                </c:pt>
                <c:pt idx="9">
                  <c:v>-584</c:v>
                </c:pt>
                <c:pt idx="10">
                  <c:v>-636.79999999999995</c:v>
                </c:pt>
                <c:pt idx="11">
                  <c:v>-689.6</c:v>
                </c:pt>
                <c:pt idx="12">
                  <c:v>-742.4</c:v>
                </c:pt>
                <c:pt idx="13">
                  <c:v>-795.2</c:v>
                </c:pt>
                <c:pt idx="14">
                  <c:v>-847.99999999999989</c:v>
                </c:pt>
                <c:pt idx="15">
                  <c:v>-900.80000000000007</c:v>
                </c:pt>
                <c:pt idx="16">
                  <c:v>-953.60000000000014</c:v>
                </c:pt>
                <c:pt idx="17">
                  <c:v>-1006.3999999999999</c:v>
                </c:pt>
                <c:pt idx="18">
                  <c:v>-1059.1999999999998</c:v>
                </c:pt>
                <c:pt idx="19">
                  <c:v>-1112</c:v>
                </c:pt>
                <c:pt idx="20">
                  <c:v>-1164.8000000000002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-102.5</c:v>
                </c:pt>
                <c:pt idx="2">
                  <c:v>-205</c:v>
                </c:pt>
                <c:pt idx="3">
                  <c:v>-307.5</c:v>
                </c:pt>
                <c:pt idx="4">
                  <c:v>-410</c:v>
                </c:pt>
                <c:pt idx="5">
                  <c:v>-493.02499999999998</c:v>
                </c:pt>
                <c:pt idx="6">
                  <c:v>-556.57499999999993</c:v>
                </c:pt>
                <c:pt idx="7">
                  <c:v>-620.125</c:v>
                </c:pt>
                <c:pt idx="8">
                  <c:v>-683.67499999999995</c:v>
                </c:pt>
                <c:pt idx="9">
                  <c:v>-747.22500000000002</c:v>
                </c:pt>
                <c:pt idx="10">
                  <c:v>-810.77500000000009</c:v>
                </c:pt>
                <c:pt idx="11">
                  <c:v>-874.32500000000005</c:v>
                </c:pt>
                <c:pt idx="12">
                  <c:v>-937.875</c:v>
                </c:pt>
                <c:pt idx="13">
                  <c:v>-1001.4250000000001</c:v>
                </c:pt>
                <c:pt idx="14">
                  <c:v>-1064.9749999999999</c:v>
                </c:pt>
                <c:pt idx="15">
                  <c:v>-1128.5250000000001</c:v>
                </c:pt>
                <c:pt idx="16">
                  <c:v>-1192.075</c:v>
                </c:pt>
                <c:pt idx="17">
                  <c:v>-1255.625</c:v>
                </c:pt>
                <c:pt idx="18">
                  <c:v>-1319.1750000000002</c:v>
                </c:pt>
                <c:pt idx="19">
                  <c:v>-1382.7249999999999</c:v>
                </c:pt>
                <c:pt idx="20">
                  <c:v>-1446.2750000000001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-697.5</c:v>
                </c:pt>
                <c:pt idx="7">
                  <c:v>-770</c:v>
                </c:pt>
                <c:pt idx="8">
                  <c:v>-842.5</c:v>
                </c:pt>
                <c:pt idx="9">
                  <c:v>-915</c:v>
                </c:pt>
                <c:pt idx="10">
                  <c:v>-987.5</c:v>
                </c:pt>
                <c:pt idx="11">
                  <c:v>-1060</c:v>
                </c:pt>
                <c:pt idx="12">
                  <c:v>-1132.5</c:v>
                </c:pt>
                <c:pt idx="13">
                  <c:v>-1205</c:v>
                </c:pt>
                <c:pt idx="14">
                  <c:v>-1277.5</c:v>
                </c:pt>
                <c:pt idx="15">
                  <c:v>-1350</c:v>
                </c:pt>
                <c:pt idx="16">
                  <c:v>-1422.5</c:v>
                </c:pt>
                <c:pt idx="17">
                  <c:v>-1495</c:v>
                </c:pt>
                <c:pt idx="18">
                  <c:v>-1567.5</c:v>
                </c:pt>
                <c:pt idx="19">
                  <c:v>-1640</c:v>
                </c:pt>
                <c:pt idx="20">
                  <c:v>-1712.5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-147.5</c:v>
                </c:pt>
                <c:pt idx="2">
                  <c:v>-295</c:v>
                </c:pt>
                <c:pt idx="3">
                  <c:v>-442.5</c:v>
                </c:pt>
                <c:pt idx="4">
                  <c:v>-590</c:v>
                </c:pt>
                <c:pt idx="5">
                  <c:v>-737.5</c:v>
                </c:pt>
                <c:pt idx="6">
                  <c:v>-851.07500000000005</c:v>
                </c:pt>
                <c:pt idx="7">
                  <c:v>-930.72500000000002</c:v>
                </c:pt>
                <c:pt idx="8">
                  <c:v>-1010.3750000000001</c:v>
                </c:pt>
                <c:pt idx="9">
                  <c:v>-1090.0250000000001</c:v>
                </c:pt>
                <c:pt idx="10">
                  <c:v>-1169.6750000000002</c:v>
                </c:pt>
                <c:pt idx="11">
                  <c:v>-1249.3250000000003</c:v>
                </c:pt>
                <c:pt idx="12">
                  <c:v>-1328.9749999999999</c:v>
                </c:pt>
                <c:pt idx="13">
                  <c:v>-1408.625</c:v>
                </c:pt>
                <c:pt idx="14">
                  <c:v>-1488.2750000000001</c:v>
                </c:pt>
                <c:pt idx="15">
                  <c:v>-1567.9250000000002</c:v>
                </c:pt>
                <c:pt idx="16">
                  <c:v>-1647.5750000000003</c:v>
                </c:pt>
                <c:pt idx="17">
                  <c:v>-1727.2249999999999</c:v>
                </c:pt>
                <c:pt idx="18">
                  <c:v>-1806.875</c:v>
                </c:pt>
                <c:pt idx="19">
                  <c:v>-1886.5250000000001</c:v>
                </c:pt>
                <c:pt idx="20">
                  <c:v>-1966.1750000000002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-170</c:v>
                </c:pt>
                <c:pt idx="2">
                  <c:v>-340</c:v>
                </c:pt>
                <c:pt idx="3">
                  <c:v>-510</c:v>
                </c:pt>
                <c:pt idx="4">
                  <c:v>-680</c:v>
                </c:pt>
                <c:pt idx="5">
                  <c:v>-850</c:v>
                </c:pt>
                <c:pt idx="6">
                  <c:v>-1020</c:v>
                </c:pt>
                <c:pt idx="7">
                  <c:v>-1105</c:v>
                </c:pt>
                <c:pt idx="8">
                  <c:v>-1190</c:v>
                </c:pt>
                <c:pt idx="9">
                  <c:v>-1275</c:v>
                </c:pt>
                <c:pt idx="10">
                  <c:v>-1360</c:v>
                </c:pt>
                <c:pt idx="11">
                  <c:v>-1445</c:v>
                </c:pt>
                <c:pt idx="12">
                  <c:v>-1530</c:v>
                </c:pt>
                <c:pt idx="13">
                  <c:v>-1615</c:v>
                </c:pt>
                <c:pt idx="14">
                  <c:v>-1700</c:v>
                </c:pt>
                <c:pt idx="15">
                  <c:v>-1785</c:v>
                </c:pt>
                <c:pt idx="16">
                  <c:v>-1870</c:v>
                </c:pt>
                <c:pt idx="17">
                  <c:v>-1955</c:v>
                </c:pt>
                <c:pt idx="18">
                  <c:v>-2040</c:v>
                </c:pt>
                <c:pt idx="19">
                  <c:v>-2125</c:v>
                </c:pt>
                <c:pt idx="20">
                  <c:v>-2210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C4" sqref="C4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60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61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82</v>
      </c>
      <c r="C6" s="10" t="s">
        <v>83</v>
      </c>
      <c r="D6" s="2"/>
      <c r="E6" s="2"/>
      <c r="F6" s="22" t="s">
        <v>28</v>
      </c>
      <c r="G6" s="22"/>
      <c r="H6" s="22"/>
      <c r="I6" s="22"/>
      <c r="J6" s="22"/>
      <c r="K6" s="2"/>
      <c r="L6" s="2"/>
      <c r="M6" s="2"/>
      <c r="N6" s="2"/>
      <c r="O6" s="2"/>
    </row>
    <row r="7" spans="1:15" ht="23.1" customHeight="1">
      <c r="A7" s="2"/>
      <c r="B7" s="2" t="s">
        <v>12</v>
      </c>
      <c r="C7" s="4">
        <v>-12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 t="s">
        <v>14</v>
      </c>
      <c r="C8" s="4">
        <v>-10</v>
      </c>
      <c r="D8" s="2"/>
      <c r="E8" s="2"/>
      <c r="F8" s="20" t="s">
        <v>29</v>
      </c>
      <c r="G8" s="20"/>
      <c r="H8" s="20"/>
      <c r="I8" s="26">
        <f>IF(C18="OK",Samples!F165*MIN(C10,Samples!G165)+Samples!I165*MAX(0,C10-Samples!G165)+Samples!J165*MAX(0,C10-Samples!K165),"检查输入")</f>
        <v>1597</v>
      </c>
      <c r="J8" s="26"/>
      <c r="K8" s="2"/>
      <c r="L8" s="2"/>
      <c r="M8" s="2"/>
      <c r="N8" s="2"/>
      <c r="O8" s="2"/>
    </row>
    <row r="9" spans="1:15" ht="23.1" customHeight="1">
      <c r="A9" s="2"/>
      <c r="B9" s="2" t="s">
        <v>30</v>
      </c>
      <c r="C9" s="4">
        <v>-20</v>
      </c>
      <c r="D9" s="2"/>
      <c r="E9" s="2"/>
      <c r="F9" s="2"/>
      <c r="G9" s="2"/>
      <c r="H9" s="2"/>
      <c r="I9" s="18"/>
      <c r="J9" s="18"/>
      <c r="K9" s="2"/>
      <c r="L9" s="2"/>
      <c r="M9" s="2"/>
      <c r="N9" s="2"/>
      <c r="O9" s="2"/>
    </row>
    <row r="10" spans="1:15" ht="23.1" customHeight="1">
      <c r="A10" s="2"/>
      <c r="B10" s="2" t="s">
        <v>31</v>
      </c>
      <c r="C10" s="17">
        <v>0.65</v>
      </c>
      <c r="D10" s="2"/>
      <c r="E10" s="2"/>
      <c r="F10" s="20" t="s">
        <v>32</v>
      </c>
      <c r="G10" s="20"/>
      <c r="H10" s="20"/>
      <c r="I10" s="26">
        <f>IF(C18="OK",Samples!M165*MIN(C10,Samples!N165)+Samples!P165*MAX(0,C10-Samples!N165),"检查输入")</f>
        <v>1205</v>
      </c>
      <c r="J10" s="26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 t="s">
        <v>33</v>
      </c>
      <c r="C13" s="2">
        <f>Parameters!D23</f>
        <v>24</v>
      </c>
      <c r="D13" s="2"/>
      <c r="E13" s="2"/>
      <c r="F13" s="22" t="s">
        <v>62</v>
      </c>
      <c r="G13" s="22"/>
      <c r="H13" s="22"/>
      <c r="I13" s="22"/>
      <c r="J13" s="22"/>
      <c r="K13" s="2"/>
      <c r="L13" s="2"/>
      <c r="M13" s="2"/>
      <c r="N13" s="2"/>
      <c r="O13" s="2"/>
    </row>
    <row r="14" spans="1:15" ht="23.1" customHeight="1">
      <c r="A14" s="2"/>
      <c r="B14" s="2" t="s">
        <v>34</v>
      </c>
      <c r="C14" s="2">
        <f>Parameters!D24</f>
        <v>20</v>
      </c>
      <c r="D14" s="2"/>
      <c r="E14" s="2"/>
      <c r="F14" s="20" t="s">
        <v>15</v>
      </c>
      <c r="G14" s="20"/>
      <c r="H14" s="20"/>
      <c r="I14" s="19">
        <f>Samples!F165</f>
        <v>3000</v>
      </c>
      <c r="J14" s="2" t="s">
        <v>16</v>
      </c>
      <c r="K14" s="2"/>
      <c r="L14" s="2"/>
      <c r="M14" s="2"/>
      <c r="N14" s="2"/>
      <c r="O14" s="2"/>
    </row>
    <row r="15" spans="1:15" ht="23.1" customHeight="1">
      <c r="A15" s="2"/>
      <c r="B15" s="2" t="s">
        <v>35</v>
      </c>
      <c r="C15" s="2">
        <f>IF(C6="MRA85",Parameters!D26,Parameters!D25)</f>
        <v>40</v>
      </c>
      <c r="D15" s="2"/>
      <c r="E15" s="2"/>
      <c r="F15" s="20" t="s">
        <v>36</v>
      </c>
      <c r="G15" s="20"/>
      <c r="H15" s="20"/>
      <c r="I15" s="19">
        <f>Samples!I165</f>
        <v>1739.9999999999998</v>
      </c>
      <c r="J15" s="2" t="s">
        <v>16</v>
      </c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0" t="s">
        <v>63</v>
      </c>
      <c r="G16" s="20"/>
      <c r="H16" s="20"/>
      <c r="I16" s="19">
        <f>Samples!J165</f>
        <v>500</v>
      </c>
      <c r="J16" s="2" t="s">
        <v>16</v>
      </c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0" t="s">
        <v>37</v>
      </c>
      <c r="G17" s="20"/>
      <c r="H17" s="20"/>
      <c r="I17" s="19">
        <f>Samples!L165</f>
        <v>2240</v>
      </c>
      <c r="J17" s="2" t="s">
        <v>16</v>
      </c>
      <c r="K17" s="2"/>
      <c r="L17" s="2"/>
      <c r="M17" s="2"/>
      <c r="N17" s="2"/>
      <c r="O17" s="2"/>
    </row>
    <row r="18" spans="1:15" ht="23.1" customHeight="1">
      <c r="A18" s="2"/>
      <c r="B18" s="2" t="s">
        <v>38</v>
      </c>
      <c r="C18" s="2" t="str">
        <f>IF(AND(OR(C4="Type-A",C4="Type-B"),OR(C6="MRA65",C6="MRA85",C6="MRA85 (Mod)"),COUNT(C7:C10)=4,C7&gt;=-C13,C7&lt;=0,C8&gt;=-C14,C8&lt;=0,C9&gt;=-C15,C9&lt;=0,C10&gt;=0,INT(C7)=C7,INT(C8)=C8,INT(C9)=C9),"OK","检查输入")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0" t="s">
        <v>20</v>
      </c>
      <c r="G19" s="20"/>
      <c r="H19" s="20"/>
      <c r="I19" s="19">
        <f>Samples!M165</f>
        <v>2500</v>
      </c>
      <c r="J19" s="2" t="s">
        <v>16</v>
      </c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0" t="s">
        <v>39</v>
      </c>
      <c r="G20" s="20"/>
      <c r="H20" s="20"/>
      <c r="I20" s="19">
        <f>Samples!P165</f>
        <v>1450</v>
      </c>
      <c r="J20" s="2" t="s">
        <v>16</v>
      </c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0" t="s">
        <v>56</v>
      </c>
      <c r="G22" s="20"/>
      <c r="H22" s="20"/>
      <c r="I22" s="6">
        <f>Samples!G165</f>
        <v>0.35</v>
      </c>
      <c r="J22" s="2" t="s">
        <v>17</v>
      </c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0" t="s">
        <v>57</v>
      </c>
      <c r="G23" s="20"/>
      <c r="H23" s="20"/>
      <c r="I23" s="6">
        <f>Samples!K165</f>
        <v>0.6</v>
      </c>
      <c r="J23" s="2" t="s">
        <v>17</v>
      </c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0" t="s">
        <v>21</v>
      </c>
      <c r="G24" s="20"/>
      <c r="H24" s="20"/>
      <c r="I24" s="6">
        <f>Samples!N165</f>
        <v>0.25</v>
      </c>
      <c r="J24" s="2" t="s">
        <v>17</v>
      </c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7" t="s">
        <v>40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"MRA65,MRA85,MRA85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75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2</v>
      </c>
      <c r="C6" s="4">
        <v>-10</v>
      </c>
      <c r="D6" s="2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77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5</v>
      </c>
      <c r="C6" s="4">
        <v>-12</v>
      </c>
      <c r="D6" s="2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79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80" workbookViewId="0">
      <pane ySplit="4" topLeftCell="A11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80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81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zoomScale="111" workbookViewId="0">
      <pane ySplit="4" topLeftCell="A5" activePane="bottomLeft" state="frozen"/>
      <selection pane="bottomLeft" activeCell="O15" sqref="O15"/>
    </sheetView>
  </sheetViews>
  <sheetFormatPr defaultRowHeight="14.25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64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"/>
    </row>
    <row r="3" spans="1:15" ht="23.1" customHeight="1">
      <c r="A3" s="2"/>
      <c r="B3" s="21" t="s">
        <v>84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"/>
    </row>
    <row r="4" spans="1:15" ht="23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23.1" customHeight="1">
      <c r="A5" s="2"/>
      <c r="B5" s="2"/>
      <c r="C5" s="2"/>
      <c r="D5" s="22" t="s">
        <v>1</v>
      </c>
      <c r="E5" s="22"/>
      <c r="F5" s="22"/>
      <c r="G5" s="22"/>
      <c r="H5" s="22"/>
      <c r="I5" s="2"/>
      <c r="J5" s="22" t="s">
        <v>9</v>
      </c>
      <c r="K5" s="22"/>
      <c r="L5" s="22"/>
      <c r="M5" s="22"/>
      <c r="N5" s="22"/>
      <c r="O5" s="2"/>
    </row>
    <row r="6" spans="1:15" ht="23.1" customHeight="1">
      <c r="A6" s="2"/>
      <c r="B6" s="2" t="s">
        <v>10</v>
      </c>
      <c r="C6" s="2" t="s">
        <v>11</v>
      </c>
      <c r="D6" s="3">
        <v>0</v>
      </c>
      <c r="E6" s="3">
        <v>0.25</v>
      </c>
      <c r="F6" s="3">
        <v>0.5</v>
      </c>
      <c r="G6" s="3">
        <v>0.75</v>
      </c>
      <c r="H6" s="3">
        <v>1</v>
      </c>
      <c r="I6" s="3"/>
      <c r="J6" s="3">
        <f>D6</f>
        <v>0</v>
      </c>
      <c r="K6" s="3">
        <f>E6</f>
        <v>0.25</v>
      </c>
      <c r="L6" s="3">
        <f>F6</f>
        <v>0.5</v>
      </c>
      <c r="M6" s="3">
        <f>G6</f>
        <v>0.75</v>
      </c>
      <c r="N6" s="3">
        <f>H6</f>
        <v>1</v>
      </c>
      <c r="O6" s="2"/>
    </row>
    <row r="7" spans="1:15" ht="23.1" customHeight="1">
      <c r="A7" s="2"/>
      <c r="B7" s="2" t="s">
        <v>12</v>
      </c>
      <c r="C7" s="2" t="s">
        <v>13</v>
      </c>
      <c r="D7" s="2">
        <f>(D$6-1)*$D$23</f>
        <v>-24</v>
      </c>
      <c r="E7" s="2">
        <f>(E$6-1)*$D$23</f>
        <v>-18</v>
      </c>
      <c r="F7" s="2">
        <f>(F$6-1)*$D$23</f>
        <v>-12</v>
      </c>
      <c r="G7" s="2">
        <f>(G$6-1)*$D$23</f>
        <v>-6</v>
      </c>
      <c r="H7" s="2">
        <f>(H$6-1)*$D$23</f>
        <v>0</v>
      </c>
      <c r="I7" s="2"/>
      <c r="J7" s="2">
        <f>(J$6-1)*$D$23</f>
        <v>-24</v>
      </c>
      <c r="K7" s="2">
        <f>(K$6-1)*$D$23</f>
        <v>-18</v>
      </c>
      <c r="L7" s="2">
        <f>(L$6-1)*$D$23</f>
        <v>-12</v>
      </c>
      <c r="M7" s="2">
        <f>(M$6-1)*$D$23</f>
        <v>-6</v>
      </c>
      <c r="N7" s="2">
        <f>(N$6-1)*$D$23</f>
        <v>0</v>
      </c>
      <c r="O7" s="2"/>
    </row>
    <row r="8" spans="1:15" ht="23.1" customHeight="1">
      <c r="A8" s="2"/>
      <c r="B8" s="2" t="s">
        <v>14</v>
      </c>
      <c r="C8" s="2" t="s">
        <v>13</v>
      </c>
      <c r="D8" s="2">
        <f>(D$6-1)*$D$24</f>
        <v>-20</v>
      </c>
      <c r="E8" s="2">
        <f>(E$6-1)*$D$24</f>
        <v>-15</v>
      </c>
      <c r="F8" s="2">
        <f>(F$6-1)*$D$24</f>
        <v>-10</v>
      </c>
      <c r="G8" s="2">
        <f>(G$6-1)*$D$24</f>
        <v>-5</v>
      </c>
      <c r="H8" s="2">
        <f>(H$6-1)*$D$24</f>
        <v>0</v>
      </c>
      <c r="I8" s="2"/>
      <c r="J8" s="2">
        <f>(J$6-1)*$D$24</f>
        <v>-20</v>
      </c>
      <c r="K8" s="2">
        <f>(K$6-1)*$D$24</f>
        <v>-15</v>
      </c>
      <c r="L8" s="2">
        <f>(L$6-1)*$D$24</f>
        <v>-10</v>
      </c>
      <c r="M8" s="2">
        <f>(M$6-1)*$D$24</f>
        <v>-5</v>
      </c>
      <c r="N8" s="2">
        <f>(N$6-1)*$D$24</f>
        <v>0</v>
      </c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 t="s">
        <v>15</v>
      </c>
      <c r="C10" s="2" t="s">
        <v>16</v>
      </c>
      <c r="D10" s="4">
        <v>1200</v>
      </c>
      <c r="E10" s="7">
        <f>(D10+F10)/2</f>
        <v>1800</v>
      </c>
      <c r="F10" s="4">
        <v>2400</v>
      </c>
      <c r="G10" s="7">
        <f>(F10+H10)/2</f>
        <v>3000</v>
      </c>
      <c r="H10" s="4">
        <v>3600</v>
      </c>
      <c r="I10" s="2"/>
      <c r="J10" s="4">
        <v>1800</v>
      </c>
      <c r="K10" s="7">
        <f>(J10+L10)/2</f>
        <v>2400</v>
      </c>
      <c r="L10" s="4">
        <v>3000</v>
      </c>
      <c r="M10" s="7">
        <f>(L10+N10)/2</f>
        <v>3600</v>
      </c>
      <c r="N10" s="4">
        <v>4200</v>
      </c>
      <c r="O10" s="2"/>
    </row>
    <row r="11" spans="1:15" ht="23.1" customHeight="1">
      <c r="A11" s="2"/>
      <c r="B11" s="2" t="s">
        <v>56</v>
      </c>
      <c r="C11" s="2" t="s">
        <v>17</v>
      </c>
      <c r="D11" s="5">
        <v>0.12</v>
      </c>
      <c r="E11" s="6">
        <f>(D11+F11)/2</f>
        <v>0.12</v>
      </c>
      <c r="F11" s="5">
        <v>0.12</v>
      </c>
      <c r="G11" s="6">
        <f>(F11+H11)/2</f>
        <v>0.12</v>
      </c>
      <c r="H11" s="5">
        <v>0.12</v>
      </c>
      <c r="I11" s="2"/>
      <c r="J11" s="5">
        <v>0.25</v>
      </c>
      <c r="K11" s="6">
        <f>(J11+L11)/2</f>
        <v>0.3</v>
      </c>
      <c r="L11" s="5">
        <v>0.35</v>
      </c>
      <c r="M11" s="6">
        <f>(L11+N11)/2</f>
        <v>0.4</v>
      </c>
      <c r="N11" s="5">
        <v>0.45</v>
      </c>
      <c r="O11" s="2"/>
    </row>
    <row r="12" spans="1:15" ht="23.1" customHeight="1">
      <c r="A12" s="2"/>
      <c r="B12" s="2" t="s">
        <v>18</v>
      </c>
      <c r="C12" s="2" t="s">
        <v>19</v>
      </c>
      <c r="D12" s="5">
        <v>1</v>
      </c>
      <c r="E12" s="6">
        <f>(D12+F12)/2</f>
        <v>0.97499999999999998</v>
      </c>
      <c r="F12" s="5">
        <v>0.95</v>
      </c>
      <c r="G12" s="6">
        <f>(F12+H12)/2</f>
        <v>0.92500000000000004</v>
      </c>
      <c r="H12" s="5">
        <v>0.9</v>
      </c>
      <c r="I12" s="2"/>
      <c r="J12" s="5">
        <v>0.62</v>
      </c>
      <c r="K12" s="6">
        <f>(J12+L12)/2</f>
        <v>0.6</v>
      </c>
      <c r="L12" s="5">
        <v>0.57999999999999996</v>
      </c>
      <c r="M12" s="6">
        <f>(L12+N12)/2</f>
        <v>0.56000000000000005</v>
      </c>
      <c r="N12" s="5">
        <v>0.54</v>
      </c>
      <c r="O12" s="2"/>
    </row>
    <row r="13" spans="1:15" ht="23.1" customHeight="1">
      <c r="A13" s="2"/>
      <c r="B13" s="2" t="s">
        <v>65</v>
      </c>
      <c r="C13" s="2" t="s">
        <v>16</v>
      </c>
      <c r="D13" s="4">
        <v>800</v>
      </c>
      <c r="E13" s="7">
        <f>(D13+F13)/2</f>
        <v>1400</v>
      </c>
      <c r="F13" s="4">
        <v>2000</v>
      </c>
      <c r="G13" s="7">
        <f>(F13+H13)/2</f>
        <v>2600</v>
      </c>
      <c r="H13" s="4">
        <v>3200</v>
      </c>
      <c r="I13" s="2"/>
      <c r="J13" s="4">
        <v>500</v>
      </c>
      <c r="K13" s="7">
        <f>(J13+L13)/2</f>
        <v>500</v>
      </c>
      <c r="L13" s="4">
        <v>500</v>
      </c>
      <c r="M13" s="7">
        <f>(L13+N13)/2</f>
        <v>500</v>
      </c>
      <c r="N13" s="4">
        <v>500</v>
      </c>
      <c r="O13" s="2"/>
    </row>
    <row r="14" spans="1:15" ht="23.1" customHeight="1">
      <c r="A14" s="2"/>
      <c r="B14" s="2" t="s">
        <v>57</v>
      </c>
      <c r="C14" s="2" t="s">
        <v>17</v>
      </c>
      <c r="D14" s="5">
        <v>0.57999999999999996</v>
      </c>
      <c r="E14" s="5">
        <v>0.59</v>
      </c>
      <c r="F14" s="5">
        <v>0.6</v>
      </c>
      <c r="G14" s="5">
        <v>0.61</v>
      </c>
      <c r="H14" s="5">
        <v>0.62</v>
      </c>
      <c r="I14" s="2"/>
      <c r="J14" s="5">
        <f>$L$14</f>
        <v>0.6</v>
      </c>
      <c r="K14" s="5">
        <f>$L$14</f>
        <v>0.6</v>
      </c>
      <c r="L14" s="5">
        <v>0.6</v>
      </c>
      <c r="M14" s="5">
        <f>$L$14</f>
        <v>0.6</v>
      </c>
      <c r="N14" s="5">
        <f>$L$14</f>
        <v>0.6</v>
      </c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 t="s">
        <v>66</v>
      </c>
      <c r="C16" s="2" t="s">
        <v>13</v>
      </c>
      <c r="D16" s="2">
        <f>(D$6-1)*$D$25</f>
        <v>-40</v>
      </c>
      <c r="E16" s="2">
        <f>(E$6-1)*$D$25</f>
        <v>-30</v>
      </c>
      <c r="F16" s="2">
        <f>(F$6-1)*$D$25</f>
        <v>-20</v>
      </c>
      <c r="G16" s="2">
        <f>(G$6-1)*$D$25</f>
        <v>-10</v>
      </c>
      <c r="H16" s="2">
        <f>(H$6-1)*$D$25</f>
        <v>0</v>
      </c>
      <c r="I16" s="2"/>
      <c r="J16" s="2">
        <f>(J$6-1)*$D$25</f>
        <v>-40</v>
      </c>
      <c r="K16" s="2">
        <f>(K$6-1)*$D$25</f>
        <v>-30</v>
      </c>
      <c r="L16" s="2">
        <f>(L$6-1)*$D$25</f>
        <v>-20</v>
      </c>
      <c r="M16" s="2">
        <f>(M$6-1)*$D$25</f>
        <v>-10</v>
      </c>
      <c r="N16" s="2">
        <f>(N$6-1)*$D$25</f>
        <v>0</v>
      </c>
      <c r="O16" s="2"/>
    </row>
    <row r="17" spans="1:15" ht="23.1" customHeight="1">
      <c r="A17" s="2"/>
      <c r="B17" s="2" t="s">
        <v>20</v>
      </c>
      <c r="C17" s="2" t="s">
        <v>16</v>
      </c>
      <c r="D17" s="4">
        <v>1100</v>
      </c>
      <c r="E17" s="7">
        <f>(D17+F17)/2</f>
        <v>1550</v>
      </c>
      <c r="F17" s="4">
        <v>2000</v>
      </c>
      <c r="G17" s="7">
        <f>(F17+H17)/2</f>
        <v>2450</v>
      </c>
      <c r="H17" s="4">
        <v>2900</v>
      </c>
      <c r="I17" s="2"/>
      <c r="J17" s="4">
        <v>1600</v>
      </c>
      <c r="K17" s="7">
        <f>(J17+L17)/2</f>
        <v>2050</v>
      </c>
      <c r="L17" s="4">
        <v>2500</v>
      </c>
      <c r="M17" s="7">
        <f>(L17+N17)/2</f>
        <v>2950</v>
      </c>
      <c r="N17" s="4">
        <v>3400</v>
      </c>
      <c r="O17" s="2"/>
    </row>
    <row r="18" spans="1:15" ht="23.1" customHeight="1">
      <c r="A18" s="2"/>
      <c r="B18" s="2" t="s">
        <v>21</v>
      </c>
      <c r="C18" s="2" t="s">
        <v>17</v>
      </c>
      <c r="D18" s="5">
        <v>0.23</v>
      </c>
      <c r="E18" s="6">
        <f>(D18+F18)/2</f>
        <v>0.255</v>
      </c>
      <c r="F18" s="5">
        <v>0.28000000000000003</v>
      </c>
      <c r="G18" s="6">
        <f>(F18+H18)/2</f>
        <v>0.30500000000000005</v>
      </c>
      <c r="H18" s="5">
        <v>0.33</v>
      </c>
      <c r="I18" s="2"/>
      <c r="J18" s="5">
        <v>0.2</v>
      </c>
      <c r="K18" s="6">
        <f>(J18+L18)/2</f>
        <v>0.22500000000000001</v>
      </c>
      <c r="L18" s="5">
        <v>0.25</v>
      </c>
      <c r="M18" s="6">
        <f>(L18+N18)/2</f>
        <v>0.27500000000000002</v>
      </c>
      <c r="N18" s="5">
        <v>0.3</v>
      </c>
      <c r="O18" s="2"/>
    </row>
    <row r="19" spans="1:15" ht="23.1" customHeight="1">
      <c r="A19" s="2"/>
      <c r="B19" s="2" t="s">
        <v>22</v>
      </c>
      <c r="C19" s="2" t="s">
        <v>19</v>
      </c>
      <c r="D19" s="5">
        <v>0.96</v>
      </c>
      <c r="E19" s="6">
        <f>(D19+F19)/2</f>
        <v>0.91999999999999993</v>
      </c>
      <c r="F19" s="5">
        <v>0.88</v>
      </c>
      <c r="G19" s="6">
        <f>(F19+H19)/2</f>
        <v>0.84000000000000008</v>
      </c>
      <c r="H19" s="5">
        <v>0.8</v>
      </c>
      <c r="I19" s="2"/>
      <c r="J19" s="5">
        <v>0.66</v>
      </c>
      <c r="K19" s="6">
        <f>(J19+L19)/2</f>
        <v>0.62</v>
      </c>
      <c r="L19" s="5">
        <v>0.57999999999999996</v>
      </c>
      <c r="M19" s="6">
        <f>(L19+N19)/2</f>
        <v>0.54</v>
      </c>
      <c r="N19" s="5">
        <v>0.5</v>
      </c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2" t="s">
        <v>67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"/>
    </row>
    <row r="23" spans="1:15" ht="23.1" customHeight="1">
      <c r="A23" s="2"/>
      <c r="B23" s="20" t="s">
        <v>85</v>
      </c>
      <c r="C23" s="20"/>
      <c r="D23" s="2">
        <v>24</v>
      </c>
      <c r="E23" s="2"/>
      <c r="F23" s="23" t="s">
        <v>89</v>
      </c>
      <c r="G23" s="23"/>
      <c r="H23" s="23"/>
      <c r="I23" s="23"/>
      <c r="J23" s="23"/>
      <c r="K23" s="23"/>
      <c r="L23" s="23"/>
      <c r="M23" s="23"/>
      <c r="N23" s="23"/>
      <c r="O23" s="2"/>
    </row>
    <row r="24" spans="1:15" ht="23.1" customHeight="1">
      <c r="A24" s="2"/>
      <c r="B24" s="20" t="s">
        <v>86</v>
      </c>
      <c r="C24" s="20"/>
      <c r="D24" s="2">
        <v>20</v>
      </c>
      <c r="E24" s="2"/>
      <c r="F24" s="23"/>
      <c r="G24" s="23"/>
      <c r="H24" s="23"/>
      <c r="I24" s="23"/>
      <c r="J24" s="23"/>
      <c r="K24" s="23"/>
      <c r="L24" s="23"/>
      <c r="M24" s="23"/>
      <c r="N24" s="23"/>
      <c r="O24" s="2"/>
    </row>
    <row r="25" spans="1:15" ht="23.1" customHeight="1">
      <c r="A25" s="2"/>
      <c r="B25" s="20" t="s">
        <v>87</v>
      </c>
      <c r="C25" s="20"/>
      <c r="D25" s="2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0" t="s">
        <v>88</v>
      </c>
      <c r="C26" s="20"/>
      <c r="D26" s="2">
        <v>60</v>
      </c>
      <c r="E26" s="2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2" t="s">
        <v>68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"/>
    </row>
    <row r="29" spans="1:15" ht="23.1" customHeight="1">
      <c r="A29" s="2"/>
      <c r="B29" s="24" t="s">
        <v>24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"/>
    </row>
    <row r="30" spans="1:15" ht="30.95" customHeight="1">
      <c r="A30" s="2"/>
      <c r="B30" s="25" t="s">
        <v>58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"/>
    </row>
    <row r="31" spans="1:15" ht="23.1" customHeight="1">
      <c r="A31" s="2"/>
      <c r="B31" s="24" t="s">
        <v>25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"/>
    </row>
    <row r="32" spans="1:15" ht="23.1" customHeight="1">
      <c r="A32" s="2"/>
      <c r="B32" s="24" t="s">
        <v>69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"/>
    </row>
    <row r="33" spans="1:15" ht="23.1" customHeight="1">
      <c r="A33" s="2"/>
      <c r="B33" s="24" t="s">
        <v>26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"/>
    </row>
    <row r="34" spans="1:15" ht="23.1" customHeight="1">
      <c r="A34" s="2"/>
      <c r="B34" s="24" t="s">
        <v>59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"/>
    </row>
    <row r="35" spans="1:15" ht="23.1" customHeight="1">
      <c r="A35" s="2"/>
      <c r="B35" s="24" t="s">
        <v>27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.25"/>
  <cols>
    <col min="1" max="1" width="2.5" customWidth="1"/>
    <col min="2" max="2" width="28" customWidth="1"/>
    <col min="3" max="22" width="13" customWidth="1"/>
  </cols>
  <sheetData>
    <row r="1" spans="1:22" ht="21.95" customHeight="1">
      <c r="A1" s="2"/>
      <c r="B1" s="28" t="s">
        <v>70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1.95" customHeight="1">
      <c r="A2" s="2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9"/>
      <c r="Q2" s="9"/>
      <c r="R2" s="9"/>
      <c r="S2" s="9"/>
      <c r="T2" s="9"/>
      <c r="U2" s="9"/>
      <c r="V2" s="9"/>
    </row>
    <row r="3" spans="1:22" ht="21.95" customHeight="1">
      <c r="A3" s="2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  <c r="Q3" s="9"/>
      <c r="R3" s="9"/>
      <c r="S3" s="9"/>
      <c r="T3" s="9"/>
      <c r="U3" s="9"/>
      <c r="V3" s="9"/>
    </row>
    <row r="4" spans="1:22" ht="35.1" customHeight="1">
      <c r="A4" s="2"/>
      <c r="B4" s="13" t="s">
        <v>41</v>
      </c>
      <c r="C4" s="13" t="s">
        <v>42</v>
      </c>
      <c r="D4" s="13" t="s">
        <v>43</v>
      </c>
      <c r="E4" s="13" t="s">
        <v>44</v>
      </c>
      <c r="F4" s="13" t="s">
        <v>15</v>
      </c>
      <c r="G4" s="13" t="s">
        <v>56</v>
      </c>
      <c r="H4" s="13" t="s">
        <v>45</v>
      </c>
      <c r="I4" s="13" t="s">
        <v>36</v>
      </c>
      <c r="J4" s="13" t="s">
        <v>46</v>
      </c>
      <c r="K4" s="13" t="s">
        <v>57</v>
      </c>
      <c r="L4" s="13" t="s">
        <v>47</v>
      </c>
      <c r="M4" s="13" t="s">
        <v>20</v>
      </c>
      <c r="N4" s="13" t="s">
        <v>21</v>
      </c>
      <c r="O4" s="13" t="s">
        <v>48</v>
      </c>
      <c r="P4" s="14" t="s">
        <v>39</v>
      </c>
      <c r="Q4" s="14" t="s">
        <v>49</v>
      </c>
      <c r="R4" s="14" t="s">
        <v>50</v>
      </c>
      <c r="S4" s="14" t="s">
        <v>51</v>
      </c>
      <c r="T4" s="14" t="s">
        <v>52</v>
      </c>
      <c r="U4" s="14" t="s">
        <v>53</v>
      </c>
      <c r="V4" s="14" t="s">
        <v>54</v>
      </c>
    </row>
    <row r="5" spans="1:22" ht="21.95" customHeight="1">
      <c r="A5" s="2"/>
      <c r="B5" s="8" t="str">
        <f>"c "&amp;C5</f>
        <v>c -24</v>
      </c>
      <c r="C5" s="8">
        <f>Parameters!D7</f>
        <v>-24</v>
      </c>
      <c r="D5" s="8">
        <f>'LSC Sweep'!$C$6</f>
        <v>-10</v>
      </c>
      <c r="E5" s="8">
        <f>Parameters!D16</f>
        <v>-40</v>
      </c>
      <c r="F5" s="8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8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8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0.62</v>
      </c>
      <c r="I5" s="8">
        <f>F5*H5</f>
        <v>1116</v>
      </c>
      <c r="J5" s="8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8">
        <f>IF('LSC Sweep'!$C$4="Type-B",Parameters!$L$14,INDEX(Parameters!$D$14:$H$14,1,R5)+(INDEX(Parameters!$D$14:$H$14,1,R5+1)-INDEX(Parameters!$D$14:$H$14,1,R5))*U5)</f>
        <v>0.6</v>
      </c>
      <c r="L5" s="8">
        <f>I5+J5</f>
        <v>1616</v>
      </c>
      <c r="M5" s="8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8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8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9">
        <f>M5*O5</f>
        <v>1056</v>
      </c>
      <c r="Q5" s="9">
        <f>MIN(4,MAX(1,INT((1+C5/Parameters!$D$23)*4)+1))</f>
        <v>1</v>
      </c>
      <c r="R5" s="9">
        <f>MIN(4,MAX(1,INT((1+D5/Parameters!$D$24)*4)+1))</f>
        <v>3</v>
      </c>
      <c r="S5" s="9">
        <f>MIN(4,MAX(1,INT((1+E5/Parameters!$D$25)*4)+1))</f>
        <v>1</v>
      </c>
      <c r="T5" s="9">
        <f>MAX(0,MIN(1,(1+C5/Parameters!$D$23)*4-(Q5-1)))</f>
        <v>0</v>
      </c>
      <c r="U5" s="9">
        <f>MAX(0,MIN(1,(1+D5/Parameters!$D$24)*4-(R5-1)))</f>
        <v>0</v>
      </c>
      <c r="V5" s="9">
        <f>MAX(0,MIN(1,(1+E5/Parameters!$D$25)*4-(S5-1)))</f>
        <v>0</v>
      </c>
    </row>
    <row r="6" spans="1:22" ht="21.95" customHeight="1">
      <c r="A6" s="2"/>
      <c r="B6" s="8" t="str">
        <f>"c "&amp;C6</f>
        <v>c -18</v>
      </c>
      <c r="C6" s="8">
        <f>Parameters!E7</f>
        <v>-18</v>
      </c>
      <c r="D6" s="8">
        <f>'LSC Sweep'!$C$6</f>
        <v>-10</v>
      </c>
      <c r="E6" s="8">
        <f>Parameters!E16</f>
        <v>-30</v>
      </c>
      <c r="F6" s="8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8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8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</v>
      </c>
      <c r="I6" s="8">
        <f>F6*H6</f>
        <v>1440</v>
      </c>
      <c r="J6" s="8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8">
        <f>IF('LSC Sweep'!$C$4="Type-B",Parameters!$L$14,INDEX(Parameters!$D$14:$H$14,1,R6)+(INDEX(Parameters!$D$14:$H$14,1,R6+1)-INDEX(Parameters!$D$14:$H$14,1,R6))*U6)</f>
        <v>0.6</v>
      </c>
      <c r="L6" s="8">
        <f>I6+J6</f>
        <v>1940</v>
      </c>
      <c r="M6" s="8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8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8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9">
        <f>M6*O6</f>
        <v>1271</v>
      </c>
      <c r="Q6" s="9">
        <f>MIN(4,MAX(1,INT((1+C6/Parameters!$D$23)*4)+1))</f>
        <v>2</v>
      </c>
      <c r="R6" s="9">
        <f>MIN(4,MAX(1,INT((1+D6/Parameters!$D$24)*4)+1))</f>
        <v>3</v>
      </c>
      <c r="S6" s="9">
        <f>MIN(4,MAX(1,INT((1+E6/Parameters!$D$25)*4)+1))</f>
        <v>2</v>
      </c>
      <c r="T6" s="9">
        <f>MAX(0,MIN(1,(1+C6/Parameters!$D$23)*4-(Q6-1)))</f>
        <v>0</v>
      </c>
      <c r="U6" s="9">
        <f>MAX(0,MIN(1,(1+D6/Parameters!$D$24)*4-(R6-1)))</f>
        <v>0</v>
      </c>
      <c r="V6" s="9">
        <f>MAX(0,MIN(1,(1+E6/Parameters!$D$25)*4-(S6-1)))</f>
        <v>0</v>
      </c>
    </row>
    <row r="7" spans="1:22" ht="21.95" customHeight="1">
      <c r="A7" s="2"/>
      <c r="B7" s="8" t="str">
        <f>"c "&amp;C7</f>
        <v>c -12</v>
      </c>
      <c r="C7" s="8">
        <f>Parameters!F7</f>
        <v>-12</v>
      </c>
      <c r="D7" s="8">
        <f>'LSC Sweep'!$C$6</f>
        <v>-10</v>
      </c>
      <c r="E7" s="8">
        <f>Parameters!F16</f>
        <v>-20</v>
      </c>
      <c r="F7" s="8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8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8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0.57999999999999996</v>
      </c>
      <c r="I7" s="8">
        <f>F7*H7</f>
        <v>1739.9999999999998</v>
      </c>
      <c r="J7" s="8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8">
        <f>IF('LSC Sweep'!$C$4="Type-B",Parameters!$L$14,INDEX(Parameters!$D$14:$H$14,1,R7)+(INDEX(Parameters!$D$14:$H$14,1,R7+1)-INDEX(Parameters!$D$14:$H$14,1,R7))*U7)</f>
        <v>0.6</v>
      </c>
      <c r="L7" s="8">
        <f>I7+J7</f>
        <v>2240</v>
      </c>
      <c r="M7" s="8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8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8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9">
        <f>M7*O7</f>
        <v>1450</v>
      </c>
      <c r="Q7" s="9">
        <f>MIN(4,MAX(1,INT((1+C7/Parameters!$D$23)*4)+1))</f>
        <v>3</v>
      </c>
      <c r="R7" s="9">
        <f>MIN(4,MAX(1,INT((1+D7/Parameters!$D$24)*4)+1))</f>
        <v>3</v>
      </c>
      <c r="S7" s="9">
        <f>MIN(4,MAX(1,INT((1+E7/Parameters!$D$25)*4)+1))</f>
        <v>3</v>
      </c>
      <c r="T7" s="9">
        <f>MAX(0,MIN(1,(1+C7/Parameters!$D$23)*4-(Q7-1)))</f>
        <v>0</v>
      </c>
      <c r="U7" s="9">
        <f>MAX(0,MIN(1,(1+D7/Parameters!$D$24)*4-(R7-1)))</f>
        <v>0</v>
      </c>
      <c r="V7" s="9">
        <f>MAX(0,MIN(1,(1+E7/Parameters!$D$25)*4-(S7-1)))</f>
        <v>0</v>
      </c>
    </row>
    <row r="8" spans="1:22" ht="21.95" customHeight="1">
      <c r="A8" s="2"/>
      <c r="B8" s="8" t="str">
        <f>"c "&amp;C8</f>
        <v>c -6</v>
      </c>
      <c r="C8" s="8">
        <f>Parameters!G7</f>
        <v>-6</v>
      </c>
      <c r="D8" s="8">
        <f>'LSC Sweep'!$C$6</f>
        <v>-10</v>
      </c>
      <c r="E8" s="8">
        <f>Parameters!G16</f>
        <v>-10</v>
      </c>
      <c r="F8" s="8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8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8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0.56000000000000005</v>
      </c>
      <c r="I8" s="8">
        <f>F8*H8</f>
        <v>2016.0000000000002</v>
      </c>
      <c r="J8" s="8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8">
        <f>IF('LSC Sweep'!$C$4="Type-B",Parameters!$L$14,INDEX(Parameters!$D$14:$H$14,1,R8)+(INDEX(Parameters!$D$14:$H$14,1,R8+1)-INDEX(Parameters!$D$14:$H$14,1,R8))*U8)</f>
        <v>0.6</v>
      </c>
      <c r="L8" s="8">
        <f>I8+J8</f>
        <v>2516</v>
      </c>
      <c r="M8" s="8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8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8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9">
        <f>M8*O8</f>
        <v>1593</v>
      </c>
      <c r="Q8" s="9">
        <f>MIN(4,MAX(1,INT((1+C8/Parameters!$D$23)*4)+1))</f>
        <v>4</v>
      </c>
      <c r="R8" s="9">
        <f>MIN(4,MAX(1,INT((1+D8/Parameters!$D$24)*4)+1))</f>
        <v>3</v>
      </c>
      <c r="S8" s="9">
        <f>MIN(4,MAX(1,INT((1+E8/Parameters!$D$25)*4)+1))</f>
        <v>4</v>
      </c>
      <c r="T8" s="9">
        <f>MAX(0,MIN(1,(1+C8/Parameters!$D$23)*4-(Q8-1)))</f>
        <v>0</v>
      </c>
      <c r="U8" s="9">
        <f>MAX(0,MIN(1,(1+D8/Parameters!$D$24)*4-(R8-1)))</f>
        <v>0</v>
      </c>
      <c r="V8" s="9">
        <f>MAX(0,MIN(1,(1+E8/Parameters!$D$25)*4-(S8-1)))</f>
        <v>0</v>
      </c>
    </row>
    <row r="9" spans="1:22" ht="21.95" customHeight="1">
      <c r="A9" s="2"/>
      <c r="B9" s="8" t="str">
        <f>"c "&amp;C9</f>
        <v>c 0</v>
      </c>
      <c r="C9" s="8">
        <f>Parameters!H7</f>
        <v>0</v>
      </c>
      <c r="D9" s="8">
        <f>'LSC Sweep'!$C$6</f>
        <v>-10</v>
      </c>
      <c r="E9" s="8">
        <f>Parameters!H16</f>
        <v>0</v>
      </c>
      <c r="F9" s="8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8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8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0.54</v>
      </c>
      <c r="I9" s="8">
        <f>F9*H9</f>
        <v>2268</v>
      </c>
      <c r="J9" s="8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8">
        <f>IF('LSC Sweep'!$C$4="Type-B",Parameters!$L$14,INDEX(Parameters!$D$14:$H$14,1,R9)+(INDEX(Parameters!$D$14:$H$14,1,R9+1)-INDEX(Parameters!$D$14:$H$14,1,R9))*U9)</f>
        <v>0.6</v>
      </c>
      <c r="L9" s="8">
        <f>I9+J9</f>
        <v>2768</v>
      </c>
      <c r="M9" s="8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8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8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9">
        <f>M9*O9</f>
        <v>1700</v>
      </c>
      <c r="Q9" s="9">
        <f>MIN(4,MAX(1,INT((1+C9/Parameters!$D$23)*4)+1))</f>
        <v>4</v>
      </c>
      <c r="R9" s="9">
        <f>MIN(4,MAX(1,INT((1+D9/Parameters!$D$24)*4)+1))</f>
        <v>3</v>
      </c>
      <c r="S9" s="9">
        <f>MIN(4,MAX(1,INT((1+E9/Parameters!$D$25)*4)+1))</f>
        <v>4</v>
      </c>
      <c r="T9" s="9">
        <f>MAX(0,MIN(1,(1+C9/Parameters!$D$23)*4-(Q9-1)))</f>
        <v>1</v>
      </c>
      <c r="U9" s="9">
        <f>MAX(0,MIN(1,(1+D9/Parameters!$D$24)*4-(R9-1)))</f>
        <v>0</v>
      </c>
      <c r="V9" s="9">
        <f>MAX(0,MIN(1,(1+E9/Parameters!$D$25)*4-(S9-1)))</f>
        <v>1</v>
      </c>
    </row>
    <row r="10" spans="1:22" ht="21.95" customHeight="1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  <c r="Q10" s="9"/>
      <c r="R10" s="9"/>
      <c r="S10" s="9"/>
      <c r="T10" s="9"/>
      <c r="U10" s="9"/>
      <c r="V10" s="9"/>
    </row>
    <row r="11" spans="1:22" ht="21.95" customHeight="1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  <c r="Q11" s="9"/>
      <c r="R11" s="9"/>
      <c r="S11" s="9"/>
      <c r="T11" s="9"/>
      <c r="U11" s="9"/>
      <c r="V11" s="9"/>
    </row>
    <row r="12" spans="1:22" ht="21.95" customHeight="1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  <c r="Q12" s="9"/>
      <c r="R12" s="9"/>
      <c r="S12" s="9"/>
      <c r="T12" s="9"/>
      <c r="U12" s="9"/>
      <c r="V12" s="9"/>
    </row>
    <row r="13" spans="1:22" ht="21.95" customHeight="1">
      <c r="A13" s="2"/>
      <c r="B13" s="11" t="s">
        <v>31</v>
      </c>
      <c r="C13" s="11" t="str">
        <f>B5</f>
        <v>c -24</v>
      </c>
      <c r="D13" s="11" t="str">
        <f>B6</f>
        <v>c -18</v>
      </c>
      <c r="E13" s="11" t="str">
        <f>B7</f>
        <v>c -12</v>
      </c>
      <c r="F13" s="11" t="str">
        <f>B8</f>
        <v>c -6</v>
      </c>
      <c r="G13" s="11" t="str">
        <f>B9</f>
        <v>c 0</v>
      </c>
      <c r="H13" s="8"/>
      <c r="I13" s="8"/>
      <c r="J13" s="8"/>
      <c r="K13" s="8"/>
      <c r="L13" s="8"/>
      <c r="M13" s="8"/>
      <c r="N13" s="8"/>
      <c r="O13" s="8"/>
      <c r="P13" s="9"/>
      <c r="Q13" s="9"/>
      <c r="R13" s="9"/>
      <c r="S13" s="9"/>
      <c r="T13" s="9"/>
      <c r="U13" s="9"/>
      <c r="V13" s="9"/>
    </row>
    <row r="14" spans="1:22" ht="21.95" customHeight="1">
      <c r="A14" s="2"/>
      <c r="B14" s="15">
        <v>0</v>
      </c>
      <c r="C14" s="15">
        <f t="shared" ref="C14:C34" si="0">$F$5*MIN($B14,$G$5)+$I$5*MAX(0,$B14-$G$5)+$J$5*MAX(0,$B14-$K$5)</f>
        <v>0</v>
      </c>
      <c r="D14" s="15">
        <f t="shared" ref="D14:D34" si="1">$F$6*MIN($B14,$G$6)+$I$6*MAX(0,$B14-$G$6)+$J$6*MAX(0,$B14-$K$6)</f>
        <v>0</v>
      </c>
      <c r="E14" s="15">
        <f t="shared" ref="E14:E34" si="2">$F$7*MIN($B14,$G$7)+$I$7*MAX(0,$B14-$G$7)+$J$7*MAX(0,$B14-$K$7)</f>
        <v>0</v>
      </c>
      <c r="F14" s="15">
        <f t="shared" ref="F14:F34" si="3">$F$8*MIN($B14,$G$8)+$I$8*MAX(0,$B14-$G$8)+$J$8*MAX(0,$B14-$K$8)</f>
        <v>0</v>
      </c>
      <c r="G14" s="15">
        <f t="shared" ref="G14:G34" si="4">$F$9*MIN($B14,$G$9)+$I$9*MAX(0,$B14-$G$9)+$J$9*MAX(0,$B14-$K$9)</f>
        <v>0</v>
      </c>
      <c r="H14" s="8"/>
      <c r="I14" s="8"/>
      <c r="J14" s="8"/>
      <c r="K14" s="8"/>
      <c r="L14" s="8"/>
      <c r="M14" s="8"/>
      <c r="N14" s="8"/>
      <c r="O14" s="8"/>
      <c r="P14" s="9"/>
      <c r="Q14" s="9"/>
      <c r="R14" s="9"/>
      <c r="S14" s="9"/>
      <c r="T14" s="9"/>
      <c r="U14" s="9"/>
      <c r="V14" s="9"/>
    </row>
    <row r="15" spans="1:22" ht="21.95" customHeight="1">
      <c r="A15" s="2"/>
      <c r="B15" s="15">
        <v>0.05</v>
      </c>
      <c r="C15" s="15">
        <f t="shared" si="0"/>
        <v>90</v>
      </c>
      <c r="D15" s="15">
        <f t="shared" si="1"/>
        <v>120</v>
      </c>
      <c r="E15" s="15">
        <f t="shared" si="2"/>
        <v>150</v>
      </c>
      <c r="F15" s="15">
        <f t="shared" si="3"/>
        <v>180</v>
      </c>
      <c r="G15" s="15">
        <f t="shared" si="4"/>
        <v>210</v>
      </c>
      <c r="H15" s="8"/>
      <c r="I15" s="8"/>
      <c r="J15" s="8"/>
      <c r="K15" s="8"/>
      <c r="L15" s="8"/>
      <c r="M15" s="8"/>
      <c r="N15" s="8"/>
      <c r="O15" s="8"/>
      <c r="P15" s="9"/>
      <c r="Q15" s="9"/>
      <c r="R15" s="9"/>
      <c r="S15" s="9"/>
      <c r="T15" s="9"/>
      <c r="U15" s="9"/>
      <c r="V15" s="9"/>
    </row>
    <row r="16" spans="1:22" ht="21.95" customHeight="1">
      <c r="A16" s="2"/>
      <c r="B16" s="15">
        <v>0.1</v>
      </c>
      <c r="C16" s="15">
        <f t="shared" si="0"/>
        <v>180</v>
      </c>
      <c r="D16" s="15">
        <f t="shared" si="1"/>
        <v>240</v>
      </c>
      <c r="E16" s="15">
        <f t="shared" si="2"/>
        <v>300</v>
      </c>
      <c r="F16" s="15">
        <f t="shared" si="3"/>
        <v>360</v>
      </c>
      <c r="G16" s="15">
        <f t="shared" si="4"/>
        <v>420</v>
      </c>
      <c r="H16" s="8"/>
      <c r="I16" s="8"/>
      <c r="J16" s="8"/>
      <c r="K16" s="8"/>
      <c r="L16" s="8"/>
      <c r="M16" s="8"/>
      <c r="N16" s="8"/>
      <c r="O16" s="8"/>
      <c r="P16" s="9"/>
      <c r="Q16" s="9"/>
      <c r="R16" s="9"/>
      <c r="S16" s="9"/>
      <c r="T16" s="9"/>
      <c r="U16" s="9"/>
      <c r="V16" s="9"/>
    </row>
    <row r="17" spans="1:22" ht="21.95" customHeight="1">
      <c r="A17" s="2"/>
      <c r="B17" s="15">
        <v>0.15</v>
      </c>
      <c r="C17" s="15">
        <f t="shared" si="0"/>
        <v>270</v>
      </c>
      <c r="D17" s="15">
        <f t="shared" si="1"/>
        <v>360</v>
      </c>
      <c r="E17" s="15">
        <f t="shared" si="2"/>
        <v>450</v>
      </c>
      <c r="F17" s="15">
        <f t="shared" si="3"/>
        <v>540</v>
      </c>
      <c r="G17" s="15">
        <f t="shared" si="4"/>
        <v>630</v>
      </c>
      <c r="H17" s="8"/>
      <c r="I17" s="8"/>
      <c r="J17" s="8"/>
      <c r="K17" s="8"/>
      <c r="L17" s="8"/>
      <c r="M17" s="8"/>
      <c r="N17" s="8"/>
      <c r="O17" s="8"/>
      <c r="P17" s="9"/>
      <c r="Q17" s="9"/>
      <c r="R17" s="9"/>
      <c r="S17" s="9"/>
      <c r="T17" s="9"/>
      <c r="U17" s="9"/>
      <c r="V17" s="9"/>
    </row>
    <row r="18" spans="1:22" ht="21.95" customHeight="1">
      <c r="A18" s="2"/>
      <c r="B18" s="15">
        <v>0.2</v>
      </c>
      <c r="C18" s="15">
        <f t="shared" si="0"/>
        <v>360</v>
      </c>
      <c r="D18" s="15">
        <f t="shared" si="1"/>
        <v>480</v>
      </c>
      <c r="E18" s="15">
        <f t="shared" si="2"/>
        <v>600</v>
      </c>
      <c r="F18" s="15">
        <f t="shared" si="3"/>
        <v>720</v>
      </c>
      <c r="G18" s="15">
        <f t="shared" si="4"/>
        <v>840</v>
      </c>
      <c r="H18" s="8"/>
      <c r="I18" s="8"/>
      <c r="J18" s="8"/>
      <c r="K18" s="8"/>
      <c r="L18" s="8"/>
      <c r="M18" s="8"/>
      <c r="N18" s="8"/>
      <c r="O18" s="8"/>
      <c r="P18" s="9"/>
      <c r="Q18" s="9"/>
      <c r="R18" s="9"/>
      <c r="S18" s="9"/>
      <c r="T18" s="9"/>
      <c r="U18" s="9"/>
      <c r="V18" s="9"/>
    </row>
    <row r="19" spans="1:22" ht="21.95" customHeight="1">
      <c r="A19" s="2"/>
      <c r="B19" s="15">
        <v>0.25</v>
      </c>
      <c r="C19" s="15">
        <f t="shared" si="0"/>
        <v>450</v>
      </c>
      <c r="D19" s="15">
        <f t="shared" si="1"/>
        <v>600</v>
      </c>
      <c r="E19" s="15">
        <f t="shared" si="2"/>
        <v>750</v>
      </c>
      <c r="F19" s="15">
        <f t="shared" si="3"/>
        <v>900</v>
      </c>
      <c r="G19" s="15">
        <f t="shared" si="4"/>
        <v>1050</v>
      </c>
      <c r="H19" s="8"/>
      <c r="I19" s="8"/>
      <c r="J19" s="8"/>
      <c r="K19" s="8"/>
      <c r="L19" s="8"/>
      <c r="M19" s="8"/>
      <c r="N19" s="8"/>
      <c r="O19" s="8"/>
      <c r="P19" s="9"/>
      <c r="Q19" s="9"/>
      <c r="R19" s="9"/>
      <c r="S19" s="9"/>
      <c r="T19" s="9"/>
      <c r="U19" s="9"/>
      <c r="V19" s="9"/>
    </row>
    <row r="20" spans="1:22" ht="21.95" customHeight="1">
      <c r="A20" s="2"/>
      <c r="B20" s="15">
        <v>0.3</v>
      </c>
      <c r="C20" s="15">
        <f t="shared" si="0"/>
        <v>540</v>
      </c>
      <c r="D20" s="15">
        <f t="shared" si="1"/>
        <v>720</v>
      </c>
      <c r="E20" s="15">
        <f t="shared" si="2"/>
        <v>900</v>
      </c>
      <c r="F20" s="15">
        <f t="shared" si="3"/>
        <v>1080</v>
      </c>
      <c r="G20" s="15">
        <f t="shared" si="4"/>
        <v>1260</v>
      </c>
      <c r="H20" s="8"/>
      <c r="I20" s="8"/>
      <c r="J20" s="8"/>
      <c r="K20" s="8"/>
      <c r="L20" s="8"/>
      <c r="M20" s="8"/>
      <c r="N20" s="8"/>
      <c r="O20" s="8"/>
      <c r="P20" s="9"/>
      <c r="Q20" s="9"/>
      <c r="R20" s="9"/>
      <c r="S20" s="9"/>
      <c r="T20" s="9"/>
      <c r="U20" s="9"/>
      <c r="V20" s="9"/>
    </row>
    <row r="21" spans="1:22" ht="21.95" customHeight="1">
      <c r="A21" s="2"/>
      <c r="B21" s="15">
        <v>0.35</v>
      </c>
      <c r="C21" s="15">
        <f t="shared" si="0"/>
        <v>630</v>
      </c>
      <c r="D21" s="15">
        <f t="shared" si="1"/>
        <v>840</v>
      </c>
      <c r="E21" s="15">
        <f t="shared" si="2"/>
        <v>1050</v>
      </c>
      <c r="F21" s="15">
        <f t="shared" si="3"/>
        <v>1260</v>
      </c>
      <c r="G21" s="15">
        <f t="shared" si="4"/>
        <v>1470</v>
      </c>
      <c r="H21" s="8"/>
      <c r="I21" s="8"/>
      <c r="J21" s="8"/>
      <c r="K21" s="8"/>
      <c r="L21" s="8"/>
      <c r="M21" s="8"/>
      <c r="N21" s="8"/>
      <c r="O21" s="8"/>
      <c r="P21" s="9"/>
      <c r="Q21" s="9"/>
      <c r="R21" s="9"/>
      <c r="S21" s="9"/>
      <c r="T21" s="9"/>
      <c r="U21" s="9"/>
      <c r="V21" s="9"/>
    </row>
    <row r="22" spans="1:22" ht="21.95" customHeight="1">
      <c r="A22" s="2"/>
      <c r="B22" s="15">
        <v>0.4</v>
      </c>
      <c r="C22" s="15">
        <f t="shared" si="0"/>
        <v>685.80000000000007</v>
      </c>
      <c r="D22" s="15">
        <f t="shared" si="1"/>
        <v>912</v>
      </c>
      <c r="E22" s="15">
        <f t="shared" si="2"/>
        <v>1137</v>
      </c>
      <c r="F22" s="15">
        <f t="shared" si="3"/>
        <v>1360.8000000000002</v>
      </c>
      <c r="G22" s="15">
        <f t="shared" si="4"/>
        <v>1583.4</v>
      </c>
      <c r="H22" s="8"/>
      <c r="I22" s="8"/>
      <c r="J22" s="8"/>
      <c r="K22" s="8"/>
      <c r="L22" s="8"/>
      <c r="M22" s="8"/>
      <c r="N22" s="8"/>
      <c r="O22" s="8"/>
      <c r="P22" s="9"/>
      <c r="Q22" s="9"/>
      <c r="R22" s="9"/>
      <c r="S22" s="9"/>
      <c r="T22" s="9"/>
      <c r="U22" s="9"/>
      <c r="V22" s="9"/>
    </row>
    <row r="23" spans="1:22" ht="21.95" customHeight="1">
      <c r="A23" s="2"/>
      <c r="B23" s="15">
        <v>0.45</v>
      </c>
      <c r="C23" s="15">
        <f t="shared" si="0"/>
        <v>741.6</v>
      </c>
      <c r="D23" s="15">
        <f t="shared" si="1"/>
        <v>984</v>
      </c>
      <c r="E23" s="15">
        <f t="shared" si="2"/>
        <v>1224</v>
      </c>
      <c r="F23" s="15">
        <f t="shared" si="3"/>
        <v>1461.6000000000001</v>
      </c>
      <c r="G23" s="15">
        <f t="shared" si="4"/>
        <v>1696.8000000000002</v>
      </c>
      <c r="H23" s="8"/>
      <c r="I23" s="8"/>
      <c r="J23" s="8"/>
      <c r="K23" s="8"/>
      <c r="L23" s="8"/>
      <c r="M23" s="8"/>
      <c r="N23" s="8"/>
      <c r="O23" s="8"/>
      <c r="P23" s="9"/>
      <c r="Q23" s="9"/>
      <c r="R23" s="9"/>
      <c r="S23" s="9"/>
      <c r="T23" s="9"/>
      <c r="U23" s="9"/>
      <c r="V23" s="9"/>
    </row>
    <row r="24" spans="1:22" ht="21.95" customHeight="1">
      <c r="A24" s="2"/>
      <c r="B24" s="15">
        <v>0.5</v>
      </c>
      <c r="C24" s="15">
        <f t="shared" si="0"/>
        <v>797.40000000000009</v>
      </c>
      <c r="D24" s="15">
        <f t="shared" si="1"/>
        <v>1056</v>
      </c>
      <c r="E24" s="15">
        <f t="shared" si="2"/>
        <v>1311</v>
      </c>
      <c r="F24" s="15">
        <f t="shared" si="3"/>
        <v>1562.4</v>
      </c>
      <c r="G24" s="15">
        <f t="shared" si="4"/>
        <v>1810.2</v>
      </c>
      <c r="H24" s="8"/>
      <c r="I24" s="8"/>
      <c r="J24" s="8"/>
      <c r="K24" s="8"/>
      <c r="L24" s="8"/>
      <c r="M24" s="8"/>
      <c r="N24" s="8"/>
      <c r="O24" s="8"/>
      <c r="P24" s="9"/>
      <c r="Q24" s="9"/>
      <c r="R24" s="9"/>
      <c r="S24" s="9"/>
      <c r="T24" s="9"/>
      <c r="U24" s="9"/>
      <c r="V24" s="9"/>
    </row>
    <row r="25" spans="1:22" ht="21.95" customHeight="1">
      <c r="A25" s="2"/>
      <c r="B25" s="15">
        <v>0.55000000000000004</v>
      </c>
      <c r="C25" s="15">
        <f t="shared" si="0"/>
        <v>853.2</v>
      </c>
      <c r="D25" s="15">
        <f t="shared" si="1"/>
        <v>1128</v>
      </c>
      <c r="E25" s="15">
        <f t="shared" si="2"/>
        <v>1398</v>
      </c>
      <c r="F25" s="15">
        <f t="shared" si="3"/>
        <v>1663.2000000000003</v>
      </c>
      <c r="G25" s="15">
        <f t="shared" si="4"/>
        <v>1923.6000000000001</v>
      </c>
      <c r="H25" s="8"/>
      <c r="I25" s="8"/>
      <c r="J25" s="8"/>
      <c r="K25" s="8"/>
      <c r="L25" s="8"/>
      <c r="M25" s="8"/>
      <c r="N25" s="8"/>
      <c r="O25" s="8"/>
      <c r="P25" s="9"/>
      <c r="Q25" s="9"/>
      <c r="R25" s="9"/>
      <c r="S25" s="9"/>
      <c r="T25" s="9"/>
      <c r="U25" s="9"/>
      <c r="V25" s="9"/>
    </row>
    <row r="26" spans="1:22" ht="21.95" customHeight="1">
      <c r="A26" s="2"/>
      <c r="B26" s="15">
        <v>0.6</v>
      </c>
      <c r="C26" s="15">
        <f t="shared" si="0"/>
        <v>909</v>
      </c>
      <c r="D26" s="15">
        <f t="shared" si="1"/>
        <v>1200</v>
      </c>
      <c r="E26" s="15">
        <f t="shared" si="2"/>
        <v>1485</v>
      </c>
      <c r="F26" s="15">
        <f t="shared" si="3"/>
        <v>1764</v>
      </c>
      <c r="G26" s="15">
        <f t="shared" si="4"/>
        <v>2037</v>
      </c>
      <c r="H26" s="8"/>
      <c r="I26" s="8"/>
      <c r="J26" s="8"/>
      <c r="K26" s="8"/>
      <c r="L26" s="8"/>
      <c r="M26" s="8"/>
      <c r="N26" s="8"/>
      <c r="O26" s="8"/>
      <c r="P26" s="9"/>
      <c r="Q26" s="9"/>
      <c r="R26" s="9"/>
      <c r="S26" s="9"/>
      <c r="T26" s="9"/>
      <c r="U26" s="9"/>
      <c r="V26" s="9"/>
    </row>
    <row r="27" spans="1:22" ht="21.95" customHeight="1">
      <c r="A27" s="2"/>
      <c r="B27" s="15">
        <v>0.65</v>
      </c>
      <c r="C27" s="15">
        <f t="shared" si="0"/>
        <v>989.80000000000007</v>
      </c>
      <c r="D27" s="15">
        <f t="shared" si="1"/>
        <v>1297</v>
      </c>
      <c r="E27" s="15">
        <f t="shared" si="2"/>
        <v>1597</v>
      </c>
      <c r="F27" s="15">
        <f t="shared" si="3"/>
        <v>1889.8000000000002</v>
      </c>
      <c r="G27" s="15">
        <f t="shared" si="4"/>
        <v>2175.4</v>
      </c>
      <c r="H27" s="8"/>
      <c r="I27" s="8"/>
      <c r="J27" s="8"/>
      <c r="K27" s="8"/>
      <c r="L27" s="8"/>
      <c r="M27" s="8"/>
      <c r="N27" s="8"/>
      <c r="O27" s="8"/>
      <c r="P27" s="9"/>
      <c r="Q27" s="9"/>
      <c r="R27" s="9"/>
      <c r="S27" s="9"/>
      <c r="T27" s="9"/>
      <c r="U27" s="9"/>
      <c r="V27" s="9"/>
    </row>
    <row r="28" spans="1:22" ht="21.95" customHeight="1">
      <c r="A28" s="2"/>
      <c r="B28" s="15">
        <v>0.7</v>
      </c>
      <c r="C28" s="15">
        <f t="shared" si="0"/>
        <v>1070.5999999999999</v>
      </c>
      <c r="D28" s="15">
        <f t="shared" si="1"/>
        <v>1394</v>
      </c>
      <c r="E28" s="15">
        <f t="shared" si="2"/>
        <v>1709</v>
      </c>
      <c r="F28" s="15">
        <f t="shared" si="3"/>
        <v>2015.6</v>
      </c>
      <c r="G28" s="15">
        <f t="shared" si="4"/>
        <v>2313.8000000000002</v>
      </c>
      <c r="H28" s="8"/>
      <c r="I28" s="8"/>
      <c r="J28" s="8"/>
      <c r="K28" s="8"/>
      <c r="L28" s="8"/>
      <c r="M28" s="8"/>
      <c r="N28" s="8"/>
      <c r="O28" s="8"/>
      <c r="P28" s="9"/>
      <c r="Q28" s="9"/>
      <c r="R28" s="9"/>
      <c r="S28" s="9"/>
      <c r="T28" s="9"/>
      <c r="U28" s="9"/>
      <c r="V28" s="9"/>
    </row>
    <row r="29" spans="1:22" ht="21.95" customHeight="1">
      <c r="A29" s="2"/>
      <c r="B29" s="15">
        <v>0.75</v>
      </c>
      <c r="C29" s="15">
        <f t="shared" si="0"/>
        <v>1151.4000000000001</v>
      </c>
      <c r="D29" s="15">
        <f t="shared" si="1"/>
        <v>1491</v>
      </c>
      <c r="E29" s="15">
        <f t="shared" si="2"/>
        <v>1821</v>
      </c>
      <c r="F29" s="15">
        <f t="shared" si="3"/>
        <v>2141.4</v>
      </c>
      <c r="G29" s="15">
        <f t="shared" si="4"/>
        <v>2452.1999999999998</v>
      </c>
      <c r="H29" s="8"/>
      <c r="I29" s="8"/>
      <c r="J29" s="8"/>
      <c r="K29" s="8"/>
      <c r="L29" s="8"/>
      <c r="M29" s="8"/>
      <c r="N29" s="8"/>
      <c r="O29" s="8"/>
      <c r="P29" s="9"/>
      <c r="Q29" s="9"/>
      <c r="R29" s="9"/>
      <c r="S29" s="9"/>
      <c r="T29" s="9"/>
      <c r="U29" s="9"/>
      <c r="V29" s="9"/>
    </row>
    <row r="30" spans="1:22" ht="21.95" customHeight="1">
      <c r="A30" s="2"/>
      <c r="B30" s="15">
        <v>0.8</v>
      </c>
      <c r="C30" s="15">
        <f t="shared" si="0"/>
        <v>1232.2</v>
      </c>
      <c r="D30" s="15">
        <f t="shared" si="1"/>
        <v>1588</v>
      </c>
      <c r="E30" s="15">
        <f t="shared" si="2"/>
        <v>1933</v>
      </c>
      <c r="F30" s="15">
        <f t="shared" si="3"/>
        <v>2267.2000000000003</v>
      </c>
      <c r="G30" s="15">
        <f t="shared" si="4"/>
        <v>2590.6000000000004</v>
      </c>
      <c r="H30" s="8"/>
      <c r="I30" s="8"/>
      <c r="J30" s="8"/>
      <c r="K30" s="8"/>
      <c r="L30" s="8"/>
      <c r="M30" s="8"/>
      <c r="N30" s="8"/>
      <c r="O30" s="8"/>
      <c r="P30" s="9"/>
      <c r="Q30" s="9"/>
      <c r="R30" s="9"/>
      <c r="S30" s="9"/>
      <c r="T30" s="9"/>
      <c r="U30" s="9"/>
      <c r="V30" s="9"/>
    </row>
    <row r="31" spans="1:22" ht="21.95" customHeight="1">
      <c r="A31" s="2"/>
      <c r="B31" s="15">
        <v>0.85</v>
      </c>
      <c r="C31" s="15">
        <f t="shared" si="0"/>
        <v>1313</v>
      </c>
      <c r="D31" s="15">
        <f t="shared" si="1"/>
        <v>1685</v>
      </c>
      <c r="E31" s="15">
        <f t="shared" si="2"/>
        <v>2045</v>
      </c>
      <c r="F31" s="15">
        <f t="shared" si="3"/>
        <v>2393</v>
      </c>
      <c r="G31" s="15">
        <f t="shared" si="4"/>
        <v>2729</v>
      </c>
      <c r="H31" s="8"/>
      <c r="I31" s="8"/>
      <c r="J31" s="8"/>
      <c r="K31" s="8"/>
      <c r="L31" s="8"/>
      <c r="M31" s="8"/>
      <c r="N31" s="8"/>
      <c r="O31" s="8"/>
      <c r="P31" s="9"/>
      <c r="Q31" s="9"/>
      <c r="R31" s="9"/>
      <c r="S31" s="9"/>
      <c r="T31" s="9"/>
      <c r="U31" s="9"/>
      <c r="V31" s="9"/>
    </row>
    <row r="32" spans="1:22" ht="21.95" customHeight="1">
      <c r="A32" s="2"/>
      <c r="B32" s="15">
        <v>0.9</v>
      </c>
      <c r="C32" s="15">
        <f t="shared" si="0"/>
        <v>1393.8000000000002</v>
      </c>
      <c r="D32" s="15">
        <f t="shared" si="1"/>
        <v>1782</v>
      </c>
      <c r="E32" s="15">
        <f t="shared" si="2"/>
        <v>2157</v>
      </c>
      <c r="F32" s="15">
        <f t="shared" si="3"/>
        <v>2518.8000000000002</v>
      </c>
      <c r="G32" s="15">
        <f t="shared" si="4"/>
        <v>2867.4</v>
      </c>
      <c r="H32" s="8"/>
      <c r="I32" s="8"/>
      <c r="J32" s="8"/>
      <c r="K32" s="8"/>
      <c r="L32" s="8"/>
      <c r="M32" s="8"/>
      <c r="N32" s="8"/>
      <c r="O32" s="8"/>
      <c r="P32" s="9"/>
      <c r="Q32" s="9"/>
      <c r="R32" s="9"/>
      <c r="S32" s="9"/>
      <c r="T32" s="9"/>
      <c r="U32" s="9"/>
      <c r="V32" s="9"/>
    </row>
    <row r="33" spans="1:22" ht="21.95" customHeight="1">
      <c r="A33" s="2"/>
      <c r="B33" s="15">
        <v>0.95</v>
      </c>
      <c r="C33" s="15">
        <f t="shared" si="0"/>
        <v>1474.6</v>
      </c>
      <c r="D33" s="15">
        <f t="shared" si="1"/>
        <v>1879</v>
      </c>
      <c r="E33" s="15">
        <f t="shared" si="2"/>
        <v>2269</v>
      </c>
      <c r="F33" s="15">
        <f t="shared" si="3"/>
        <v>2644.6000000000004</v>
      </c>
      <c r="G33" s="15">
        <f t="shared" si="4"/>
        <v>3005.8</v>
      </c>
      <c r="H33" s="8"/>
      <c r="I33" s="8"/>
      <c r="J33" s="8"/>
      <c r="K33" s="8"/>
      <c r="L33" s="8"/>
      <c r="M33" s="8"/>
      <c r="N33" s="8"/>
      <c r="O33" s="8"/>
      <c r="P33" s="9"/>
      <c r="Q33" s="9"/>
      <c r="R33" s="9"/>
      <c r="S33" s="9"/>
      <c r="T33" s="9"/>
      <c r="U33" s="9"/>
      <c r="V33" s="9"/>
    </row>
    <row r="34" spans="1:22" ht="21.95" customHeight="1">
      <c r="A34" s="2"/>
      <c r="B34" s="15">
        <v>1</v>
      </c>
      <c r="C34" s="15">
        <f t="shared" si="0"/>
        <v>1555.4</v>
      </c>
      <c r="D34" s="15">
        <f t="shared" si="1"/>
        <v>1976</v>
      </c>
      <c r="E34" s="15">
        <f t="shared" si="2"/>
        <v>2381</v>
      </c>
      <c r="F34" s="15">
        <f t="shared" si="3"/>
        <v>2770.4</v>
      </c>
      <c r="G34" s="15">
        <f t="shared" si="4"/>
        <v>3144.2</v>
      </c>
      <c r="H34" s="8"/>
      <c r="I34" s="8"/>
      <c r="J34" s="8"/>
      <c r="K34" s="8"/>
      <c r="L34" s="8"/>
      <c r="M34" s="8"/>
      <c r="N34" s="8"/>
      <c r="O34" s="8"/>
      <c r="P34" s="9"/>
      <c r="Q34" s="9"/>
      <c r="R34" s="9"/>
      <c r="S34" s="9"/>
      <c r="T34" s="9"/>
      <c r="U34" s="9"/>
      <c r="V34" s="9"/>
    </row>
    <row r="35" spans="1:22" ht="21.95" customHeight="1">
      <c r="A35" s="2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9"/>
      <c r="Q35" s="9"/>
      <c r="R35" s="9"/>
      <c r="S35" s="9"/>
      <c r="T35" s="9"/>
      <c r="U35" s="9"/>
      <c r="V35" s="9"/>
    </row>
    <row r="36" spans="1:22" ht="21.95" customHeight="1">
      <c r="A36" s="2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9"/>
      <c r="Q36" s="9"/>
      <c r="R36" s="9"/>
      <c r="S36" s="9"/>
      <c r="T36" s="9"/>
      <c r="U36" s="9"/>
      <c r="V36" s="9"/>
    </row>
    <row r="37" spans="1:22" ht="21.95" customHeight="1">
      <c r="A37" s="2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9"/>
      <c r="Q37" s="9"/>
      <c r="R37" s="9"/>
      <c r="S37" s="9"/>
      <c r="T37" s="9"/>
      <c r="U37" s="9"/>
      <c r="V37" s="9"/>
    </row>
    <row r="38" spans="1:22" ht="21.95" customHeight="1">
      <c r="A38" s="2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9"/>
      <c r="Q38" s="9"/>
      <c r="R38" s="9"/>
      <c r="S38" s="9"/>
      <c r="T38" s="9"/>
      <c r="U38" s="9"/>
      <c r="V38" s="9"/>
    </row>
    <row r="39" spans="1:22" ht="21.95" customHeight="1">
      <c r="A39" s="2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9"/>
      <c r="Q39" s="9"/>
      <c r="R39" s="9"/>
      <c r="S39" s="9"/>
      <c r="T39" s="9"/>
      <c r="U39" s="9"/>
      <c r="V39" s="9"/>
    </row>
    <row r="40" spans="1:22" ht="21.95" customHeight="1">
      <c r="A40" s="2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9"/>
      <c r="Q40" s="9"/>
      <c r="R40" s="9"/>
      <c r="S40" s="9"/>
      <c r="T40" s="9"/>
      <c r="U40" s="9"/>
      <c r="V40" s="9"/>
    </row>
    <row r="41" spans="1:22" ht="21.95" customHeight="1">
      <c r="A41" s="2"/>
      <c r="B41" s="28" t="s">
        <v>71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1.9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9"/>
      <c r="Q42" s="9"/>
      <c r="R42" s="9"/>
      <c r="S42" s="9"/>
      <c r="T42" s="9"/>
      <c r="U42" s="9"/>
      <c r="V42" s="9"/>
    </row>
    <row r="43" spans="1:22" ht="21.95" customHeight="1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1:22" ht="35.1" customHeight="1">
      <c r="B44" s="14" t="s">
        <v>41</v>
      </c>
      <c r="C44" s="14" t="s">
        <v>42</v>
      </c>
      <c r="D44" s="14" t="s">
        <v>43</v>
      </c>
      <c r="E44" s="14" t="s">
        <v>44</v>
      </c>
      <c r="F44" s="14" t="s">
        <v>15</v>
      </c>
      <c r="G44" s="14" t="s">
        <v>56</v>
      </c>
      <c r="H44" s="14" t="s">
        <v>45</v>
      </c>
      <c r="I44" s="14" t="s">
        <v>36</v>
      </c>
      <c r="J44" s="14" t="s">
        <v>46</v>
      </c>
      <c r="K44" s="14" t="s">
        <v>57</v>
      </c>
      <c r="L44" s="14" t="s">
        <v>47</v>
      </c>
      <c r="M44" s="14" t="s">
        <v>20</v>
      </c>
      <c r="N44" s="14" t="s">
        <v>21</v>
      </c>
      <c r="O44" s="14" t="s">
        <v>48</v>
      </c>
      <c r="P44" s="14" t="s">
        <v>39</v>
      </c>
      <c r="Q44" s="14" t="s">
        <v>49</v>
      </c>
      <c r="R44" s="14" t="s">
        <v>50</v>
      </c>
      <c r="S44" s="14" t="s">
        <v>51</v>
      </c>
      <c r="T44" s="14" t="s">
        <v>52</v>
      </c>
      <c r="U44" s="14" t="s">
        <v>53</v>
      </c>
      <c r="V44" s="14" t="s">
        <v>54</v>
      </c>
    </row>
    <row r="45" spans="1:22" ht="21.95" customHeight="1">
      <c r="B45" s="9" t="str">
        <f>"C "&amp;D45</f>
        <v>C -20</v>
      </c>
      <c r="C45" s="9">
        <f>'HSC Sweep'!$C$6</f>
        <v>-12</v>
      </c>
      <c r="D45" s="9">
        <f>Parameters!D8</f>
        <v>-20</v>
      </c>
      <c r="E45" s="9">
        <f>Parameters!D16</f>
        <v>-40</v>
      </c>
      <c r="F45" s="9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9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9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9">
        <f>F45*H45</f>
        <v>1739.9999999999998</v>
      </c>
      <c r="J45" s="9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9">
        <f>IF('HSC Sweep'!$C$4="Type-B",Parameters!$L$14,INDEX(Parameters!$D$14:$H$14,1,R45)+(INDEX(Parameters!$D$14:$H$14,1,R45+1)-INDEX(Parameters!$D$14:$H$14,1,R45))*U45)</f>
        <v>0.6</v>
      </c>
      <c r="L45" s="9">
        <f>I45+J45</f>
        <v>2240</v>
      </c>
      <c r="M45" s="9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9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9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9">
        <f>M45*O45</f>
        <v>1056</v>
      </c>
      <c r="Q45" s="9">
        <f>MIN(4,MAX(1,INT((1+C45/Parameters!$D$23)*4)+1))</f>
        <v>3</v>
      </c>
      <c r="R45" s="9">
        <f>MIN(4,MAX(1,INT((1+D45/Parameters!$D$24)*4)+1))</f>
        <v>1</v>
      </c>
      <c r="S45" s="9">
        <f>MIN(4,MAX(1,INT((1+E45/Parameters!$D$25)*4)+1))</f>
        <v>1</v>
      </c>
      <c r="T45" s="9">
        <f>MAX(0,MIN(1,(1+C45/Parameters!$D$23)*4-(Q45-1)))</f>
        <v>0</v>
      </c>
      <c r="U45" s="9">
        <f>MAX(0,MIN(1,(1+D45/Parameters!$D$24)*4-(R45-1)))</f>
        <v>0</v>
      </c>
      <c r="V45" s="9">
        <f>MAX(0,MIN(1,(1+E45/Parameters!$D$25)*4-(S45-1)))</f>
        <v>0</v>
      </c>
    </row>
    <row r="46" spans="1:22" ht="21.95" customHeight="1">
      <c r="B46" s="9" t="str">
        <f>"C "&amp;D46</f>
        <v>C -15</v>
      </c>
      <c r="C46" s="9">
        <f>'HSC Sweep'!$C$6</f>
        <v>-12</v>
      </c>
      <c r="D46" s="9">
        <f>Parameters!E8</f>
        <v>-15</v>
      </c>
      <c r="E46" s="9">
        <f>Parameters!E16</f>
        <v>-30</v>
      </c>
      <c r="F46" s="9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9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9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9">
        <f>F46*H46</f>
        <v>1739.9999999999998</v>
      </c>
      <c r="J46" s="9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9">
        <f>IF('HSC Sweep'!$C$4="Type-B",Parameters!$L$14,INDEX(Parameters!$D$14:$H$14,1,R46)+(INDEX(Parameters!$D$14:$H$14,1,R46+1)-INDEX(Parameters!$D$14:$H$14,1,R46))*U46)</f>
        <v>0.6</v>
      </c>
      <c r="L46" s="9">
        <f>I46+J46</f>
        <v>2240</v>
      </c>
      <c r="M46" s="9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9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9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9">
        <f>M46*O46</f>
        <v>1271</v>
      </c>
      <c r="Q46" s="9">
        <f>MIN(4,MAX(1,INT((1+C46/Parameters!$D$23)*4)+1))</f>
        <v>3</v>
      </c>
      <c r="R46" s="9">
        <f>MIN(4,MAX(1,INT((1+D46/Parameters!$D$24)*4)+1))</f>
        <v>2</v>
      </c>
      <c r="S46" s="9">
        <f>MIN(4,MAX(1,INT((1+E46/Parameters!$D$25)*4)+1))</f>
        <v>2</v>
      </c>
      <c r="T46" s="9">
        <f>MAX(0,MIN(1,(1+C46/Parameters!$D$23)*4-(Q46-1)))</f>
        <v>0</v>
      </c>
      <c r="U46" s="9">
        <f>MAX(0,MIN(1,(1+D46/Parameters!$D$24)*4-(R46-1)))</f>
        <v>0</v>
      </c>
      <c r="V46" s="9">
        <f>MAX(0,MIN(1,(1+E46/Parameters!$D$25)*4-(S46-1)))</f>
        <v>0</v>
      </c>
    </row>
    <row r="47" spans="1:22" ht="21.95" customHeight="1">
      <c r="B47" s="9" t="str">
        <f>"C "&amp;D47</f>
        <v>C -10</v>
      </c>
      <c r="C47" s="9">
        <f>'HSC Sweep'!$C$6</f>
        <v>-12</v>
      </c>
      <c r="D47" s="9">
        <f>Parameters!F8</f>
        <v>-10</v>
      </c>
      <c r="E47" s="9">
        <f>Parameters!F16</f>
        <v>-20</v>
      </c>
      <c r="F47" s="9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9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9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9">
        <f>F47*H47</f>
        <v>1739.9999999999998</v>
      </c>
      <c r="J47" s="9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9">
        <f>IF('HSC Sweep'!$C$4="Type-B",Parameters!$L$14,INDEX(Parameters!$D$14:$H$14,1,R47)+(INDEX(Parameters!$D$14:$H$14,1,R47+1)-INDEX(Parameters!$D$14:$H$14,1,R47))*U47)</f>
        <v>0.6</v>
      </c>
      <c r="L47" s="9">
        <f>I47+J47</f>
        <v>2240</v>
      </c>
      <c r="M47" s="9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9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9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9">
        <f>M47*O47</f>
        <v>1450</v>
      </c>
      <c r="Q47" s="9">
        <f>MIN(4,MAX(1,INT((1+C47/Parameters!$D$23)*4)+1))</f>
        <v>3</v>
      </c>
      <c r="R47" s="9">
        <f>MIN(4,MAX(1,INT((1+D47/Parameters!$D$24)*4)+1))</f>
        <v>3</v>
      </c>
      <c r="S47" s="9">
        <f>MIN(4,MAX(1,INT((1+E47/Parameters!$D$25)*4)+1))</f>
        <v>3</v>
      </c>
      <c r="T47" s="9">
        <f>MAX(0,MIN(1,(1+C47/Parameters!$D$23)*4-(Q47-1)))</f>
        <v>0</v>
      </c>
      <c r="U47" s="9">
        <f>MAX(0,MIN(1,(1+D47/Parameters!$D$24)*4-(R47-1)))</f>
        <v>0</v>
      </c>
      <c r="V47" s="9">
        <f>MAX(0,MIN(1,(1+E47/Parameters!$D$25)*4-(S47-1)))</f>
        <v>0</v>
      </c>
    </row>
    <row r="48" spans="1:22" ht="21.95" customHeight="1">
      <c r="B48" s="9" t="str">
        <f>"C "&amp;D48</f>
        <v>C -5</v>
      </c>
      <c r="C48" s="9">
        <f>'HSC Sweep'!$C$6</f>
        <v>-12</v>
      </c>
      <c r="D48" s="9">
        <f>Parameters!G8</f>
        <v>-5</v>
      </c>
      <c r="E48" s="9">
        <f>Parameters!G16</f>
        <v>-10</v>
      </c>
      <c r="F48" s="9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9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9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9">
        <f>F48*H48</f>
        <v>1739.9999999999998</v>
      </c>
      <c r="J48" s="9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9">
        <f>IF('HSC Sweep'!$C$4="Type-B",Parameters!$L$14,INDEX(Parameters!$D$14:$H$14,1,R48)+(INDEX(Parameters!$D$14:$H$14,1,R48+1)-INDEX(Parameters!$D$14:$H$14,1,R48))*U48)</f>
        <v>0.6</v>
      </c>
      <c r="L48" s="9">
        <f>I48+J48</f>
        <v>2240</v>
      </c>
      <c r="M48" s="9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9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9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9">
        <f>M48*O48</f>
        <v>1593</v>
      </c>
      <c r="Q48" s="9">
        <f>MIN(4,MAX(1,INT((1+C48/Parameters!$D$23)*4)+1))</f>
        <v>3</v>
      </c>
      <c r="R48" s="9">
        <f>MIN(4,MAX(1,INT((1+D48/Parameters!$D$24)*4)+1))</f>
        <v>4</v>
      </c>
      <c r="S48" s="9">
        <f>MIN(4,MAX(1,INT((1+E48/Parameters!$D$25)*4)+1))</f>
        <v>4</v>
      </c>
      <c r="T48" s="9">
        <f>MAX(0,MIN(1,(1+C48/Parameters!$D$23)*4-(Q48-1)))</f>
        <v>0</v>
      </c>
      <c r="U48" s="9">
        <f>MAX(0,MIN(1,(1+D48/Parameters!$D$24)*4-(R48-1)))</f>
        <v>0</v>
      </c>
      <c r="V48" s="9">
        <f>MAX(0,MIN(1,(1+E48/Parameters!$D$25)*4-(S48-1)))</f>
        <v>0</v>
      </c>
    </row>
    <row r="49" spans="2:22" ht="21.95" customHeight="1">
      <c r="B49" s="9" t="str">
        <f>"C "&amp;D49</f>
        <v>C 0</v>
      </c>
      <c r="C49" s="9">
        <f>'HSC Sweep'!$C$6</f>
        <v>-12</v>
      </c>
      <c r="D49" s="9">
        <f>Parameters!H8</f>
        <v>0</v>
      </c>
      <c r="E49" s="9">
        <f>Parameters!H16</f>
        <v>0</v>
      </c>
      <c r="F49" s="9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9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9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9">
        <f>F49*H49</f>
        <v>1739.9999999999998</v>
      </c>
      <c r="J49" s="9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9">
        <f>IF('HSC Sweep'!$C$4="Type-B",Parameters!$L$14,INDEX(Parameters!$D$14:$H$14,1,R49)+(INDEX(Parameters!$D$14:$H$14,1,R49+1)-INDEX(Parameters!$D$14:$H$14,1,R49))*U49)</f>
        <v>0.6</v>
      </c>
      <c r="L49" s="9">
        <f>I49+J49</f>
        <v>2240</v>
      </c>
      <c r="M49" s="9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9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9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9">
        <f>M49*O49</f>
        <v>1700</v>
      </c>
      <c r="Q49" s="9">
        <f>MIN(4,MAX(1,INT((1+C49/Parameters!$D$23)*4)+1))</f>
        <v>3</v>
      </c>
      <c r="R49" s="9">
        <f>MIN(4,MAX(1,INT((1+D49/Parameters!$D$24)*4)+1))</f>
        <v>4</v>
      </c>
      <c r="S49" s="9">
        <f>MIN(4,MAX(1,INT((1+E49/Parameters!$D$25)*4)+1))</f>
        <v>4</v>
      </c>
      <c r="T49" s="9">
        <f>MAX(0,MIN(1,(1+C49/Parameters!$D$23)*4-(Q49-1)))</f>
        <v>0</v>
      </c>
      <c r="U49" s="9">
        <f>MAX(0,MIN(1,(1+D49/Parameters!$D$24)*4-(R49-1)))</f>
        <v>1</v>
      </c>
      <c r="V49" s="9">
        <f>MAX(0,MIN(1,(1+E49/Parameters!$D$25)*4-(S49-1)))</f>
        <v>1</v>
      </c>
    </row>
    <row r="50" spans="2:22" ht="21.95" customHeight="1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spans="2:22" ht="21.95" customHeight="1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spans="2:22" ht="21.95" customHeight="1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spans="2:22" ht="21.95" customHeight="1">
      <c r="B53" s="12" t="s">
        <v>31</v>
      </c>
      <c r="C53" s="12" t="str">
        <f>B45</f>
        <v>C -20</v>
      </c>
      <c r="D53" s="12" t="str">
        <f>B46</f>
        <v>C -15</v>
      </c>
      <c r="E53" s="12" t="str">
        <f>B47</f>
        <v>C -10</v>
      </c>
      <c r="F53" s="12" t="str">
        <f>B48</f>
        <v>C -5</v>
      </c>
      <c r="G53" s="12" t="str">
        <f>B49</f>
        <v>C 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spans="2:22" ht="21.95" customHeight="1">
      <c r="B54" s="16">
        <v>0</v>
      </c>
      <c r="C54" s="16">
        <f t="shared" ref="C54:C74" si="5">$F$45*MIN($B54,$G$45)+$I$45*MAX(0,$B54-$G$45)+$J$45*MAX(0,$B54-$K$45)</f>
        <v>0</v>
      </c>
      <c r="D54" s="16">
        <f t="shared" ref="D54:D74" si="6">$F$46*MIN($B54,$G$46)+$I$46*MAX(0,$B54-$G$46)+$J$46*MAX(0,$B54-$K$46)</f>
        <v>0</v>
      </c>
      <c r="E54" s="16">
        <f t="shared" ref="E54:E74" si="7">$F$47*MIN($B54,$G$47)+$I$47*MAX(0,$B54-$G$47)+$J$47*MAX(0,$B54-$K$47)</f>
        <v>0</v>
      </c>
      <c r="F54" s="16">
        <f t="shared" ref="F54:F74" si="8">$F$48*MIN($B54,$G$48)+$I$48*MAX(0,$B54-$G$48)+$J$48*MAX(0,$B54-$K$48)</f>
        <v>0</v>
      </c>
      <c r="G54" s="16">
        <f t="shared" ref="G54:G74" si="9">$F$49*MIN($B54,$G$49)+$I$49*MAX(0,$B54-$G$49)+$J$49*MAX(0,$B54-$K$49)</f>
        <v>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2:22" ht="21.95" customHeight="1">
      <c r="B55" s="16">
        <v>0.05</v>
      </c>
      <c r="C55" s="16">
        <f t="shared" si="5"/>
        <v>150</v>
      </c>
      <c r="D55" s="16">
        <f t="shared" si="6"/>
        <v>150</v>
      </c>
      <c r="E55" s="16">
        <f t="shared" si="7"/>
        <v>150</v>
      </c>
      <c r="F55" s="16">
        <f t="shared" si="8"/>
        <v>150</v>
      </c>
      <c r="G55" s="16">
        <f t="shared" si="9"/>
        <v>150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spans="2:22" ht="21.95" customHeight="1">
      <c r="B56" s="16">
        <v>0.1</v>
      </c>
      <c r="C56" s="16">
        <f t="shared" si="5"/>
        <v>300</v>
      </c>
      <c r="D56" s="16">
        <f t="shared" si="6"/>
        <v>300</v>
      </c>
      <c r="E56" s="16">
        <f t="shared" si="7"/>
        <v>300</v>
      </c>
      <c r="F56" s="16">
        <f t="shared" si="8"/>
        <v>300</v>
      </c>
      <c r="G56" s="16">
        <f t="shared" si="9"/>
        <v>300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spans="2:22" ht="21.95" customHeight="1">
      <c r="B57" s="16">
        <v>0.15</v>
      </c>
      <c r="C57" s="16">
        <f t="shared" si="5"/>
        <v>450</v>
      </c>
      <c r="D57" s="16">
        <f t="shared" si="6"/>
        <v>450</v>
      </c>
      <c r="E57" s="16">
        <f t="shared" si="7"/>
        <v>450</v>
      </c>
      <c r="F57" s="16">
        <f t="shared" si="8"/>
        <v>450</v>
      </c>
      <c r="G57" s="16">
        <f t="shared" si="9"/>
        <v>450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spans="2:22" ht="21.95" customHeight="1">
      <c r="B58" s="16">
        <v>0.2</v>
      </c>
      <c r="C58" s="16">
        <f t="shared" si="5"/>
        <v>600</v>
      </c>
      <c r="D58" s="16">
        <f t="shared" si="6"/>
        <v>600</v>
      </c>
      <c r="E58" s="16">
        <f t="shared" si="7"/>
        <v>600</v>
      </c>
      <c r="F58" s="16">
        <f t="shared" si="8"/>
        <v>600</v>
      </c>
      <c r="G58" s="16">
        <f t="shared" si="9"/>
        <v>600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2:22" ht="21.95" customHeight="1">
      <c r="B59" s="16">
        <v>0.25</v>
      </c>
      <c r="C59" s="16">
        <f t="shared" si="5"/>
        <v>750</v>
      </c>
      <c r="D59" s="16">
        <f t="shared" si="6"/>
        <v>750</v>
      </c>
      <c r="E59" s="16">
        <f t="shared" si="7"/>
        <v>750</v>
      </c>
      <c r="F59" s="16">
        <f t="shared" si="8"/>
        <v>750</v>
      </c>
      <c r="G59" s="16">
        <f t="shared" si="9"/>
        <v>750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2:22" ht="21.95" customHeight="1">
      <c r="B60" s="16">
        <v>0.3</v>
      </c>
      <c r="C60" s="16">
        <f t="shared" si="5"/>
        <v>837</v>
      </c>
      <c r="D60" s="16">
        <f t="shared" si="6"/>
        <v>900</v>
      </c>
      <c r="E60" s="16">
        <f t="shared" si="7"/>
        <v>900</v>
      </c>
      <c r="F60" s="16">
        <f t="shared" si="8"/>
        <v>900</v>
      </c>
      <c r="G60" s="16">
        <f t="shared" si="9"/>
        <v>900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2:22" ht="21.95" customHeight="1">
      <c r="B61" s="16">
        <v>0.35</v>
      </c>
      <c r="C61" s="16">
        <f t="shared" si="5"/>
        <v>924</v>
      </c>
      <c r="D61" s="16">
        <f t="shared" si="6"/>
        <v>987</v>
      </c>
      <c r="E61" s="16">
        <f t="shared" si="7"/>
        <v>1050</v>
      </c>
      <c r="F61" s="16">
        <f t="shared" si="8"/>
        <v>1050</v>
      </c>
      <c r="G61" s="16">
        <f t="shared" si="9"/>
        <v>1050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2:22" ht="21.95" customHeight="1">
      <c r="B62" s="16">
        <v>0.4</v>
      </c>
      <c r="C62" s="16">
        <f t="shared" si="5"/>
        <v>1011</v>
      </c>
      <c r="D62" s="16">
        <f t="shared" si="6"/>
        <v>1074</v>
      </c>
      <c r="E62" s="16">
        <f t="shared" si="7"/>
        <v>1137</v>
      </c>
      <c r="F62" s="16">
        <f t="shared" si="8"/>
        <v>1200</v>
      </c>
      <c r="G62" s="16">
        <f t="shared" si="9"/>
        <v>1200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2:22" ht="21.95" customHeight="1">
      <c r="B63" s="16">
        <v>0.45</v>
      </c>
      <c r="C63" s="16">
        <f t="shared" si="5"/>
        <v>1098</v>
      </c>
      <c r="D63" s="16">
        <f t="shared" si="6"/>
        <v>1161</v>
      </c>
      <c r="E63" s="16">
        <f t="shared" si="7"/>
        <v>1224</v>
      </c>
      <c r="F63" s="16">
        <f t="shared" si="8"/>
        <v>1287</v>
      </c>
      <c r="G63" s="16">
        <f t="shared" si="9"/>
        <v>1350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2:22" ht="21.95" customHeight="1">
      <c r="B64" s="16">
        <v>0.5</v>
      </c>
      <c r="C64" s="16">
        <f t="shared" si="5"/>
        <v>1185</v>
      </c>
      <c r="D64" s="16">
        <f t="shared" si="6"/>
        <v>1248</v>
      </c>
      <c r="E64" s="16">
        <f t="shared" si="7"/>
        <v>1311</v>
      </c>
      <c r="F64" s="16">
        <f t="shared" si="8"/>
        <v>1374</v>
      </c>
      <c r="G64" s="16">
        <f t="shared" si="9"/>
        <v>1437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2:22" ht="21.95" customHeight="1">
      <c r="B65" s="16">
        <v>0.55000000000000004</v>
      </c>
      <c r="C65" s="16">
        <f t="shared" si="5"/>
        <v>1272</v>
      </c>
      <c r="D65" s="16">
        <f t="shared" si="6"/>
        <v>1335</v>
      </c>
      <c r="E65" s="16">
        <f t="shared" si="7"/>
        <v>1398</v>
      </c>
      <c r="F65" s="16">
        <f t="shared" si="8"/>
        <v>1461</v>
      </c>
      <c r="G65" s="16">
        <f t="shared" si="9"/>
        <v>1524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2:22" ht="21.95" customHeight="1">
      <c r="B66" s="16">
        <v>0.6</v>
      </c>
      <c r="C66" s="16">
        <f t="shared" si="5"/>
        <v>1359</v>
      </c>
      <c r="D66" s="16">
        <f t="shared" si="6"/>
        <v>1422</v>
      </c>
      <c r="E66" s="16">
        <f t="shared" si="7"/>
        <v>1485</v>
      </c>
      <c r="F66" s="16">
        <f t="shared" si="8"/>
        <v>1548</v>
      </c>
      <c r="G66" s="16">
        <f t="shared" si="9"/>
        <v>1611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2:22" ht="21.95" customHeight="1">
      <c r="B67" s="16">
        <v>0.65</v>
      </c>
      <c r="C67" s="16">
        <f t="shared" si="5"/>
        <v>1471</v>
      </c>
      <c r="D67" s="16">
        <f t="shared" si="6"/>
        <v>1534</v>
      </c>
      <c r="E67" s="16">
        <f t="shared" si="7"/>
        <v>1597</v>
      </c>
      <c r="F67" s="16">
        <f t="shared" si="8"/>
        <v>1660</v>
      </c>
      <c r="G67" s="16">
        <f t="shared" si="9"/>
        <v>1723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2:22" ht="21.95" customHeight="1">
      <c r="B68" s="16">
        <v>0.7</v>
      </c>
      <c r="C68" s="16">
        <f t="shared" si="5"/>
        <v>1582.9999999999998</v>
      </c>
      <c r="D68" s="16">
        <f t="shared" si="6"/>
        <v>1646</v>
      </c>
      <c r="E68" s="16">
        <f t="shared" si="7"/>
        <v>1709</v>
      </c>
      <c r="F68" s="16">
        <f t="shared" si="8"/>
        <v>1771.9999999999998</v>
      </c>
      <c r="G68" s="16">
        <f t="shared" si="9"/>
        <v>1834.9999999999998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2:22" ht="21.95" customHeight="1">
      <c r="B69" s="16">
        <v>0.75</v>
      </c>
      <c r="C69" s="16">
        <f t="shared" si="5"/>
        <v>1695</v>
      </c>
      <c r="D69" s="16">
        <f t="shared" si="6"/>
        <v>1758</v>
      </c>
      <c r="E69" s="16">
        <f t="shared" si="7"/>
        <v>1821</v>
      </c>
      <c r="F69" s="16">
        <f t="shared" si="8"/>
        <v>1884</v>
      </c>
      <c r="G69" s="16">
        <f t="shared" si="9"/>
        <v>1947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2:22" ht="21.95" customHeight="1">
      <c r="B70" s="16">
        <v>0.8</v>
      </c>
      <c r="C70" s="16">
        <f t="shared" si="5"/>
        <v>1807</v>
      </c>
      <c r="D70" s="16">
        <f t="shared" si="6"/>
        <v>1870</v>
      </c>
      <c r="E70" s="16">
        <f t="shared" si="7"/>
        <v>1933</v>
      </c>
      <c r="F70" s="16">
        <f t="shared" si="8"/>
        <v>1996</v>
      </c>
      <c r="G70" s="16">
        <f t="shared" si="9"/>
        <v>2059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2:22" ht="21.95" customHeight="1">
      <c r="B71" s="16">
        <v>0.85</v>
      </c>
      <c r="C71" s="16">
        <f t="shared" si="5"/>
        <v>1918.9999999999998</v>
      </c>
      <c r="D71" s="16">
        <f t="shared" si="6"/>
        <v>1982</v>
      </c>
      <c r="E71" s="16">
        <f t="shared" si="7"/>
        <v>2045</v>
      </c>
      <c r="F71" s="16">
        <f t="shared" si="8"/>
        <v>2108</v>
      </c>
      <c r="G71" s="16">
        <f t="shared" si="9"/>
        <v>2171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2:22" ht="21.95" customHeight="1">
      <c r="B72" s="16">
        <v>0.9</v>
      </c>
      <c r="C72" s="16">
        <f t="shared" si="5"/>
        <v>2031</v>
      </c>
      <c r="D72" s="16">
        <f t="shared" si="6"/>
        <v>2094</v>
      </c>
      <c r="E72" s="16">
        <f t="shared" si="7"/>
        <v>2157</v>
      </c>
      <c r="F72" s="16">
        <f t="shared" si="8"/>
        <v>2220</v>
      </c>
      <c r="G72" s="16">
        <f t="shared" si="9"/>
        <v>2283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2:22" ht="21.95" customHeight="1">
      <c r="B73" s="16">
        <v>0.95</v>
      </c>
      <c r="C73" s="16">
        <f t="shared" si="5"/>
        <v>2143</v>
      </c>
      <c r="D73" s="16">
        <f t="shared" si="6"/>
        <v>2206</v>
      </c>
      <c r="E73" s="16">
        <f t="shared" si="7"/>
        <v>2269</v>
      </c>
      <c r="F73" s="16">
        <f t="shared" si="8"/>
        <v>2332</v>
      </c>
      <c r="G73" s="16">
        <f t="shared" si="9"/>
        <v>2395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2:22" ht="21.95" customHeight="1">
      <c r="B74" s="16">
        <v>1</v>
      </c>
      <c r="C74" s="16">
        <f t="shared" si="5"/>
        <v>2255</v>
      </c>
      <c r="D74" s="16">
        <f t="shared" si="6"/>
        <v>2318</v>
      </c>
      <c r="E74" s="16">
        <f t="shared" si="7"/>
        <v>2381</v>
      </c>
      <c r="F74" s="16">
        <f t="shared" si="8"/>
        <v>2444</v>
      </c>
      <c r="G74" s="16">
        <f t="shared" si="9"/>
        <v>2507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2:22" ht="21.95" customHeight="1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2:22" ht="21.95" customHeight="1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2:22" ht="21.95" customHeight="1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2:22" ht="21.95" customHeight="1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2:22" ht="21.95" customHeight="1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2:22" ht="21.95" customHeight="1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2:22" ht="21.95" customHeight="1">
      <c r="B81" s="29" t="s">
        <v>72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1.95" customHeight="1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2:22" ht="21.95" customHeight="1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2:22" ht="35.1" customHeight="1">
      <c r="B84" s="14" t="s">
        <v>41</v>
      </c>
      <c r="C84" s="14" t="s">
        <v>42</v>
      </c>
      <c r="D84" s="14" t="s">
        <v>43</v>
      </c>
      <c r="E84" s="14" t="s">
        <v>44</v>
      </c>
      <c r="F84" s="14" t="s">
        <v>15</v>
      </c>
      <c r="G84" s="14" t="s">
        <v>56</v>
      </c>
      <c r="H84" s="14" t="s">
        <v>45</v>
      </c>
      <c r="I84" s="14" t="s">
        <v>36</v>
      </c>
      <c r="J84" s="14" t="s">
        <v>46</v>
      </c>
      <c r="K84" s="14" t="s">
        <v>57</v>
      </c>
      <c r="L84" s="14" t="s">
        <v>47</v>
      </c>
      <c r="M84" s="14" t="s">
        <v>20</v>
      </c>
      <c r="N84" s="14" t="s">
        <v>21</v>
      </c>
      <c r="O84" s="14" t="s">
        <v>48</v>
      </c>
      <c r="P84" s="14" t="s">
        <v>39</v>
      </c>
      <c r="Q84" s="14" t="s">
        <v>49</v>
      </c>
      <c r="R84" s="14" t="s">
        <v>50</v>
      </c>
      <c r="S84" s="14" t="s">
        <v>51</v>
      </c>
      <c r="T84" s="14" t="s">
        <v>52</v>
      </c>
      <c r="U84" s="14" t="s">
        <v>53</v>
      </c>
      <c r="V84" s="14" t="s">
        <v>54</v>
      </c>
    </row>
    <row r="85" spans="2:22" ht="21.95" customHeight="1">
      <c r="B85" s="9" t="str">
        <f>"R "&amp;E85</f>
        <v>R -40</v>
      </c>
      <c r="C85" s="9">
        <f>Parameters!D7</f>
        <v>-24</v>
      </c>
      <c r="D85" s="9">
        <f>Parameters!D8</f>
        <v>-20</v>
      </c>
      <c r="E85" s="9">
        <f>Parameters!D16</f>
        <v>-40</v>
      </c>
      <c r="F85" s="9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9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9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9">
        <f>F85*H85</f>
        <v>1200</v>
      </c>
      <c r="J85" s="9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9">
        <f>IF('LSR Sweep'!$C$4="Type-B",Parameters!$L$14,INDEX(Parameters!$D$14:$H$14,1,R85)+(INDEX(Parameters!$D$14:$H$14,1,R85+1)-INDEX(Parameters!$D$14:$H$14,1,R85))*U85)</f>
        <v>0.57999999999999996</v>
      </c>
      <c r="L85" s="9">
        <f>I85+J85</f>
        <v>2000</v>
      </c>
      <c r="M85" s="9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9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9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9">
        <f>M85*O85</f>
        <v>1056</v>
      </c>
      <c r="Q85" s="9">
        <f>MIN(4,MAX(1,INT((1+C85/Parameters!$D$23)*4)+1))</f>
        <v>1</v>
      </c>
      <c r="R85" s="9">
        <f>MIN(4,MAX(1,INT((1+D85/Parameters!$D$24)*4)+1))</f>
        <v>1</v>
      </c>
      <c r="S85" s="9">
        <f>MIN(4,MAX(1,INT((1+E85/Parameters!$D$25)*4)+1))</f>
        <v>1</v>
      </c>
      <c r="T85" s="9">
        <f>MAX(0,MIN(1,(1+C85/Parameters!$D$23)*4-(Q85-1)))</f>
        <v>0</v>
      </c>
      <c r="U85" s="9">
        <f>MAX(0,MIN(1,(1+D85/Parameters!$D$24)*4-(R85-1)))</f>
        <v>0</v>
      </c>
      <c r="V85" s="9">
        <f>MAX(0,MIN(1,(1+E85/Parameters!$D$25)*4-(S85-1)))</f>
        <v>0</v>
      </c>
    </row>
    <row r="86" spans="2:22" ht="21.95" customHeight="1">
      <c r="B86" s="9" t="str">
        <f>"R "&amp;E86</f>
        <v>R -30</v>
      </c>
      <c r="C86" s="9">
        <f>Parameters!E7</f>
        <v>-18</v>
      </c>
      <c r="D86" s="9">
        <f>Parameters!E8</f>
        <v>-15</v>
      </c>
      <c r="E86" s="9">
        <f>Parameters!E16</f>
        <v>-30</v>
      </c>
      <c r="F86" s="9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9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9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9">
        <f>F86*H86</f>
        <v>1755</v>
      </c>
      <c r="J86" s="9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9">
        <f>IF('LSR Sweep'!$C$4="Type-B",Parameters!$L$14,INDEX(Parameters!$D$14:$H$14,1,R86)+(INDEX(Parameters!$D$14:$H$14,1,R86+1)-INDEX(Parameters!$D$14:$H$14,1,R86))*U86)</f>
        <v>0.59</v>
      </c>
      <c r="L86" s="9">
        <f>I86+J86</f>
        <v>3155</v>
      </c>
      <c r="M86" s="9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9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9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9">
        <f>M86*O86</f>
        <v>1426</v>
      </c>
      <c r="Q86" s="9">
        <f>MIN(4,MAX(1,INT((1+C86/Parameters!$D$23)*4)+1))</f>
        <v>2</v>
      </c>
      <c r="R86" s="9">
        <f>MIN(4,MAX(1,INT((1+D86/Parameters!$D$24)*4)+1))</f>
        <v>2</v>
      </c>
      <c r="S86" s="9">
        <f>MIN(4,MAX(1,INT((1+E86/Parameters!$D$25)*4)+1))</f>
        <v>2</v>
      </c>
      <c r="T86" s="9">
        <f>MAX(0,MIN(1,(1+C86/Parameters!$D$23)*4-(Q86-1)))</f>
        <v>0</v>
      </c>
      <c r="U86" s="9">
        <f>MAX(0,MIN(1,(1+D86/Parameters!$D$24)*4-(R86-1)))</f>
        <v>0</v>
      </c>
      <c r="V86" s="9">
        <f>MAX(0,MIN(1,(1+E86/Parameters!$D$25)*4-(S86-1)))</f>
        <v>0</v>
      </c>
    </row>
    <row r="87" spans="2:22" ht="21.95" customHeight="1">
      <c r="B87" s="9" t="str">
        <f>"R "&amp;E87</f>
        <v>R -20</v>
      </c>
      <c r="C87" s="9">
        <f>Parameters!F7</f>
        <v>-12</v>
      </c>
      <c r="D87" s="9">
        <f>Parameters!F8</f>
        <v>-10</v>
      </c>
      <c r="E87" s="9">
        <f>Parameters!F16</f>
        <v>-20</v>
      </c>
      <c r="F87" s="9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9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9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9">
        <f>F87*H87</f>
        <v>2280</v>
      </c>
      <c r="J87" s="9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9">
        <f>IF('LSR Sweep'!$C$4="Type-B",Parameters!$L$14,INDEX(Parameters!$D$14:$H$14,1,R87)+(INDEX(Parameters!$D$14:$H$14,1,R87+1)-INDEX(Parameters!$D$14:$H$14,1,R87))*U87)</f>
        <v>0.6</v>
      </c>
      <c r="L87" s="9">
        <f>I87+J87</f>
        <v>4280</v>
      </c>
      <c r="M87" s="9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9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9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9">
        <f>M87*O87</f>
        <v>1760</v>
      </c>
      <c r="Q87" s="9">
        <f>MIN(4,MAX(1,INT((1+C87/Parameters!$D$23)*4)+1))</f>
        <v>3</v>
      </c>
      <c r="R87" s="9">
        <f>MIN(4,MAX(1,INT((1+D87/Parameters!$D$24)*4)+1))</f>
        <v>3</v>
      </c>
      <c r="S87" s="9">
        <f>MIN(4,MAX(1,INT((1+E87/Parameters!$D$25)*4)+1))</f>
        <v>3</v>
      </c>
      <c r="T87" s="9">
        <f>MAX(0,MIN(1,(1+C87/Parameters!$D$23)*4-(Q87-1)))</f>
        <v>0</v>
      </c>
      <c r="U87" s="9">
        <f>MAX(0,MIN(1,(1+D87/Parameters!$D$24)*4-(R87-1)))</f>
        <v>0</v>
      </c>
      <c r="V87" s="9">
        <f>MAX(0,MIN(1,(1+E87/Parameters!$D$25)*4-(S87-1)))</f>
        <v>0</v>
      </c>
    </row>
    <row r="88" spans="2:22" ht="21.95" customHeight="1">
      <c r="B88" s="9" t="str">
        <f>"R "&amp;E88</f>
        <v>R -10</v>
      </c>
      <c r="C88" s="9">
        <f>Parameters!G7</f>
        <v>-6</v>
      </c>
      <c r="D88" s="9">
        <f>Parameters!G8</f>
        <v>-5</v>
      </c>
      <c r="E88" s="9">
        <f>Parameters!G16</f>
        <v>-10</v>
      </c>
      <c r="F88" s="9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9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9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9">
        <f>F88*H88</f>
        <v>2775</v>
      </c>
      <c r="J88" s="9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9">
        <f>IF('LSR Sweep'!$C$4="Type-B",Parameters!$L$14,INDEX(Parameters!$D$14:$H$14,1,R88)+(INDEX(Parameters!$D$14:$H$14,1,R88+1)-INDEX(Parameters!$D$14:$H$14,1,R88))*U88)</f>
        <v>0.61</v>
      </c>
      <c r="L88" s="9">
        <f>I88+J88</f>
        <v>5375</v>
      </c>
      <c r="M88" s="9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9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9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9">
        <f>M88*O88</f>
        <v>2058</v>
      </c>
      <c r="Q88" s="9">
        <f>MIN(4,MAX(1,INT((1+C88/Parameters!$D$23)*4)+1))</f>
        <v>4</v>
      </c>
      <c r="R88" s="9">
        <f>MIN(4,MAX(1,INT((1+D88/Parameters!$D$24)*4)+1))</f>
        <v>4</v>
      </c>
      <c r="S88" s="9">
        <f>MIN(4,MAX(1,INT((1+E88/Parameters!$D$25)*4)+1))</f>
        <v>4</v>
      </c>
      <c r="T88" s="9">
        <f>MAX(0,MIN(1,(1+C88/Parameters!$D$23)*4-(Q88-1)))</f>
        <v>0</v>
      </c>
      <c r="U88" s="9">
        <f>MAX(0,MIN(1,(1+D88/Parameters!$D$24)*4-(R88-1)))</f>
        <v>0</v>
      </c>
      <c r="V88" s="9">
        <f>MAX(0,MIN(1,(1+E88/Parameters!$D$25)*4-(S88-1)))</f>
        <v>0</v>
      </c>
    </row>
    <row r="89" spans="2:22" ht="21.95" customHeight="1">
      <c r="B89" s="9" t="str">
        <f>"R "&amp;E89</f>
        <v>R 0</v>
      </c>
      <c r="C89" s="9">
        <f>Parameters!H7</f>
        <v>0</v>
      </c>
      <c r="D89" s="9">
        <f>Parameters!H8</f>
        <v>0</v>
      </c>
      <c r="E89" s="9">
        <f>Parameters!H16</f>
        <v>0</v>
      </c>
      <c r="F89" s="9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9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9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9">
        <f>F89*H89</f>
        <v>3240</v>
      </c>
      <c r="J89" s="9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9">
        <f>IF('LSR Sweep'!$C$4="Type-B",Parameters!$L$14,INDEX(Parameters!$D$14:$H$14,1,R89)+(INDEX(Parameters!$D$14:$H$14,1,R89+1)-INDEX(Parameters!$D$14:$H$14,1,R89))*U89)</f>
        <v>0.62</v>
      </c>
      <c r="L89" s="9">
        <f>I89+J89</f>
        <v>6440</v>
      </c>
      <c r="M89" s="9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9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9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9">
        <f>M89*O89</f>
        <v>2320</v>
      </c>
      <c r="Q89" s="9">
        <f>MIN(4,MAX(1,INT((1+C89/Parameters!$D$23)*4)+1))</f>
        <v>4</v>
      </c>
      <c r="R89" s="9">
        <f>MIN(4,MAX(1,INT((1+D89/Parameters!$D$24)*4)+1))</f>
        <v>4</v>
      </c>
      <c r="S89" s="9">
        <f>MIN(4,MAX(1,INT((1+E89/Parameters!$D$25)*4)+1))</f>
        <v>4</v>
      </c>
      <c r="T89" s="9">
        <f>MAX(0,MIN(1,(1+C89/Parameters!$D$23)*4-(Q89-1)))</f>
        <v>1</v>
      </c>
      <c r="U89" s="9">
        <f>MAX(0,MIN(1,(1+D89/Parameters!$D$24)*4-(R89-1)))</f>
        <v>1</v>
      </c>
      <c r="V89" s="9">
        <f>MAX(0,MIN(1,(1+E89/Parameters!$D$25)*4-(S89-1)))</f>
        <v>1</v>
      </c>
    </row>
    <row r="90" spans="2:22" ht="21.95" customHeight="1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2:22" ht="21.95" customHeight="1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2:22" ht="21.95" customHeight="1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2:22" ht="21.95" customHeight="1">
      <c r="B93" s="12" t="s">
        <v>31</v>
      </c>
      <c r="C93" s="12" t="str">
        <f>B85</f>
        <v>R -40</v>
      </c>
      <c r="D93" s="12" t="str">
        <f>B86</f>
        <v>R -30</v>
      </c>
      <c r="E93" s="12" t="str">
        <f>B87</f>
        <v>R -20</v>
      </c>
      <c r="F93" s="12" t="str">
        <f>B88</f>
        <v>R -10</v>
      </c>
      <c r="G93" s="12" t="str">
        <f>B89</f>
        <v>R 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2:22" ht="21.95" customHeight="1">
      <c r="B94" s="16">
        <v>0</v>
      </c>
      <c r="C94" s="16">
        <f t="shared" ref="C94:C114" si="10">$M$85*MIN($B94,$N$85)+$P$85*MAX(0,$B94-$N$85)</f>
        <v>0</v>
      </c>
      <c r="D94" s="16">
        <f t="shared" ref="D94:D114" si="11">$M$86*MIN($B94,$N$86)+$P$86*MAX(0,$B94-$N$86)</f>
        <v>0</v>
      </c>
      <c r="E94" s="16">
        <f t="shared" ref="E94:E114" si="12">$M$87*MIN($B94,$N$87)+$P$87*MAX(0,$B94-$N$87)</f>
        <v>0</v>
      </c>
      <c r="F94" s="16">
        <f t="shared" ref="F94:F114" si="13">$M$88*MIN($B94,$N$88)+$P$88*MAX(0,$B94-$N$88)</f>
        <v>0</v>
      </c>
      <c r="G94" s="16">
        <f t="shared" ref="G94:G114" si="14">$M$89*MIN($B94,$N$89)+$P$89*MAX(0,$B94-$N$89)</f>
        <v>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2:22" ht="21.95" customHeight="1">
      <c r="B95" s="16">
        <v>0.05</v>
      </c>
      <c r="C95" s="16">
        <f t="shared" si="10"/>
        <v>55</v>
      </c>
      <c r="D95" s="16">
        <f t="shared" si="11"/>
        <v>77.5</v>
      </c>
      <c r="E95" s="16">
        <f t="shared" si="12"/>
        <v>100</v>
      </c>
      <c r="F95" s="16">
        <f t="shared" si="13"/>
        <v>122.5</v>
      </c>
      <c r="G95" s="16">
        <f t="shared" si="14"/>
        <v>145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2:22" ht="21.95" customHeight="1">
      <c r="B96" s="16">
        <v>0.1</v>
      </c>
      <c r="C96" s="16">
        <f t="shared" si="10"/>
        <v>110</v>
      </c>
      <c r="D96" s="16">
        <f t="shared" si="11"/>
        <v>155</v>
      </c>
      <c r="E96" s="16">
        <f t="shared" si="12"/>
        <v>200</v>
      </c>
      <c r="F96" s="16">
        <f t="shared" si="13"/>
        <v>245</v>
      </c>
      <c r="G96" s="16">
        <f t="shared" si="14"/>
        <v>290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2:22" ht="21.95" customHeight="1">
      <c r="B97" s="16">
        <v>0.15</v>
      </c>
      <c r="C97" s="16">
        <f t="shared" si="10"/>
        <v>165</v>
      </c>
      <c r="D97" s="16">
        <f t="shared" si="11"/>
        <v>232.5</v>
      </c>
      <c r="E97" s="16">
        <f t="shared" si="12"/>
        <v>300</v>
      </c>
      <c r="F97" s="16">
        <f t="shared" si="13"/>
        <v>367.5</v>
      </c>
      <c r="G97" s="16">
        <f t="shared" si="14"/>
        <v>435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2:22" ht="21.95" customHeight="1">
      <c r="B98" s="16">
        <v>0.2</v>
      </c>
      <c r="C98" s="16">
        <f t="shared" si="10"/>
        <v>220</v>
      </c>
      <c r="D98" s="16">
        <f t="shared" si="11"/>
        <v>310</v>
      </c>
      <c r="E98" s="16">
        <f t="shared" si="12"/>
        <v>400</v>
      </c>
      <c r="F98" s="16">
        <f t="shared" si="13"/>
        <v>490</v>
      </c>
      <c r="G98" s="16">
        <f t="shared" si="14"/>
        <v>580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2:22" ht="21.95" customHeight="1">
      <c r="B99" s="16">
        <v>0.25</v>
      </c>
      <c r="C99" s="16">
        <f t="shared" si="10"/>
        <v>274.12</v>
      </c>
      <c r="D99" s="16">
        <f t="shared" si="11"/>
        <v>387.5</v>
      </c>
      <c r="E99" s="16">
        <f t="shared" si="12"/>
        <v>500</v>
      </c>
      <c r="F99" s="16">
        <f t="shared" si="13"/>
        <v>612.5</v>
      </c>
      <c r="G99" s="16">
        <f t="shared" si="14"/>
        <v>725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2:22" ht="21.95" customHeight="1">
      <c r="B100" s="16">
        <v>0.3</v>
      </c>
      <c r="C100" s="16">
        <f t="shared" si="10"/>
        <v>326.91999999999996</v>
      </c>
      <c r="D100" s="16">
        <f t="shared" si="11"/>
        <v>459.41999999999996</v>
      </c>
      <c r="E100" s="16">
        <f t="shared" si="12"/>
        <v>595.19999999999993</v>
      </c>
      <c r="F100" s="16">
        <f t="shared" si="13"/>
        <v>735</v>
      </c>
      <c r="G100" s="16">
        <f t="shared" si="14"/>
        <v>870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2:22" ht="21.95" customHeight="1">
      <c r="B101" s="16">
        <v>0.35</v>
      </c>
      <c r="C101" s="16">
        <f t="shared" si="10"/>
        <v>379.71999999999997</v>
      </c>
      <c r="D101" s="16">
        <f t="shared" si="11"/>
        <v>530.72</v>
      </c>
      <c r="E101" s="16">
        <f t="shared" si="12"/>
        <v>683.19999999999993</v>
      </c>
      <c r="F101" s="16">
        <f t="shared" si="13"/>
        <v>839.86</v>
      </c>
      <c r="G101" s="16">
        <f t="shared" si="14"/>
        <v>1003.3999999999999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2:22" ht="21.95" customHeight="1">
      <c r="B102" s="16">
        <v>0.4</v>
      </c>
      <c r="C102" s="16">
        <f t="shared" si="10"/>
        <v>432.52</v>
      </c>
      <c r="D102" s="16">
        <f t="shared" si="11"/>
        <v>602.02</v>
      </c>
      <c r="E102" s="16">
        <f t="shared" si="12"/>
        <v>771.2</v>
      </c>
      <c r="F102" s="16">
        <f t="shared" si="13"/>
        <v>942.76</v>
      </c>
      <c r="G102" s="16">
        <f t="shared" si="14"/>
        <v>1119.4000000000001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2:22" ht="21.95" customHeight="1">
      <c r="B103" s="16">
        <v>0.45</v>
      </c>
      <c r="C103" s="16">
        <f t="shared" si="10"/>
        <v>485.32</v>
      </c>
      <c r="D103" s="16">
        <f t="shared" si="11"/>
        <v>673.31999999999994</v>
      </c>
      <c r="E103" s="16">
        <f t="shared" si="12"/>
        <v>859.2</v>
      </c>
      <c r="F103" s="16">
        <f t="shared" si="13"/>
        <v>1045.6600000000001</v>
      </c>
      <c r="G103" s="16">
        <f t="shared" si="14"/>
        <v>1235.4000000000001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2:22" ht="21.95" customHeight="1">
      <c r="B104" s="16">
        <v>0.5</v>
      </c>
      <c r="C104" s="16">
        <f t="shared" si="10"/>
        <v>538.12</v>
      </c>
      <c r="D104" s="16">
        <f t="shared" si="11"/>
        <v>744.62</v>
      </c>
      <c r="E104" s="16">
        <f t="shared" si="12"/>
        <v>947.19999999999993</v>
      </c>
      <c r="F104" s="16">
        <f t="shared" si="13"/>
        <v>1148.56</v>
      </c>
      <c r="G104" s="16">
        <f t="shared" si="14"/>
        <v>1351.4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2:22" ht="21.95" customHeight="1">
      <c r="B105" s="16">
        <v>0.55000000000000004</v>
      </c>
      <c r="C105" s="16">
        <f t="shared" si="10"/>
        <v>590.92000000000007</v>
      </c>
      <c r="D105" s="16">
        <f t="shared" si="11"/>
        <v>815.92000000000007</v>
      </c>
      <c r="E105" s="16">
        <f t="shared" si="12"/>
        <v>1035.2</v>
      </c>
      <c r="F105" s="16">
        <f t="shared" si="13"/>
        <v>1251.46</v>
      </c>
      <c r="G105" s="16">
        <f t="shared" si="14"/>
        <v>1467.4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2:22" ht="21.95" customHeight="1">
      <c r="B106" s="16">
        <v>0.6</v>
      </c>
      <c r="C106" s="16">
        <f t="shared" si="10"/>
        <v>643.72</v>
      </c>
      <c r="D106" s="16">
        <f t="shared" si="11"/>
        <v>887.22</v>
      </c>
      <c r="E106" s="16">
        <f t="shared" si="12"/>
        <v>1123.1999999999998</v>
      </c>
      <c r="F106" s="16">
        <f t="shared" si="13"/>
        <v>1354.3600000000001</v>
      </c>
      <c r="G106" s="16">
        <f t="shared" si="14"/>
        <v>1583.3999999999999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2:22" ht="21.95" customHeight="1">
      <c r="B107" s="16">
        <v>0.65</v>
      </c>
      <c r="C107" s="16">
        <f t="shared" si="10"/>
        <v>696.52</v>
      </c>
      <c r="D107" s="16">
        <f t="shared" si="11"/>
        <v>958.52</v>
      </c>
      <c r="E107" s="16">
        <f t="shared" si="12"/>
        <v>1211.2</v>
      </c>
      <c r="F107" s="16">
        <f t="shared" si="13"/>
        <v>1457.2600000000002</v>
      </c>
      <c r="G107" s="16">
        <f t="shared" si="14"/>
        <v>1699.4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2:22" ht="21.95" customHeight="1">
      <c r="B108" s="16">
        <v>0.7</v>
      </c>
      <c r="C108" s="16">
        <f t="shared" si="10"/>
        <v>749.31999999999994</v>
      </c>
      <c r="D108" s="16">
        <f t="shared" si="11"/>
        <v>1029.82</v>
      </c>
      <c r="E108" s="16">
        <f t="shared" si="12"/>
        <v>1299.1999999999998</v>
      </c>
      <c r="F108" s="16">
        <f t="shared" si="13"/>
        <v>1560.1599999999999</v>
      </c>
      <c r="G108" s="16">
        <f t="shared" si="14"/>
        <v>1815.3999999999999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2:22" ht="21.95" customHeight="1">
      <c r="B109" s="16">
        <v>0.75</v>
      </c>
      <c r="C109" s="16">
        <f t="shared" si="10"/>
        <v>802.12</v>
      </c>
      <c r="D109" s="16">
        <f t="shared" si="11"/>
        <v>1101.1199999999999</v>
      </c>
      <c r="E109" s="16">
        <f t="shared" si="12"/>
        <v>1387.1999999999998</v>
      </c>
      <c r="F109" s="16">
        <f t="shared" si="13"/>
        <v>1663.06</v>
      </c>
      <c r="G109" s="16">
        <f t="shared" si="14"/>
        <v>1931.4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2:22" ht="21.95" customHeight="1">
      <c r="B110" s="16">
        <v>0.8</v>
      </c>
      <c r="C110" s="16">
        <f t="shared" si="10"/>
        <v>854.92000000000007</v>
      </c>
      <c r="D110" s="16">
        <f t="shared" si="11"/>
        <v>1172.42</v>
      </c>
      <c r="E110" s="16">
        <f t="shared" si="12"/>
        <v>1475.2</v>
      </c>
      <c r="F110" s="16">
        <f t="shared" si="13"/>
        <v>1765.96</v>
      </c>
      <c r="G110" s="16">
        <f t="shared" si="14"/>
        <v>2047.4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2:22" ht="21.95" customHeight="1">
      <c r="B111" s="16">
        <v>0.85</v>
      </c>
      <c r="C111" s="16">
        <f t="shared" si="10"/>
        <v>907.72</v>
      </c>
      <c r="D111" s="16">
        <f t="shared" si="11"/>
        <v>1243.7199999999998</v>
      </c>
      <c r="E111" s="16">
        <f t="shared" si="12"/>
        <v>1563.1999999999998</v>
      </c>
      <c r="F111" s="16">
        <f t="shared" si="13"/>
        <v>1868.8600000000001</v>
      </c>
      <c r="G111" s="16">
        <f t="shared" si="14"/>
        <v>2163.4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2:22" ht="21.95" customHeight="1">
      <c r="B112" s="16">
        <v>0.9</v>
      </c>
      <c r="C112" s="16">
        <f t="shared" si="10"/>
        <v>960.5200000000001</v>
      </c>
      <c r="D112" s="16">
        <f t="shared" si="11"/>
        <v>1315.02</v>
      </c>
      <c r="E112" s="16">
        <f t="shared" si="12"/>
        <v>1651.2</v>
      </c>
      <c r="F112" s="16">
        <f t="shared" si="13"/>
        <v>1971.7600000000002</v>
      </c>
      <c r="G112" s="16">
        <f t="shared" si="14"/>
        <v>2279.4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2:22" ht="21.95" customHeight="1">
      <c r="B113" s="16">
        <v>0.95</v>
      </c>
      <c r="C113" s="16">
        <f t="shared" si="10"/>
        <v>1013.3199999999999</v>
      </c>
      <c r="D113" s="16">
        <f t="shared" si="11"/>
        <v>1386.32</v>
      </c>
      <c r="E113" s="16">
        <f t="shared" si="12"/>
        <v>1739.1999999999998</v>
      </c>
      <c r="F113" s="16">
        <f t="shared" si="13"/>
        <v>2074.66</v>
      </c>
      <c r="G113" s="16">
        <f t="shared" si="14"/>
        <v>2395.3999999999996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2:22" ht="21.95" customHeight="1">
      <c r="B114" s="16">
        <v>1</v>
      </c>
      <c r="C114" s="16">
        <f t="shared" si="10"/>
        <v>1066.1199999999999</v>
      </c>
      <c r="D114" s="16">
        <f t="shared" si="11"/>
        <v>1457.62</v>
      </c>
      <c r="E114" s="16">
        <f t="shared" si="12"/>
        <v>1827.2</v>
      </c>
      <c r="F114" s="16">
        <f t="shared" si="13"/>
        <v>2177.56</v>
      </c>
      <c r="G114" s="16">
        <f t="shared" si="14"/>
        <v>2511.3999999999996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2:22" ht="21.95" customHeight="1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2:22" ht="21.95" customHeight="1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2:22" ht="21.95" customHeight="1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2:22" ht="21.95" customHeight="1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2:22" ht="21.95" customHeight="1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2:22" ht="21.95" customHeight="1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2:22" ht="21.95" customHeight="1">
      <c r="B121" s="29" t="s">
        <v>73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1.95" customHeight="1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2:22" ht="21.95" customHeight="1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2:22" ht="35.1" customHeight="1">
      <c r="B124" s="14" t="s">
        <v>41</v>
      </c>
      <c r="C124" s="14" t="s">
        <v>42</v>
      </c>
      <c r="D124" s="14" t="s">
        <v>43</v>
      </c>
      <c r="E124" s="14" t="s">
        <v>44</v>
      </c>
      <c r="F124" s="14" t="s">
        <v>15</v>
      </c>
      <c r="G124" s="14" t="s">
        <v>56</v>
      </c>
      <c r="H124" s="14" t="s">
        <v>45</v>
      </c>
      <c r="I124" s="14" t="s">
        <v>36</v>
      </c>
      <c r="J124" s="14" t="s">
        <v>46</v>
      </c>
      <c r="K124" s="14" t="s">
        <v>57</v>
      </c>
      <c r="L124" s="14" t="s">
        <v>47</v>
      </c>
      <c r="M124" s="14" t="s">
        <v>20</v>
      </c>
      <c r="N124" s="14" t="s">
        <v>21</v>
      </c>
      <c r="O124" s="14" t="s">
        <v>48</v>
      </c>
      <c r="P124" s="14" t="s">
        <v>39</v>
      </c>
      <c r="Q124" s="14" t="s">
        <v>49</v>
      </c>
      <c r="R124" s="14" t="s">
        <v>50</v>
      </c>
      <c r="S124" s="14" t="s">
        <v>51</v>
      </c>
      <c r="T124" s="14" t="s">
        <v>52</v>
      </c>
      <c r="U124" s="14" t="s">
        <v>53</v>
      </c>
      <c r="V124" s="14" t="s">
        <v>54</v>
      </c>
    </row>
    <row r="125" spans="2:22" ht="21.95" customHeight="1">
      <c r="B125" s="9" t="str">
        <f>"c "&amp;C125&amp;" / C "&amp;D125</f>
        <v>c -24 / C -20</v>
      </c>
      <c r="C125" s="9">
        <f>Parameters!D7</f>
        <v>-24</v>
      </c>
      <c r="D125" s="9">
        <f>Parameters!D8</f>
        <v>-20</v>
      </c>
      <c r="E125" s="9">
        <f>Parameters!D16</f>
        <v>-40</v>
      </c>
      <c r="F125" s="9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9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0.25</v>
      </c>
      <c r="H125" s="9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0.62</v>
      </c>
      <c r="I125" s="9">
        <f>F125*H125</f>
        <v>1116</v>
      </c>
      <c r="J125" s="9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9">
        <f>IF('Full Sweep'!$C$4="Type-B",Parameters!$L$14,INDEX(Parameters!$D$14:$H$14,1,R125)+(INDEX(Parameters!$D$14:$H$14,1,R125+1)-INDEX(Parameters!$D$14:$H$14,1,R125))*U125)</f>
        <v>0.6</v>
      </c>
      <c r="L125" s="9">
        <f>I125+J125</f>
        <v>1616</v>
      </c>
      <c r="M125" s="9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1600</v>
      </c>
      <c r="N125" s="9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</v>
      </c>
      <c r="O125" s="9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0.66</v>
      </c>
      <c r="P125" s="9">
        <f>M125*O125</f>
        <v>1056</v>
      </c>
      <c r="Q125" s="9">
        <f>MIN(4,MAX(1,INT((1+C125/Parameters!$D$23)*4)+1))</f>
        <v>1</v>
      </c>
      <c r="R125" s="9">
        <f>MIN(4,MAX(1,INT((1+D125/Parameters!$D$24)*4)+1))</f>
        <v>1</v>
      </c>
      <c r="S125" s="9">
        <f>MIN(4,MAX(1,INT((1+E125/Parameters!$D$25)*4)+1))</f>
        <v>1</v>
      </c>
      <c r="T125" s="9">
        <f>MAX(0,MIN(1,(1+C125/Parameters!$D$23)*4-(Q125-1)))</f>
        <v>0</v>
      </c>
      <c r="U125" s="9">
        <f>MAX(0,MIN(1,(1+D125/Parameters!$D$24)*4-(R125-1)))</f>
        <v>0</v>
      </c>
      <c r="V125" s="9">
        <f>MAX(0,MIN(1,(1+E125/Parameters!$D$25)*4-(S125-1)))</f>
        <v>0</v>
      </c>
    </row>
    <row r="126" spans="2:22" ht="21.95" customHeight="1">
      <c r="B126" s="9" t="str">
        <f>"c "&amp;C126&amp;" / C "&amp;D126</f>
        <v>c -18 / C -15</v>
      </c>
      <c r="C126" s="9">
        <f>Parameters!E7</f>
        <v>-18</v>
      </c>
      <c r="D126" s="9">
        <f>Parameters!E8</f>
        <v>-15</v>
      </c>
      <c r="E126" s="9">
        <f>Parameters!E16</f>
        <v>-30</v>
      </c>
      <c r="F126" s="9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9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0.3</v>
      </c>
      <c r="H126" s="9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0.6</v>
      </c>
      <c r="I126" s="9">
        <f>F126*H126</f>
        <v>1440</v>
      </c>
      <c r="J126" s="9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500</v>
      </c>
      <c r="K126" s="9">
        <f>IF('Full Sweep'!$C$4="Type-B",Parameters!$L$14,INDEX(Parameters!$D$14:$H$14,1,R126)+(INDEX(Parameters!$D$14:$H$14,1,R126+1)-INDEX(Parameters!$D$14:$H$14,1,R126))*U126)</f>
        <v>0.6</v>
      </c>
      <c r="L126" s="9">
        <f>I126+J126</f>
        <v>1940</v>
      </c>
      <c r="M126" s="9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2050</v>
      </c>
      <c r="N126" s="9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0.22500000000000001</v>
      </c>
      <c r="O126" s="9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0.62</v>
      </c>
      <c r="P126" s="9">
        <f>M126*O126</f>
        <v>1271</v>
      </c>
      <c r="Q126" s="9">
        <f>MIN(4,MAX(1,INT((1+C126/Parameters!$D$23)*4)+1))</f>
        <v>2</v>
      </c>
      <c r="R126" s="9">
        <f>MIN(4,MAX(1,INT((1+D126/Parameters!$D$24)*4)+1))</f>
        <v>2</v>
      </c>
      <c r="S126" s="9">
        <f>MIN(4,MAX(1,INT((1+E126/Parameters!$D$25)*4)+1))</f>
        <v>2</v>
      </c>
      <c r="T126" s="9">
        <f>MAX(0,MIN(1,(1+C126/Parameters!$D$23)*4-(Q126-1)))</f>
        <v>0</v>
      </c>
      <c r="U126" s="9">
        <f>MAX(0,MIN(1,(1+D126/Parameters!$D$24)*4-(R126-1)))</f>
        <v>0</v>
      </c>
      <c r="V126" s="9">
        <f>MAX(0,MIN(1,(1+E126/Parameters!$D$25)*4-(S126-1)))</f>
        <v>0</v>
      </c>
    </row>
    <row r="127" spans="2:22" ht="21.95" customHeight="1">
      <c r="B127" s="9" t="str">
        <f>"c "&amp;C127&amp;" / C "&amp;D127</f>
        <v>c -12 / C -10</v>
      </c>
      <c r="C127" s="9">
        <f>Parameters!F7</f>
        <v>-12</v>
      </c>
      <c r="D127" s="9">
        <f>Parameters!F8</f>
        <v>-10</v>
      </c>
      <c r="E127" s="9">
        <f>Parameters!F16</f>
        <v>-20</v>
      </c>
      <c r="F127" s="9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9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0.35</v>
      </c>
      <c r="H127" s="9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0.57999999999999996</v>
      </c>
      <c r="I127" s="9">
        <f>F127*H127</f>
        <v>1739.9999999999998</v>
      </c>
      <c r="J127" s="9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500</v>
      </c>
      <c r="K127" s="9">
        <f>IF('Full Sweep'!$C$4="Type-B",Parameters!$L$14,INDEX(Parameters!$D$14:$H$14,1,R127)+(INDEX(Parameters!$D$14:$H$14,1,R127+1)-INDEX(Parameters!$D$14:$H$14,1,R127))*U127)</f>
        <v>0.6</v>
      </c>
      <c r="L127" s="9">
        <f>I127+J127</f>
        <v>2240</v>
      </c>
      <c r="M127" s="9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2500</v>
      </c>
      <c r="N127" s="9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9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0.57999999999999996</v>
      </c>
      <c r="P127" s="9">
        <f>M127*O127</f>
        <v>1450</v>
      </c>
      <c r="Q127" s="9">
        <f>MIN(4,MAX(1,INT((1+C127/Parameters!$D$23)*4)+1))</f>
        <v>3</v>
      </c>
      <c r="R127" s="9">
        <f>MIN(4,MAX(1,INT((1+D127/Parameters!$D$24)*4)+1))</f>
        <v>3</v>
      </c>
      <c r="S127" s="9">
        <f>MIN(4,MAX(1,INT((1+E127/Parameters!$D$25)*4)+1))</f>
        <v>3</v>
      </c>
      <c r="T127" s="9">
        <f>MAX(0,MIN(1,(1+C127/Parameters!$D$23)*4-(Q127-1)))</f>
        <v>0</v>
      </c>
      <c r="U127" s="9">
        <f>MAX(0,MIN(1,(1+D127/Parameters!$D$24)*4-(R127-1)))</f>
        <v>0</v>
      </c>
      <c r="V127" s="9">
        <f>MAX(0,MIN(1,(1+E127/Parameters!$D$25)*4-(S127-1)))</f>
        <v>0</v>
      </c>
    </row>
    <row r="128" spans="2:22" ht="21.95" customHeight="1">
      <c r="B128" s="9" t="str">
        <f>"c "&amp;C128&amp;" / C "&amp;D128</f>
        <v>c -6 / C -5</v>
      </c>
      <c r="C128" s="9">
        <f>Parameters!G7</f>
        <v>-6</v>
      </c>
      <c r="D128" s="9">
        <f>Parameters!G8</f>
        <v>-5</v>
      </c>
      <c r="E128" s="9">
        <f>Parameters!G16</f>
        <v>-10</v>
      </c>
      <c r="F128" s="9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9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0.4</v>
      </c>
      <c r="H128" s="9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0.56000000000000005</v>
      </c>
      <c r="I128" s="9">
        <f>F128*H128</f>
        <v>2016.0000000000002</v>
      </c>
      <c r="J128" s="9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500</v>
      </c>
      <c r="K128" s="9">
        <f>IF('Full Sweep'!$C$4="Type-B",Parameters!$L$14,INDEX(Parameters!$D$14:$H$14,1,R128)+(INDEX(Parameters!$D$14:$H$14,1,R128+1)-INDEX(Parameters!$D$14:$H$14,1,R128))*U128)</f>
        <v>0.6</v>
      </c>
      <c r="L128" s="9">
        <f>I128+J128</f>
        <v>2516</v>
      </c>
      <c r="M128" s="9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2950</v>
      </c>
      <c r="N128" s="9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0.27500000000000002</v>
      </c>
      <c r="O128" s="9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0.54</v>
      </c>
      <c r="P128" s="9">
        <f>M128*O128</f>
        <v>1593</v>
      </c>
      <c r="Q128" s="9">
        <f>MIN(4,MAX(1,INT((1+C128/Parameters!$D$23)*4)+1))</f>
        <v>4</v>
      </c>
      <c r="R128" s="9">
        <f>MIN(4,MAX(1,INT((1+D128/Parameters!$D$24)*4)+1))</f>
        <v>4</v>
      </c>
      <c r="S128" s="9">
        <f>MIN(4,MAX(1,INT((1+E128/Parameters!$D$25)*4)+1))</f>
        <v>4</v>
      </c>
      <c r="T128" s="9">
        <f>MAX(0,MIN(1,(1+C128/Parameters!$D$23)*4-(Q128-1)))</f>
        <v>0</v>
      </c>
      <c r="U128" s="9">
        <f>MAX(0,MIN(1,(1+D128/Parameters!$D$24)*4-(R128-1)))</f>
        <v>0</v>
      </c>
      <c r="V128" s="9">
        <f>MAX(0,MIN(1,(1+E128/Parameters!$D$25)*4-(S128-1)))</f>
        <v>0</v>
      </c>
    </row>
    <row r="129" spans="2:22" ht="21.95" customHeight="1">
      <c r="B129" s="9" t="str">
        <f>"c "&amp;C129&amp;" / C "&amp;D129</f>
        <v>c 0 / C 0</v>
      </c>
      <c r="C129" s="9">
        <f>Parameters!H7</f>
        <v>0</v>
      </c>
      <c r="D129" s="9">
        <f>Parameters!H8</f>
        <v>0</v>
      </c>
      <c r="E129" s="9">
        <f>Parameters!H16</f>
        <v>0</v>
      </c>
      <c r="F129" s="9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9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0.45</v>
      </c>
      <c r="H129" s="9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0.54</v>
      </c>
      <c r="I129" s="9">
        <f>F129*H129</f>
        <v>2268</v>
      </c>
      <c r="J129" s="9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500</v>
      </c>
      <c r="K129" s="9">
        <f>IF('Full Sweep'!$C$4="Type-B",Parameters!$L$14,INDEX(Parameters!$D$14:$H$14,1,R129)+(INDEX(Parameters!$D$14:$H$14,1,R129+1)-INDEX(Parameters!$D$14:$H$14,1,R129))*U129)</f>
        <v>0.6</v>
      </c>
      <c r="L129" s="9">
        <f>I129+J129</f>
        <v>2768</v>
      </c>
      <c r="M129" s="9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3400</v>
      </c>
      <c r="N129" s="9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</v>
      </c>
      <c r="O129" s="9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0.5</v>
      </c>
      <c r="P129" s="9">
        <f>M129*O129</f>
        <v>1700</v>
      </c>
      <c r="Q129" s="9">
        <f>MIN(4,MAX(1,INT((1+C129/Parameters!$D$23)*4)+1))</f>
        <v>4</v>
      </c>
      <c r="R129" s="9">
        <f>MIN(4,MAX(1,INT((1+D129/Parameters!$D$24)*4)+1))</f>
        <v>4</v>
      </c>
      <c r="S129" s="9">
        <f>MIN(4,MAX(1,INT((1+E129/Parameters!$D$25)*4)+1))</f>
        <v>4</v>
      </c>
      <c r="T129" s="9">
        <f>MAX(0,MIN(1,(1+C129/Parameters!$D$23)*4-(Q129-1)))</f>
        <v>1</v>
      </c>
      <c r="U129" s="9">
        <f>MAX(0,MIN(1,(1+D129/Parameters!$D$24)*4-(R129-1)))</f>
        <v>1</v>
      </c>
      <c r="V129" s="9">
        <f>MAX(0,MIN(1,(1+E129/Parameters!$D$25)*4-(S129-1)))</f>
        <v>1</v>
      </c>
    </row>
    <row r="130" spans="2:22" ht="21.95" customHeight="1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2:22" ht="21.95" customHeight="1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2:22" ht="21.95" customHeight="1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2:22" ht="21.95" customHeight="1">
      <c r="B133" s="12" t="s">
        <v>31</v>
      </c>
      <c r="C133" s="12" t="str">
        <f>B125</f>
        <v>c -24 / C -20</v>
      </c>
      <c r="D133" s="12" t="str">
        <f>B126</f>
        <v>c -18 / C -15</v>
      </c>
      <c r="E133" s="12" t="str">
        <f>B127</f>
        <v>c -12 / C -10</v>
      </c>
      <c r="F133" s="12" t="str">
        <f>B128</f>
        <v>c -6 / C -5</v>
      </c>
      <c r="G133" s="12" t="str">
        <f>B129</f>
        <v>c 0 / C 0</v>
      </c>
      <c r="H133" s="12" t="str">
        <f>"R "&amp;E125</f>
        <v>R -40</v>
      </c>
      <c r="I133" s="12" t="str">
        <f>"R "&amp;E126</f>
        <v>R -30</v>
      </c>
      <c r="J133" s="12" t="str">
        <f>"R "&amp;E127</f>
        <v>R -20</v>
      </c>
      <c r="K133" s="12" t="str">
        <f>"R "&amp;E128</f>
        <v>R -10</v>
      </c>
      <c r="L133" s="12" t="str">
        <f>"R "&amp;E129</f>
        <v>R 0</v>
      </c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2:22" ht="21.95" customHeight="1">
      <c r="B134" s="16">
        <v>0</v>
      </c>
      <c r="C134" s="16">
        <f t="shared" ref="C134:C154" si="15">$F$125*MIN($B134,$G$125)+$I$125*MAX(0,$B134-$G$125)+$J$125*MAX(0,$B134-$K$125)</f>
        <v>0</v>
      </c>
      <c r="D134" s="16">
        <f t="shared" ref="D134:D154" si="16">$F$126*MIN($B134,$G$126)+$I$126*MAX(0,$B134-$G$126)+$J$126*MAX(0,$B134-$K$126)</f>
        <v>0</v>
      </c>
      <c r="E134" s="16">
        <f t="shared" ref="E134:E154" si="17">$F$127*MIN($B134,$G$127)+$I$127*MAX(0,$B134-$G$127)+$J$127*MAX(0,$B134-$K$127)</f>
        <v>0</v>
      </c>
      <c r="F134" s="16">
        <f t="shared" ref="F134:F154" si="18">$F$128*MIN($B134,$G$128)+$I$128*MAX(0,$B134-$G$128)+$J$128*MAX(0,$B134-$K$128)</f>
        <v>0</v>
      </c>
      <c r="G134" s="16">
        <f t="shared" ref="G134:G154" si="19">$F$129*MIN($B134,$G$129)+$I$129*MAX(0,$B134-$G$129)+$J$129*MAX(0,$B134-$K$129)</f>
        <v>0</v>
      </c>
      <c r="H134" s="16">
        <f t="shared" ref="H134:H154" si="20">-($M$125*MIN($B134,$N$125)+$P$125*MAX(0,$B134-$N$125))</f>
        <v>0</v>
      </c>
      <c r="I134" s="16">
        <f t="shared" ref="I134:I154" si="21">-($M$126*MIN($B134,$N$126)+$P$126*MAX(0,$B134-$N$126))</f>
        <v>0</v>
      </c>
      <c r="J134" s="16">
        <f t="shared" ref="J134:J154" si="22">-($M$127*MIN($B134,$N$127)+$P$127*MAX(0,$B134-$N$127))</f>
        <v>0</v>
      </c>
      <c r="K134" s="16">
        <f t="shared" ref="K134:K154" si="23">-($M$128*MIN($B134,$N$128)+$P$128*MAX(0,$B134-$N$128))</f>
        <v>0</v>
      </c>
      <c r="L134" s="16">
        <f t="shared" ref="L134:L154" si="24">-($M$129*MIN($B134,$N$129)+$P$129*MAX(0,$B134-$N$129))</f>
        <v>0</v>
      </c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2:22" ht="21.95" customHeight="1">
      <c r="B135" s="16">
        <v>0.05</v>
      </c>
      <c r="C135" s="16">
        <f t="shared" si="15"/>
        <v>90</v>
      </c>
      <c r="D135" s="16">
        <f t="shared" si="16"/>
        <v>120</v>
      </c>
      <c r="E135" s="16">
        <f t="shared" si="17"/>
        <v>150</v>
      </c>
      <c r="F135" s="16">
        <f t="shared" si="18"/>
        <v>180</v>
      </c>
      <c r="G135" s="16">
        <f t="shared" si="19"/>
        <v>210</v>
      </c>
      <c r="H135" s="16">
        <f t="shared" si="20"/>
        <v>-80</v>
      </c>
      <c r="I135" s="16">
        <f t="shared" si="21"/>
        <v>-102.5</v>
      </c>
      <c r="J135" s="16">
        <f t="shared" si="22"/>
        <v>-125</v>
      </c>
      <c r="K135" s="16">
        <f t="shared" si="23"/>
        <v>-147.5</v>
      </c>
      <c r="L135" s="16">
        <f t="shared" si="24"/>
        <v>-170</v>
      </c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2:22" ht="21.95" customHeight="1">
      <c r="B136" s="16">
        <v>0.1</v>
      </c>
      <c r="C136" s="16">
        <f t="shared" si="15"/>
        <v>180</v>
      </c>
      <c r="D136" s="16">
        <f t="shared" si="16"/>
        <v>240</v>
      </c>
      <c r="E136" s="16">
        <f t="shared" si="17"/>
        <v>300</v>
      </c>
      <c r="F136" s="16">
        <f t="shared" si="18"/>
        <v>360</v>
      </c>
      <c r="G136" s="16">
        <f t="shared" si="19"/>
        <v>420</v>
      </c>
      <c r="H136" s="16">
        <f t="shared" si="20"/>
        <v>-160</v>
      </c>
      <c r="I136" s="16">
        <f t="shared" si="21"/>
        <v>-205</v>
      </c>
      <c r="J136" s="16">
        <f t="shared" si="22"/>
        <v>-250</v>
      </c>
      <c r="K136" s="16">
        <f t="shared" si="23"/>
        <v>-295</v>
      </c>
      <c r="L136" s="16">
        <f t="shared" si="24"/>
        <v>-340</v>
      </c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2:22" ht="21.95" customHeight="1">
      <c r="B137" s="16">
        <v>0.15</v>
      </c>
      <c r="C137" s="16">
        <f t="shared" si="15"/>
        <v>270</v>
      </c>
      <c r="D137" s="16">
        <f t="shared" si="16"/>
        <v>360</v>
      </c>
      <c r="E137" s="16">
        <f t="shared" si="17"/>
        <v>450</v>
      </c>
      <c r="F137" s="16">
        <f t="shared" si="18"/>
        <v>540</v>
      </c>
      <c r="G137" s="16">
        <f t="shared" si="19"/>
        <v>630</v>
      </c>
      <c r="H137" s="16">
        <f t="shared" si="20"/>
        <v>-240</v>
      </c>
      <c r="I137" s="16">
        <f t="shared" si="21"/>
        <v>-307.5</v>
      </c>
      <c r="J137" s="16">
        <f t="shared" si="22"/>
        <v>-375</v>
      </c>
      <c r="K137" s="16">
        <f t="shared" si="23"/>
        <v>-442.5</v>
      </c>
      <c r="L137" s="16">
        <f t="shared" si="24"/>
        <v>-510</v>
      </c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2:22" ht="21.95" customHeight="1">
      <c r="B138" s="16">
        <v>0.2</v>
      </c>
      <c r="C138" s="16">
        <f t="shared" si="15"/>
        <v>360</v>
      </c>
      <c r="D138" s="16">
        <f t="shared" si="16"/>
        <v>480</v>
      </c>
      <c r="E138" s="16">
        <f t="shared" si="17"/>
        <v>600</v>
      </c>
      <c r="F138" s="16">
        <f t="shared" si="18"/>
        <v>720</v>
      </c>
      <c r="G138" s="16">
        <f t="shared" si="19"/>
        <v>840</v>
      </c>
      <c r="H138" s="16">
        <f t="shared" si="20"/>
        <v>-320</v>
      </c>
      <c r="I138" s="16">
        <f t="shared" si="21"/>
        <v>-410</v>
      </c>
      <c r="J138" s="16">
        <f t="shared" si="22"/>
        <v>-500</v>
      </c>
      <c r="K138" s="16">
        <f t="shared" si="23"/>
        <v>-590</v>
      </c>
      <c r="L138" s="16">
        <f t="shared" si="24"/>
        <v>-680</v>
      </c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2:22" ht="21.95" customHeight="1">
      <c r="B139" s="16">
        <v>0.25</v>
      </c>
      <c r="C139" s="16">
        <f t="shared" si="15"/>
        <v>450</v>
      </c>
      <c r="D139" s="16">
        <f t="shared" si="16"/>
        <v>600</v>
      </c>
      <c r="E139" s="16">
        <f t="shared" si="17"/>
        <v>750</v>
      </c>
      <c r="F139" s="16">
        <f t="shared" si="18"/>
        <v>900</v>
      </c>
      <c r="G139" s="16">
        <f t="shared" si="19"/>
        <v>1050</v>
      </c>
      <c r="H139" s="16">
        <f t="shared" si="20"/>
        <v>-372.8</v>
      </c>
      <c r="I139" s="16">
        <f t="shared" si="21"/>
        <v>-493.02499999999998</v>
      </c>
      <c r="J139" s="16">
        <f t="shared" si="22"/>
        <v>-625</v>
      </c>
      <c r="K139" s="16">
        <f t="shared" si="23"/>
        <v>-737.5</v>
      </c>
      <c r="L139" s="16">
        <f t="shared" si="24"/>
        <v>-850</v>
      </c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2:22" ht="21.95" customHeight="1">
      <c r="B140" s="16">
        <v>0.3</v>
      </c>
      <c r="C140" s="16">
        <f t="shared" si="15"/>
        <v>505.8</v>
      </c>
      <c r="D140" s="16">
        <f t="shared" si="16"/>
        <v>720</v>
      </c>
      <c r="E140" s="16">
        <f t="shared" si="17"/>
        <v>900</v>
      </c>
      <c r="F140" s="16">
        <f t="shared" si="18"/>
        <v>1080</v>
      </c>
      <c r="G140" s="16">
        <f t="shared" si="19"/>
        <v>1260</v>
      </c>
      <c r="H140" s="16">
        <f t="shared" si="20"/>
        <v>-425.59999999999997</v>
      </c>
      <c r="I140" s="16">
        <f t="shared" si="21"/>
        <v>-556.57499999999993</v>
      </c>
      <c r="J140" s="16">
        <f t="shared" si="22"/>
        <v>-697.5</v>
      </c>
      <c r="K140" s="16">
        <f t="shared" si="23"/>
        <v>-851.07500000000005</v>
      </c>
      <c r="L140" s="16">
        <f t="shared" si="24"/>
        <v>-1020</v>
      </c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2:22" ht="21.95" customHeight="1">
      <c r="B141" s="16">
        <v>0.35</v>
      </c>
      <c r="C141" s="16">
        <f t="shared" si="15"/>
        <v>561.6</v>
      </c>
      <c r="D141" s="16">
        <f t="shared" si="16"/>
        <v>792</v>
      </c>
      <c r="E141" s="16">
        <f t="shared" si="17"/>
        <v>1050</v>
      </c>
      <c r="F141" s="16">
        <f t="shared" si="18"/>
        <v>1260</v>
      </c>
      <c r="G141" s="16">
        <f t="shared" si="19"/>
        <v>1470</v>
      </c>
      <c r="H141" s="16">
        <f t="shared" si="20"/>
        <v>-478.4</v>
      </c>
      <c r="I141" s="16">
        <f t="shared" si="21"/>
        <v>-620.125</v>
      </c>
      <c r="J141" s="16">
        <f t="shared" si="22"/>
        <v>-770</v>
      </c>
      <c r="K141" s="16">
        <f t="shared" si="23"/>
        <v>-930.72500000000002</v>
      </c>
      <c r="L141" s="16">
        <f t="shared" si="24"/>
        <v>-1105</v>
      </c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2:22" ht="21.95" customHeight="1">
      <c r="B142" s="16">
        <v>0.4</v>
      </c>
      <c r="C142" s="16">
        <f t="shared" si="15"/>
        <v>617.40000000000009</v>
      </c>
      <c r="D142" s="16">
        <f t="shared" si="16"/>
        <v>864</v>
      </c>
      <c r="E142" s="16">
        <f t="shared" si="17"/>
        <v>1137</v>
      </c>
      <c r="F142" s="16">
        <f t="shared" si="18"/>
        <v>1440</v>
      </c>
      <c r="G142" s="16">
        <f t="shared" si="19"/>
        <v>1680</v>
      </c>
      <c r="H142" s="16">
        <f t="shared" si="20"/>
        <v>-531.20000000000005</v>
      </c>
      <c r="I142" s="16">
        <f t="shared" si="21"/>
        <v>-683.67499999999995</v>
      </c>
      <c r="J142" s="16">
        <f t="shared" si="22"/>
        <v>-842.5</v>
      </c>
      <c r="K142" s="16">
        <f t="shared" si="23"/>
        <v>-1010.3750000000001</v>
      </c>
      <c r="L142" s="16">
        <f t="shared" si="24"/>
        <v>-1190</v>
      </c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2:22" ht="21.95" customHeight="1">
      <c r="B143" s="16">
        <v>0.45</v>
      </c>
      <c r="C143" s="16">
        <f t="shared" si="15"/>
        <v>673.2</v>
      </c>
      <c r="D143" s="16">
        <f t="shared" si="16"/>
        <v>936</v>
      </c>
      <c r="E143" s="16">
        <f t="shared" si="17"/>
        <v>1224</v>
      </c>
      <c r="F143" s="16">
        <f t="shared" si="18"/>
        <v>1540.8</v>
      </c>
      <c r="G143" s="16">
        <f t="shared" si="19"/>
        <v>1890</v>
      </c>
      <c r="H143" s="16">
        <f t="shared" si="20"/>
        <v>-584</v>
      </c>
      <c r="I143" s="16">
        <f t="shared" si="21"/>
        <v>-747.22500000000002</v>
      </c>
      <c r="J143" s="16">
        <f t="shared" si="22"/>
        <v>-915</v>
      </c>
      <c r="K143" s="16">
        <f t="shared" si="23"/>
        <v>-1090.0250000000001</v>
      </c>
      <c r="L143" s="16">
        <f t="shared" si="24"/>
        <v>-1275</v>
      </c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2:22" ht="21.95" customHeight="1">
      <c r="B144" s="16">
        <v>0.5</v>
      </c>
      <c r="C144" s="16">
        <f t="shared" si="15"/>
        <v>729</v>
      </c>
      <c r="D144" s="16">
        <f t="shared" si="16"/>
        <v>1008</v>
      </c>
      <c r="E144" s="16">
        <f t="shared" si="17"/>
        <v>1311</v>
      </c>
      <c r="F144" s="16">
        <f t="shared" si="18"/>
        <v>1641.6</v>
      </c>
      <c r="G144" s="16">
        <f t="shared" si="19"/>
        <v>2003.4</v>
      </c>
      <c r="H144" s="16">
        <f t="shared" si="20"/>
        <v>-636.79999999999995</v>
      </c>
      <c r="I144" s="16">
        <f t="shared" si="21"/>
        <v>-810.77500000000009</v>
      </c>
      <c r="J144" s="16">
        <f t="shared" si="22"/>
        <v>-987.5</v>
      </c>
      <c r="K144" s="16">
        <f t="shared" si="23"/>
        <v>-1169.6750000000002</v>
      </c>
      <c r="L144" s="16">
        <f t="shared" si="24"/>
        <v>-1360</v>
      </c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2:22" ht="21.95" customHeight="1">
      <c r="B145" s="16">
        <v>0.55000000000000004</v>
      </c>
      <c r="C145" s="16">
        <f t="shared" si="15"/>
        <v>784.80000000000007</v>
      </c>
      <c r="D145" s="16">
        <f t="shared" si="16"/>
        <v>1080</v>
      </c>
      <c r="E145" s="16">
        <f t="shared" si="17"/>
        <v>1398</v>
      </c>
      <c r="F145" s="16">
        <f t="shared" si="18"/>
        <v>1742.4</v>
      </c>
      <c r="G145" s="16">
        <f t="shared" si="19"/>
        <v>2116.8000000000002</v>
      </c>
      <c r="H145" s="16">
        <f t="shared" si="20"/>
        <v>-689.6</v>
      </c>
      <c r="I145" s="16">
        <f t="shared" si="21"/>
        <v>-874.32500000000005</v>
      </c>
      <c r="J145" s="16">
        <f t="shared" si="22"/>
        <v>-1060</v>
      </c>
      <c r="K145" s="16">
        <f t="shared" si="23"/>
        <v>-1249.3250000000003</v>
      </c>
      <c r="L145" s="16">
        <f t="shared" si="24"/>
        <v>-1445</v>
      </c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2:22" ht="21.95" customHeight="1">
      <c r="B146" s="16">
        <v>0.6</v>
      </c>
      <c r="C146" s="16">
        <f t="shared" si="15"/>
        <v>840.59999999999991</v>
      </c>
      <c r="D146" s="16">
        <f t="shared" si="16"/>
        <v>1152</v>
      </c>
      <c r="E146" s="16">
        <f t="shared" si="17"/>
        <v>1485</v>
      </c>
      <c r="F146" s="16">
        <f t="shared" si="18"/>
        <v>1843.1999999999998</v>
      </c>
      <c r="G146" s="16">
        <f t="shared" si="19"/>
        <v>2230.1999999999998</v>
      </c>
      <c r="H146" s="16">
        <f t="shared" si="20"/>
        <v>-742.4</v>
      </c>
      <c r="I146" s="16">
        <f t="shared" si="21"/>
        <v>-937.875</v>
      </c>
      <c r="J146" s="16">
        <f t="shared" si="22"/>
        <v>-1132.5</v>
      </c>
      <c r="K146" s="16">
        <f t="shared" si="23"/>
        <v>-1328.9749999999999</v>
      </c>
      <c r="L146" s="16">
        <f t="shared" si="24"/>
        <v>-1530</v>
      </c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2:22" ht="21.95" customHeight="1">
      <c r="B147" s="16">
        <v>0.65</v>
      </c>
      <c r="C147" s="16">
        <f t="shared" si="15"/>
        <v>921.40000000000009</v>
      </c>
      <c r="D147" s="16">
        <f t="shared" si="16"/>
        <v>1249</v>
      </c>
      <c r="E147" s="16">
        <f t="shared" si="17"/>
        <v>1597</v>
      </c>
      <c r="F147" s="16">
        <f t="shared" si="18"/>
        <v>1969</v>
      </c>
      <c r="G147" s="16">
        <f t="shared" si="19"/>
        <v>2368.6</v>
      </c>
      <c r="H147" s="16">
        <f t="shared" si="20"/>
        <v>-795.2</v>
      </c>
      <c r="I147" s="16">
        <f t="shared" si="21"/>
        <v>-1001.4250000000001</v>
      </c>
      <c r="J147" s="16">
        <f t="shared" si="22"/>
        <v>-1205</v>
      </c>
      <c r="K147" s="16">
        <f t="shared" si="23"/>
        <v>-1408.625</v>
      </c>
      <c r="L147" s="16">
        <f t="shared" si="24"/>
        <v>-1615</v>
      </c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2:22" ht="21.95" customHeight="1">
      <c r="B148" s="16">
        <v>0.7</v>
      </c>
      <c r="C148" s="16">
        <f t="shared" si="15"/>
        <v>1002.1999999999999</v>
      </c>
      <c r="D148" s="16">
        <f t="shared" si="16"/>
        <v>1346</v>
      </c>
      <c r="E148" s="16">
        <f t="shared" si="17"/>
        <v>1709</v>
      </c>
      <c r="F148" s="16">
        <f t="shared" si="18"/>
        <v>2094.7999999999997</v>
      </c>
      <c r="G148" s="16">
        <f t="shared" si="19"/>
        <v>2507</v>
      </c>
      <c r="H148" s="16">
        <f t="shared" si="20"/>
        <v>-847.99999999999989</v>
      </c>
      <c r="I148" s="16">
        <f t="shared" si="21"/>
        <v>-1064.9749999999999</v>
      </c>
      <c r="J148" s="16">
        <f t="shared" si="22"/>
        <v>-1277.5</v>
      </c>
      <c r="K148" s="16">
        <f t="shared" si="23"/>
        <v>-1488.2750000000001</v>
      </c>
      <c r="L148" s="16">
        <f t="shared" si="24"/>
        <v>-1700</v>
      </c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2:22" ht="21.95" customHeight="1">
      <c r="B149" s="16">
        <v>0.75</v>
      </c>
      <c r="C149" s="16">
        <f t="shared" si="15"/>
        <v>1083</v>
      </c>
      <c r="D149" s="16">
        <f t="shared" si="16"/>
        <v>1443</v>
      </c>
      <c r="E149" s="16">
        <f t="shared" si="17"/>
        <v>1821</v>
      </c>
      <c r="F149" s="16">
        <f t="shared" si="18"/>
        <v>2220.6</v>
      </c>
      <c r="G149" s="16">
        <f t="shared" si="19"/>
        <v>2645.4</v>
      </c>
      <c r="H149" s="16">
        <f t="shared" si="20"/>
        <v>-900.80000000000007</v>
      </c>
      <c r="I149" s="16">
        <f t="shared" si="21"/>
        <v>-1128.5250000000001</v>
      </c>
      <c r="J149" s="16">
        <f t="shared" si="22"/>
        <v>-1350</v>
      </c>
      <c r="K149" s="16">
        <f t="shared" si="23"/>
        <v>-1567.9250000000002</v>
      </c>
      <c r="L149" s="16">
        <f t="shared" si="24"/>
        <v>-1785</v>
      </c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2:22" ht="21.95" customHeight="1">
      <c r="B150" s="16">
        <v>0.8</v>
      </c>
      <c r="C150" s="16">
        <f t="shared" si="15"/>
        <v>1163.8000000000002</v>
      </c>
      <c r="D150" s="16">
        <f t="shared" si="16"/>
        <v>1540</v>
      </c>
      <c r="E150" s="16">
        <f t="shared" si="17"/>
        <v>1933</v>
      </c>
      <c r="F150" s="16">
        <f t="shared" si="18"/>
        <v>2346.4</v>
      </c>
      <c r="G150" s="16">
        <f t="shared" si="19"/>
        <v>2783.8</v>
      </c>
      <c r="H150" s="16">
        <f t="shared" si="20"/>
        <v>-953.60000000000014</v>
      </c>
      <c r="I150" s="16">
        <f t="shared" si="21"/>
        <v>-1192.075</v>
      </c>
      <c r="J150" s="16">
        <f t="shared" si="22"/>
        <v>-1422.5</v>
      </c>
      <c r="K150" s="16">
        <f t="shared" si="23"/>
        <v>-1647.5750000000003</v>
      </c>
      <c r="L150" s="16">
        <f t="shared" si="24"/>
        <v>-1870</v>
      </c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2:22" ht="21.95" customHeight="1">
      <c r="B151" s="16">
        <v>0.85</v>
      </c>
      <c r="C151" s="16">
        <f t="shared" si="15"/>
        <v>1244.5999999999999</v>
      </c>
      <c r="D151" s="16">
        <f t="shared" si="16"/>
        <v>1637</v>
      </c>
      <c r="E151" s="16">
        <f t="shared" si="17"/>
        <v>2045</v>
      </c>
      <c r="F151" s="16">
        <f t="shared" si="18"/>
        <v>2472.1999999999998</v>
      </c>
      <c r="G151" s="16">
        <f t="shared" si="19"/>
        <v>2922.2</v>
      </c>
      <c r="H151" s="16">
        <f t="shared" si="20"/>
        <v>-1006.3999999999999</v>
      </c>
      <c r="I151" s="16">
        <f t="shared" si="21"/>
        <v>-1255.625</v>
      </c>
      <c r="J151" s="16">
        <f t="shared" si="22"/>
        <v>-1495</v>
      </c>
      <c r="K151" s="16">
        <f t="shared" si="23"/>
        <v>-1727.2249999999999</v>
      </c>
      <c r="L151" s="16">
        <f t="shared" si="24"/>
        <v>-1955</v>
      </c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2:22" ht="21.95" customHeight="1">
      <c r="B152" s="16">
        <v>0.9</v>
      </c>
      <c r="C152" s="16">
        <f t="shared" si="15"/>
        <v>1325.4</v>
      </c>
      <c r="D152" s="16">
        <f t="shared" si="16"/>
        <v>1734</v>
      </c>
      <c r="E152" s="16">
        <f t="shared" si="17"/>
        <v>2157</v>
      </c>
      <c r="F152" s="16">
        <f t="shared" si="18"/>
        <v>2598</v>
      </c>
      <c r="G152" s="16">
        <f t="shared" si="19"/>
        <v>3060.6</v>
      </c>
      <c r="H152" s="16">
        <f t="shared" si="20"/>
        <v>-1059.1999999999998</v>
      </c>
      <c r="I152" s="16">
        <f t="shared" si="21"/>
        <v>-1319.1750000000002</v>
      </c>
      <c r="J152" s="16">
        <f t="shared" si="22"/>
        <v>-1567.5</v>
      </c>
      <c r="K152" s="16">
        <f t="shared" si="23"/>
        <v>-1806.875</v>
      </c>
      <c r="L152" s="16">
        <f t="shared" si="24"/>
        <v>-2040</v>
      </c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2:22" ht="21.95" customHeight="1">
      <c r="B153" s="16">
        <v>0.95</v>
      </c>
      <c r="C153" s="16">
        <f t="shared" si="15"/>
        <v>1406.1999999999998</v>
      </c>
      <c r="D153" s="16">
        <f t="shared" si="16"/>
        <v>1831</v>
      </c>
      <c r="E153" s="16">
        <f t="shared" si="17"/>
        <v>2269</v>
      </c>
      <c r="F153" s="16">
        <f t="shared" si="18"/>
        <v>2723.8</v>
      </c>
      <c r="G153" s="16">
        <f t="shared" si="19"/>
        <v>3199</v>
      </c>
      <c r="H153" s="16">
        <f t="shared" si="20"/>
        <v>-1112</v>
      </c>
      <c r="I153" s="16">
        <f t="shared" si="21"/>
        <v>-1382.7249999999999</v>
      </c>
      <c r="J153" s="16">
        <f t="shared" si="22"/>
        <v>-1640</v>
      </c>
      <c r="K153" s="16">
        <f t="shared" si="23"/>
        <v>-1886.5250000000001</v>
      </c>
      <c r="L153" s="16">
        <f t="shared" si="24"/>
        <v>-2125</v>
      </c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2:22" ht="21.95" customHeight="1">
      <c r="B154" s="16">
        <v>1</v>
      </c>
      <c r="C154" s="16">
        <f t="shared" si="15"/>
        <v>1487</v>
      </c>
      <c r="D154" s="16">
        <f t="shared" si="16"/>
        <v>1928</v>
      </c>
      <c r="E154" s="16">
        <f t="shared" si="17"/>
        <v>2381</v>
      </c>
      <c r="F154" s="16">
        <f t="shared" si="18"/>
        <v>2849.6000000000004</v>
      </c>
      <c r="G154" s="16">
        <f t="shared" si="19"/>
        <v>3337.4</v>
      </c>
      <c r="H154" s="16">
        <f t="shared" si="20"/>
        <v>-1164.8000000000002</v>
      </c>
      <c r="I154" s="16">
        <f t="shared" si="21"/>
        <v>-1446.2750000000001</v>
      </c>
      <c r="J154" s="16">
        <f t="shared" si="22"/>
        <v>-1712.5</v>
      </c>
      <c r="K154" s="16">
        <f t="shared" si="23"/>
        <v>-1966.1750000000002</v>
      </c>
      <c r="L154" s="16">
        <f t="shared" si="24"/>
        <v>-2210</v>
      </c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2:22" ht="21.95" customHeight="1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2:22" ht="21.95" customHeight="1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2:22" ht="21.95" customHeight="1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61" spans="2:22" ht="15">
      <c r="B161" s="30" t="s">
        <v>55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41</v>
      </c>
      <c r="C164" t="s">
        <v>42</v>
      </c>
      <c r="D164" t="s">
        <v>43</v>
      </c>
      <c r="E164" t="s">
        <v>44</v>
      </c>
      <c r="F164" t="s">
        <v>15</v>
      </c>
      <c r="G164" t="s">
        <v>56</v>
      </c>
      <c r="H164" t="s">
        <v>45</v>
      </c>
      <c r="I164" t="s">
        <v>36</v>
      </c>
      <c r="J164" t="s">
        <v>46</v>
      </c>
      <c r="K164" t="s">
        <v>57</v>
      </c>
      <c r="L164" t="s">
        <v>47</v>
      </c>
      <c r="M164" t="s">
        <v>20</v>
      </c>
      <c r="N164" t="s">
        <v>21</v>
      </c>
      <c r="O164" t="s">
        <v>48</v>
      </c>
      <c r="P164" t="s">
        <v>39</v>
      </c>
      <c r="Q164" t="s">
        <v>49</v>
      </c>
      <c r="R164" t="s">
        <v>50</v>
      </c>
      <c r="S164" t="s">
        <v>51</v>
      </c>
      <c r="T164" t="s">
        <v>52</v>
      </c>
      <c r="U164" t="s">
        <v>53</v>
      </c>
      <c r="V164" t="s">
        <v>54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3000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0.35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0.57999999999999996</v>
      </c>
      <c r="I165">
        <f>F165*H165</f>
        <v>1739.9999999999998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2240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2500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0.57999999999999996</v>
      </c>
      <c r="P165">
        <f>M165*O165</f>
        <v>1450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2026-10-15T16:11:08Z</dcterms:modified>
</cp:coreProperties>
</file>