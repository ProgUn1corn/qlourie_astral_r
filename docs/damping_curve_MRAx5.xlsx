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052424E7-9232-490B-BD6E-DAC815AA611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<sst xmlns="http://schemas.openxmlformats.org/spreadsheetml/2006/main" count="220" uniqueCount="123">
  <si>
    <t>Astral · LSC Sweep</t>
  </si>
  <si>
    <t>Valving</t>
  </si>
  <si>
    <t>Type-A</t>
  </si>
  <si>
    <t>Type-A / Type-B · 切换仅作用于本页。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</si>
  <si>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</si>
  <si>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</si>
  <si>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</si>
  <si>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</si>
  <si>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</si>
  <si>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Astral · LSR Sweep</t>
  </si>
  <si>
    <t>LSR：−40 / −30 / −20 / −10 / 0 R；图中显示回弹力大小。</t>
  </si>
  <si>
    <t>Astral · Combined Sweep</t>
  </si>
  <si>
    <t>压缩与回弹各五条：最软 / 25% / 默认 / 75% / 最硬。</t>
  </si>
  <si>
    <t>Astral · Valving parameters</t>
  </si>
  <si>
    <t>黄色单元格可编辑；Type-A 与 Type-B 分别标定。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</si>
  <si>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</si>
  <si>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</si>
  <si>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</si>
  <si>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</si>
  <si>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</si>
  <si>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</si>
  <si>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</si>
  <si>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</si>
  <si>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</si>
  <si>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</si>
  <si>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</si>
  <si>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HSbump · 附加梁</t>
  </si>
  <si>
    <t>LSR · R（6 系）</t>
  </si>
  <si>
    <t>rebound</t>
  </si>
  <si>
    <t>Rebound knee</t>
  </si>
  <si>
    <t>HSrebound / rebound</t>
  </si>
  <si>
    <t>Clicks · 共用调节格数</t>
  </si>
  <si>
    <t>LSC · 所有车型</t>
  </si>
  <si>
    <t>Sweep 以 6 系的 c / C / R 格数显示；计算器支持 WRC17 的 60 格回弹。</t>
  </si>
  <si>
    <t>HSC · 所有车型</t>
  </si>
  <si>
    <t>LSR · Rally2 / Rally1</t>
  </si>
  <si>
    <t>LSR · WRC17</t>
  </si>
  <si>
    <t>0 为最硬；负数为从全关退出的格数。</t>
  </si>
  <si>
    <t>Model · 延续当前公式</t>
  </si>
  <si>
    <t>bump2 = bump1 × 中间段倍率；总高速系数 = bump2 + HSbump。</t>
  </si>
  <si>
    <t>回弹力 = rebound × MIN(v, Rebound knee) + HSrebound × MAX(0, v − Rebound knee)。</t>
  </si>
  <si>
    <t>连续分段接续仍为工作假设；这里计算基础阻尼，不叠加气体、弹簧、HBS/HRS 或 LRS/DSV。</t>
  </si>
  <si>
    <t>LSC 只调斜率；Type-A 的 HSC 调第二 knee，Type-B 的 HSC 调第一 knee。</t>
  </si>
  <si>
    <t>研究来源：chatgpt-conversation://6a9ed043-7848-83e8-9d36-6e63c8202898</t>
  </si>
  <si>
    <t>Astral · Damping calculator</t>
  </si>
  <si>
    <t>A / B 独立切换 · 输入实际 c / C / R 格数及轴速</t>
  </si>
  <si>
    <t>车型</t>
  </si>
  <si>
    <t>Rally2</t>
  </si>
  <si>
    <t>当前输入 · 阻尼力大小</t>
  </si>
  <si>
    <t>压缩力 (N)</t>
  </si>
  <si>
    <t>LSR · R</t>
  </si>
  <si>
    <t>轴速 (m/s)</t>
  </si>
  <si>
    <t>回弹力 (N)</t>
  </si>
  <si>
    <t>c 总格数</t>
  </si>
  <si>
    <t>实际计算参数</t>
  </si>
  <si>
    <t>C 总格数</t>
  </si>
  <si>
    <t>R 总格数</t>
  </si>
  <si>
    <t>bump2</t>
  </si>
  <si>
    <t>总高速系数</t>
  </si>
  <si>
    <t>输入检查</t>
  </si>
  <si>
    <t>HSrebound</t>
  </si>
  <si>
    <t>计算器支持任意非负轴速；Sweep 图维持 0～1 m/s。倍率和膝点由所选阀系插值得到。</t>
  </si>
  <si>
    <t>LSC Sweep · 由本页 Valving 开关选择参数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</si>
  <si>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</si>
  <si>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</si>
  <si>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</si>
  <si>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</si>
  <si>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</si>
  <si>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</si>
  <si>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</si>
  <si>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</si>
  <si>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</si>
  <si>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</si>
  <si>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</si>
  <si>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</si>
  <si>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</si>
  <si>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</si>
  <si>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 · 由本页 Valving 开关选择参数</t>
  </si>
  <si>
    <t>LSR Sweep · 由本页 Valving 开关选择参数</t>
  </si>
  <si>
    <t>Full Sweep · 由本页 Valving 开关选择参数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</si>
  <si>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</si>
  <si>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</si>
  <si>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</si>
  <si>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</si>
  <si>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Type-B：第一 knee 由 HSC 控制；第二 knee 固定，统一在 L14 调整。Type-A 调节关系保持原样。</t>
  </si>
  <si>
    <t>Astral · HSC Sweep</t>
    <phoneticPr fontId="13" type="noConversion"/>
  </si>
  <si>
    <t>CTM Racing · MRAx5 · Damping Calculator</t>
  </si>
  <si>
    <t>MRA65 / MRA85 · 砂石拉力 · c / C / R 调节与阻尼力计算</t>
  </si>
  <si>
    <t>适用车型</t>
  </si>
  <si>
    <t>当前曲线参数</t>
  </si>
  <si>
    <t>HSbump · 高速增量</t>
  </si>
  <si>
    <t>CTM Racing · MRAx5 · Valving Parameters</t>
  </si>
  <si>
    <t>MRA65 / MRA65 (Mod) / MRA85 · 砂石拉力系列；黄色单元格为可编辑标定。</t>
  </si>
  <si>
    <t>HSbump · 高速增量</t>
  </si>
  <si>
    <t>LSR · R（MRA65）</t>
  </si>
  <si>
    <t>Adjusters · 调节格数</t>
  </si>
  <si>
    <t>LSC · 全系列</t>
  </si>
  <si>
    <t>HSC · 全系列</t>
  </si>
  <si>
    <t>LSR · MRA65</t>
  </si>
  <si>
    <t>LSR · MRA85</t>
  </si>
  <si>
    <t>Sweep 使用 MRA65 的格数；MRA65 (Mod) 同为 40 格回弹，MRA85 为 60 格，适用车型在计算器选择。</t>
  </si>
  <si>
    <t>Model · 基础阻尼模型</t>
  </si>
  <si>
    <t>理论曲线采用连续分段接续假设；仅计算基础阻尼，不包含气体支撑、弹簧、HBS/HRS 或 LRS/DSV。</t>
  </si>
  <si>
    <t>CTM Racing · MRAx5 · LSC Sweep · 读取对应 Sweep 页的阀系选择</t>
  </si>
  <si>
    <t>CTM Racing · MRAx5 · HSC Sweep · 读取对应 Sweep 页的阀系选择</t>
  </si>
  <si>
    <t>CTM Racing · MRAx5 · LSR Sweep · 读取对应 Sweep 页的阀系选择</t>
  </si>
  <si>
    <t>CTM Racing · MRAx5 · Full Sweep · 读取对应 Sweep 页的阀系选择</t>
  </si>
  <si>
    <t>CTM Racing · MRAx5 · LSC Sweep</t>
  </si>
  <si>
    <t>砂石拉力 · Type-A / Type-B 阀系；各页独立选择。</t>
  </si>
  <si>
    <t>CTM Racing · MRAx5 · HSC Sweep</t>
  </si>
  <si>
    <t>砂石拉力 · Type-A / Type-B 阀系；各页独立选择。</t>
  </si>
  <si>
    <t>CTM Racing · MRAx5 · LSR Sweep</t>
  </si>
  <si>
    <t>砂石拉力 · Type-A / Type-B 阀系；各页独立选择。</t>
  </si>
  <si>
    <t>CTM Racing · MRAx5 · Full Sweep</t>
  </si>
  <si>
    <t>砂石拉力 · Type-A / Type-B 阀系；各页独立选择。</t>
  </si>
  <si>
    <t>避震器型号</t>
  </si>
  <si>
    <t>MRA65</t>
  </si>
  <si>
    <t>MRA65 / MRA85 / MRA85 (Mod) · 砂石拉力系列；黄色单元格为可编辑标定。</t>
  </si>
  <si>
    <t>LSC · 全系列</t>
  </si>
  <si>
    <t>HSC · 全系列</t>
  </si>
  <si>
    <t>LSR · MRA65 / 8系改型</t>
  </si>
  <si>
    <t>LSR · MRA85</t>
  </si>
  <si>
    <t>MRA65 与 MRA85 (Mod)：40 格回弹；MRA85：60 格。Sweep 采用 40 格标尺，型号在计算器选择。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</si>
</sst>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4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/>
  </cellStyleXfs>
  <cellXfs count="31">
    <xf numFmtId="0" fontId="0" fillId="0" borderId="0" xfId="0"/>
    <xf numFmtId="0" fontId="1" fillId="0" borderId="0" xfId="1" applyFont="1" applyAlignment="1">
      <alignment vertical="center"/>
    </xf>
    <xf numFmtId="9" fontId="1" fillId="0" borderId="0" xfId="1" applyNumberFormat="1" applyFont="1" applyAlignment="1">
      <alignment vertical="center"/>
    </xf>
    <xf numFmtId="1" fontId="5" fillId="3" borderId="0" xfId="1" applyNumberFormat="1" applyFont="1" applyFill="1" applyAlignment="1">
      <alignment vertical="center"/>
    </xf>
    <xf numFmtId="176" fontId="5" fillId="3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/>
    <xf numFmtId="49" fontId="5" fillId="3" borderId="0" xfId="1" applyNumberFormat="1" applyFont="1" applyFill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9" fillId="4" borderId="0" xfId="1" applyFont="1" applyFill="1" applyAlignment="1">
      <alignment vertical="center" wrapText="1"/>
    </xf>
    <xf numFmtId="0" fontId="9" fillId="4" borderId="0" xfId="1" applyFont="1" applyFill="1" applyAlignment="1">
      <alignment wrapText="1"/>
    </xf>
    <xf numFmtId="2" fontId="6" fillId="0" borderId="0" xfId="1" applyNumberFormat="1" applyFont="1" applyAlignment="1">
      <alignment vertical="center"/>
    </xf>
    <xf numFmtId="2" fontId="6" fillId="0" borderId="0" xfId="1" applyNumberFormat="1" applyFont="1"/>
    <xf numFmtId="2" fontId="5" fillId="3" borderId="0" xfId="1" applyNumberFormat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4" fillId="2" borderId="0" xfId="1" applyFont="1" applyFill="1" applyAlignment="1">
      <alignment vertical="center"/>
    </xf>
    <xf numFmtId="0" fontId="6" fillId="0" borderId="0" xfId="1" applyFont="1" applyAlignment="1">
      <alignment vertical="center" wrapText="1"/>
    </xf>
    <xf numFmtId="0" fontId="1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7" fillId="0" borderId="0" xfId="1" applyFont="1" applyAlignment="1">
      <alignment vertical="center"/>
    </xf>
    <xf numFmtId="2" fontId="11" fillId="0" borderId="0" xfId="1" applyNumberFormat="1" applyFont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10" fillId="2" borderId="0" xfId="1" applyFont="1" applyFill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MRAx5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680.40000000000009</c:v>
                </c:pt>
                <c:pt idx="9">
                  <c:v>730.80000000000007</c:v>
                </c:pt>
                <c:pt idx="10">
                  <c:v>781.2</c:v>
                </c:pt>
                <c:pt idx="11">
                  <c:v>831.60000000000014</c:v>
                </c:pt>
                <c:pt idx="12">
                  <c:v>882</c:v>
                </c:pt>
                <c:pt idx="13">
                  <c:v>957.40000000000009</c:v>
                </c:pt>
                <c:pt idx="14">
                  <c:v>1032.8</c:v>
                </c:pt>
                <c:pt idx="15">
                  <c:v>1108.2</c:v>
                </c:pt>
                <c:pt idx="16">
                  <c:v>1183.6000000000001</c:v>
                </c:pt>
                <c:pt idx="17">
                  <c:v>1259</c:v>
                </c:pt>
                <c:pt idx="18">
                  <c:v>1334.4</c:v>
                </c:pt>
                <c:pt idx="19">
                  <c:v>1409.8000000000002</c:v>
                </c:pt>
                <c:pt idx="20">
                  <c:v>1485.2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840</c:v>
                </c:pt>
                <c:pt idx="8">
                  <c:v>904.80000000000007</c:v>
                </c:pt>
                <c:pt idx="9">
                  <c:v>969.6</c:v>
                </c:pt>
                <c:pt idx="10">
                  <c:v>1034.4000000000001</c:v>
                </c:pt>
                <c:pt idx="11">
                  <c:v>1099.2</c:v>
                </c:pt>
                <c:pt idx="12">
                  <c:v>1164</c:v>
                </c:pt>
                <c:pt idx="13">
                  <c:v>1253.8000000000002</c:v>
                </c:pt>
                <c:pt idx="14">
                  <c:v>1343.6</c:v>
                </c:pt>
                <c:pt idx="15">
                  <c:v>1433.4</c:v>
                </c:pt>
                <c:pt idx="16">
                  <c:v>1523.2</c:v>
                </c:pt>
                <c:pt idx="17">
                  <c:v>1613</c:v>
                </c:pt>
                <c:pt idx="18">
                  <c:v>1702.8000000000002</c:v>
                </c:pt>
                <c:pt idx="19">
                  <c:v>1792.6</c:v>
                </c:pt>
                <c:pt idx="20">
                  <c:v>1882.4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1128</c:v>
                </c:pt>
                <c:pt idx="9">
                  <c:v>1206</c:v>
                </c:pt>
                <c:pt idx="10">
                  <c:v>1284</c:v>
                </c:pt>
                <c:pt idx="11">
                  <c:v>1362</c:v>
                </c:pt>
                <c:pt idx="12">
                  <c:v>1440</c:v>
                </c:pt>
                <c:pt idx="13">
                  <c:v>1543</c:v>
                </c:pt>
                <c:pt idx="14">
                  <c:v>1646</c:v>
                </c:pt>
                <c:pt idx="15">
                  <c:v>1749</c:v>
                </c:pt>
                <c:pt idx="16">
                  <c:v>1852</c:v>
                </c:pt>
                <c:pt idx="17">
                  <c:v>1955</c:v>
                </c:pt>
                <c:pt idx="18">
                  <c:v>2058</c:v>
                </c:pt>
                <c:pt idx="19">
                  <c:v>2161</c:v>
                </c:pt>
                <c:pt idx="20">
                  <c:v>2264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1350</c:v>
                </c:pt>
                <c:pt idx="9">
                  <c:v>1440</c:v>
                </c:pt>
                <c:pt idx="10">
                  <c:v>1530</c:v>
                </c:pt>
                <c:pt idx="11">
                  <c:v>1620</c:v>
                </c:pt>
                <c:pt idx="12">
                  <c:v>1710</c:v>
                </c:pt>
                <c:pt idx="13">
                  <c:v>1825</c:v>
                </c:pt>
                <c:pt idx="14">
                  <c:v>1940</c:v>
                </c:pt>
                <c:pt idx="15">
                  <c:v>2055</c:v>
                </c:pt>
                <c:pt idx="16">
                  <c:v>2170</c:v>
                </c:pt>
                <c:pt idx="17">
                  <c:v>2285</c:v>
                </c:pt>
                <c:pt idx="18">
                  <c:v>2400</c:v>
                </c:pt>
                <c:pt idx="19">
                  <c:v>2515</c:v>
                </c:pt>
                <c:pt idx="20">
                  <c:v>2630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1570.8000000000002</c:v>
                </c:pt>
                <c:pt idx="9">
                  <c:v>1671.6000000000001</c:v>
                </c:pt>
                <c:pt idx="10">
                  <c:v>1772.4</c:v>
                </c:pt>
                <c:pt idx="11">
                  <c:v>1873.2000000000003</c:v>
                </c:pt>
                <c:pt idx="12">
                  <c:v>1974</c:v>
                </c:pt>
                <c:pt idx="13">
                  <c:v>2099.8000000000002</c:v>
                </c:pt>
                <c:pt idx="14">
                  <c:v>2225.6</c:v>
                </c:pt>
                <c:pt idx="15">
                  <c:v>2351.4</c:v>
                </c:pt>
                <c:pt idx="16">
                  <c:v>2477.2000000000003</c:v>
                </c:pt>
                <c:pt idx="17">
                  <c:v>2603</c:v>
                </c:pt>
                <c:pt idx="18">
                  <c:v>2728.8</c:v>
                </c:pt>
                <c:pt idx="19">
                  <c:v>2854.6</c:v>
                </c:pt>
                <c:pt idx="20">
                  <c:v>2980.4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MRAx5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1390</c:v>
                </c:pt>
                <c:pt idx="13">
                  <c:v>1527.5</c:v>
                </c:pt>
                <c:pt idx="14">
                  <c:v>1665</c:v>
                </c:pt>
                <c:pt idx="15">
                  <c:v>1802.5</c:v>
                </c:pt>
                <c:pt idx="16">
                  <c:v>1940</c:v>
                </c:pt>
                <c:pt idx="17">
                  <c:v>2077.5</c:v>
                </c:pt>
                <c:pt idx="18">
                  <c:v>2215</c:v>
                </c:pt>
                <c:pt idx="19">
                  <c:v>2352.5</c:v>
                </c:pt>
                <c:pt idx="20">
                  <c:v>2490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1392.5</c:v>
                </c:pt>
                <c:pt idx="13">
                  <c:v>1567.5</c:v>
                </c:pt>
                <c:pt idx="14">
                  <c:v>1742.5</c:v>
                </c:pt>
                <c:pt idx="15">
                  <c:v>1917.5</c:v>
                </c:pt>
                <c:pt idx="16">
                  <c:v>2092.5</c:v>
                </c:pt>
                <c:pt idx="17">
                  <c:v>2267.5</c:v>
                </c:pt>
                <c:pt idx="18">
                  <c:v>2442.5</c:v>
                </c:pt>
                <c:pt idx="19">
                  <c:v>2617.5</c:v>
                </c:pt>
                <c:pt idx="20">
                  <c:v>2792.5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1592.5</c:v>
                </c:pt>
                <c:pt idx="14">
                  <c:v>1805</c:v>
                </c:pt>
                <c:pt idx="15">
                  <c:v>2017.5</c:v>
                </c:pt>
                <c:pt idx="16">
                  <c:v>2230</c:v>
                </c:pt>
                <c:pt idx="17">
                  <c:v>2442.5</c:v>
                </c:pt>
                <c:pt idx="18">
                  <c:v>2655</c:v>
                </c:pt>
                <c:pt idx="19">
                  <c:v>2867.5</c:v>
                </c:pt>
                <c:pt idx="20">
                  <c:v>3080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1602.5</c:v>
                </c:pt>
                <c:pt idx="14">
                  <c:v>1852.5</c:v>
                </c:pt>
                <c:pt idx="15">
                  <c:v>2102.5</c:v>
                </c:pt>
                <c:pt idx="16">
                  <c:v>2352.5</c:v>
                </c:pt>
                <c:pt idx="17">
                  <c:v>2602.5</c:v>
                </c:pt>
                <c:pt idx="18">
                  <c:v>2852.5</c:v>
                </c:pt>
                <c:pt idx="19">
                  <c:v>3102.5</c:v>
                </c:pt>
                <c:pt idx="20">
                  <c:v>3352.5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1597.5</c:v>
                </c:pt>
                <c:pt idx="14">
                  <c:v>1885</c:v>
                </c:pt>
                <c:pt idx="15">
                  <c:v>2172.5</c:v>
                </c:pt>
                <c:pt idx="16">
                  <c:v>2460</c:v>
                </c:pt>
                <c:pt idx="17">
                  <c:v>2747.5</c:v>
                </c:pt>
                <c:pt idx="18">
                  <c:v>3035</c:v>
                </c:pt>
                <c:pt idx="19">
                  <c:v>3322.5</c:v>
                </c:pt>
                <c:pt idx="20">
                  <c:v>3610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MRAx5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247.6</c:v>
                </c:pt>
                <c:pt idx="6">
                  <c:v>291.59999999999997</c:v>
                </c:pt>
                <c:pt idx="7">
                  <c:v>335.59999999999997</c:v>
                </c:pt>
                <c:pt idx="8">
                  <c:v>379.6</c:v>
                </c:pt>
                <c:pt idx="9">
                  <c:v>423.6</c:v>
                </c:pt>
                <c:pt idx="10">
                  <c:v>467.6</c:v>
                </c:pt>
                <c:pt idx="11">
                  <c:v>511.60000000000008</c:v>
                </c:pt>
                <c:pt idx="12">
                  <c:v>555.6</c:v>
                </c:pt>
                <c:pt idx="13">
                  <c:v>599.6</c:v>
                </c:pt>
                <c:pt idx="14">
                  <c:v>643.59999999999991</c:v>
                </c:pt>
                <c:pt idx="15">
                  <c:v>687.6</c:v>
                </c:pt>
                <c:pt idx="16">
                  <c:v>731.60000000000014</c:v>
                </c:pt>
                <c:pt idx="17">
                  <c:v>775.6</c:v>
                </c:pt>
                <c:pt idx="18">
                  <c:v>819.6</c:v>
                </c:pt>
                <c:pt idx="19">
                  <c:v>863.6</c:v>
                </c:pt>
                <c:pt idx="20">
                  <c:v>907.6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75</c:v>
                </c:pt>
                <c:pt idx="2">
                  <c:v>150</c:v>
                </c:pt>
                <c:pt idx="3">
                  <c:v>225</c:v>
                </c:pt>
                <c:pt idx="4">
                  <c:v>300</c:v>
                </c:pt>
                <c:pt idx="5">
                  <c:v>375</c:v>
                </c:pt>
                <c:pt idx="6">
                  <c:v>439.2</c:v>
                </c:pt>
                <c:pt idx="7">
                  <c:v>502.2</c:v>
                </c:pt>
                <c:pt idx="8">
                  <c:v>565.20000000000005</c:v>
                </c:pt>
                <c:pt idx="9">
                  <c:v>628.20000000000005</c:v>
                </c:pt>
                <c:pt idx="10">
                  <c:v>691.2</c:v>
                </c:pt>
                <c:pt idx="11">
                  <c:v>754.2</c:v>
                </c:pt>
                <c:pt idx="12">
                  <c:v>817.2</c:v>
                </c:pt>
                <c:pt idx="13">
                  <c:v>880.2</c:v>
                </c:pt>
                <c:pt idx="14">
                  <c:v>943.2</c:v>
                </c:pt>
                <c:pt idx="15">
                  <c:v>1006.2000000000002</c:v>
                </c:pt>
                <c:pt idx="16">
                  <c:v>1069.2000000000003</c:v>
                </c:pt>
                <c:pt idx="17">
                  <c:v>1132.2</c:v>
                </c:pt>
                <c:pt idx="18">
                  <c:v>1195.2000000000003</c:v>
                </c:pt>
                <c:pt idx="19">
                  <c:v>1258.2</c:v>
                </c:pt>
                <c:pt idx="20">
                  <c:v>1321.2000000000003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591.99999999999989</c:v>
                </c:pt>
                <c:pt idx="7">
                  <c:v>671.99999999999989</c:v>
                </c:pt>
                <c:pt idx="8">
                  <c:v>752</c:v>
                </c:pt>
                <c:pt idx="9">
                  <c:v>832</c:v>
                </c:pt>
                <c:pt idx="10">
                  <c:v>912</c:v>
                </c:pt>
                <c:pt idx="11">
                  <c:v>992</c:v>
                </c:pt>
                <c:pt idx="12">
                  <c:v>1072</c:v>
                </c:pt>
                <c:pt idx="13">
                  <c:v>1152</c:v>
                </c:pt>
                <c:pt idx="14">
                  <c:v>1232</c:v>
                </c:pt>
                <c:pt idx="15">
                  <c:v>1312</c:v>
                </c:pt>
                <c:pt idx="16">
                  <c:v>1392</c:v>
                </c:pt>
                <c:pt idx="17">
                  <c:v>1472</c:v>
                </c:pt>
                <c:pt idx="18">
                  <c:v>1552</c:v>
                </c:pt>
                <c:pt idx="19">
                  <c:v>1632</c:v>
                </c:pt>
                <c:pt idx="20">
                  <c:v>1712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500</c:v>
                </c:pt>
                <c:pt idx="5">
                  <c:v>625</c:v>
                </c:pt>
                <c:pt idx="6">
                  <c:v>750</c:v>
                </c:pt>
                <c:pt idx="7">
                  <c:v>848</c:v>
                </c:pt>
                <c:pt idx="8">
                  <c:v>943</c:v>
                </c:pt>
                <c:pt idx="9">
                  <c:v>1038</c:v>
                </c:pt>
                <c:pt idx="10">
                  <c:v>1133</c:v>
                </c:pt>
                <c:pt idx="11">
                  <c:v>1228</c:v>
                </c:pt>
                <c:pt idx="12">
                  <c:v>1323</c:v>
                </c:pt>
                <c:pt idx="13">
                  <c:v>1418</c:v>
                </c:pt>
                <c:pt idx="14">
                  <c:v>1513</c:v>
                </c:pt>
                <c:pt idx="15">
                  <c:v>1608</c:v>
                </c:pt>
                <c:pt idx="16">
                  <c:v>1703</c:v>
                </c:pt>
                <c:pt idx="17">
                  <c:v>1798</c:v>
                </c:pt>
                <c:pt idx="18">
                  <c:v>1893</c:v>
                </c:pt>
                <c:pt idx="19">
                  <c:v>1988</c:v>
                </c:pt>
                <c:pt idx="20">
                  <c:v>2083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1033.1999999999998</c:v>
                </c:pt>
                <c:pt idx="8">
                  <c:v>1141.2</c:v>
                </c:pt>
                <c:pt idx="9">
                  <c:v>1249.2</c:v>
                </c:pt>
                <c:pt idx="10">
                  <c:v>1357.2</c:v>
                </c:pt>
                <c:pt idx="11">
                  <c:v>1465.2</c:v>
                </c:pt>
                <c:pt idx="12">
                  <c:v>1573.1999999999998</c:v>
                </c:pt>
                <c:pt idx="13">
                  <c:v>1681.2</c:v>
                </c:pt>
                <c:pt idx="14">
                  <c:v>1789.1999999999998</c:v>
                </c:pt>
                <c:pt idx="15">
                  <c:v>1897.1999999999998</c:v>
                </c:pt>
                <c:pt idx="16">
                  <c:v>2005.2</c:v>
                </c:pt>
                <c:pt idx="17">
                  <c:v>2113.1999999999998</c:v>
                </c:pt>
                <c:pt idx="18">
                  <c:v>2221.1999999999998</c:v>
                </c:pt>
                <c:pt idx="19">
                  <c:v>2329.1999999999998</c:v>
                </c:pt>
                <c:pt idx="20">
                  <c:v>2437.1999999999998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MRAx5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148.80000000000001</c:v>
                </c:pt>
                <c:pt idx="4">
                  <c:v>196.8</c:v>
                </c:pt>
                <c:pt idx="5">
                  <c:v>244.8</c:v>
                </c:pt>
                <c:pt idx="6">
                  <c:v>292.79999999999995</c:v>
                </c:pt>
                <c:pt idx="7">
                  <c:v>340.79999999999995</c:v>
                </c:pt>
                <c:pt idx="8">
                  <c:v>388.8</c:v>
                </c:pt>
                <c:pt idx="9">
                  <c:v>436.8</c:v>
                </c:pt>
                <c:pt idx="10">
                  <c:v>484.8</c:v>
                </c:pt>
                <c:pt idx="11">
                  <c:v>532.80000000000007</c:v>
                </c:pt>
                <c:pt idx="12">
                  <c:v>590.79999999999995</c:v>
                </c:pt>
                <c:pt idx="13">
                  <c:v>663.8</c:v>
                </c:pt>
                <c:pt idx="14">
                  <c:v>736.8</c:v>
                </c:pt>
                <c:pt idx="15">
                  <c:v>809.8</c:v>
                </c:pt>
                <c:pt idx="16">
                  <c:v>882.80000000000007</c:v>
                </c:pt>
                <c:pt idx="17">
                  <c:v>955.8</c:v>
                </c:pt>
                <c:pt idx="18">
                  <c:v>1028.8000000000002</c:v>
                </c:pt>
                <c:pt idx="19">
                  <c:v>1101.8</c:v>
                </c:pt>
                <c:pt idx="20">
                  <c:v>1174.8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87.5</c:v>
                </c:pt>
                <c:pt idx="2">
                  <c:v>175</c:v>
                </c:pt>
                <c:pt idx="3">
                  <c:v>258.82499999999999</c:v>
                </c:pt>
                <c:pt idx="4">
                  <c:v>340.20000000000005</c:v>
                </c:pt>
                <c:pt idx="5">
                  <c:v>421.57500000000005</c:v>
                </c:pt>
                <c:pt idx="6">
                  <c:v>502.95</c:v>
                </c:pt>
                <c:pt idx="7">
                  <c:v>584.32500000000005</c:v>
                </c:pt>
                <c:pt idx="8">
                  <c:v>665.7</c:v>
                </c:pt>
                <c:pt idx="9">
                  <c:v>747.07500000000005</c:v>
                </c:pt>
                <c:pt idx="10">
                  <c:v>828.45</c:v>
                </c:pt>
                <c:pt idx="11">
                  <c:v>909.82500000000005</c:v>
                </c:pt>
                <c:pt idx="12">
                  <c:v>1003.6999999999999</c:v>
                </c:pt>
                <c:pt idx="13">
                  <c:v>1147.575</c:v>
                </c:pt>
                <c:pt idx="14">
                  <c:v>1291.4499999999998</c:v>
                </c:pt>
                <c:pt idx="15">
                  <c:v>1435.325</c:v>
                </c:pt>
                <c:pt idx="16">
                  <c:v>1579.2000000000003</c:v>
                </c:pt>
                <c:pt idx="17">
                  <c:v>1723.075</c:v>
                </c:pt>
                <c:pt idx="18">
                  <c:v>1866.95</c:v>
                </c:pt>
                <c:pt idx="19">
                  <c:v>2010.825</c:v>
                </c:pt>
                <c:pt idx="20">
                  <c:v>2154.6999999999998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1592.5</c:v>
                </c:pt>
                <c:pt idx="14">
                  <c:v>1805</c:v>
                </c:pt>
                <c:pt idx="15">
                  <c:v>2017.5</c:v>
                </c:pt>
                <c:pt idx="16">
                  <c:v>2230</c:v>
                </c:pt>
                <c:pt idx="17">
                  <c:v>2442.5</c:v>
                </c:pt>
                <c:pt idx="18">
                  <c:v>2655</c:v>
                </c:pt>
                <c:pt idx="19">
                  <c:v>2867.5</c:v>
                </c:pt>
                <c:pt idx="20">
                  <c:v>3080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474.82499999999999</c:v>
                </c:pt>
                <c:pt idx="4">
                  <c:v>616.20000000000005</c:v>
                </c:pt>
                <c:pt idx="5">
                  <c:v>757.57500000000005</c:v>
                </c:pt>
                <c:pt idx="6">
                  <c:v>898.95</c:v>
                </c:pt>
                <c:pt idx="7">
                  <c:v>1040.3249999999998</c:v>
                </c:pt>
                <c:pt idx="8">
                  <c:v>1181.7</c:v>
                </c:pt>
                <c:pt idx="9">
                  <c:v>1323.075</c:v>
                </c:pt>
                <c:pt idx="10">
                  <c:v>1464.45</c:v>
                </c:pt>
                <c:pt idx="11">
                  <c:v>1605.825</c:v>
                </c:pt>
                <c:pt idx="12">
                  <c:v>1747.2</c:v>
                </c:pt>
                <c:pt idx="13">
                  <c:v>1998.575</c:v>
                </c:pt>
                <c:pt idx="14">
                  <c:v>2277.4499999999998</c:v>
                </c:pt>
                <c:pt idx="15">
                  <c:v>2556.3249999999998</c:v>
                </c:pt>
                <c:pt idx="16">
                  <c:v>2835.2</c:v>
                </c:pt>
                <c:pt idx="17">
                  <c:v>3114.0749999999998</c:v>
                </c:pt>
                <c:pt idx="18">
                  <c:v>3392.9500000000003</c:v>
                </c:pt>
                <c:pt idx="19">
                  <c:v>3671.8249999999998</c:v>
                </c:pt>
                <c:pt idx="20">
                  <c:v>3950.7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580.79999999999995</c:v>
                </c:pt>
                <c:pt idx="4">
                  <c:v>748.80000000000007</c:v>
                </c:pt>
                <c:pt idx="5">
                  <c:v>916.8</c:v>
                </c:pt>
                <c:pt idx="6">
                  <c:v>1084.8</c:v>
                </c:pt>
                <c:pt idx="7">
                  <c:v>1252.8</c:v>
                </c:pt>
                <c:pt idx="8">
                  <c:v>1420.8000000000002</c:v>
                </c:pt>
                <c:pt idx="9">
                  <c:v>1588.8</c:v>
                </c:pt>
                <c:pt idx="10">
                  <c:v>1756.8</c:v>
                </c:pt>
                <c:pt idx="11">
                  <c:v>1924.8000000000002</c:v>
                </c:pt>
                <c:pt idx="12">
                  <c:v>2092.8000000000002</c:v>
                </c:pt>
                <c:pt idx="13">
                  <c:v>2365.8000000000002</c:v>
                </c:pt>
                <c:pt idx="14">
                  <c:v>2708.8</c:v>
                </c:pt>
                <c:pt idx="15">
                  <c:v>3051.8</c:v>
                </c:pt>
                <c:pt idx="16">
                  <c:v>3394.8</c:v>
                </c:pt>
                <c:pt idx="17">
                  <c:v>3737.7999999999997</c:v>
                </c:pt>
                <c:pt idx="18">
                  <c:v>4080.8</c:v>
                </c:pt>
                <c:pt idx="19">
                  <c:v>4423.7999999999993</c:v>
                </c:pt>
                <c:pt idx="20">
                  <c:v>4766.8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-50</c:v>
                </c:pt>
                <c:pt idx="2">
                  <c:v>-100</c:v>
                </c:pt>
                <c:pt idx="3">
                  <c:v>-150</c:v>
                </c:pt>
                <c:pt idx="4">
                  <c:v>-200</c:v>
                </c:pt>
                <c:pt idx="5">
                  <c:v>-247.6</c:v>
                </c:pt>
                <c:pt idx="6">
                  <c:v>-291.59999999999997</c:v>
                </c:pt>
                <c:pt idx="7">
                  <c:v>-335.59999999999997</c:v>
                </c:pt>
                <c:pt idx="8">
                  <c:v>-379.6</c:v>
                </c:pt>
                <c:pt idx="9">
                  <c:v>-423.6</c:v>
                </c:pt>
                <c:pt idx="10">
                  <c:v>-467.6</c:v>
                </c:pt>
                <c:pt idx="11">
                  <c:v>-511.60000000000008</c:v>
                </c:pt>
                <c:pt idx="12">
                  <c:v>-555.6</c:v>
                </c:pt>
                <c:pt idx="13">
                  <c:v>-599.6</c:v>
                </c:pt>
                <c:pt idx="14">
                  <c:v>-643.59999999999991</c:v>
                </c:pt>
                <c:pt idx="15">
                  <c:v>-687.6</c:v>
                </c:pt>
                <c:pt idx="16">
                  <c:v>-731.60000000000014</c:v>
                </c:pt>
                <c:pt idx="17">
                  <c:v>-775.6</c:v>
                </c:pt>
                <c:pt idx="18">
                  <c:v>-819.6</c:v>
                </c:pt>
                <c:pt idx="19">
                  <c:v>-863.6</c:v>
                </c:pt>
                <c:pt idx="20">
                  <c:v>-907.6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-75</c:v>
                </c:pt>
                <c:pt idx="2">
                  <c:v>-150</c:v>
                </c:pt>
                <c:pt idx="3">
                  <c:v>-225</c:v>
                </c:pt>
                <c:pt idx="4">
                  <c:v>-300</c:v>
                </c:pt>
                <c:pt idx="5">
                  <c:v>-375</c:v>
                </c:pt>
                <c:pt idx="6">
                  <c:v>-439.2</c:v>
                </c:pt>
                <c:pt idx="7">
                  <c:v>-502.2</c:v>
                </c:pt>
                <c:pt idx="8">
                  <c:v>-565.20000000000005</c:v>
                </c:pt>
                <c:pt idx="9">
                  <c:v>-628.20000000000005</c:v>
                </c:pt>
                <c:pt idx="10">
                  <c:v>-691.2</c:v>
                </c:pt>
                <c:pt idx="11">
                  <c:v>-754.2</c:v>
                </c:pt>
                <c:pt idx="12">
                  <c:v>-817.2</c:v>
                </c:pt>
                <c:pt idx="13">
                  <c:v>-880.2</c:v>
                </c:pt>
                <c:pt idx="14">
                  <c:v>-943.2</c:v>
                </c:pt>
                <c:pt idx="15">
                  <c:v>-1006.2000000000002</c:v>
                </c:pt>
                <c:pt idx="16">
                  <c:v>-1069.2000000000003</c:v>
                </c:pt>
                <c:pt idx="17">
                  <c:v>-1132.2</c:v>
                </c:pt>
                <c:pt idx="18">
                  <c:v>-1195.2000000000003</c:v>
                </c:pt>
                <c:pt idx="19">
                  <c:v>-1258.2</c:v>
                </c:pt>
                <c:pt idx="20">
                  <c:v>-1321.2000000000003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-591.99999999999989</c:v>
                </c:pt>
                <c:pt idx="7">
                  <c:v>-671.99999999999989</c:v>
                </c:pt>
                <c:pt idx="8">
                  <c:v>-752</c:v>
                </c:pt>
                <c:pt idx="9">
                  <c:v>-832</c:v>
                </c:pt>
                <c:pt idx="10">
                  <c:v>-912</c:v>
                </c:pt>
                <c:pt idx="11">
                  <c:v>-992</c:v>
                </c:pt>
                <c:pt idx="12">
                  <c:v>-1072</c:v>
                </c:pt>
                <c:pt idx="13">
                  <c:v>-1152</c:v>
                </c:pt>
                <c:pt idx="14">
                  <c:v>-1232</c:v>
                </c:pt>
                <c:pt idx="15">
                  <c:v>-1312</c:v>
                </c:pt>
                <c:pt idx="16">
                  <c:v>-1392</c:v>
                </c:pt>
                <c:pt idx="17">
                  <c:v>-1472</c:v>
                </c:pt>
                <c:pt idx="18">
                  <c:v>-1552</c:v>
                </c:pt>
                <c:pt idx="19">
                  <c:v>-1632</c:v>
                </c:pt>
                <c:pt idx="20">
                  <c:v>-1712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-125</c:v>
                </c:pt>
                <c:pt idx="2">
                  <c:v>-250</c:v>
                </c:pt>
                <c:pt idx="3">
                  <c:v>-375</c:v>
                </c:pt>
                <c:pt idx="4">
                  <c:v>-500</c:v>
                </c:pt>
                <c:pt idx="5">
                  <c:v>-625</c:v>
                </c:pt>
                <c:pt idx="6">
                  <c:v>-750</c:v>
                </c:pt>
                <c:pt idx="7">
                  <c:v>-848</c:v>
                </c:pt>
                <c:pt idx="8">
                  <c:v>-943</c:v>
                </c:pt>
                <c:pt idx="9">
                  <c:v>-1038</c:v>
                </c:pt>
                <c:pt idx="10">
                  <c:v>-1133</c:v>
                </c:pt>
                <c:pt idx="11">
                  <c:v>-1228</c:v>
                </c:pt>
                <c:pt idx="12">
                  <c:v>-1323</c:v>
                </c:pt>
                <c:pt idx="13">
                  <c:v>-1418</c:v>
                </c:pt>
                <c:pt idx="14">
                  <c:v>-1513</c:v>
                </c:pt>
                <c:pt idx="15">
                  <c:v>-1608</c:v>
                </c:pt>
                <c:pt idx="16">
                  <c:v>-1703</c:v>
                </c:pt>
                <c:pt idx="17">
                  <c:v>-1798</c:v>
                </c:pt>
                <c:pt idx="18">
                  <c:v>-1893</c:v>
                </c:pt>
                <c:pt idx="19">
                  <c:v>-1988</c:v>
                </c:pt>
                <c:pt idx="20">
                  <c:v>-2083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-150</c:v>
                </c:pt>
                <c:pt idx="2">
                  <c:v>-300</c:v>
                </c:pt>
                <c:pt idx="3">
                  <c:v>-450</c:v>
                </c:pt>
                <c:pt idx="4">
                  <c:v>-600</c:v>
                </c:pt>
                <c:pt idx="5">
                  <c:v>-750</c:v>
                </c:pt>
                <c:pt idx="6">
                  <c:v>-900</c:v>
                </c:pt>
                <c:pt idx="7">
                  <c:v>-1033.1999999999998</c:v>
                </c:pt>
                <c:pt idx="8">
                  <c:v>-1141.2</c:v>
                </c:pt>
                <c:pt idx="9">
                  <c:v>-1249.2</c:v>
                </c:pt>
                <c:pt idx="10">
                  <c:v>-1357.2</c:v>
                </c:pt>
                <c:pt idx="11">
                  <c:v>-1465.2</c:v>
                </c:pt>
                <c:pt idx="12">
                  <c:v>-1573.1999999999998</c:v>
                </c:pt>
                <c:pt idx="13">
                  <c:v>-1681.2</c:v>
                </c:pt>
                <c:pt idx="14">
                  <c:v>-1789.1999999999998</c:v>
                </c:pt>
                <c:pt idx="15">
                  <c:v>-1897.1999999999998</c:v>
                </c:pt>
                <c:pt idx="16">
                  <c:v>-2005.2</c:v>
                </c:pt>
                <c:pt idx="17">
                  <c:v>-2113.1999999999998</c:v>
                </c:pt>
                <c:pt idx="18">
                  <c:v>-2221.1999999999998</c:v>
                </c:pt>
                <c:pt idx="19">
                  <c:v>-2329.1999999999998</c:v>
                </c:pt>
                <c:pt idx="20">
                  <c:v>-2437.1999999999998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tabSelected="1" zoomScale="97" workbookViewId="0">
      <pane ySplit="4" topLeftCell="A5" activePane="bottomLeft" state="frozen"/>
      <selection pane="bottomLeft" activeCell="G9" sqref="G9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86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87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115</v>
      </c>
      <c r="C6" s="9" t="s">
        <v>116</v>
      </c>
      <c r="D6" s="1"/>
      <c r="E6" s="1"/>
      <c r="F6" s="20" t="s">
        <v>48</v>
      </c>
      <c r="G6" s="20"/>
      <c r="H6" s="20"/>
      <c r="I6" s="20"/>
      <c r="J6" s="20"/>
      <c r="K6" s="1"/>
      <c r="L6" s="1"/>
      <c r="M6" s="1"/>
      <c r="N6" s="1"/>
      <c r="O6" s="1"/>
    </row>
    <row r="7" spans="1:15" ht="23" customHeight="1">
      <c r="A7" s="1"/>
      <c r="B7" s="1" t="s">
        <v>18</v>
      </c>
      <c r="C7" s="3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 t="s">
        <v>20</v>
      </c>
      <c r="C8" s="3">
        <v>-10</v>
      </c>
      <c r="D8" s="1"/>
      <c r="E8" s="1"/>
      <c r="F8" s="22" t="s">
        <v>49</v>
      </c>
      <c r="G8" s="22"/>
      <c r="H8" s="22"/>
      <c r="I8" s="27">
        <f>IF(C18="OK",Samples!F165*MIN(C10,Samples!G165)+Samples!I165*MAX(0,C10-Samples!G165)+Samples!J165*MAX(0,C10-Samples!K165),"检查输入")</f>
        <v>817.5</v>
      </c>
      <c r="J8" s="27"/>
      <c r="K8" s="1"/>
      <c r="L8" s="1"/>
      <c r="M8" s="1"/>
      <c r="N8" s="1"/>
      <c r="O8" s="1"/>
    </row>
    <row r="9" spans="1:15" ht="23" customHeight="1">
      <c r="A9" s="1"/>
      <c r="B9" s="1" t="s">
        <v>50</v>
      </c>
      <c r="C9" s="3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3" customHeight="1">
      <c r="A10" s="1"/>
      <c r="B10" s="1" t="s">
        <v>51</v>
      </c>
      <c r="C10" s="16">
        <v>0.35</v>
      </c>
      <c r="D10" s="1"/>
      <c r="E10" s="1"/>
      <c r="F10" s="22" t="s">
        <v>52</v>
      </c>
      <c r="G10" s="22"/>
      <c r="H10" s="22"/>
      <c r="I10" s="27">
        <f>IF(C18="OK",Samples!M165*MIN(C10,Samples!N165)+Samples!P165*MAX(0,C10-Samples!N165),"检查输入")</f>
        <v>671.99999999999989</v>
      </c>
      <c r="J10" s="27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 t="s">
        <v>53</v>
      </c>
      <c r="C13" s="1">
        <f>Parameters!D23</f>
        <v>24</v>
      </c>
      <c r="D13" s="1"/>
      <c r="E13" s="1"/>
      <c r="F13" s="20" t="s">
        <v>89</v>
      </c>
      <c r="G13" s="20"/>
      <c r="H13" s="20"/>
      <c r="I13" s="20"/>
      <c r="J13" s="20"/>
      <c r="K13" s="1"/>
      <c r="L13" s="1"/>
      <c r="M13" s="1"/>
      <c r="N13" s="1"/>
      <c r="O13" s="1"/>
    </row>
    <row r="14" spans="1:15" ht="23" customHeight="1">
      <c r="A14" s="1"/>
      <c r="B14" s="1" t="s">
        <v>55</v>
      </c>
      <c r="C14" s="1">
        <f>Parameters!D24</f>
        <v>20</v>
      </c>
      <c r="D14" s="1"/>
      <c r="E14" s="1"/>
      <c r="F14" s="22" t="s">
        <v>21</v>
      </c>
      <c r="G14" s="22"/>
      <c r="H14" s="22"/>
      <c r="I14" s="18">
        <f>Samples!F165</f>
        <v>2500</v>
      </c>
      <c r="J14" s="1" t="s">
        <v>22</v>
      </c>
      <c r="K14" s="1"/>
      <c r="L14" s="1"/>
      <c r="M14" s="1"/>
      <c r="N14" s="1"/>
      <c r="O14" s="1"/>
    </row>
    <row r="15" spans="1:15" ht="23" customHeight="1">
      <c r="A15" s="1"/>
      <c r="B15" s="1" t="s">
        <v>56</v>
      </c>
      <c r="C15" s="1">
        <f>IF(C6="MRA85",Parameters!D26,Parameters!D25)</f>
        <v>40</v>
      </c>
      <c r="D15" s="1"/>
      <c r="E15" s="1"/>
      <c r="F15" s="22" t="s">
        <v>57</v>
      </c>
      <c r="G15" s="22"/>
      <c r="H15" s="22"/>
      <c r="I15" s="18">
        <f>Samples!I165</f>
        <v>2250</v>
      </c>
      <c r="J15" s="1" t="s">
        <v>22</v>
      </c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22" t="s">
        <v>90</v>
      </c>
      <c r="G16" s="22"/>
      <c r="H16" s="22"/>
      <c r="I16" s="18">
        <f>Samples!J165</f>
        <v>2000</v>
      </c>
      <c r="J16" s="1" t="s">
        <v>22</v>
      </c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22" t="s">
        <v>58</v>
      </c>
      <c r="G17" s="22"/>
      <c r="H17" s="22"/>
      <c r="I17" s="18">
        <f>Samples!L165</f>
        <v>4250</v>
      </c>
      <c r="J17" s="1" t="s">
        <v>22</v>
      </c>
      <c r="K17" s="1"/>
      <c r="L17" s="1"/>
      <c r="M17" s="1"/>
      <c r="N17" s="1"/>
      <c r="O17" s="1"/>
    </row>
    <row r="18" spans="1:15" ht="23" customHeight="1">
      <c r="A18" s="1"/>
      <c r="B18" s="1" t="s">
        <v>59</v>
      </c>
      <c r="C18" s="1" t="str">
        <f>IF(AND(OR(C4="Type-A",C4="Type-B"),OR(C6="MRA65",C6="MRA85",C6="MRA85 (Mod)"),COUNT(C7:C10)=4,C7&gt;=-C13,C7&lt;=0,C8&gt;=-C14,C8&lt;=0,C9&gt;=-C15,C9&lt;=0,C10&gt;=0,INT(C7)=C7,INT(C8)=C8,INT(C9)=C9),"OK","检查输入")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22" t="s">
        <v>28</v>
      </c>
      <c r="G19" s="22"/>
      <c r="H19" s="22"/>
      <c r="I19" s="18">
        <f>Samples!M165</f>
        <v>2000</v>
      </c>
      <c r="J19" s="1" t="s">
        <v>22</v>
      </c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22" t="s">
        <v>60</v>
      </c>
      <c r="G20" s="22"/>
      <c r="H20" s="22"/>
      <c r="I20" s="18">
        <f>Samples!P165</f>
        <v>1600</v>
      </c>
      <c r="J20" s="1" t="s">
        <v>22</v>
      </c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22" t="s">
        <v>81</v>
      </c>
      <c r="G22" s="22"/>
      <c r="H22" s="22"/>
      <c r="I22" s="5">
        <f>Samples!G165</f>
        <v>0.12</v>
      </c>
      <c r="J22" s="1" t="s">
        <v>23</v>
      </c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22" t="s">
        <v>82</v>
      </c>
      <c r="G23" s="22"/>
      <c r="H23" s="22"/>
      <c r="I23" s="5">
        <f>Samples!K165</f>
        <v>0.6</v>
      </c>
      <c r="J23" s="1" t="s">
        <v>23</v>
      </c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22" t="s">
        <v>29</v>
      </c>
      <c r="G24" s="22"/>
      <c r="H24" s="22"/>
      <c r="I24" s="5">
        <f>Samples!N165</f>
        <v>0.28000000000000003</v>
      </c>
      <c r="J24" s="1" t="s">
        <v>23</v>
      </c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26" t="s">
        <v>61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13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"MRA65,MRA85,MRA85 (Mod)"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72" zoomScaleNormal="109" workbookViewId="0">
      <pane ySplit="4" topLeftCell="A11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107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15</v>
      </c>
      <c r="D4" s="1"/>
      <c r="E4" s="25" t="s">
        <v>108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4</v>
      </c>
      <c r="C6" s="3">
        <v>-10</v>
      </c>
      <c r="D6" s="1"/>
      <c r="E6" s="22" t="s">
        <v>5</v>
      </c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B41" sqref="B41:M41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109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110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7</v>
      </c>
      <c r="C6" s="3">
        <v>-12</v>
      </c>
      <c r="D6" s="1"/>
      <c r="E6" s="22" t="s">
        <v>8</v>
      </c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82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111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112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2" t="s">
        <v>10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topLeftCell="B1" zoomScale="86" workbookViewId="0">
      <pane ySplit="4" topLeftCell="A18" activePane="bottomLeft" state="frozen"/>
      <selection pane="bottomLeft" activeCell="B41" sqref="B41:M41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113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114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2" t="s">
        <v>12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workbookViewId="0">
      <pane ySplit="4" topLeftCell="A5" activePane="bottomLeft" state="frozen"/>
      <selection pane="bottomLeft" activeCell="L12" sqref="L12"/>
    </sheetView>
  </sheetViews>
  <sheetFormatPr defaultRowHeight="14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91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1"/>
    </row>
    <row r="3" spans="1:15" ht="23" customHeight="1">
      <c r="A3" s="1"/>
      <c r="B3" s="25" t="s">
        <v>117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1"/>
    </row>
    <row r="4" spans="1:15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" customHeight="1">
      <c r="A5" s="1"/>
      <c r="B5" s="1"/>
      <c r="C5" s="1"/>
      <c r="D5" s="20" t="s">
        <v>2</v>
      </c>
      <c r="E5" s="20"/>
      <c r="F5" s="20"/>
      <c r="G5" s="20"/>
      <c r="H5" s="20"/>
      <c r="I5" s="1"/>
      <c r="J5" s="20" t="s">
        <v>15</v>
      </c>
      <c r="K5" s="20"/>
      <c r="L5" s="20"/>
      <c r="M5" s="20"/>
      <c r="N5" s="20"/>
      <c r="O5" s="1"/>
    </row>
    <row r="6" spans="1:15" ht="23" customHeight="1">
      <c r="A6" s="1"/>
      <c r="B6" s="1" t="s">
        <v>16</v>
      </c>
      <c r="C6" s="1" t="s">
        <v>17</v>
      </c>
      <c r="D6" s="2">
        <v>0</v>
      </c>
      <c r="E6" s="2">
        <v>0.25</v>
      </c>
      <c r="F6" s="2">
        <v>0.5</v>
      </c>
      <c r="G6" s="2">
        <v>0.75</v>
      </c>
      <c r="H6" s="2">
        <v>1</v>
      </c>
      <c r="I6" s="2"/>
      <c r="J6" s="2">
        <f>D6</f>
        <v>0</v>
      </c>
      <c r="K6" s="2">
        <f>E6</f>
        <v>0.25</v>
      </c>
      <c r="L6" s="2">
        <f>F6</f>
        <v>0.5</v>
      </c>
      <c r="M6" s="2">
        <f>G6</f>
        <v>0.75</v>
      </c>
      <c r="N6" s="2">
        <f>H6</f>
        <v>1</v>
      </c>
      <c r="O6" s="1"/>
    </row>
    <row r="7" spans="1:15" ht="23" customHeight="1">
      <c r="A7" s="1"/>
      <c r="B7" s="1" t="s">
        <v>18</v>
      </c>
      <c r="C7" s="1" t="s">
        <v>19</v>
      </c>
      <c r="D7" s="1">
        <f>(D$6-1)*$D$23</f>
        <v>-24</v>
      </c>
      <c r="E7" s="1">
        <f>(E$6-1)*$D$23</f>
        <v>-18</v>
      </c>
      <c r="F7" s="1">
        <f>(F$6-1)*$D$23</f>
        <v>-12</v>
      </c>
      <c r="G7" s="1">
        <f>(G$6-1)*$D$23</f>
        <v>-6</v>
      </c>
      <c r="H7" s="1">
        <f>(H$6-1)*$D$23</f>
        <v>0</v>
      </c>
      <c r="I7" s="1"/>
      <c r="J7" s="1">
        <f>(J$6-1)*$D$23</f>
        <v>-24</v>
      </c>
      <c r="K7" s="1">
        <f>(K$6-1)*$D$23</f>
        <v>-18</v>
      </c>
      <c r="L7" s="1">
        <f>(L$6-1)*$D$23</f>
        <v>-12</v>
      </c>
      <c r="M7" s="1">
        <f>(M$6-1)*$D$23</f>
        <v>-6</v>
      </c>
      <c r="N7" s="1">
        <f>(N$6-1)*$D$23</f>
        <v>0</v>
      </c>
      <c r="O7" s="1"/>
    </row>
    <row r="8" spans="1:15" ht="23" customHeight="1">
      <c r="A8" s="1"/>
      <c r="B8" s="1" t="s">
        <v>20</v>
      </c>
      <c r="C8" s="1" t="s">
        <v>19</v>
      </c>
      <c r="D8" s="1">
        <f>(D$6-1)*$D$24</f>
        <v>-20</v>
      </c>
      <c r="E8" s="1">
        <f>(E$6-1)*$D$24</f>
        <v>-15</v>
      </c>
      <c r="F8" s="1">
        <f>(F$6-1)*$D$24</f>
        <v>-10</v>
      </c>
      <c r="G8" s="1">
        <f>(G$6-1)*$D$24</f>
        <v>-5</v>
      </c>
      <c r="H8" s="1">
        <f>(H$6-1)*$D$24</f>
        <v>0</v>
      </c>
      <c r="I8" s="1"/>
      <c r="J8" s="1">
        <f>(J$6-1)*$D$24</f>
        <v>-20</v>
      </c>
      <c r="K8" s="1">
        <f>(K$6-1)*$D$24</f>
        <v>-15</v>
      </c>
      <c r="L8" s="1">
        <f>(L$6-1)*$D$24</f>
        <v>-10</v>
      </c>
      <c r="M8" s="1">
        <f>(M$6-1)*$D$24</f>
        <v>-5</v>
      </c>
      <c r="N8" s="1">
        <f>(N$6-1)*$D$24</f>
        <v>0</v>
      </c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 t="s">
        <v>21</v>
      </c>
      <c r="C10" s="1" t="s">
        <v>22</v>
      </c>
      <c r="D10" s="3">
        <v>1000</v>
      </c>
      <c r="E10" s="6">
        <f>(D10+F10)/2</f>
        <v>1750</v>
      </c>
      <c r="F10" s="3">
        <v>2500</v>
      </c>
      <c r="G10" s="6">
        <f>(F10+H10)/2</f>
        <v>3250</v>
      </c>
      <c r="H10" s="3">
        <v>4000</v>
      </c>
      <c r="I10" s="1"/>
      <c r="J10" s="3">
        <v>1800</v>
      </c>
      <c r="K10" s="6">
        <f>(J10+L10)/2</f>
        <v>2400</v>
      </c>
      <c r="L10" s="3">
        <v>3000</v>
      </c>
      <c r="M10" s="6">
        <f>(L10+N10)/2</f>
        <v>3600</v>
      </c>
      <c r="N10" s="3">
        <v>4200</v>
      </c>
      <c r="O10" s="1"/>
    </row>
    <row r="11" spans="1:15" ht="23" customHeight="1">
      <c r="A11" s="1"/>
      <c r="B11" s="1" t="s">
        <v>81</v>
      </c>
      <c r="C11" s="1" t="s">
        <v>23</v>
      </c>
      <c r="D11" s="4">
        <v>0.12</v>
      </c>
      <c r="E11" s="5">
        <f>(D11+F11)/2</f>
        <v>0.12</v>
      </c>
      <c r="F11" s="4">
        <v>0.12</v>
      </c>
      <c r="G11" s="5">
        <f>(F11+H11)/2</f>
        <v>0.12</v>
      </c>
      <c r="H11" s="4">
        <v>0.12</v>
      </c>
      <c r="I11" s="1"/>
      <c r="J11" s="4">
        <v>0.25</v>
      </c>
      <c r="K11" s="5">
        <f>(J11+L11)/2</f>
        <v>0.3</v>
      </c>
      <c r="L11" s="4">
        <v>0.35</v>
      </c>
      <c r="M11" s="5">
        <f>(L11+N11)/2</f>
        <v>0.4</v>
      </c>
      <c r="N11" s="4">
        <v>0.45</v>
      </c>
      <c r="O11" s="1"/>
    </row>
    <row r="12" spans="1:15" ht="23" customHeight="1">
      <c r="A12" s="1"/>
      <c r="B12" s="1" t="s">
        <v>24</v>
      </c>
      <c r="C12" s="1" t="s">
        <v>25</v>
      </c>
      <c r="D12" s="4">
        <v>0.96</v>
      </c>
      <c r="E12" s="5">
        <f>(D12+F12)/2</f>
        <v>0.92999999999999994</v>
      </c>
      <c r="F12" s="4">
        <v>0.9</v>
      </c>
      <c r="G12" s="5">
        <f>(F12+H12)/2</f>
        <v>0.87</v>
      </c>
      <c r="H12" s="4">
        <v>0.84</v>
      </c>
      <c r="I12" s="1"/>
      <c r="J12" s="4">
        <v>0.56000000000000005</v>
      </c>
      <c r="K12" s="5">
        <f>(J12+L12)/2</f>
        <v>0.54</v>
      </c>
      <c r="L12" s="4">
        <v>0.52</v>
      </c>
      <c r="M12" s="5">
        <f>(L12+N12)/2</f>
        <v>0.5</v>
      </c>
      <c r="N12" s="4">
        <v>0.48</v>
      </c>
      <c r="O12" s="1"/>
    </row>
    <row r="13" spans="1:15" ht="23" customHeight="1">
      <c r="A13" s="1"/>
      <c r="B13" s="1" t="s">
        <v>93</v>
      </c>
      <c r="C13" s="1" t="s">
        <v>22</v>
      </c>
      <c r="D13" s="3">
        <v>500</v>
      </c>
      <c r="E13" s="6">
        <f>(D13+F13)/2</f>
        <v>1250</v>
      </c>
      <c r="F13" s="3">
        <v>2000</v>
      </c>
      <c r="G13" s="6">
        <f>(F13+H13)/2</f>
        <v>2750</v>
      </c>
      <c r="H13" s="3">
        <v>3500</v>
      </c>
      <c r="I13" s="1"/>
      <c r="J13" s="3">
        <v>500</v>
      </c>
      <c r="K13" s="6">
        <f>(J13+L13)/2</f>
        <v>500</v>
      </c>
      <c r="L13" s="3">
        <v>500</v>
      </c>
      <c r="M13" s="6">
        <f>(L13+N13)/2</f>
        <v>500</v>
      </c>
      <c r="N13" s="3">
        <v>500</v>
      </c>
      <c r="O13" s="1"/>
    </row>
    <row r="14" spans="1:15" ht="23" customHeight="1">
      <c r="A14" s="1"/>
      <c r="B14" s="1" t="s">
        <v>82</v>
      </c>
      <c r="C14" s="1" t="s">
        <v>23</v>
      </c>
      <c r="D14" s="4">
        <v>0.57999999999999996</v>
      </c>
      <c r="E14" s="4">
        <v>0.59</v>
      </c>
      <c r="F14" s="4">
        <v>0.6</v>
      </c>
      <c r="G14" s="4">
        <v>0.61</v>
      </c>
      <c r="H14" s="4">
        <v>0.62</v>
      </c>
      <c r="I14" s="1"/>
      <c r="J14" s="4">
        <f>$L$14</f>
        <v>0.6</v>
      </c>
      <c r="K14" s="4">
        <f>$L$14</f>
        <v>0.6</v>
      </c>
      <c r="L14" s="4">
        <v>0.6</v>
      </c>
      <c r="M14" s="4">
        <f>$L$14</f>
        <v>0.6</v>
      </c>
      <c r="N14" s="4">
        <f>$L$14</f>
        <v>0.6</v>
      </c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 t="s">
        <v>94</v>
      </c>
      <c r="C16" s="1" t="s">
        <v>19</v>
      </c>
      <c r="D16" s="1">
        <f>(D$6-1)*$D$25</f>
        <v>-40</v>
      </c>
      <c r="E16" s="1">
        <f>(E$6-1)*$D$25</f>
        <v>-30</v>
      </c>
      <c r="F16" s="1">
        <f>(F$6-1)*$D$25</f>
        <v>-20</v>
      </c>
      <c r="G16" s="1">
        <f>(G$6-1)*$D$25</f>
        <v>-10</v>
      </c>
      <c r="H16" s="1">
        <f>(H$6-1)*$D$25</f>
        <v>0</v>
      </c>
      <c r="I16" s="1"/>
      <c r="J16" s="1">
        <f>(J$6-1)*$D$25</f>
        <v>-40</v>
      </c>
      <c r="K16" s="1">
        <f>(K$6-1)*$D$25</f>
        <v>-30</v>
      </c>
      <c r="L16" s="1">
        <f>(L$6-1)*$D$25</f>
        <v>-20</v>
      </c>
      <c r="M16" s="1">
        <f>(M$6-1)*$D$25</f>
        <v>-10</v>
      </c>
      <c r="N16" s="1">
        <f>(N$6-1)*$D$25</f>
        <v>0</v>
      </c>
      <c r="O16" s="1"/>
    </row>
    <row r="17" spans="1:15" ht="23" customHeight="1">
      <c r="A17" s="1"/>
      <c r="B17" s="1" t="s">
        <v>28</v>
      </c>
      <c r="C17" s="1" t="s">
        <v>22</v>
      </c>
      <c r="D17" s="3">
        <v>1000</v>
      </c>
      <c r="E17" s="6">
        <f>(D17+F17)/2</f>
        <v>1500</v>
      </c>
      <c r="F17" s="3">
        <v>2000</v>
      </c>
      <c r="G17" s="6">
        <f>(F17+H17)/2</f>
        <v>2500</v>
      </c>
      <c r="H17" s="3">
        <v>3000</v>
      </c>
      <c r="I17" s="1"/>
      <c r="J17" s="3">
        <v>1500</v>
      </c>
      <c r="K17" s="6">
        <f>(J17+L17)/2</f>
        <v>2000</v>
      </c>
      <c r="L17" s="3">
        <v>2500</v>
      </c>
      <c r="M17" s="6">
        <f>(L17+N17)/2</f>
        <v>3000</v>
      </c>
      <c r="N17" s="3">
        <v>3500</v>
      </c>
      <c r="O17" s="1"/>
    </row>
    <row r="18" spans="1:15" ht="23" customHeight="1">
      <c r="A18" s="1"/>
      <c r="B18" s="1" t="s">
        <v>29</v>
      </c>
      <c r="C18" s="1" t="s">
        <v>23</v>
      </c>
      <c r="D18" s="4">
        <v>0.23</v>
      </c>
      <c r="E18" s="5">
        <f>(D18+F18)/2</f>
        <v>0.255</v>
      </c>
      <c r="F18" s="4">
        <v>0.28000000000000003</v>
      </c>
      <c r="G18" s="5">
        <f>(F18+H18)/2</f>
        <v>0.30500000000000005</v>
      </c>
      <c r="H18" s="4">
        <v>0.33</v>
      </c>
      <c r="I18" s="1"/>
      <c r="J18" s="4">
        <v>0.2</v>
      </c>
      <c r="K18" s="5">
        <f>(J18+L18)/2</f>
        <v>0.22500000000000001</v>
      </c>
      <c r="L18" s="4">
        <v>0.25</v>
      </c>
      <c r="M18" s="5">
        <f>(L18+N18)/2</f>
        <v>0.27500000000000002</v>
      </c>
      <c r="N18" s="4">
        <v>0.3</v>
      </c>
      <c r="O18" s="1"/>
    </row>
    <row r="19" spans="1:15" ht="23" customHeight="1">
      <c r="A19" s="1"/>
      <c r="B19" s="1" t="s">
        <v>30</v>
      </c>
      <c r="C19" s="1" t="s">
        <v>25</v>
      </c>
      <c r="D19" s="4">
        <v>0.88</v>
      </c>
      <c r="E19" s="5">
        <f>(D19+F19)/2</f>
        <v>0.84000000000000008</v>
      </c>
      <c r="F19" s="4">
        <v>0.8</v>
      </c>
      <c r="G19" s="5">
        <f>(F19+H19)/2</f>
        <v>0.76</v>
      </c>
      <c r="H19" s="4">
        <v>0.72</v>
      </c>
      <c r="I19" s="1"/>
      <c r="J19" s="4">
        <v>0.66</v>
      </c>
      <c r="K19" s="5">
        <f>(J19+L19)/2</f>
        <v>0.62</v>
      </c>
      <c r="L19" s="4">
        <v>0.57999999999999996</v>
      </c>
      <c r="M19" s="5">
        <f>(L19+N19)/2</f>
        <v>0.54</v>
      </c>
      <c r="N19" s="4">
        <v>0.5</v>
      </c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20" t="s">
        <v>95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1"/>
    </row>
    <row r="23" spans="1:15" ht="23" customHeight="1">
      <c r="A23" s="1"/>
      <c r="B23" s="22" t="s">
        <v>118</v>
      </c>
      <c r="C23" s="22"/>
      <c r="D23" s="1">
        <v>24</v>
      </c>
      <c r="E23" s="1"/>
      <c r="F23" s="23" t="s">
        <v>122</v>
      </c>
      <c r="G23" s="23"/>
      <c r="H23" s="23"/>
      <c r="I23" s="23"/>
      <c r="J23" s="23"/>
      <c r="K23" s="23"/>
      <c r="L23" s="23"/>
      <c r="M23" s="23"/>
      <c r="N23" s="23"/>
      <c r="O23" s="1"/>
    </row>
    <row r="24" spans="1:15" ht="23" customHeight="1">
      <c r="A24" s="1"/>
      <c r="B24" s="22" t="s">
        <v>119</v>
      </c>
      <c r="C24" s="22"/>
      <c r="D24" s="1">
        <v>20</v>
      </c>
      <c r="E24" s="1"/>
      <c r="F24" s="23"/>
      <c r="G24" s="23"/>
      <c r="H24" s="23"/>
      <c r="I24" s="23"/>
      <c r="J24" s="23"/>
      <c r="K24" s="23"/>
      <c r="L24" s="23"/>
      <c r="M24" s="23"/>
      <c r="N24" s="23"/>
      <c r="O24" s="1"/>
    </row>
    <row r="25" spans="1:15" ht="23" customHeight="1">
      <c r="A25" s="1"/>
      <c r="B25" s="22" t="s">
        <v>120</v>
      </c>
      <c r="C25" s="22"/>
      <c r="D25" s="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22" t="s">
        <v>121</v>
      </c>
      <c r="C26" s="22"/>
      <c r="D26" s="1">
        <v>60</v>
      </c>
      <c r="E26" s="1"/>
      <c r="F26" s="22" t="s">
        <v>37</v>
      </c>
      <c r="G26" s="22"/>
      <c r="H26" s="22"/>
      <c r="I26" s="22"/>
      <c r="J26" s="22"/>
      <c r="K26" s="22"/>
      <c r="L26" s="22"/>
      <c r="M26" s="22"/>
      <c r="N26" s="22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20" t="s">
        <v>101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"/>
    </row>
    <row r="29" spans="1:15" ht="23" customHeight="1">
      <c r="A29" s="1"/>
      <c r="B29" s="19" t="s">
        <v>39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"/>
    </row>
    <row r="30" spans="1:15" ht="31" customHeight="1">
      <c r="A30" s="1"/>
      <c r="B30" s="21" t="s">
        <v>83</v>
      </c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1"/>
    </row>
    <row r="31" spans="1:15" ht="23" customHeight="1">
      <c r="A31" s="1"/>
      <c r="B31" s="19" t="s">
        <v>40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"/>
    </row>
    <row r="32" spans="1:15" ht="23" customHeight="1">
      <c r="A32" s="1"/>
      <c r="B32" s="19" t="s">
        <v>102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"/>
    </row>
    <row r="33" spans="1:15" ht="23" customHeight="1">
      <c r="A33" s="1"/>
      <c r="B33" s="19" t="s">
        <v>42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"/>
    </row>
    <row r="34" spans="1:15" ht="23" customHeight="1">
      <c r="A34" s="1"/>
      <c r="B34" s="19" t="s">
        <v>84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"/>
    </row>
    <row r="35" spans="1:15" ht="23" customHeight="1">
      <c r="A35" s="1"/>
      <c r="B35" s="19" t="s">
        <v>43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28" customWidth="1"/>
    <col min="3" max="22" width="13" customWidth="1"/>
  </cols>
  <sheetData>
    <row r="1" spans="1:22" ht="22" customHeight="1">
      <c r="A1" s="1"/>
      <c r="B1" s="28" t="s">
        <v>103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2" customHeight="1">
      <c r="A2" s="1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35" customHeight="1">
      <c r="A4" s="1"/>
      <c r="B4" s="12" t="s">
        <v>63</v>
      </c>
      <c r="C4" s="12" t="s">
        <v>64</v>
      </c>
      <c r="D4" s="12" t="s">
        <v>65</v>
      </c>
      <c r="E4" s="12" t="s">
        <v>66</v>
      </c>
      <c r="F4" s="12" t="s">
        <v>21</v>
      </c>
      <c r="G4" s="12" t="s">
        <v>81</v>
      </c>
      <c r="H4" s="12" t="s">
        <v>67</v>
      </c>
      <c r="I4" s="12" t="s">
        <v>57</v>
      </c>
      <c r="J4" s="12" t="s">
        <v>68</v>
      </c>
      <c r="K4" s="12" t="s">
        <v>82</v>
      </c>
      <c r="L4" s="12" t="s">
        <v>69</v>
      </c>
      <c r="M4" s="12" t="s">
        <v>28</v>
      </c>
      <c r="N4" s="12" t="s">
        <v>29</v>
      </c>
      <c r="O4" s="12" t="s">
        <v>70</v>
      </c>
      <c r="P4" s="13" t="s">
        <v>60</v>
      </c>
      <c r="Q4" s="13" t="s">
        <v>71</v>
      </c>
      <c r="R4" s="13" t="s">
        <v>72</v>
      </c>
      <c r="S4" s="13" t="s">
        <v>73</v>
      </c>
      <c r="T4" s="13" t="s">
        <v>74</v>
      </c>
      <c r="U4" s="13" t="s">
        <v>75</v>
      </c>
      <c r="V4" s="13" t="s">
        <v>76</v>
      </c>
    </row>
    <row r="5" spans="1:22" ht="22" customHeight="1">
      <c r="A5" s="1"/>
      <c r="B5" s="7" t="str">
        <f>"c "&amp;C5</f>
        <v>c -24</v>
      </c>
      <c r="C5" s="7">
        <f>Parameters!D7</f>
        <v>-24</v>
      </c>
      <c r="D5" s="7">
        <f>'LSC Sweep'!$C$6</f>
        <v>-10</v>
      </c>
      <c r="E5" s="7">
        <f>Parameters!D16</f>
        <v>-40</v>
      </c>
      <c r="F5" s="7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7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0.35</v>
      </c>
      <c r="H5" s="7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0.56000000000000005</v>
      </c>
      <c r="I5" s="7">
        <f>F5*H5</f>
        <v>1008.0000000000001</v>
      </c>
      <c r="J5" s="7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500</v>
      </c>
      <c r="K5" s="7">
        <f>IF('LSC Sweep'!$C$4="Type-B",Parameters!$L$14,INDEX(Parameters!$D$14:$H$14,1,R5)+(INDEX(Parameters!$D$14:$H$14,1,R5+1)-INDEX(Parameters!$D$14:$H$14,1,R5))*U5)</f>
        <v>0.6</v>
      </c>
      <c r="L5" s="7">
        <f>I5+J5</f>
        <v>1508</v>
      </c>
      <c r="M5" s="7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1500</v>
      </c>
      <c r="N5" s="7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</v>
      </c>
      <c r="O5" s="7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0.66</v>
      </c>
      <c r="P5" s="8">
        <f>M5*O5</f>
        <v>990</v>
      </c>
      <c r="Q5" s="8">
        <f>MIN(4,MAX(1,INT((1+C5/Parameters!$D$23)*4)+1))</f>
        <v>1</v>
      </c>
      <c r="R5" s="8">
        <f>MIN(4,MAX(1,INT((1+D5/Parameters!$D$24)*4)+1))</f>
        <v>3</v>
      </c>
      <c r="S5" s="8">
        <f>MIN(4,MAX(1,INT((1+E5/Parameters!$D$25)*4)+1))</f>
        <v>1</v>
      </c>
      <c r="T5" s="8">
        <f>MAX(0,MIN(1,(1+C5/Parameters!$D$23)*4-(Q5-1)))</f>
        <v>0</v>
      </c>
      <c r="U5" s="8">
        <f>MAX(0,MIN(1,(1+D5/Parameters!$D$24)*4-(R5-1)))</f>
        <v>0</v>
      </c>
      <c r="V5" s="8">
        <f>MAX(0,MIN(1,(1+E5/Parameters!$D$25)*4-(S5-1)))</f>
        <v>0</v>
      </c>
    </row>
    <row r="6" spans="1:22" ht="22" customHeight="1">
      <c r="A6" s="1"/>
      <c r="B6" s="7" t="str">
        <f>"c "&amp;C6</f>
        <v>c -18</v>
      </c>
      <c r="C6" s="7">
        <f>Parameters!E7</f>
        <v>-18</v>
      </c>
      <c r="D6" s="7">
        <f>'LSC Sweep'!$C$6</f>
        <v>-10</v>
      </c>
      <c r="E6" s="7">
        <f>Parameters!E16</f>
        <v>-30</v>
      </c>
      <c r="F6" s="7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7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0.35</v>
      </c>
      <c r="H6" s="7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0.54</v>
      </c>
      <c r="I6" s="7">
        <f>F6*H6</f>
        <v>1296</v>
      </c>
      <c r="J6" s="7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500</v>
      </c>
      <c r="K6" s="7">
        <f>IF('LSC Sweep'!$C$4="Type-B",Parameters!$L$14,INDEX(Parameters!$D$14:$H$14,1,R6)+(INDEX(Parameters!$D$14:$H$14,1,R6+1)-INDEX(Parameters!$D$14:$H$14,1,R6))*U6)</f>
        <v>0.6</v>
      </c>
      <c r="L6" s="7">
        <f>I6+J6</f>
        <v>1796</v>
      </c>
      <c r="M6" s="7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2000</v>
      </c>
      <c r="N6" s="7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0.22500000000000001</v>
      </c>
      <c r="O6" s="7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0.62</v>
      </c>
      <c r="P6" s="8">
        <f>M6*O6</f>
        <v>1240</v>
      </c>
      <c r="Q6" s="8">
        <f>MIN(4,MAX(1,INT((1+C6/Parameters!$D$23)*4)+1))</f>
        <v>2</v>
      </c>
      <c r="R6" s="8">
        <f>MIN(4,MAX(1,INT((1+D6/Parameters!$D$24)*4)+1))</f>
        <v>3</v>
      </c>
      <c r="S6" s="8">
        <f>MIN(4,MAX(1,INT((1+E6/Parameters!$D$25)*4)+1))</f>
        <v>2</v>
      </c>
      <c r="T6" s="8">
        <f>MAX(0,MIN(1,(1+C6/Parameters!$D$23)*4-(Q6-1)))</f>
        <v>0</v>
      </c>
      <c r="U6" s="8">
        <f>MAX(0,MIN(1,(1+D6/Parameters!$D$24)*4-(R6-1)))</f>
        <v>0</v>
      </c>
      <c r="V6" s="8">
        <f>MAX(0,MIN(1,(1+E6/Parameters!$D$25)*4-(S6-1)))</f>
        <v>0</v>
      </c>
    </row>
    <row r="7" spans="1:22" ht="22" customHeight="1">
      <c r="A7" s="1"/>
      <c r="B7" s="7" t="str">
        <f>"c "&amp;C7</f>
        <v>c -12</v>
      </c>
      <c r="C7" s="7">
        <f>Parameters!F7</f>
        <v>-12</v>
      </c>
      <c r="D7" s="7">
        <f>'LSC Sweep'!$C$6</f>
        <v>-10</v>
      </c>
      <c r="E7" s="7">
        <f>Parameters!F16</f>
        <v>-20</v>
      </c>
      <c r="F7" s="7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7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0.35</v>
      </c>
      <c r="H7" s="7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0.52</v>
      </c>
      <c r="I7" s="7">
        <f>F7*H7</f>
        <v>1560</v>
      </c>
      <c r="J7" s="7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500</v>
      </c>
      <c r="K7" s="7">
        <f>IF('LSC Sweep'!$C$4="Type-B",Parameters!$L$14,INDEX(Parameters!$D$14:$H$14,1,R7)+(INDEX(Parameters!$D$14:$H$14,1,R7+1)-INDEX(Parameters!$D$14:$H$14,1,R7))*U7)</f>
        <v>0.6</v>
      </c>
      <c r="L7" s="7">
        <f>I7+J7</f>
        <v>2060</v>
      </c>
      <c r="M7" s="7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2500</v>
      </c>
      <c r="N7" s="7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7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0.57999999999999996</v>
      </c>
      <c r="P7" s="8">
        <f>M7*O7</f>
        <v>1450</v>
      </c>
      <c r="Q7" s="8">
        <f>MIN(4,MAX(1,INT((1+C7/Parameters!$D$23)*4)+1))</f>
        <v>3</v>
      </c>
      <c r="R7" s="8">
        <f>MIN(4,MAX(1,INT((1+D7/Parameters!$D$24)*4)+1))</f>
        <v>3</v>
      </c>
      <c r="S7" s="8">
        <f>MIN(4,MAX(1,INT((1+E7/Parameters!$D$25)*4)+1))</f>
        <v>3</v>
      </c>
      <c r="T7" s="8">
        <f>MAX(0,MIN(1,(1+C7/Parameters!$D$23)*4-(Q7-1)))</f>
        <v>0</v>
      </c>
      <c r="U7" s="8">
        <f>MAX(0,MIN(1,(1+D7/Parameters!$D$24)*4-(R7-1)))</f>
        <v>0</v>
      </c>
      <c r="V7" s="8">
        <f>MAX(0,MIN(1,(1+E7/Parameters!$D$25)*4-(S7-1)))</f>
        <v>0</v>
      </c>
    </row>
    <row r="8" spans="1:22" ht="22" customHeight="1">
      <c r="A8" s="1"/>
      <c r="B8" s="7" t="str">
        <f>"c "&amp;C8</f>
        <v>c -6</v>
      </c>
      <c r="C8" s="7">
        <f>Parameters!G7</f>
        <v>-6</v>
      </c>
      <c r="D8" s="7">
        <f>'LSC Sweep'!$C$6</f>
        <v>-10</v>
      </c>
      <c r="E8" s="7">
        <f>Parameters!G16</f>
        <v>-10</v>
      </c>
      <c r="F8" s="7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7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0.35</v>
      </c>
      <c r="H8" s="7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0.5</v>
      </c>
      <c r="I8" s="7">
        <f>F8*H8</f>
        <v>1800</v>
      </c>
      <c r="J8" s="7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500</v>
      </c>
      <c r="K8" s="7">
        <f>IF('LSC Sweep'!$C$4="Type-B",Parameters!$L$14,INDEX(Parameters!$D$14:$H$14,1,R8)+(INDEX(Parameters!$D$14:$H$14,1,R8+1)-INDEX(Parameters!$D$14:$H$14,1,R8))*U8)</f>
        <v>0.6</v>
      </c>
      <c r="L8" s="7">
        <f>I8+J8</f>
        <v>2300</v>
      </c>
      <c r="M8" s="7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3000</v>
      </c>
      <c r="N8" s="7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0.27500000000000002</v>
      </c>
      <c r="O8" s="7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0.54</v>
      </c>
      <c r="P8" s="8">
        <f>M8*O8</f>
        <v>1620</v>
      </c>
      <c r="Q8" s="8">
        <f>MIN(4,MAX(1,INT((1+C8/Parameters!$D$23)*4)+1))</f>
        <v>4</v>
      </c>
      <c r="R8" s="8">
        <f>MIN(4,MAX(1,INT((1+D8/Parameters!$D$24)*4)+1))</f>
        <v>3</v>
      </c>
      <c r="S8" s="8">
        <f>MIN(4,MAX(1,INT((1+E8/Parameters!$D$25)*4)+1))</f>
        <v>4</v>
      </c>
      <c r="T8" s="8">
        <f>MAX(0,MIN(1,(1+C8/Parameters!$D$23)*4-(Q8-1)))</f>
        <v>0</v>
      </c>
      <c r="U8" s="8">
        <f>MAX(0,MIN(1,(1+D8/Parameters!$D$24)*4-(R8-1)))</f>
        <v>0</v>
      </c>
      <c r="V8" s="8">
        <f>MAX(0,MIN(1,(1+E8/Parameters!$D$25)*4-(S8-1)))</f>
        <v>0</v>
      </c>
    </row>
    <row r="9" spans="1:22" ht="22" customHeight="1">
      <c r="A9" s="1"/>
      <c r="B9" s="7" t="str">
        <f>"c "&amp;C9</f>
        <v>c 0</v>
      </c>
      <c r="C9" s="7">
        <f>Parameters!H7</f>
        <v>0</v>
      </c>
      <c r="D9" s="7">
        <f>'LSC Sweep'!$C$6</f>
        <v>-10</v>
      </c>
      <c r="E9" s="7">
        <f>Parameters!H16</f>
        <v>0</v>
      </c>
      <c r="F9" s="7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7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0.35</v>
      </c>
      <c r="H9" s="7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0.48</v>
      </c>
      <c r="I9" s="7">
        <f>F9*H9</f>
        <v>2016</v>
      </c>
      <c r="J9" s="7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500</v>
      </c>
      <c r="K9" s="7">
        <f>IF('LSC Sweep'!$C$4="Type-B",Parameters!$L$14,INDEX(Parameters!$D$14:$H$14,1,R9)+(INDEX(Parameters!$D$14:$H$14,1,R9+1)-INDEX(Parameters!$D$14:$H$14,1,R9))*U9)</f>
        <v>0.6</v>
      </c>
      <c r="L9" s="7">
        <f>I9+J9</f>
        <v>2516</v>
      </c>
      <c r="M9" s="7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3500</v>
      </c>
      <c r="N9" s="7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</v>
      </c>
      <c r="O9" s="7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0.5</v>
      </c>
      <c r="P9" s="8">
        <f>M9*O9</f>
        <v>1750</v>
      </c>
      <c r="Q9" s="8">
        <f>MIN(4,MAX(1,INT((1+C9/Parameters!$D$23)*4)+1))</f>
        <v>4</v>
      </c>
      <c r="R9" s="8">
        <f>MIN(4,MAX(1,INT((1+D9/Parameters!$D$24)*4)+1))</f>
        <v>3</v>
      </c>
      <c r="S9" s="8">
        <f>MIN(4,MAX(1,INT((1+E9/Parameters!$D$25)*4)+1))</f>
        <v>4</v>
      </c>
      <c r="T9" s="8">
        <f>MAX(0,MIN(1,(1+C9/Parameters!$D$23)*4-(Q9-1)))</f>
        <v>1</v>
      </c>
      <c r="U9" s="8">
        <f>MAX(0,MIN(1,(1+D9/Parameters!$D$24)*4-(R9-1)))</f>
        <v>0</v>
      </c>
      <c r="V9" s="8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22" customHeight="1">
      <c r="A13" s="1"/>
      <c r="B13" s="10" t="s">
        <v>51</v>
      </c>
      <c r="C13" s="10" t="str">
        <f>B5</f>
        <v>c -24</v>
      </c>
      <c r="D13" s="10" t="str">
        <f>B6</f>
        <v>c -18</v>
      </c>
      <c r="E13" s="10" t="str">
        <f>B7</f>
        <v>c -12</v>
      </c>
      <c r="F13" s="10" t="str">
        <f>B8</f>
        <v>c -6</v>
      </c>
      <c r="G13" s="10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2" customHeight="1">
      <c r="A14" s="1"/>
      <c r="B14" s="14">
        <v>0</v>
      </c>
      <c r="C14" s="14">
        <f t="shared" ref="C14:C34" si="0">$F$5*MIN($B14,$G$5)+$I$5*MAX(0,$B14-$G$5)+$J$5*MAX(0,$B14-$K$5)</f>
        <v>0</v>
      </c>
      <c r="D14" s="14">
        <f t="shared" ref="D14:D34" si="1">$F$6*MIN($B14,$G$6)+$I$6*MAX(0,$B14-$G$6)+$J$6*MAX(0,$B14-$K$6)</f>
        <v>0</v>
      </c>
      <c r="E14" s="14">
        <f t="shared" ref="E14:E34" si="2">$F$7*MIN($B14,$G$7)+$I$7*MAX(0,$B14-$G$7)+$J$7*MAX(0,$B14-$K$7)</f>
        <v>0</v>
      </c>
      <c r="F14" s="14">
        <f t="shared" ref="F14:F34" si="3">$F$8*MIN($B14,$G$8)+$I$8*MAX(0,$B14-$G$8)+$J$8*MAX(0,$B14-$K$8)</f>
        <v>0</v>
      </c>
      <c r="G14" s="14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2" customHeight="1">
      <c r="A15" s="1"/>
      <c r="B15" s="14">
        <v>0.05</v>
      </c>
      <c r="C15" s="14">
        <f t="shared" si="0"/>
        <v>90</v>
      </c>
      <c r="D15" s="14">
        <f t="shared" si="1"/>
        <v>120</v>
      </c>
      <c r="E15" s="14">
        <f t="shared" si="2"/>
        <v>150</v>
      </c>
      <c r="F15" s="14">
        <f t="shared" si="3"/>
        <v>180</v>
      </c>
      <c r="G15" s="14">
        <f t="shared" si="4"/>
        <v>210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2" customHeight="1">
      <c r="A16" s="1"/>
      <c r="B16" s="14">
        <v>0.1</v>
      </c>
      <c r="C16" s="14">
        <f t="shared" si="0"/>
        <v>180</v>
      </c>
      <c r="D16" s="14">
        <f t="shared" si="1"/>
        <v>240</v>
      </c>
      <c r="E16" s="14">
        <f t="shared" si="2"/>
        <v>300</v>
      </c>
      <c r="F16" s="14">
        <f t="shared" si="3"/>
        <v>360</v>
      </c>
      <c r="G16" s="14">
        <f t="shared" si="4"/>
        <v>420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2" customHeight="1">
      <c r="A17" s="1"/>
      <c r="B17" s="14">
        <v>0.15</v>
      </c>
      <c r="C17" s="14">
        <f t="shared" si="0"/>
        <v>270</v>
      </c>
      <c r="D17" s="14">
        <f t="shared" si="1"/>
        <v>360</v>
      </c>
      <c r="E17" s="14">
        <f t="shared" si="2"/>
        <v>450</v>
      </c>
      <c r="F17" s="14">
        <f t="shared" si="3"/>
        <v>540</v>
      </c>
      <c r="G17" s="14">
        <f t="shared" si="4"/>
        <v>630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2" customHeight="1">
      <c r="A18" s="1"/>
      <c r="B18" s="14">
        <v>0.2</v>
      </c>
      <c r="C18" s="14">
        <f t="shared" si="0"/>
        <v>360</v>
      </c>
      <c r="D18" s="14">
        <f t="shared" si="1"/>
        <v>480</v>
      </c>
      <c r="E18" s="14">
        <f t="shared" si="2"/>
        <v>600</v>
      </c>
      <c r="F18" s="14">
        <f t="shared" si="3"/>
        <v>720</v>
      </c>
      <c r="G18" s="14">
        <f t="shared" si="4"/>
        <v>840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2" customHeight="1">
      <c r="A19" s="1"/>
      <c r="B19" s="14">
        <v>0.25</v>
      </c>
      <c r="C19" s="14">
        <f t="shared" si="0"/>
        <v>450</v>
      </c>
      <c r="D19" s="14">
        <f t="shared" si="1"/>
        <v>600</v>
      </c>
      <c r="E19" s="14">
        <f t="shared" si="2"/>
        <v>750</v>
      </c>
      <c r="F19" s="14">
        <f t="shared" si="3"/>
        <v>900</v>
      </c>
      <c r="G19" s="14">
        <f t="shared" si="4"/>
        <v>1050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2" customHeight="1">
      <c r="A20" s="1"/>
      <c r="B20" s="14">
        <v>0.3</v>
      </c>
      <c r="C20" s="14">
        <f t="shared" si="0"/>
        <v>540</v>
      </c>
      <c r="D20" s="14">
        <f t="shared" si="1"/>
        <v>720</v>
      </c>
      <c r="E20" s="14">
        <f t="shared" si="2"/>
        <v>900</v>
      </c>
      <c r="F20" s="14">
        <f t="shared" si="3"/>
        <v>1080</v>
      </c>
      <c r="G20" s="14">
        <f t="shared" si="4"/>
        <v>1260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2" customHeight="1">
      <c r="A21" s="1"/>
      <c r="B21" s="14">
        <v>0.35</v>
      </c>
      <c r="C21" s="14">
        <f t="shared" si="0"/>
        <v>630</v>
      </c>
      <c r="D21" s="14">
        <f t="shared" si="1"/>
        <v>840</v>
      </c>
      <c r="E21" s="14">
        <f t="shared" si="2"/>
        <v>1050</v>
      </c>
      <c r="F21" s="14">
        <f t="shared" si="3"/>
        <v>1260</v>
      </c>
      <c r="G21" s="14">
        <f t="shared" si="4"/>
        <v>1470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2" customHeight="1">
      <c r="A22" s="1"/>
      <c r="B22" s="14">
        <v>0.4</v>
      </c>
      <c r="C22" s="14">
        <f t="shared" si="0"/>
        <v>680.40000000000009</v>
      </c>
      <c r="D22" s="14">
        <f t="shared" si="1"/>
        <v>904.80000000000007</v>
      </c>
      <c r="E22" s="14">
        <f t="shared" si="2"/>
        <v>1128</v>
      </c>
      <c r="F22" s="14">
        <f t="shared" si="3"/>
        <v>1350</v>
      </c>
      <c r="G22" s="14">
        <f t="shared" si="4"/>
        <v>1570.8000000000002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2" customHeight="1">
      <c r="A23" s="1"/>
      <c r="B23" s="14">
        <v>0.45</v>
      </c>
      <c r="C23" s="14">
        <f t="shared" si="0"/>
        <v>730.80000000000007</v>
      </c>
      <c r="D23" s="14">
        <f t="shared" si="1"/>
        <v>969.6</v>
      </c>
      <c r="E23" s="14">
        <f t="shared" si="2"/>
        <v>1206</v>
      </c>
      <c r="F23" s="14">
        <f t="shared" si="3"/>
        <v>1440</v>
      </c>
      <c r="G23" s="14">
        <f t="shared" si="4"/>
        <v>1671.6000000000001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2" customHeight="1">
      <c r="A24" s="1"/>
      <c r="B24" s="14">
        <v>0.5</v>
      </c>
      <c r="C24" s="14">
        <f t="shared" si="0"/>
        <v>781.2</v>
      </c>
      <c r="D24" s="14">
        <f t="shared" si="1"/>
        <v>1034.4000000000001</v>
      </c>
      <c r="E24" s="14">
        <f t="shared" si="2"/>
        <v>1284</v>
      </c>
      <c r="F24" s="14">
        <f t="shared" si="3"/>
        <v>1530</v>
      </c>
      <c r="G24" s="14">
        <f t="shared" si="4"/>
        <v>1772.4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2" customHeight="1">
      <c r="A25" s="1"/>
      <c r="B25" s="14">
        <v>0.55000000000000004</v>
      </c>
      <c r="C25" s="14">
        <f t="shared" si="0"/>
        <v>831.60000000000014</v>
      </c>
      <c r="D25" s="14">
        <f t="shared" si="1"/>
        <v>1099.2</v>
      </c>
      <c r="E25" s="14">
        <f t="shared" si="2"/>
        <v>1362</v>
      </c>
      <c r="F25" s="14">
        <f t="shared" si="3"/>
        <v>1620</v>
      </c>
      <c r="G25" s="14">
        <f t="shared" si="4"/>
        <v>1873.2000000000003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2" customHeight="1">
      <c r="A26" s="1"/>
      <c r="B26" s="14">
        <v>0.6</v>
      </c>
      <c r="C26" s="14">
        <f t="shared" si="0"/>
        <v>882</v>
      </c>
      <c r="D26" s="14">
        <f t="shared" si="1"/>
        <v>1164</v>
      </c>
      <c r="E26" s="14">
        <f t="shared" si="2"/>
        <v>1440</v>
      </c>
      <c r="F26" s="14">
        <f t="shared" si="3"/>
        <v>1710</v>
      </c>
      <c r="G26" s="14">
        <f t="shared" si="4"/>
        <v>1974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2" customHeight="1">
      <c r="A27" s="1"/>
      <c r="B27" s="14">
        <v>0.65</v>
      </c>
      <c r="C27" s="14">
        <f t="shared" si="0"/>
        <v>957.40000000000009</v>
      </c>
      <c r="D27" s="14">
        <f t="shared" si="1"/>
        <v>1253.8000000000002</v>
      </c>
      <c r="E27" s="14">
        <f t="shared" si="2"/>
        <v>1543</v>
      </c>
      <c r="F27" s="14">
        <f t="shared" si="3"/>
        <v>1825</v>
      </c>
      <c r="G27" s="14">
        <f t="shared" si="4"/>
        <v>2099.8000000000002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2" customHeight="1">
      <c r="A28" s="1"/>
      <c r="B28" s="14">
        <v>0.7</v>
      </c>
      <c r="C28" s="14">
        <f t="shared" si="0"/>
        <v>1032.8</v>
      </c>
      <c r="D28" s="14">
        <f t="shared" si="1"/>
        <v>1343.6</v>
      </c>
      <c r="E28" s="14">
        <f t="shared" si="2"/>
        <v>1646</v>
      </c>
      <c r="F28" s="14">
        <f t="shared" si="3"/>
        <v>1940</v>
      </c>
      <c r="G28" s="14">
        <f t="shared" si="4"/>
        <v>2225.6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2" customHeight="1">
      <c r="A29" s="1"/>
      <c r="B29" s="14">
        <v>0.75</v>
      </c>
      <c r="C29" s="14">
        <f t="shared" si="0"/>
        <v>1108.2</v>
      </c>
      <c r="D29" s="14">
        <f t="shared" si="1"/>
        <v>1433.4</v>
      </c>
      <c r="E29" s="14">
        <f t="shared" si="2"/>
        <v>1749</v>
      </c>
      <c r="F29" s="14">
        <f t="shared" si="3"/>
        <v>2055</v>
      </c>
      <c r="G29" s="14">
        <f t="shared" si="4"/>
        <v>2351.4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2" customHeight="1">
      <c r="A30" s="1"/>
      <c r="B30" s="14">
        <v>0.8</v>
      </c>
      <c r="C30" s="14">
        <f t="shared" si="0"/>
        <v>1183.6000000000001</v>
      </c>
      <c r="D30" s="14">
        <f t="shared" si="1"/>
        <v>1523.2</v>
      </c>
      <c r="E30" s="14">
        <f t="shared" si="2"/>
        <v>1852</v>
      </c>
      <c r="F30" s="14">
        <f t="shared" si="3"/>
        <v>2170</v>
      </c>
      <c r="G30" s="14">
        <f t="shared" si="4"/>
        <v>2477.2000000000003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2" customHeight="1">
      <c r="A31" s="1"/>
      <c r="B31" s="14">
        <v>0.85</v>
      </c>
      <c r="C31" s="14">
        <f t="shared" si="0"/>
        <v>1259</v>
      </c>
      <c r="D31" s="14">
        <f t="shared" si="1"/>
        <v>1613</v>
      </c>
      <c r="E31" s="14">
        <f t="shared" si="2"/>
        <v>1955</v>
      </c>
      <c r="F31" s="14">
        <f t="shared" si="3"/>
        <v>2285</v>
      </c>
      <c r="G31" s="14">
        <f t="shared" si="4"/>
        <v>2603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2" customHeight="1">
      <c r="A32" s="1"/>
      <c r="B32" s="14">
        <v>0.9</v>
      </c>
      <c r="C32" s="14">
        <f t="shared" si="0"/>
        <v>1334.4</v>
      </c>
      <c r="D32" s="14">
        <f t="shared" si="1"/>
        <v>1702.8000000000002</v>
      </c>
      <c r="E32" s="14">
        <f t="shared" si="2"/>
        <v>2058</v>
      </c>
      <c r="F32" s="14">
        <f t="shared" si="3"/>
        <v>2400</v>
      </c>
      <c r="G32" s="14">
        <f t="shared" si="4"/>
        <v>2728.8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2" customHeight="1">
      <c r="A33" s="1"/>
      <c r="B33" s="14">
        <v>0.95</v>
      </c>
      <c r="C33" s="14">
        <f t="shared" si="0"/>
        <v>1409.8000000000002</v>
      </c>
      <c r="D33" s="14">
        <f t="shared" si="1"/>
        <v>1792.6</v>
      </c>
      <c r="E33" s="14">
        <f t="shared" si="2"/>
        <v>2161</v>
      </c>
      <c r="F33" s="14">
        <f t="shared" si="3"/>
        <v>2515</v>
      </c>
      <c r="G33" s="14">
        <f t="shared" si="4"/>
        <v>2854.6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2" customHeight="1">
      <c r="A34" s="1"/>
      <c r="B34" s="14">
        <v>1</v>
      </c>
      <c r="C34" s="14">
        <f t="shared" si="0"/>
        <v>1485.2</v>
      </c>
      <c r="D34" s="14">
        <f t="shared" si="1"/>
        <v>1882.4</v>
      </c>
      <c r="E34" s="14">
        <f t="shared" si="2"/>
        <v>2264</v>
      </c>
      <c r="F34" s="14">
        <f t="shared" si="3"/>
        <v>2630</v>
      </c>
      <c r="G34" s="14">
        <f t="shared" si="4"/>
        <v>2980.4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22" customHeight="1">
      <c r="A41" s="1"/>
      <c r="B41" s="28" t="s">
        <v>104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35" customHeight="1">
      <c r="B44" s="13" t="s">
        <v>63</v>
      </c>
      <c r="C44" s="13" t="s">
        <v>64</v>
      </c>
      <c r="D44" s="13" t="s">
        <v>65</v>
      </c>
      <c r="E44" s="13" t="s">
        <v>66</v>
      </c>
      <c r="F44" s="13" t="s">
        <v>21</v>
      </c>
      <c r="G44" s="13" t="s">
        <v>81</v>
      </c>
      <c r="H44" s="13" t="s">
        <v>67</v>
      </c>
      <c r="I44" s="13" t="s">
        <v>57</v>
      </c>
      <c r="J44" s="13" t="s">
        <v>68</v>
      </c>
      <c r="K44" s="13" t="s">
        <v>82</v>
      </c>
      <c r="L44" s="13" t="s">
        <v>69</v>
      </c>
      <c r="M44" s="13" t="s">
        <v>28</v>
      </c>
      <c r="N44" s="13" t="s">
        <v>29</v>
      </c>
      <c r="O44" s="13" t="s">
        <v>70</v>
      </c>
      <c r="P44" s="13" t="s">
        <v>60</v>
      </c>
      <c r="Q44" s="13" t="s">
        <v>71</v>
      </c>
      <c r="R44" s="13" t="s">
        <v>72</v>
      </c>
      <c r="S44" s="13" t="s">
        <v>73</v>
      </c>
      <c r="T44" s="13" t="s">
        <v>74</v>
      </c>
      <c r="U44" s="13" t="s">
        <v>75</v>
      </c>
      <c r="V44" s="13" t="s">
        <v>76</v>
      </c>
    </row>
    <row r="45" spans="1:22" ht="22" customHeight="1">
      <c r="B45" s="8" t="str">
        <f>"C "&amp;D45</f>
        <v>C -20</v>
      </c>
      <c r="C45" s="8">
        <f>'HSC Sweep'!$C$6</f>
        <v>-12</v>
      </c>
      <c r="D45" s="8">
        <f>Parameters!D8</f>
        <v>-20</v>
      </c>
      <c r="E45" s="8">
        <f>Parameters!D16</f>
        <v>-40</v>
      </c>
      <c r="F45" s="8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2500</v>
      </c>
      <c r="G45" s="8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0.12</v>
      </c>
      <c r="H45" s="8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</v>
      </c>
      <c r="I45" s="8">
        <f>F45*H45</f>
        <v>2250</v>
      </c>
      <c r="J45" s="8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8">
        <f>IF('HSC Sweep'!$C$4="Type-B",Parameters!$L$14,INDEX(Parameters!$D$14:$H$14,1,R45)+(INDEX(Parameters!$D$14:$H$14,1,R45+1)-INDEX(Parameters!$D$14:$H$14,1,R45))*U45)</f>
        <v>0.57999999999999996</v>
      </c>
      <c r="L45" s="8">
        <f>I45+J45</f>
        <v>2750</v>
      </c>
      <c r="M45" s="8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1000</v>
      </c>
      <c r="N45" s="8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8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0.88</v>
      </c>
      <c r="P45" s="8">
        <f>M45*O45</f>
        <v>880</v>
      </c>
      <c r="Q45" s="8">
        <f>MIN(4,MAX(1,INT((1+C45/Parameters!$D$23)*4)+1))</f>
        <v>3</v>
      </c>
      <c r="R45" s="8">
        <f>MIN(4,MAX(1,INT((1+D45/Parameters!$D$24)*4)+1))</f>
        <v>1</v>
      </c>
      <c r="S45" s="8">
        <f>MIN(4,MAX(1,INT((1+E45/Parameters!$D$25)*4)+1))</f>
        <v>1</v>
      </c>
      <c r="T45" s="8">
        <f>MAX(0,MIN(1,(1+C45/Parameters!$D$23)*4-(Q45-1)))</f>
        <v>0</v>
      </c>
      <c r="U45" s="8">
        <f>MAX(0,MIN(1,(1+D45/Parameters!$D$24)*4-(R45-1)))</f>
        <v>0</v>
      </c>
      <c r="V45" s="8">
        <f>MAX(0,MIN(1,(1+E45/Parameters!$D$25)*4-(S45-1)))</f>
        <v>0</v>
      </c>
    </row>
    <row r="46" spans="1:22" ht="22" customHeight="1">
      <c r="B46" s="8" t="str">
        <f>"C "&amp;D46</f>
        <v>C -15</v>
      </c>
      <c r="C46" s="8">
        <f>'HSC Sweep'!$C$6</f>
        <v>-12</v>
      </c>
      <c r="D46" s="8">
        <f>Parameters!E8</f>
        <v>-15</v>
      </c>
      <c r="E46" s="8">
        <f>Parameters!E16</f>
        <v>-30</v>
      </c>
      <c r="F46" s="8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2500</v>
      </c>
      <c r="G46" s="8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0.12</v>
      </c>
      <c r="H46" s="8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</v>
      </c>
      <c r="I46" s="8">
        <f>F46*H46</f>
        <v>2250</v>
      </c>
      <c r="J46" s="8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1250</v>
      </c>
      <c r="K46" s="8">
        <f>IF('HSC Sweep'!$C$4="Type-B",Parameters!$L$14,INDEX(Parameters!$D$14:$H$14,1,R46)+(INDEX(Parameters!$D$14:$H$14,1,R46+1)-INDEX(Parameters!$D$14:$H$14,1,R46))*U46)</f>
        <v>0.59</v>
      </c>
      <c r="L46" s="8">
        <f>I46+J46</f>
        <v>3500</v>
      </c>
      <c r="M46" s="8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1500</v>
      </c>
      <c r="N46" s="8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0.255</v>
      </c>
      <c r="O46" s="8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0.84000000000000008</v>
      </c>
      <c r="P46" s="8">
        <f>M46*O46</f>
        <v>1260.0000000000002</v>
      </c>
      <c r="Q46" s="8">
        <f>MIN(4,MAX(1,INT((1+C46/Parameters!$D$23)*4)+1))</f>
        <v>3</v>
      </c>
      <c r="R46" s="8">
        <f>MIN(4,MAX(1,INT((1+D46/Parameters!$D$24)*4)+1))</f>
        <v>2</v>
      </c>
      <c r="S46" s="8">
        <f>MIN(4,MAX(1,INT((1+E46/Parameters!$D$25)*4)+1))</f>
        <v>2</v>
      </c>
      <c r="T46" s="8">
        <f>MAX(0,MIN(1,(1+C46/Parameters!$D$23)*4-(Q46-1)))</f>
        <v>0</v>
      </c>
      <c r="U46" s="8">
        <f>MAX(0,MIN(1,(1+D46/Parameters!$D$24)*4-(R46-1)))</f>
        <v>0</v>
      </c>
      <c r="V46" s="8">
        <f>MAX(0,MIN(1,(1+E46/Parameters!$D$25)*4-(S46-1)))</f>
        <v>0</v>
      </c>
    </row>
    <row r="47" spans="1:22" ht="22" customHeight="1">
      <c r="B47" s="8" t="str">
        <f>"C "&amp;D47</f>
        <v>C -10</v>
      </c>
      <c r="C47" s="8">
        <f>'HSC Sweep'!$C$6</f>
        <v>-12</v>
      </c>
      <c r="D47" s="8">
        <f>Parameters!F8</f>
        <v>-10</v>
      </c>
      <c r="E47" s="8">
        <f>Parameters!F16</f>
        <v>-20</v>
      </c>
      <c r="F47" s="8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2500</v>
      </c>
      <c r="G47" s="8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0.12</v>
      </c>
      <c r="H47" s="8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</v>
      </c>
      <c r="I47" s="8">
        <f>F47*H47</f>
        <v>2250</v>
      </c>
      <c r="J47" s="8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2000</v>
      </c>
      <c r="K47" s="8">
        <f>IF('HSC Sweep'!$C$4="Type-B",Parameters!$L$14,INDEX(Parameters!$D$14:$H$14,1,R47)+(INDEX(Parameters!$D$14:$H$14,1,R47+1)-INDEX(Parameters!$D$14:$H$14,1,R47))*U47)</f>
        <v>0.6</v>
      </c>
      <c r="L47" s="8">
        <f>I47+J47</f>
        <v>4250</v>
      </c>
      <c r="M47" s="8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2000</v>
      </c>
      <c r="N47" s="8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0.28000000000000003</v>
      </c>
      <c r="O47" s="8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</v>
      </c>
      <c r="P47" s="8">
        <f>M47*O47</f>
        <v>1600</v>
      </c>
      <c r="Q47" s="8">
        <f>MIN(4,MAX(1,INT((1+C47/Parameters!$D$23)*4)+1))</f>
        <v>3</v>
      </c>
      <c r="R47" s="8">
        <f>MIN(4,MAX(1,INT((1+D47/Parameters!$D$24)*4)+1))</f>
        <v>3</v>
      </c>
      <c r="S47" s="8">
        <f>MIN(4,MAX(1,INT((1+E47/Parameters!$D$25)*4)+1))</f>
        <v>3</v>
      </c>
      <c r="T47" s="8">
        <f>MAX(0,MIN(1,(1+C47/Parameters!$D$23)*4-(Q47-1)))</f>
        <v>0</v>
      </c>
      <c r="U47" s="8">
        <f>MAX(0,MIN(1,(1+D47/Parameters!$D$24)*4-(R47-1)))</f>
        <v>0</v>
      </c>
      <c r="V47" s="8">
        <f>MAX(0,MIN(1,(1+E47/Parameters!$D$25)*4-(S47-1)))</f>
        <v>0</v>
      </c>
    </row>
    <row r="48" spans="1:22" ht="22" customHeight="1">
      <c r="B48" s="8" t="str">
        <f>"C "&amp;D48</f>
        <v>C -5</v>
      </c>
      <c r="C48" s="8">
        <f>'HSC Sweep'!$C$6</f>
        <v>-12</v>
      </c>
      <c r="D48" s="8">
        <f>Parameters!G8</f>
        <v>-5</v>
      </c>
      <c r="E48" s="8">
        <f>Parameters!G16</f>
        <v>-10</v>
      </c>
      <c r="F48" s="8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2500</v>
      </c>
      <c r="G48" s="8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0.12</v>
      </c>
      <c r="H48" s="8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</v>
      </c>
      <c r="I48" s="8">
        <f>F48*H48</f>
        <v>2250</v>
      </c>
      <c r="J48" s="8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2750</v>
      </c>
      <c r="K48" s="8">
        <f>IF('HSC Sweep'!$C$4="Type-B",Parameters!$L$14,INDEX(Parameters!$D$14:$H$14,1,R48)+(INDEX(Parameters!$D$14:$H$14,1,R48+1)-INDEX(Parameters!$D$14:$H$14,1,R48))*U48)</f>
        <v>0.61</v>
      </c>
      <c r="L48" s="8">
        <f>I48+J48</f>
        <v>5000</v>
      </c>
      <c r="M48" s="8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2500</v>
      </c>
      <c r="N48" s="8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0.30500000000000005</v>
      </c>
      <c r="O48" s="8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0.76</v>
      </c>
      <c r="P48" s="8">
        <f>M48*O48</f>
        <v>1900</v>
      </c>
      <c r="Q48" s="8">
        <f>MIN(4,MAX(1,INT((1+C48/Parameters!$D$23)*4)+1))</f>
        <v>3</v>
      </c>
      <c r="R48" s="8">
        <f>MIN(4,MAX(1,INT((1+D48/Parameters!$D$24)*4)+1))</f>
        <v>4</v>
      </c>
      <c r="S48" s="8">
        <f>MIN(4,MAX(1,INT((1+E48/Parameters!$D$25)*4)+1))</f>
        <v>4</v>
      </c>
      <c r="T48" s="8">
        <f>MAX(0,MIN(1,(1+C48/Parameters!$D$23)*4-(Q48-1)))</f>
        <v>0</v>
      </c>
      <c r="U48" s="8">
        <f>MAX(0,MIN(1,(1+D48/Parameters!$D$24)*4-(R48-1)))</f>
        <v>0</v>
      </c>
      <c r="V48" s="8">
        <f>MAX(0,MIN(1,(1+E48/Parameters!$D$25)*4-(S48-1)))</f>
        <v>0</v>
      </c>
    </row>
    <row r="49" spans="2:22" ht="22" customHeight="1">
      <c r="B49" s="8" t="str">
        <f>"C "&amp;D49</f>
        <v>C 0</v>
      </c>
      <c r="C49" s="8">
        <f>'HSC Sweep'!$C$6</f>
        <v>-12</v>
      </c>
      <c r="D49" s="8">
        <f>Parameters!H8</f>
        <v>0</v>
      </c>
      <c r="E49" s="8">
        <f>Parameters!H16</f>
        <v>0</v>
      </c>
      <c r="F49" s="8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2500</v>
      </c>
      <c r="G49" s="8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0.12</v>
      </c>
      <c r="H49" s="8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</v>
      </c>
      <c r="I49" s="8">
        <f>F49*H49</f>
        <v>2250</v>
      </c>
      <c r="J49" s="8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3500</v>
      </c>
      <c r="K49" s="8">
        <f>IF('HSC Sweep'!$C$4="Type-B",Parameters!$L$14,INDEX(Parameters!$D$14:$H$14,1,R49)+(INDEX(Parameters!$D$14:$H$14,1,R49+1)-INDEX(Parameters!$D$14:$H$14,1,R49))*U49)</f>
        <v>0.62</v>
      </c>
      <c r="L49" s="8">
        <f>I49+J49</f>
        <v>5750</v>
      </c>
      <c r="M49" s="8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3000</v>
      </c>
      <c r="N49" s="8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0.33</v>
      </c>
      <c r="O49" s="8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0.72</v>
      </c>
      <c r="P49" s="8">
        <f>M49*O49</f>
        <v>2160</v>
      </c>
      <c r="Q49" s="8">
        <f>MIN(4,MAX(1,INT((1+C49/Parameters!$D$23)*4)+1))</f>
        <v>3</v>
      </c>
      <c r="R49" s="8">
        <f>MIN(4,MAX(1,INT((1+D49/Parameters!$D$24)*4)+1))</f>
        <v>4</v>
      </c>
      <c r="S49" s="8">
        <f>MIN(4,MAX(1,INT((1+E49/Parameters!$D$25)*4)+1))</f>
        <v>4</v>
      </c>
      <c r="T49" s="8">
        <f>MAX(0,MIN(1,(1+C49/Parameters!$D$23)*4-(Q49-1)))</f>
        <v>0</v>
      </c>
      <c r="U49" s="8">
        <f>MAX(0,MIN(1,(1+D49/Parameters!$D$24)*4-(R49-1)))</f>
        <v>1</v>
      </c>
      <c r="V49" s="8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22" customHeight="1">
      <c r="B53" s="11" t="s">
        <v>51</v>
      </c>
      <c r="C53" s="11" t="str">
        <f>B45</f>
        <v>C -20</v>
      </c>
      <c r="D53" s="11" t="str">
        <f>B46</f>
        <v>C -15</v>
      </c>
      <c r="E53" s="11" t="str">
        <f>B47</f>
        <v>C -10</v>
      </c>
      <c r="F53" s="11" t="str">
        <f>B48</f>
        <v>C -5</v>
      </c>
      <c r="G53" s="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2" customHeight="1">
      <c r="B54" s="15">
        <v>0</v>
      </c>
      <c r="C54" s="15">
        <f t="shared" ref="C54:C74" si="5">$F$45*MIN($B54,$G$45)+$I$45*MAX(0,$B54-$G$45)+$J$45*MAX(0,$B54-$K$45)</f>
        <v>0</v>
      </c>
      <c r="D54" s="15">
        <f t="shared" ref="D54:D74" si="6">$F$46*MIN($B54,$G$46)+$I$46*MAX(0,$B54-$G$46)+$J$46*MAX(0,$B54-$K$46)</f>
        <v>0</v>
      </c>
      <c r="E54" s="15">
        <f t="shared" ref="E54:E74" si="7">$F$47*MIN($B54,$G$47)+$I$47*MAX(0,$B54-$G$47)+$J$47*MAX(0,$B54-$K$47)</f>
        <v>0</v>
      </c>
      <c r="F54" s="15">
        <f t="shared" ref="F54:F74" si="8">$F$48*MIN($B54,$G$48)+$I$48*MAX(0,$B54-$G$48)+$J$48*MAX(0,$B54-$K$48)</f>
        <v>0</v>
      </c>
      <c r="G54" s="15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2" customHeight="1">
      <c r="B55" s="15">
        <v>0.05</v>
      </c>
      <c r="C55" s="15">
        <f t="shared" si="5"/>
        <v>125</v>
      </c>
      <c r="D55" s="15">
        <f t="shared" si="6"/>
        <v>125</v>
      </c>
      <c r="E55" s="15">
        <f t="shared" si="7"/>
        <v>125</v>
      </c>
      <c r="F55" s="15">
        <f t="shared" si="8"/>
        <v>125</v>
      </c>
      <c r="G55" s="15">
        <f t="shared" si="9"/>
        <v>125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2" customHeight="1">
      <c r="B56" s="15">
        <v>0.1</v>
      </c>
      <c r="C56" s="15">
        <f t="shared" si="5"/>
        <v>250</v>
      </c>
      <c r="D56" s="15">
        <f t="shared" si="6"/>
        <v>250</v>
      </c>
      <c r="E56" s="15">
        <f t="shared" si="7"/>
        <v>250</v>
      </c>
      <c r="F56" s="15">
        <f t="shared" si="8"/>
        <v>250</v>
      </c>
      <c r="G56" s="15">
        <f t="shared" si="9"/>
        <v>250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2" customHeight="1">
      <c r="B57" s="15">
        <v>0.15</v>
      </c>
      <c r="C57" s="15">
        <f t="shared" si="5"/>
        <v>367.5</v>
      </c>
      <c r="D57" s="15">
        <f t="shared" si="6"/>
        <v>367.5</v>
      </c>
      <c r="E57" s="15">
        <f t="shared" si="7"/>
        <v>367.5</v>
      </c>
      <c r="F57" s="15">
        <f t="shared" si="8"/>
        <v>367.5</v>
      </c>
      <c r="G57" s="15">
        <f t="shared" si="9"/>
        <v>367.5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2" customHeight="1">
      <c r="B58" s="15">
        <v>0.2</v>
      </c>
      <c r="C58" s="15">
        <f t="shared" si="5"/>
        <v>480</v>
      </c>
      <c r="D58" s="15">
        <f t="shared" si="6"/>
        <v>480</v>
      </c>
      <c r="E58" s="15">
        <f t="shared" si="7"/>
        <v>480</v>
      </c>
      <c r="F58" s="15">
        <f t="shared" si="8"/>
        <v>480</v>
      </c>
      <c r="G58" s="15">
        <f t="shared" si="9"/>
        <v>480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2" customHeight="1">
      <c r="B59" s="15">
        <v>0.25</v>
      </c>
      <c r="C59" s="15">
        <f t="shared" si="5"/>
        <v>592.5</v>
      </c>
      <c r="D59" s="15">
        <f t="shared" si="6"/>
        <v>592.5</v>
      </c>
      <c r="E59" s="15">
        <f t="shared" si="7"/>
        <v>592.5</v>
      </c>
      <c r="F59" s="15">
        <f t="shared" si="8"/>
        <v>592.5</v>
      </c>
      <c r="G59" s="15">
        <f t="shared" si="9"/>
        <v>592.5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2" customHeight="1">
      <c r="B60" s="15">
        <v>0.3</v>
      </c>
      <c r="C60" s="15">
        <f t="shared" si="5"/>
        <v>705</v>
      </c>
      <c r="D60" s="15">
        <f t="shared" si="6"/>
        <v>705</v>
      </c>
      <c r="E60" s="15">
        <f t="shared" si="7"/>
        <v>705</v>
      </c>
      <c r="F60" s="15">
        <f t="shared" si="8"/>
        <v>705</v>
      </c>
      <c r="G60" s="15">
        <f t="shared" si="9"/>
        <v>705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2" customHeight="1">
      <c r="B61" s="15">
        <v>0.35</v>
      </c>
      <c r="C61" s="15">
        <f t="shared" si="5"/>
        <v>817.5</v>
      </c>
      <c r="D61" s="15">
        <f t="shared" si="6"/>
        <v>817.5</v>
      </c>
      <c r="E61" s="15">
        <f t="shared" si="7"/>
        <v>817.5</v>
      </c>
      <c r="F61" s="15">
        <f t="shared" si="8"/>
        <v>817.5</v>
      </c>
      <c r="G61" s="15">
        <f t="shared" si="9"/>
        <v>817.5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2" customHeight="1">
      <c r="B62" s="15">
        <v>0.4</v>
      </c>
      <c r="C62" s="15">
        <f t="shared" si="5"/>
        <v>930.00000000000011</v>
      </c>
      <c r="D62" s="15">
        <f t="shared" si="6"/>
        <v>930.00000000000011</v>
      </c>
      <c r="E62" s="15">
        <f t="shared" si="7"/>
        <v>930.00000000000011</v>
      </c>
      <c r="F62" s="15">
        <f t="shared" si="8"/>
        <v>930.00000000000011</v>
      </c>
      <c r="G62" s="15">
        <f t="shared" si="9"/>
        <v>930.00000000000011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2" customHeight="1">
      <c r="B63" s="15">
        <v>0.45</v>
      </c>
      <c r="C63" s="15">
        <f t="shared" si="5"/>
        <v>1042.5</v>
      </c>
      <c r="D63" s="15">
        <f t="shared" si="6"/>
        <v>1042.5</v>
      </c>
      <c r="E63" s="15">
        <f t="shared" si="7"/>
        <v>1042.5</v>
      </c>
      <c r="F63" s="15">
        <f t="shared" si="8"/>
        <v>1042.5</v>
      </c>
      <c r="G63" s="15">
        <f t="shared" si="9"/>
        <v>1042.5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2" customHeight="1">
      <c r="B64" s="15">
        <v>0.5</v>
      </c>
      <c r="C64" s="15">
        <f t="shared" si="5"/>
        <v>1155</v>
      </c>
      <c r="D64" s="15">
        <f t="shared" si="6"/>
        <v>1155</v>
      </c>
      <c r="E64" s="15">
        <f t="shared" si="7"/>
        <v>1155</v>
      </c>
      <c r="F64" s="15">
        <f t="shared" si="8"/>
        <v>1155</v>
      </c>
      <c r="G64" s="15">
        <f t="shared" si="9"/>
        <v>1155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2" customHeight="1">
      <c r="B65" s="15">
        <v>0.55000000000000004</v>
      </c>
      <c r="C65" s="15">
        <f t="shared" si="5"/>
        <v>1267.5</v>
      </c>
      <c r="D65" s="15">
        <f t="shared" si="6"/>
        <v>1267.5</v>
      </c>
      <c r="E65" s="15">
        <f t="shared" si="7"/>
        <v>1267.5</v>
      </c>
      <c r="F65" s="15">
        <f t="shared" si="8"/>
        <v>1267.5</v>
      </c>
      <c r="G65" s="15">
        <f t="shared" si="9"/>
        <v>1267.5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2" customHeight="1">
      <c r="B66" s="15">
        <v>0.6</v>
      </c>
      <c r="C66" s="15">
        <f t="shared" si="5"/>
        <v>1390</v>
      </c>
      <c r="D66" s="15">
        <f t="shared" si="6"/>
        <v>1392.5</v>
      </c>
      <c r="E66" s="15">
        <f t="shared" si="7"/>
        <v>1380</v>
      </c>
      <c r="F66" s="15">
        <f t="shared" si="8"/>
        <v>1380</v>
      </c>
      <c r="G66" s="15">
        <f t="shared" si="9"/>
        <v>1380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2" customHeight="1">
      <c r="B67" s="15">
        <v>0.65</v>
      </c>
      <c r="C67" s="15">
        <f t="shared" si="5"/>
        <v>1527.5</v>
      </c>
      <c r="D67" s="15">
        <f t="shared" si="6"/>
        <v>1567.5</v>
      </c>
      <c r="E67" s="15">
        <f t="shared" si="7"/>
        <v>1592.5</v>
      </c>
      <c r="F67" s="15">
        <f t="shared" si="8"/>
        <v>1602.5</v>
      </c>
      <c r="G67" s="15">
        <f t="shared" si="9"/>
        <v>1597.5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2" customHeight="1">
      <c r="B68" s="15">
        <v>0.7</v>
      </c>
      <c r="C68" s="15">
        <f t="shared" si="5"/>
        <v>1665</v>
      </c>
      <c r="D68" s="15">
        <f t="shared" si="6"/>
        <v>1742.5</v>
      </c>
      <c r="E68" s="15">
        <f t="shared" si="7"/>
        <v>1805</v>
      </c>
      <c r="F68" s="15">
        <f t="shared" si="8"/>
        <v>1852.5</v>
      </c>
      <c r="G68" s="15">
        <f t="shared" si="9"/>
        <v>1885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2" customHeight="1">
      <c r="B69" s="15">
        <v>0.75</v>
      </c>
      <c r="C69" s="15">
        <f t="shared" si="5"/>
        <v>1802.5</v>
      </c>
      <c r="D69" s="15">
        <f t="shared" si="6"/>
        <v>1917.5</v>
      </c>
      <c r="E69" s="15">
        <f t="shared" si="7"/>
        <v>2017.5</v>
      </c>
      <c r="F69" s="15">
        <f t="shared" si="8"/>
        <v>2102.5</v>
      </c>
      <c r="G69" s="15">
        <f t="shared" si="9"/>
        <v>2172.5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2" customHeight="1">
      <c r="B70" s="15">
        <v>0.8</v>
      </c>
      <c r="C70" s="15">
        <f t="shared" si="5"/>
        <v>1940</v>
      </c>
      <c r="D70" s="15">
        <f t="shared" si="6"/>
        <v>2092.5</v>
      </c>
      <c r="E70" s="15">
        <f t="shared" si="7"/>
        <v>2230</v>
      </c>
      <c r="F70" s="15">
        <f t="shared" si="8"/>
        <v>2352.5</v>
      </c>
      <c r="G70" s="15">
        <f t="shared" si="9"/>
        <v>2460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2" customHeight="1">
      <c r="B71" s="15">
        <v>0.85</v>
      </c>
      <c r="C71" s="15">
        <f t="shared" si="5"/>
        <v>2077.5</v>
      </c>
      <c r="D71" s="15">
        <f t="shared" si="6"/>
        <v>2267.5</v>
      </c>
      <c r="E71" s="15">
        <f t="shared" si="7"/>
        <v>2442.5</v>
      </c>
      <c r="F71" s="15">
        <f t="shared" si="8"/>
        <v>2602.5</v>
      </c>
      <c r="G71" s="15">
        <f t="shared" si="9"/>
        <v>2747.5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2" customHeight="1">
      <c r="B72" s="15">
        <v>0.9</v>
      </c>
      <c r="C72" s="15">
        <f t="shared" si="5"/>
        <v>2215</v>
      </c>
      <c r="D72" s="15">
        <f t="shared" si="6"/>
        <v>2442.5</v>
      </c>
      <c r="E72" s="15">
        <f t="shared" si="7"/>
        <v>2655</v>
      </c>
      <c r="F72" s="15">
        <f t="shared" si="8"/>
        <v>2852.5</v>
      </c>
      <c r="G72" s="15">
        <f t="shared" si="9"/>
        <v>3035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2" customHeight="1">
      <c r="B73" s="15">
        <v>0.95</v>
      </c>
      <c r="C73" s="15">
        <f t="shared" si="5"/>
        <v>2352.5</v>
      </c>
      <c r="D73" s="15">
        <f t="shared" si="6"/>
        <v>2617.5</v>
      </c>
      <c r="E73" s="15">
        <f t="shared" si="7"/>
        <v>2867.5</v>
      </c>
      <c r="F73" s="15">
        <f t="shared" si="8"/>
        <v>3102.5</v>
      </c>
      <c r="G73" s="15">
        <f t="shared" si="9"/>
        <v>3322.5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2" customHeight="1">
      <c r="B74" s="15">
        <v>1</v>
      </c>
      <c r="C74" s="15">
        <f t="shared" si="5"/>
        <v>2490</v>
      </c>
      <c r="D74" s="15">
        <f t="shared" si="6"/>
        <v>2792.5</v>
      </c>
      <c r="E74" s="15">
        <f t="shared" si="7"/>
        <v>3080</v>
      </c>
      <c r="F74" s="15">
        <f t="shared" si="8"/>
        <v>3352.5</v>
      </c>
      <c r="G74" s="15">
        <f t="shared" si="9"/>
        <v>3610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22" customHeight="1">
      <c r="B81" s="29" t="s">
        <v>105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35" customHeight="1">
      <c r="B84" s="13" t="s">
        <v>63</v>
      </c>
      <c r="C84" s="13" t="s">
        <v>64</v>
      </c>
      <c r="D84" s="13" t="s">
        <v>65</v>
      </c>
      <c r="E84" s="13" t="s">
        <v>66</v>
      </c>
      <c r="F84" s="13" t="s">
        <v>21</v>
      </c>
      <c r="G84" s="13" t="s">
        <v>81</v>
      </c>
      <c r="H84" s="13" t="s">
        <v>67</v>
      </c>
      <c r="I84" s="13" t="s">
        <v>57</v>
      </c>
      <c r="J84" s="13" t="s">
        <v>68</v>
      </c>
      <c r="K84" s="13" t="s">
        <v>82</v>
      </c>
      <c r="L84" s="13" t="s">
        <v>69</v>
      </c>
      <c r="M84" s="13" t="s">
        <v>28</v>
      </c>
      <c r="N84" s="13" t="s">
        <v>29</v>
      </c>
      <c r="O84" s="13" t="s">
        <v>70</v>
      </c>
      <c r="P84" s="13" t="s">
        <v>60</v>
      </c>
      <c r="Q84" s="13" t="s">
        <v>71</v>
      </c>
      <c r="R84" s="13" t="s">
        <v>72</v>
      </c>
      <c r="S84" s="13" t="s">
        <v>73</v>
      </c>
      <c r="T84" s="13" t="s">
        <v>74</v>
      </c>
      <c r="U84" s="13" t="s">
        <v>75</v>
      </c>
      <c r="V84" s="13" t="s">
        <v>76</v>
      </c>
    </row>
    <row r="85" spans="2:22" ht="22" customHeight="1">
      <c r="B85" s="8" t="str">
        <f>"R "&amp;E85</f>
        <v>R -40</v>
      </c>
      <c r="C85" s="8">
        <f>Parameters!D7</f>
        <v>-24</v>
      </c>
      <c r="D85" s="8">
        <f>Parameters!D8</f>
        <v>-20</v>
      </c>
      <c r="E85" s="8">
        <f>Parameters!D16</f>
        <v>-40</v>
      </c>
      <c r="F85" s="8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1000</v>
      </c>
      <c r="G85" s="8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8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0.96</v>
      </c>
      <c r="I85" s="8">
        <f>F85*H85</f>
        <v>960</v>
      </c>
      <c r="J85" s="8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500</v>
      </c>
      <c r="K85" s="8">
        <f>IF('LSR Sweep'!$C$4="Type-B",Parameters!$L$14,INDEX(Parameters!$D$14:$H$14,1,R85)+(INDEX(Parameters!$D$14:$H$14,1,R85+1)-INDEX(Parameters!$D$14:$H$14,1,R85))*U85)</f>
        <v>0.57999999999999996</v>
      </c>
      <c r="L85" s="8">
        <f>I85+J85</f>
        <v>1460</v>
      </c>
      <c r="M85" s="8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1000</v>
      </c>
      <c r="N85" s="8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8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0.88</v>
      </c>
      <c r="P85" s="8">
        <f>M85*O85</f>
        <v>880</v>
      </c>
      <c r="Q85" s="8">
        <f>MIN(4,MAX(1,INT((1+C85/Parameters!$D$23)*4)+1))</f>
        <v>1</v>
      </c>
      <c r="R85" s="8">
        <f>MIN(4,MAX(1,INT((1+D85/Parameters!$D$24)*4)+1))</f>
        <v>1</v>
      </c>
      <c r="S85" s="8">
        <f>MIN(4,MAX(1,INT((1+E85/Parameters!$D$25)*4)+1))</f>
        <v>1</v>
      </c>
      <c r="T85" s="8">
        <f>MAX(0,MIN(1,(1+C85/Parameters!$D$23)*4-(Q85-1)))</f>
        <v>0</v>
      </c>
      <c r="U85" s="8">
        <f>MAX(0,MIN(1,(1+D85/Parameters!$D$24)*4-(R85-1)))</f>
        <v>0</v>
      </c>
      <c r="V85" s="8">
        <f>MAX(0,MIN(1,(1+E85/Parameters!$D$25)*4-(S85-1)))</f>
        <v>0</v>
      </c>
    </row>
    <row r="86" spans="2:22" ht="22" customHeight="1">
      <c r="B86" s="8" t="str">
        <f>"R "&amp;E86</f>
        <v>R -30</v>
      </c>
      <c r="C86" s="8">
        <f>Parameters!E7</f>
        <v>-18</v>
      </c>
      <c r="D86" s="8">
        <f>Parameters!E8</f>
        <v>-15</v>
      </c>
      <c r="E86" s="8">
        <f>Parameters!E16</f>
        <v>-30</v>
      </c>
      <c r="F86" s="8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1750</v>
      </c>
      <c r="G86" s="8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8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0.92999999999999994</v>
      </c>
      <c r="I86" s="8">
        <f>F86*H86</f>
        <v>1627.5</v>
      </c>
      <c r="J86" s="8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1250</v>
      </c>
      <c r="K86" s="8">
        <f>IF('LSR Sweep'!$C$4="Type-B",Parameters!$L$14,INDEX(Parameters!$D$14:$H$14,1,R86)+(INDEX(Parameters!$D$14:$H$14,1,R86+1)-INDEX(Parameters!$D$14:$H$14,1,R86))*U86)</f>
        <v>0.59</v>
      </c>
      <c r="L86" s="8">
        <f>I86+J86</f>
        <v>2877.5</v>
      </c>
      <c r="M86" s="8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1500</v>
      </c>
      <c r="N86" s="8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8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0.84000000000000008</v>
      </c>
      <c r="P86" s="8">
        <f>M86*O86</f>
        <v>1260.0000000000002</v>
      </c>
      <c r="Q86" s="8">
        <f>MIN(4,MAX(1,INT((1+C86/Parameters!$D$23)*4)+1))</f>
        <v>2</v>
      </c>
      <c r="R86" s="8">
        <f>MIN(4,MAX(1,INT((1+D86/Parameters!$D$24)*4)+1))</f>
        <v>2</v>
      </c>
      <c r="S86" s="8">
        <f>MIN(4,MAX(1,INT((1+E86/Parameters!$D$25)*4)+1))</f>
        <v>2</v>
      </c>
      <c r="T86" s="8">
        <f>MAX(0,MIN(1,(1+C86/Parameters!$D$23)*4-(Q86-1)))</f>
        <v>0</v>
      </c>
      <c r="U86" s="8">
        <f>MAX(0,MIN(1,(1+D86/Parameters!$D$24)*4-(R86-1)))</f>
        <v>0</v>
      </c>
      <c r="V86" s="8">
        <f>MAX(0,MIN(1,(1+E86/Parameters!$D$25)*4-(S86-1)))</f>
        <v>0</v>
      </c>
    </row>
    <row r="87" spans="2:22" ht="22" customHeight="1">
      <c r="B87" s="8" t="str">
        <f>"R "&amp;E87</f>
        <v>R -20</v>
      </c>
      <c r="C87" s="8">
        <f>Parameters!F7</f>
        <v>-12</v>
      </c>
      <c r="D87" s="8">
        <f>Parameters!F8</f>
        <v>-10</v>
      </c>
      <c r="E87" s="8">
        <f>Parameters!F16</f>
        <v>-20</v>
      </c>
      <c r="F87" s="8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2500</v>
      </c>
      <c r="G87" s="8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8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</v>
      </c>
      <c r="I87" s="8">
        <f>F87*H87</f>
        <v>2250</v>
      </c>
      <c r="J87" s="8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2000</v>
      </c>
      <c r="K87" s="8">
        <f>IF('LSR Sweep'!$C$4="Type-B",Parameters!$L$14,INDEX(Parameters!$D$14:$H$14,1,R87)+(INDEX(Parameters!$D$14:$H$14,1,R87+1)-INDEX(Parameters!$D$14:$H$14,1,R87))*U87)</f>
        <v>0.6</v>
      </c>
      <c r="L87" s="8">
        <f>I87+J87</f>
        <v>4250</v>
      </c>
      <c r="M87" s="8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8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8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</v>
      </c>
      <c r="P87" s="8">
        <f>M87*O87</f>
        <v>1600</v>
      </c>
      <c r="Q87" s="8">
        <f>MIN(4,MAX(1,INT((1+C87/Parameters!$D$23)*4)+1))</f>
        <v>3</v>
      </c>
      <c r="R87" s="8">
        <f>MIN(4,MAX(1,INT((1+D87/Parameters!$D$24)*4)+1))</f>
        <v>3</v>
      </c>
      <c r="S87" s="8">
        <f>MIN(4,MAX(1,INT((1+E87/Parameters!$D$25)*4)+1))</f>
        <v>3</v>
      </c>
      <c r="T87" s="8">
        <f>MAX(0,MIN(1,(1+C87/Parameters!$D$23)*4-(Q87-1)))</f>
        <v>0</v>
      </c>
      <c r="U87" s="8">
        <f>MAX(0,MIN(1,(1+D87/Parameters!$D$24)*4-(R87-1)))</f>
        <v>0</v>
      </c>
      <c r="V87" s="8">
        <f>MAX(0,MIN(1,(1+E87/Parameters!$D$25)*4-(S87-1)))</f>
        <v>0</v>
      </c>
    </row>
    <row r="88" spans="2:22" ht="22" customHeight="1">
      <c r="B88" s="8" t="str">
        <f>"R "&amp;E88</f>
        <v>R -10</v>
      </c>
      <c r="C88" s="8">
        <f>Parameters!G7</f>
        <v>-6</v>
      </c>
      <c r="D88" s="8">
        <f>Parameters!G8</f>
        <v>-5</v>
      </c>
      <c r="E88" s="8">
        <f>Parameters!G16</f>
        <v>-10</v>
      </c>
      <c r="F88" s="8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3250</v>
      </c>
      <c r="G88" s="8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8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0.87</v>
      </c>
      <c r="I88" s="8">
        <f>F88*H88</f>
        <v>2827.5</v>
      </c>
      <c r="J88" s="8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2750</v>
      </c>
      <c r="K88" s="8">
        <f>IF('LSR Sweep'!$C$4="Type-B",Parameters!$L$14,INDEX(Parameters!$D$14:$H$14,1,R88)+(INDEX(Parameters!$D$14:$H$14,1,R88+1)-INDEX(Parameters!$D$14:$H$14,1,R88))*U88)</f>
        <v>0.61</v>
      </c>
      <c r="L88" s="8">
        <f>I88+J88</f>
        <v>5577.5</v>
      </c>
      <c r="M88" s="8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2500</v>
      </c>
      <c r="N88" s="8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8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0.76</v>
      </c>
      <c r="P88" s="8">
        <f>M88*O88</f>
        <v>1900</v>
      </c>
      <c r="Q88" s="8">
        <f>MIN(4,MAX(1,INT((1+C88/Parameters!$D$23)*4)+1))</f>
        <v>4</v>
      </c>
      <c r="R88" s="8">
        <f>MIN(4,MAX(1,INT((1+D88/Parameters!$D$24)*4)+1))</f>
        <v>4</v>
      </c>
      <c r="S88" s="8">
        <f>MIN(4,MAX(1,INT((1+E88/Parameters!$D$25)*4)+1))</f>
        <v>4</v>
      </c>
      <c r="T88" s="8">
        <f>MAX(0,MIN(1,(1+C88/Parameters!$D$23)*4-(Q88-1)))</f>
        <v>0</v>
      </c>
      <c r="U88" s="8">
        <f>MAX(0,MIN(1,(1+D88/Parameters!$D$24)*4-(R88-1)))</f>
        <v>0</v>
      </c>
      <c r="V88" s="8">
        <f>MAX(0,MIN(1,(1+E88/Parameters!$D$25)*4-(S88-1)))</f>
        <v>0</v>
      </c>
    </row>
    <row r="89" spans="2:22" ht="22" customHeight="1">
      <c r="B89" s="8" t="str">
        <f>"R "&amp;E89</f>
        <v>R 0</v>
      </c>
      <c r="C89" s="8">
        <f>Parameters!H7</f>
        <v>0</v>
      </c>
      <c r="D89" s="8">
        <f>Parameters!H8</f>
        <v>0</v>
      </c>
      <c r="E89" s="8">
        <f>Parameters!H16</f>
        <v>0</v>
      </c>
      <c r="F89" s="8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4000</v>
      </c>
      <c r="G89" s="8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8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0.84</v>
      </c>
      <c r="I89" s="8">
        <f>F89*H89</f>
        <v>3360</v>
      </c>
      <c r="J89" s="8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3500</v>
      </c>
      <c r="K89" s="8">
        <f>IF('LSR Sweep'!$C$4="Type-B",Parameters!$L$14,INDEX(Parameters!$D$14:$H$14,1,R89)+(INDEX(Parameters!$D$14:$H$14,1,R89+1)-INDEX(Parameters!$D$14:$H$14,1,R89))*U89)</f>
        <v>0.62</v>
      </c>
      <c r="L89" s="8">
        <f>I89+J89</f>
        <v>6860</v>
      </c>
      <c r="M89" s="8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3000</v>
      </c>
      <c r="N89" s="8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8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0.72</v>
      </c>
      <c r="P89" s="8">
        <f>M89*O89</f>
        <v>2160</v>
      </c>
      <c r="Q89" s="8">
        <f>MIN(4,MAX(1,INT((1+C89/Parameters!$D$23)*4)+1))</f>
        <v>4</v>
      </c>
      <c r="R89" s="8">
        <f>MIN(4,MAX(1,INT((1+D89/Parameters!$D$24)*4)+1))</f>
        <v>4</v>
      </c>
      <c r="S89" s="8">
        <f>MIN(4,MAX(1,INT((1+E89/Parameters!$D$25)*4)+1))</f>
        <v>4</v>
      </c>
      <c r="T89" s="8">
        <f>MAX(0,MIN(1,(1+C89/Parameters!$D$23)*4-(Q89-1)))</f>
        <v>1</v>
      </c>
      <c r="U89" s="8">
        <f>MAX(0,MIN(1,(1+D89/Parameters!$D$24)*4-(R89-1)))</f>
        <v>1</v>
      </c>
      <c r="V89" s="8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22" customHeight="1">
      <c r="B93" s="11" t="s">
        <v>51</v>
      </c>
      <c r="C93" s="11" t="str">
        <f>B85</f>
        <v>R -40</v>
      </c>
      <c r="D93" s="11" t="str">
        <f>B86</f>
        <v>R -30</v>
      </c>
      <c r="E93" s="11" t="str">
        <f>B87</f>
        <v>R -20</v>
      </c>
      <c r="F93" s="11" t="str">
        <f>B88</f>
        <v>R -10</v>
      </c>
      <c r="G93" s="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2" customHeight="1">
      <c r="B94" s="15">
        <v>0</v>
      </c>
      <c r="C94" s="15">
        <f t="shared" ref="C94:C114" si="10">$M$85*MIN($B94,$N$85)+$P$85*MAX(0,$B94-$N$85)</f>
        <v>0</v>
      </c>
      <c r="D94" s="15">
        <f t="shared" ref="D94:D114" si="11">$M$86*MIN($B94,$N$86)+$P$86*MAX(0,$B94-$N$86)</f>
        <v>0</v>
      </c>
      <c r="E94" s="15">
        <f t="shared" ref="E94:E114" si="12">$M$87*MIN($B94,$N$87)+$P$87*MAX(0,$B94-$N$87)</f>
        <v>0</v>
      </c>
      <c r="F94" s="15">
        <f t="shared" ref="F94:F114" si="13">$M$88*MIN($B94,$N$88)+$P$88*MAX(0,$B94-$N$88)</f>
        <v>0</v>
      </c>
      <c r="G94" s="15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2" customHeight="1">
      <c r="B95" s="15">
        <v>0.05</v>
      </c>
      <c r="C95" s="15">
        <f t="shared" si="10"/>
        <v>50</v>
      </c>
      <c r="D95" s="15">
        <f t="shared" si="11"/>
        <v>75</v>
      </c>
      <c r="E95" s="15">
        <f t="shared" si="12"/>
        <v>100</v>
      </c>
      <c r="F95" s="15">
        <f t="shared" si="13"/>
        <v>125</v>
      </c>
      <c r="G95" s="15">
        <f t="shared" si="14"/>
        <v>150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2" customHeight="1">
      <c r="B96" s="15">
        <v>0.1</v>
      </c>
      <c r="C96" s="15">
        <f t="shared" si="10"/>
        <v>100</v>
      </c>
      <c r="D96" s="15">
        <f t="shared" si="11"/>
        <v>150</v>
      </c>
      <c r="E96" s="15">
        <f t="shared" si="12"/>
        <v>200</v>
      </c>
      <c r="F96" s="15">
        <f t="shared" si="13"/>
        <v>250</v>
      </c>
      <c r="G96" s="15">
        <f t="shared" si="14"/>
        <v>300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2" customHeight="1">
      <c r="B97" s="15">
        <v>0.15</v>
      </c>
      <c r="C97" s="15">
        <f t="shared" si="10"/>
        <v>150</v>
      </c>
      <c r="D97" s="15">
        <f t="shared" si="11"/>
        <v>225</v>
      </c>
      <c r="E97" s="15">
        <f t="shared" si="12"/>
        <v>300</v>
      </c>
      <c r="F97" s="15">
        <f t="shared" si="13"/>
        <v>375</v>
      </c>
      <c r="G97" s="15">
        <f t="shared" si="14"/>
        <v>450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2" customHeight="1">
      <c r="B98" s="15">
        <v>0.2</v>
      </c>
      <c r="C98" s="15">
        <f t="shared" si="10"/>
        <v>200</v>
      </c>
      <c r="D98" s="15">
        <f t="shared" si="11"/>
        <v>300</v>
      </c>
      <c r="E98" s="15">
        <f t="shared" si="12"/>
        <v>400</v>
      </c>
      <c r="F98" s="15">
        <f t="shared" si="13"/>
        <v>500</v>
      </c>
      <c r="G98" s="15">
        <f t="shared" si="14"/>
        <v>600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2" customHeight="1">
      <c r="B99" s="15">
        <v>0.25</v>
      </c>
      <c r="C99" s="15">
        <f t="shared" si="10"/>
        <v>247.6</v>
      </c>
      <c r="D99" s="15">
        <f t="shared" si="11"/>
        <v>375</v>
      </c>
      <c r="E99" s="15">
        <f t="shared" si="12"/>
        <v>500</v>
      </c>
      <c r="F99" s="15">
        <f t="shared" si="13"/>
        <v>625</v>
      </c>
      <c r="G99" s="15">
        <f t="shared" si="14"/>
        <v>750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2" customHeight="1">
      <c r="B100" s="15">
        <v>0.3</v>
      </c>
      <c r="C100" s="15">
        <f t="shared" si="10"/>
        <v>291.59999999999997</v>
      </c>
      <c r="D100" s="15">
        <f t="shared" si="11"/>
        <v>439.2</v>
      </c>
      <c r="E100" s="15">
        <f t="shared" si="12"/>
        <v>591.99999999999989</v>
      </c>
      <c r="F100" s="15">
        <f t="shared" si="13"/>
        <v>750</v>
      </c>
      <c r="G100" s="15">
        <f t="shared" si="14"/>
        <v>900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2" customHeight="1">
      <c r="B101" s="15">
        <v>0.35</v>
      </c>
      <c r="C101" s="15">
        <f t="shared" si="10"/>
        <v>335.59999999999997</v>
      </c>
      <c r="D101" s="15">
        <f t="shared" si="11"/>
        <v>502.2</v>
      </c>
      <c r="E101" s="15">
        <f t="shared" si="12"/>
        <v>671.99999999999989</v>
      </c>
      <c r="F101" s="15">
        <f t="shared" si="13"/>
        <v>848</v>
      </c>
      <c r="G101" s="15">
        <f t="shared" si="14"/>
        <v>1033.1999999999998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2" customHeight="1">
      <c r="B102" s="15">
        <v>0.4</v>
      </c>
      <c r="C102" s="15">
        <f t="shared" si="10"/>
        <v>379.6</v>
      </c>
      <c r="D102" s="15">
        <f t="shared" si="11"/>
        <v>565.20000000000005</v>
      </c>
      <c r="E102" s="15">
        <f t="shared" si="12"/>
        <v>752</v>
      </c>
      <c r="F102" s="15">
        <f t="shared" si="13"/>
        <v>943</v>
      </c>
      <c r="G102" s="15">
        <f t="shared" si="14"/>
        <v>1141.2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2" customHeight="1">
      <c r="B103" s="15">
        <v>0.45</v>
      </c>
      <c r="C103" s="15">
        <f t="shared" si="10"/>
        <v>423.6</v>
      </c>
      <c r="D103" s="15">
        <f t="shared" si="11"/>
        <v>628.20000000000005</v>
      </c>
      <c r="E103" s="15">
        <f t="shared" si="12"/>
        <v>832</v>
      </c>
      <c r="F103" s="15">
        <f t="shared" si="13"/>
        <v>1038</v>
      </c>
      <c r="G103" s="15">
        <f t="shared" si="14"/>
        <v>1249.2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2" customHeight="1">
      <c r="B104" s="15">
        <v>0.5</v>
      </c>
      <c r="C104" s="15">
        <f t="shared" si="10"/>
        <v>467.6</v>
      </c>
      <c r="D104" s="15">
        <f t="shared" si="11"/>
        <v>691.2</v>
      </c>
      <c r="E104" s="15">
        <f t="shared" si="12"/>
        <v>912</v>
      </c>
      <c r="F104" s="15">
        <f t="shared" si="13"/>
        <v>1133</v>
      </c>
      <c r="G104" s="15">
        <f t="shared" si="14"/>
        <v>1357.2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2" customHeight="1">
      <c r="B105" s="15">
        <v>0.55000000000000004</v>
      </c>
      <c r="C105" s="15">
        <f t="shared" si="10"/>
        <v>511.60000000000008</v>
      </c>
      <c r="D105" s="15">
        <f t="shared" si="11"/>
        <v>754.2</v>
      </c>
      <c r="E105" s="15">
        <f t="shared" si="12"/>
        <v>992</v>
      </c>
      <c r="F105" s="15">
        <f t="shared" si="13"/>
        <v>1228</v>
      </c>
      <c r="G105" s="15">
        <f t="shared" si="14"/>
        <v>1465.2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2" customHeight="1">
      <c r="B106" s="15">
        <v>0.6</v>
      </c>
      <c r="C106" s="15">
        <f t="shared" si="10"/>
        <v>555.6</v>
      </c>
      <c r="D106" s="15">
        <f t="shared" si="11"/>
        <v>817.2</v>
      </c>
      <c r="E106" s="15">
        <f t="shared" si="12"/>
        <v>1072</v>
      </c>
      <c r="F106" s="15">
        <f t="shared" si="13"/>
        <v>1323</v>
      </c>
      <c r="G106" s="15">
        <f t="shared" si="14"/>
        <v>1573.1999999999998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2" customHeight="1">
      <c r="B107" s="15">
        <v>0.65</v>
      </c>
      <c r="C107" s="15">
        <f t="shared" si="10"/>
        <v>599.6</v>
      </c>
      <c r="D107" s="15">
        <f t="shared" si="11"/>
        <v>880.2</v>
      </c>
      <c r="E107" s="15">
        <f t="shared" si="12"/>
        <v>1152</v>
      </c>
      <c r="F107" s="15">
        <f t="shared" si="13"/>
        <v>1418</v>
      </c>
      <c r="G107" s="15">
        <f t="shared" si="14"/>
        <v>1681.2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2" customHeight="1">
      <c r="B108" s="15">
        <v>0.7</v>
      </c>
      <c r="C108" s="15">
        <f t="shared" si="10"/>
        <v>643.59999999999991</v>
      </c>
      <c r="D108" s="15">
        <f t="shared" si="11"/>
        <v>943.2</v>
      </c>
      <c r="E108" s="15">
        <f t="shared" si="12"/>
        <v>1232</v>
      </c>
      <c r="F108" s="15">
        <f t="shared" si="13"/>
        <v>1513</v>
      </c>
      <c r="G108" s="15">
        <f t="shared" si="14"/>
        <v>1789.1999999999998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2" customHeight="1">
      <c r="B109" s="15">
        <v>0.75</v>
      </c>
      <c r="C109" s="15">
        <f t="shared" si="10"/>
        <v>687.6</v>
      </c>
      <c r="D109" s="15">
        <f t="shared" si="11"/>
        <v>1006.2000000000002</v>
      </c>
      <c r="E109" s="15">
        <f t="shared" si="12"/>
        <v>1312</v>
      </c>
      <c r="F109" s="15">
        <f t="shared" si="13"/>
        <v>1608</v>
      </c>
      <c r="G109" s="15">
        <f t="shared" si="14"/>
        <v>1897.1999999999998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2" customHeight="1">
      <c r="B110" s="15">
        <v>0.8</v>
      </c>
      <c r="C110" s="15">
        <f t="shared" si="10"/>
        <v>731.60000000000014</v>
      </c>
      <c r="D110" s="15">
        <f t="shared" si="11"/>
        <v>1069.2000000000003</v>
      </c>
      <c r="E110" s="15">
        <f t="shared" si="12"/>
        <v>1392</v>
      </c>
      <c r="F110" s="15">
        <f t="shared" si="13"/>
        <v>1703</v>
      </c>
      <c r="G110" s="15">
        <f t="shared" si="14"/>
        <v>2005.2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2" customHeight="1">
      <c r="B111" s="15">
        <v>0.85</v>
      </c>
      <c r="C111" s="15">
        <f t="shared" si="10"/>
        <v>775.6</v>
      </c>
      <c r="D111" s="15">
        <f t="shared" si="11"/>
        <v>1132.2</v>
      </c>
      <c r="E111" s="15">
        <f t="shared" si="12"/>
        <v>1472</v>
      </c>
      <c r="F111" s="15">
        <f t="shared" si="13"/>
        <v>1798</v>
      </c>
      <c r="G111" s="15">
        <f t="shared" si="14"/>
        <v>2113.1999999999998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2" customHeight="1">
      <c r="B112" s="15">
        <v>0.9</v>
      </c>
      <c r="C112" s="15">
        <f t="shared" si="10"/>
        <v>819.6</v>
      </c>
      <c r="D112" s="15">
        <f t="shared" si="11"/>
        <v>1195.2000000000003</v>
      </c>
      <c r="E112" s="15">
        <f t="shared" si="12"/>
        <v>1552</v>
      </c>
      <c r="F112" s="15">
        <f t="shared" si="13"/>
        <v>1893</v>
      </c>
      <c r="G112" s="15">
        <f t="shared" si="14"/>
        <v>2221.1999999999998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2" customHeight="1">
      <c r="B113" s="15">
        <v>0.95</v>
      </c>
      <c r="C113" s="15">
        <f t="shared" si="10"/>
        <v>863.6</v>
      </c>
      <c r="D113" s="15">
        <f t="shared" si="11"/>
        <v>1258.2</v>
      </c>
      <c r="E113" s="15">
        <f t="shared" si="12"/>
        <v>1632</v>
      </c>
      <c r="F113" s="15">
        <f t="shared" si="13"/>
        <v>1988</v>
      </c>
      <c r="G113" s="15">
        <f t="shared" si="14"/>
        <v>2329.1999999999998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2" customHeight="1">
      <c r="B114" s="15">
        <v>1</v>
      </c>
      <c r="C114" s="15">
        <f t="shared" si="10"/>
        <v>907.6</v>
      </c>
      <c r="D114" s="15">
        <f t="shared" si="11"/>
        <v>1321.2000000000003</v>
      </c>
      <c r="E114" s="15">
        <f t="shared" si="12"/>
        <v>1712</v>
      </c>
      <c r="F114" s="15">
        <f t="shared" si="13"/>
        <v>2083</v>
      </c>
      <c r="G114" s="15">
        <f t="shared" si="14"/>
        <v>2437.1999999999998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22" customHeight="1">
      <c r="B121" s="29" t="s">
        <v>106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35" customHeight="1">
      <c r="B124" s="13" t="s">
        <v>63</v>
      </c>
      <c r="C124" s="13" t="s">
        <v>64</v>
      </c>
      <c r="D124" s="13" t="s">
        <v>65</v>
      </c>
      <c r="E124" s="13" t="s">
        <v>66</v>
      </c>
      <c r="F124" s="13" t="s">
        <v>21</v>
      </c>
      <c r="G124" s="13" t="s">
        <v>81</v>
      </c>
      <c r="H124" s="13" t="s">
        <v>67</v>
      </c>
      <c r="I124" s="13" t="s">
        <v>57</v>
      </c>
      <c r="J124" s="13" t="s">
        <v>68</v>
      </c>
      <c r="K124" s="13" t="s">
        <v>82</v>
      </c>
      <c r="L124" s="13" t="s">
        <v>69</v>
      </c>
      <c r="M124" s="13" t="s">
        <v>28</v>
      </c>
      <c r="N124" s="13" t="s">
        <v>29</v>
      </c>
      <c r="O124" s="13" t="s">
        <v>70</v>
      </c>
      <c r="P124" s="13" t="s">
        <v>60</v>
      </c>
      <c r="Q124" s="13" t="s">
        <v>71</v>
      </c>
      <c r="R124" s="13" t="s">
        <v>72</v>
      </c>
      <c r="S124" s="13" t="s">
        <v>73</v>
      </c>
      <c r="T124" s="13" t="s">
        <v>74</v>
      </c>
      <c r="U124" s="13" t="s">
        <v>75</v>
      </c>
      <c r="V124" s="13" t="s">
        <v>76</v>
      </c>
    </row>
    <row r="125" spans="2:22" ht="22" customHeight="1">
      <c r="B125" s="8" t="str">
        <f>"c "&amp;C125&amp;" / C "&amp;D125</f>
        <v>c -24 / C -20</v>
      </c>
      <c r="C125" s="8">
        <f>Parameters!D7</f>
        <v>-24</v>
      </c>
      <c r="D125" s="8">
        <f>Parameters!D8</f>
        <v>-20</v>
      </c>
      <c r="E125" s="8">
        <f>Parameters!D16</f>
        <v>-40</v>
      </c>
      <c r="F125" s="8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1000</v>
      </c>
      <c r="G125" s="8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8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0.96</v>
      </c>
      <c r="I125" s="8">
        <f>F125*H125</f>
        <v>960</v>
      </c>
      <c r="J125" s="8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500</v>
      </c>
      <c r="K125" s="8">
        <f>IF('Full Sweep'!$C$4="Type-B",Parameters!$L$14,INDEX(Parameters!$D$14:$H$14,1,R125)+(INDEX(Parameters!$D$14:$H$14,1,R125+1)-INDEX(Parameters!$D$14:$H$14,1,R125))*U125)</f>
        <v>0.57999999999999996</v>
      </c>
      <c r="L125" s="8">
        <f>I125+J125</f>
        <v>1460</v>
      </c>
      <c r="M125" s="8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1000</v>
      </c>
      <c r="N125" s="8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8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0.88</v>
      </c>
      <c r="P125" s="8">
        <f>M125*O125</f>
        <v>880</v>
      </c>
      <c r="Q125" s="8">
        <f>MIN(4,MAX(1,INT((1+C125/Parameters!$D$23)*4)+1))</f>
        <v>1</v>
      </c>
      <c r="R125" s="8">
        <f>MIN(4,MAX(1,INT((1+D125/Parameters!$D$24)*4)+1))</f>
        <v>1</v>
      </c>
      <c r="S125" s="8">
        <f>MIN(4,MAX(1,INT((1+E125/Parameters!$D$25)*4)+1))</f>
        <v>1</v>
      </c>
      <c r="T125" s="8">
        <f>MAX(0,MIN(1,(1+C125/Parameters!$D$23)*4-(Q125-1)))</f>
        <v>0</v>
      </c>
      <c r="U125" s="8">
        <f>MAX(0,MIN(1,(1+D125/Parameters!$D$24)*4-(R125-1)))</f>
        <v>0</v>
      </c>
      <c r="V125" s="8">
        <f>MAX(0,MIN(1,(1+E125/Parameters!$D$25)*4-(S125-1)))</f>
        <v>0</v>
      </c>
    </row>
    <row r="126" spans="2:22" ht="22" customHeight="1">
      <c r="B126" s="8" t="str">
        <f>"c "&amp;C126&amp;" / C "&amp;D126</f>
        <v>c -18 / C -15</v>
      </c>
      <c r="C126" s="8">
        <f>Parameters!E7</f>
        <v>-18</v>
      </c>
      <c r="D126" s="8">
        <f>Parameters!E8</f>
        <v>-15</v>
      </c>
      <c r="E126" s="8">
        <f>Parameters!E16</f>
        <v>-30</v>
      </c>
      <c r="F126" s="8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1750</v>
      </c>
      <c r="G126" s="8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0.12</v>
      </c>
      <c r="H126" s="8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0.92999999999999994</v>
      </c>
      <c r="I126" s="8">
        <f>F126*H126</f>
        <v>1627.5</v>
      </c>
      <c r="J126" s="8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1250</v>
      </c>
      <c r="K126" s="8">
        <f>IF('Full Sweep'!$C$4="Type-B",Parameters!$L$14,INDEX(Parameters!$D$14:$H$14,1,R126)+(INDEX(Parameters!$D$14:$H$14,1,R126+1)-INDEX(Parameters!$D$14:$H$14,1,R126))*U126)</f>
        <v>0.59</v>
      </c>
      <c r="L126" s="8">
        <f>I126+J126</f>
        <v>2877.5</v>
      </c>
      <c r="M126" s="8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1500</v>
      </c>
      <c r="N126" s="8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8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0.84000000000000008</v>
      </c>
      <c r="P126" s="8">
        <f>M126*O126</f>
        <v>1260.0000000000002</v>
      </c>
      <c r="Q126" s="8">
        <f>MIN(4,MAX(1,INT((1+C126/Parameters!$D$23)*4)+1))</f>
        <v>2</v>
      </c>
      <c r="R126" s="8">
        <f>MIN(4,MAX(1,INT((1+D126/Parameters!$D$24)*4)+1))</f>
        <v>2</v>
      </c>
      <c r="S126" s="8">
        <f>MIN(4,MAX(1,INT((1+E126/Parameters!$D$25)*4)+1))</f>
        <v>2</v>
      </c>
      <c r="T126" s="8">
        <f>MAX(0,MIN(1,(1+C126/Parameters!$D$23)*4-(Q126-1)))</f>
        <v>0</v>
      </c>
      <c r="U126" s="8">
        <f>MAX(0,MIN(1,(1+D126/Parameters!$D$24)*4-(R126-1)))</f>
        <v>0</v>
      </c>
      <c r="V126" s="8">
        <f>MAX(0,MIN(1,(1+E126/Parameters!$D$25)*4-(S126-1)))</f>
        <v>0</v>
      </c>
    </row>
    <row r="127" spans="2:22" ht="22" customHeight="1">
      <c r="B127" s="8" t="str">
        <f>"c "&amp;C127&amp;" / C "&amp;D127</f>
        <v>c -12 / C -10</v>
      </c>
      <c r="C127" s="8">
        <f>Parameters!F7</f>
        <v>-12</v>
      </c>
      <c r="D127" s="8">
        <f>Parameters!F8</f>
        <v>-10</v>
      </c>
      <c r="E127" s="8">
        <f>Parameters!F16</f>
        <v>-20</v>
      </c>
      <c r="F127" s="8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2500</v>
      </c>
      <c r="G127" s="8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8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</v>
      </c>
      <c r="I127" s="8">
        <f>F127*H127</f>
        <v>2250</v>
      </c>
      <c r="J127" s="8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2000</v>
      </c>
      <c r="K127" s="8">
        <f>IF('Full Sweep'!$C$4="Type-B",Parameters!$L$14,INDEX(Parameters!$D$14:$H$14,1,R127)+(INDEX(Parameters!$D$14:$H$14,1,R127+1)-INDEX(Parameters!$D$14:$H$14,1,R127))*U127)</f>
        <v>0.6</v>
      </c>
      <c r="L127" s="8">
        <f>I127+J127</f>
        <v>4250</v>
      </c>
      <c r="M127" s="8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8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8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</v>
      </c>
      <c r="P127" s="8">
        <f>M127*O127</f>
        <v>1600</v>
      </c>
      <c r="Q127" s="8">
        <f>MIN(4,MAX(1,INT((1+C127/Parameters!$D$23)*4)+1))</f>
        <v>3</v>
      </c>
      <c r="R127" s="8">
        <f>MIN(4,MAX(1,INT((1+D127/Parameters!$D$24)*4)+1))</f>
        <v>3</v>
      </c>
      <c r="S127" s="8">
        <f>MIN(4,MAX(1,INT((1+E127/Parameters!$D$25)*4)+1))</f>
        <v>3</v>
      </c>
      <c r="T127" s="8">
        <f>MAX(0,MIN(1,(1+C127/Parameters!$D$23)*4-(Q127-1)))</f>
        <v>0</v>
      </c>
      <c r="U127" s="8">
        <f>MAX(0,MIN(1,(1+D127/Parameters!$D$24)*4-(R127-1)))</f>
        <v>0</v>
      </c>
      <c r="V127" s="8">
        <f>MAX(0,MIN(1,(1+E127/Parameters!$D$25)*4-(S127-1)))</f>
        <v>0</v>
      </c>
    </row>
    <row r="128" spans="2:22" ht="22" customHeight="1">
      <c r="B128" s="8" t="str">
        <f>"c "&amp;C128&amp;" / C "&amp;D128</f>
        <v>c -6 / C -5</v>
      </c>
      <c r="C128" s="8">
        <f>Parameters!G7</f>
        <v>-6</v>
      </c>
      <c r="D128" s="8">
        <f>Parameters!G8</f>
        <v>-5</v>
      </c>
      <c r="E128" s="8">
        <f>Parameters!G16</f>
        <v>-10</v>
      </c>
      <c r="F128" s="8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3250</v>
      </c>
      <c r="G128" s="8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0.12</v>
      </c>
      <c r="H128" s="8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0.87</v>
      </c>
      <c r="I128" s="8">
        <f>F128*H128</f>
        <v>2827.5</v>
      </c>
      <c r="J128" s="8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2750</v>
      </c>
      <c r="K128" s="8">
        <f>IF('Full Sweep'!$C$4="Type-B",Parameters!$L$14,INDEX(Parameters!$D$14:$H$14,1,R128)+(INDEX(Parameters!$D$14:$H$14,1,R128+1)-INDEX(Parameters!$D$14:$H$14,1,R128))*U128)</f>
        <v>0.61</v>
      </c>
      <c r="L128" s="8">
        <f>I128+J128</f>
        <v>5577.5</v>
      </c>
      <c r="M128" s="8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2500</v>
      </c>
      <c r="N128" s="8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8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0.76</v>
      </c>
      <c r="P128" s="8">
        <f>M128*O128</f>
        <v>1900</v>
      </c>
      <c r="Q128" s="8">
        <f>MIN(4,MAX(1,INT((1+C128/Parameters!$D$23)*4)+1))</f>
        <v>4</v>
      </c>
      <c r="R128" s="8">
        <f>MIN(4,MAX(1,INT((1+D128/Parameters!$D$24)*4)+1))</f>
        <v>4</v>
      </c>
      <c r="S128" s="8">
        <f>MIN(4,MAX(1,INT((1+E128/Parameters!$D$25)*4)+1))</f>
        <v>4</v>
      </c>
      <c r="T128" s="8">
        <f>MAX(0,MIN(1,(1+C128/Parameters!$D$23)*4-(Q128-1)))</f>
        <v>0</v>
      </c>
      <c r="U128" s="8">
        <f>MAX(0,MIN(1,(1+D128/Parameters!$D$24)*4-(R128-1)))</f>
        <v>0</v>
      </c>
      <c r="V128" s="8">
        <f>MAX(0,MIN(1,(1+E128/Parameters!$D$25)*4-(S128-1)))</f>
        <v>0</v>
      </c>
    </row>
    <row r="129" spans="2:22" ht="22" customHeight="1">
      <c r="B129" s="8" t="str">
        <f>"c "&amp;C129&amp;" / C "&amp;D129</f>
        <v>c 0 / C 0</v>
      </c>
      <c r="C129" s="8">
        <f>Parameters!H7</f>
        <v>0</v>
      </c>
      <c r="D129" s="8">
        <f>Parameters!H8</f>
        <v>0</v>
      </c>
      <c r="E129" s="8">
        <f>Parameters!H16</f>
        <v>0</v>
      </c>
      <c r="F129" s="8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4000</v>
      </c>
      <c r="G129" s="8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0.12</v>
      </c>
      <c r="H129" s="8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0.84</v>
      </c>
      <c r="I129" s="8">
        <f>F129*H129</f>
        <v>3360</v>
      </c>
      <c r="J129" s="8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3500</v>
      </c>
      <c r="K129" s="8">
        <f>IF('Full Sweep'!$C$4="Type-B",Parameters!$L$14,INDEX(Parameters!$D$14:$H$14,1,R129)+(INDEX(Parameters!$D$14:$H$14,1,R129+1)-INDEX(Parameters!$D$14:$H$14,1,R129))*U129)</f>
        <v>0.62</v>
      </c>
      <c r="L129" s="8">
        <f>I129+J129</f>
        <v>6860</v>
      </c>
      <c r="M129" s="8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3000</v>
      </c>
      <c r="N129" s="8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8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0.72</v>
      </c>
      <c r="P129" s="8">
        <f>M129*O129</f>
        <v>2160</v>
      </c>
      <c r="Q129" s="8">
        <f>MIN(4,MAX(1,INT((1+C129/Parameters!$D$23)*4)+1))</f>
        <v>4</v>
      </c>
      <c r="R129" s="8">
        <f>MIN(4,MAX(1,INT((1+D129/Parameters!$D$24)*4)+1))</f>
        <v>4</v>
      </c>
      <c r="S129" s="8">
        <f>MIN(4,MAX(1,INT((1+E129/Parameters!$D$25)*4)+1))</f>
        <v>4</v>
      </c>
      <c r="T129" s="8">
        <f>MAX(0,MIN(1,(1+C129/Parameters!$D$23)*4-(Q129-1)))</f>
        <v>1</v>
      </c>
      <c r="U129" s="8">
        <f>MAX(0,MIN(1,(1+D129/Parameters!$D$24)*4-(R129-1)))</f>
        <v>1</v>
      </c>
      <c r="V129" s="8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22" customHeight="1">
      <c r="B133" s="11" t="s">
        <v>51</v>
      </c>
      <c r="C133" s="11" t="str">
        <f>B125</f>
        <v>c -24 / C -20</v>
      </c>
      <c r="D133" s="11" t="str">
        <f>B126</f>
        <v>c -18 / C -15</v>
      </c>
      <c r="E133" s="11" t="str">
        <f>B127</f>
        <v>c -12 / C -10</v>
      </c>
      <c r="F133" s="11" t="str">
        <f>B128</f>
        <v>c -6 / C -5</v>
      </c>
      <c r="G133" s="11" t="str">
        <f>B129</f>
        <v>c 0 / C 0</v>
      </c>
      <c r="H133" s="11" t="str">
        <f>"R "&amp;E125</f>
        <v>R -40</v>
      </c>
      <c r="I133" s="11" t="str">
        <f>"R "&amp;E126</f>
        <v>R -30</v>
      </c>
      <c r="J133" s="11" t="str">
        <f>"R "&amp;E127</f>
        <v>R -20</v>
      </c>
      <c r="K133" s="11" t="str">
        <f>"R "&amp;E128</f>
        <v>R -10</v>
      </c>
      <c r="L133" s="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2" customHeight="1">
      <c r="B134" s="15">
        <v>0</v>
      </c>
      <c r="C134" s="15">
        <f t="shared" ref="C134:C154" si="15">$F$125*MIN($B134,$G$125)+$I$125*MAX(0,$B134-$G$125)+$J$125*MAX(0,$B134-$K$125)</f>
        <v>0</v>
      </c>
      <c r="D134" s="15">
        <f t="shared" ref="D134:D154" si="16">$F$126*MIN($B134,$G$126)+$I$126*MAX(0,$B134-$G$126)+$J$126*MAX(0,$B134-$K$126)</f>
        <v>0</v>
      </c>
      <c r="E134" s="15">
        <f t="shared" ref="E134:E154" si="17">$F$127*MIN($B134,$G$127)+$I$127*MAX(0,$B134-$G$127)+$J$127*MAX(0,$B134-$K$127)</f>
        <v>0</v>
      </c>
      <c r="F134" s="15">
        <f t="shared" ref="F134:F154" si="18">$F$128*MIN($B134,$G$128)+$I$128*MAX(0,$B134-$G$128)+$J$128*MAX(0,$B134-$K$128)</f>
        <v>0</v>
      </c>
      <c r="G134" s="15">
        <f t="shared" ref="G134:G154" si="19">$F$129*MIN($B134,$G$129)+$I$129*MAX(0,$B134-$G$129)+$J$129*MAX(0,$B134-$K$129)</f>
        <v>0</v>
      </c>
      <c r="H134" s="15">
        <f t="shared" ref="H134:H154" si="20">-($M$125*MIN($B134,$N$125)+$P$125*MAX(0,$B134-$N$125))</f>
        <v>0</v>
      </c>
      <c r="I134" s="15">
        <f t="shared" ref="I134:I154" si="21">-($M$126*MIN($B134,$N$126)+$P$126*MAX(0,$B134-$N$126))</f>
        <v>0</v>
      </c>
      <c r="J134" s="15">
        <f t="shared" ref="J134:J154" si="22">-($M$127*MIN($B134,$N$127)+$P$127*MAX(0,$B134-$N$127))</f>
        <v>0</v>
      </c>
      <c r="K134" s="15">
        <f t="shared" ref="K134:K154" si="23">-($M$128*MIN($B134,$N$128)+$P$128*MAX(0,$B134-$N$128))</f>
        <v>0</v>
      </c>
      <c r="L134" s="15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2" customHeight="1">
      <c r="B135" s="15">
        <v>0.05</v>
      </c>
      <c r="C135" s="15">
        <f t="shared" si="15"/>
        <v>50</v>
      </c>
      <c r="D135" s="15">
        <f t="shared" si="16"/>
        <v>87.5</v>
      </c>
      <c r="E135" s="15">
        <f t="shared" si="17"/>
        <v>125</v>
      </c>
      <c r="F135" s="15">
        <f t="shared" si="18"/>
        <v>162.5</v>
      </c>
      <c r="G135" s="15">
        <f t="shared" si="19"/>
        <v>200</v>
      </c>
      <c r="H135" s="15">
        <f t="shared" si="20"/>
        <v>-50</v>
      </c>
      <c r="I135" s="15">
        <f t="shared" si="21"/>
        <v>-75</v>
      </c>
      <c r="J135" s="15">
        <f t="shared" si="22"/>
        <v>-100</v>
      </c>
      <c r="K135" s="15">
        <f t="shared" si="23"/>
        <v>-125</v>
      </c>
      <c r="L135" s="15">
        <f t="shared" si="24"/>
        <v>-150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2" customHeight="1">
      <c r="B136" s="15">
        <v>0.1</v>
      </c>
      <c r="C136" s="15">
        <f t="shared" si="15"/>
        <v>100</v>
      </c>
      <c r="D136" s="15">
        <f t="shared" si="16"/>
        <v>175</v>
      </c>
      <c r="E136" s="15">
        <f t="shared" si="17"/>
        <v>250</v>
      </c>
      <c r="F136" s="15">
        <f t="shared" si="18"/>
        <v>325</v>
      </c>
      <c r="G136" s="15">
        <f t="shared" si="19"/>
        <v>400</v>
      </c>
      <c r="H136" s="15">
        <f t="shared" si="20"/>
        <v>-100</v>
      </c>
      <c r="I136" s="15">
        <f t="shared" si="21"/>
        <v>-150</v>
      </c>
      <c r="J136" s="15">
        <f t="shared" si="22"/>
        <v>-200</v>
      </c>
      <c r="K136" s="15">
        <f t="shared" si="23"/>
        <v>-250</v>
      </c>
      <c r="L136" s="15">
        <f t="shared" si="24"/>
        <v>-300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2" customHeight="1">
      <c r="B137" s="15">
        <v>0.15</v>
      </c>
      <c r="C137" s="15">
        <f t="shared" si="15"/>
        <v>148.80000000000001</v>
      </c>
      <c r="D137" s="15">
        <f t="shared" si="16"/>
        <v>258.82499999999999</v>
      </c>
      <c r="E137" s="15">
        <f t="shared" si="17"/>
        <v>367.5</v>
      </c>
      <c r="F137" s="15">
        <f t="shared" si="18"/>
        <v>474.82499999999999</v>
      </c>
      <c r="G137" s="15">
        <f t="shared" si="19"/>
        <v>580.79999999999995</v>
      </c>
      <c r="H137" s="15">
        <f t="shared" si="20"/>
        <v>-150</v>
      </c>
      <c r="I137" s="15">
        <f t="shared" si="21"/>
        <v>-225</v>
      </c>
      <c r="J137" s="15">
        <f t="shared" si="22"/>
        <v>-300</v>
      </c>
      <c r="K137" s="15">
        <f t="shared" si="23"/>
        <v>-375</v>
      </c>
      <c r="L137" s="15">
        <f t="shared" si="24"/>
        <v>-450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2" customHeight="1">
      <c r="B138" s="15">
        <v>0.2</v>
      </c>
      <c r="C138" s="15">
        <f t="shared" si="15"/>
        <v>196.8</v>
      </c>
      <c r="D138" s="15">
        <f t="shared" si="16"/>
        <v>340.20000000000005</v>
      </c>
      <c r="E138" s="15">
        <f t="shared" si="17"/>
        <v>480</v>
      </c>
      <c r="F138" s="15">
        <f t="shared" si="18"/>
        <v>616.20000000000005</v>
      </c>
      <c r="G138" s="15">
        <f t="shared" si="19"/>
        <v>748.80000000000007</v>
      </c>
      <c r="H138" s="15">
        <f t="shared" si="20"/>
        <v>-200</v>
      </c>
      <c r="I138" s="15">
        <f t="shared" si="21"/>
        <v>-300</v>
      </c>
      <c r="J138" s="15">
        <f t="shared" si="22"/>
        <v>-400</v>
      </c>
      <c r="K138" s="15">
        <f t="shared" si="23"/>
        <v>-500</v>
      </c>
      <c r="L138" s="15">
        <f t="shared" si="24"/>
        <v>-600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2" customHeight="1">
      <c r="B139" s="15">
        <v>0.25</v>
      </c>
      <c r="C139" s="15">
        <f t="shared" si="15"/>
        <v>244.8</v>
      </c>
      <c r="D139" s="15">
        <f t="shared" si="16"/>
        <v>421.57500000000005</v>
      </c>
      <c r="E139" s="15">
        <f t="shared" si="17"/>
        <v>592.5</v>
      </c>
      <c r="F139" s="15">
        <f t="shared" si="18"/>
        <v>757.57500000000005</v>
      </c>
      <c r="G139" s="15">
        <f t="shared" si="19"/>
        <v>916.8</v>
      </c>
      <c r="H139" s="15">
        <f t="shared" si="20"/>
        <v>-247.6</v>
      </c>
      <c r="I139" s="15">
        <f t="shared" si="21"/>
        <v>-375</v>
      </c>
      <c r="J139" s="15">
        <f t="shared" si="22"/>
        <v>-500</v>
      </c>
      <c r="K139" s="15">
        <f t="shared" si="23"/>
        <v>-625</v>
      </c>
      <c r="L139" s="15">
        <f t="shared" si="24"/>
        <v>-750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2" customHeight="1">
      <c r="B140" s="15">
        <v>0.3</v>
      </c>
      <c r="C140" s="15">
        <f t="shared" si="15"/>
        <v>292.79999999999995</v>
      </c>
      <c r="D140" s="15">
        <f t="shared" si="16"/>
        <v>502.95</v>
      </c>
      <c r="E140" s="15">
        <f t="shared" si="17"/>
        <v>705</v>
      </c>
      <c r="F140" s="15">
        <f t="shared" si="18"/>
        <v>898.95</v>
      </c>
      <c r="G140" s="15">
        <f t="shared" si="19"/>
        <v>1084.8</v>
      </c>
      <c r="H140" s="15">
        <f t="shared" si="20"/>
        <v>-291.59999999999997</v>
      </c>
      <c r="I140" s="15">
        <f t="shared" si="21"/>
        <v>-439.2</v>
      </c>
      <c r="J140" s="15">
        <f t="shared" si="22"/>
        <v>-591.99999999999989</v>
      </c>
      <c r="K140" s="15">
        <f t="shared" si="23"/>
        <v>-750</v>
      </c>
      <c r="L140" s="15">
        <f t="shared" si="24"/>
        <v>-900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2" customHeight="1">
      <c r="B141" s="15">
        <v>0.35</v>
      </c>
      <c r="C141" s="15">
        <f t="shared" si="15"/>
        <v>340.79999999999995</v>
      </c>
      <c r="D141" s="15">
        <f t="shared" si="16"/>
        <v>584.32500000000005</v>
      </c>
      <c r="E141" s="15">
        <f t="shared" si="17"/>
        <v>817.5</v>
      </c>
      <c r="F141" s="15">
        <f t="shared" si="18"/>
        <v>1040.3249999999998</v>
      </c>
      <c r="G141" s="15">
        <f t="shared" si="19"/>
        <v>1252.8</v>
      </c>
      <c r="H141" s="15">
        <f t="shared" si="20"/>
        <v>-335.59999999999997</v>
      </c>
      <c r="I141" s="15">
        <f t="shared" si="21"/>
        <v>-502.2</v>
      </c>
      <c r="J141" s="15">
        <f t="shared" si="22"/>
        <v>-671.99999999999989</v>
      </c>
      <c r="K141" s="15">
        <f t="shared" si="23"/>
        <v>-848</v>
      </c>
      <c r="L141" s="15">
        <f t="shared" si="24"/>
        <v>-1033.1999999999998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2" customHeight="1">
      <c r="B142" s="15">
        <v>0.4</v>
      </c>
      <c r="C142" s="15">
        <f t="shared" si="15"/>
        <v>388.8</v>
      </c>
      <c r="D142" s="15">
        <f t="shared" si="16"/>
        <v>665.7</v>
      </c>
      <c r="E142" s="15">
        <f t="shared" si="17"/>
        <v>930.00000000000011</v>
      </c>
      <c r="F142" s="15">
        <f t="shared" si="18"/>
        <v>1181.7</v>
      </c>
      <c r="G142" s="15">
        <f t="shared" si="19"/>
        <v>1420.8000000000002</v>
      </c>
      <c r="H142" s="15">
        <f t="shared" si="20"/>
        <v>-379.6</v>
      </c>
      <c r="I142" s="15">
        <f t="shared" si="21"/>
        <v>-565.20000000000005</v>
      </c>
      <c r="J142" s="15">
        <f t="shared" si="22"/>
        <v>-752</v>
      </c>
      <c r="K142" s="15">
        <f t="shared" si="23"/>
        <v>-943</v>
      </c>
      <c r="L142" s="15">
        <f t="shared" si="24"/>
        <v>-1141.2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2" customHeight="1">
      <c r="B143" s="15">
        <v>0.45</v>
      </c>
      <c r="C143" s="15">
        <f t="shared" si="15"/>
        <v>436.8</v>
      </c>
      <c r="D143" s="15">
        <f t="shared" si="16"/>
        <v>747.07500000000005</v>
      </c>
      <c r="E143" s="15">
        <f t="shared" si="17"/>
        <v>1042.5</v>
      </c>
      <c r="F143" s="15">
        <f t="shared" si="18"/>
        <v>1323.075</v>
      </c>
      <c r="G143" s="15">
        <f t="shared" si="19"/>
        <v>1588.8</v>
      </c>
      <c r="H143" s="15">
        <f t="shared" si="20"/>
        <v>-423.6</v>
      </c>
      <c r="I143" s="15">
        <f t="shared" si="21"/>
        <v>-628.20000000000005</v>
      </c>
      <c r="J143" s="15">
        <f t="shared" si="22"/>
        <v>-832</v>
      </c>
      <c r="K143" s="15">
        <f t="shared" si="23"/>
        <v>-1038</v>
      </c>
      <c r="L143" s="15">
        <f t="shared" si="24"/>
        <v>-1249.2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2" customHeight="1">
      <c r="B144" s="15">
        <v>0.5</v>
      </c>
      <c r="C144" s="15">
        <f t="shared" si="15"/>
        <v>484.8</v>
      </c>
      <c r="D144" s="15">
        <f t="shared" si="16"/>
        <v>828.45</v>
      </c>
      <c r="E144" s="15">
        <f t="shared" si="17"/>
        <v>1155</v>
      </c>
      <c r="F144" s="15">
        <f t="shared" si="18"/>
        <v>1464.45</v>
      </c>
      <c r="G144" s="15">
        <f t="shared" si="19"/>
        <v>1756.8</v>
      </c>
      <c r="H144" s="15">
        <f t="shared" si="20"/>
        <v>-467.6</v>
      </c>
      <c r="I144" s="15">
        <f t="shared" si="21"/>
        <v>-691.2</v>
      </c>
      <c r="J144" s="15">
        <f t="shared" si="22"/>
        <v>-912</v>
      </c>
      <c r="K144" s="15">
        <f t="shared" si="23"/>
        <v>-1133</v>
      </c>
      <c r="L144" s="15">
        <f t="shared" si="24"/>
        <v>-1357.2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2" customHeight="1">
      <c r="B145" s="15">
        <v>0.55000000000000004</v>
      </c>
      <c r="C145" s="15">
        <f t="shared" si="15"/>
        <v>532.80000000000007</v>
      </c>
      <c r="D145" s="15">
        <f t="shared" si="16"/>
        <v>909.82500000000005</v>
      </c>
      <c r="E145" s="15">
        <f t="shared" si="17"/>
        <v>1267.5</v>
      </c>
      <c r="F145" s="15">
        <f t="shared" si="18"/>
        <v>1605.825</v>
      </c>
      <c r="G145" s="15">
        <f t="shared" si="19"/>
        <v>1924.8000000000002</v>
      </c>
      <c r="H145" s="15">
        <f t="shared" si="20"/>
        <v>-511.60000000000008</v>
      </c>
      <c r="I145" s="15">
        <f t="shared" si="21"/>
        <v>-754.2</v>
      </c>
      <c r="J145" s="15">
        <f t="shared" si="22"/>
        <v>-992</v>
      </c>
      <c r="K145" s="15">
        <f t="shared" si="23"/>
        <v>-1228</v>
      </c>
      <c r="L145" s="15">
        <f t="shared" si="24"/>
        <v>-1465.2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2" customHeight="1">
      <c r="B146" s="15">
        <v>0.6</v>
      </c>
      <c r="C146" s="15">
        <f t="shared" si="15"/>
        <v>590.79999999999995</v>
      </c>
      <c r="D146" s="15">
        <f t="shared" si="16"/>
        <v>1003.6999999999999</v>
      </c>
      <c r="E146" s="15">
        <f t="shared" si="17"/>
        <v>1380</v>
      </c>
      <c r="F146" s="15">
        <f t="shared" si="18"/>
        <v>1747.2</v>
      </c>
      <c r="G146" s="15">
        <f t="shared" si="19"/>
        <v>2092.8000000000002</v>
      </c>
      <c r="H146" s="15">
        <f t="shared" si="20"/>
        <v>-555.6</v>
      </c>
      <c r="I146" s="15">
        <f t="shared" si="21"/>
        <v>-817.2</v>
      </c>
      <c r="J146" s="15">
        <f t="shared" si="22"/>
        <v>-1072</v>
      </c>
      <c r="K146" s="15">
        <f t="shared" si="23"/>
        <v>-1323</v>
      </c>
      <c r="L146" s="15">
        <f t="shared" si="24"/>
        <v>-1573.1999999999998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2" customHeight="1">
      <c r="B147" s="15">
        <v>0.65</v>
      </c>
      <c r="C147" s="15">
        <f t="shared" si="15"/>
        <v>663.8</v>
      </c>
      <c r="D147" s="15">
        <f t="shared" si="16"/>
        <v>1147.575</v>
      </c>
      <c r="E147" s="15">
        <f t="shared" si="17"/>
        <v>1592.5</v>
      </c>
      <c r="F147" s="15">
        <f t="shared" si="18"/>
        <v>1998.575</v>
      </c>
      <c r="G147" s="15">
        <f t="shared" si="19"/>
        <v>2365.8000000000002</v>
      </c>
      <c r="H147" s="15">
        <f t="shared" si="20"/>
        <v>-599.6</v>
      </c>
      <c r="I147" s="15">
        <f t="shared" si="21"/>
        <v>-880.2</v>
      </c>
      <c r="J147" s="15">
        <f t="shared" si="22"/>
        <v>-1152</v>
      </c>
      <c r="K147" s="15">
        <f t="shared" si="23"/>
        <v>-1418</v>
      </c>
      <c r="L147" s="15">
        <f t="shared" si="24"/>
        <v>-1681.2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2" customHeight="1">
      <c r="B148" s="15">
        <v>0.7</v>
      </c>
      <c r="C148" s="15">
        <f t="shared" si="15"/>
        <v>736.8</v>
      </c>
      <c r="D148" s="15">
        <f t="shared" si="16"/>
        <v>1291.4499999999998</v>
      </c>
      <c r="E148" s="15">
        <f t="shared" si="17"/>
        <v>1805</v>
      </c>
      <c r="F148" s="15">
        <f t="shared" si="18"/>
        <v>2277.4499999999998</v>
      </c>
      <c r="G148" s="15">
        <f t="shared" si="19"/>
        <v>2708.8</v>
      </c>
      <c r="H148" s="15">
        <f t="shared" si="20"/>
        <v>-643.59999999999991</v>
      </c>
      <c r="I148" s="15">
        <f t="shared" si="21"/>
        <v>-943.2</v>
      </c>
      <c r="J148" s="15">
        <f t="shared" si="22"/>
        <v>-1232</v>
      </c>
      <c r="K148" s="15">
        <f t="shared" si="23"/>
        <v>-1513</v>
      </c>
      <c r="L148" s="15">
        <f t="shared" si="24"/>
        <v>-1789.1999999999998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2" customHeight="1">
      <c r="B149" s="15">
        <v>0.75</v>
      </c>
      <c r="C149" s="15">
        <f t="shared" si="15"/>
        <v>809.8</v>
      </c>
      <c r="D149" s="15">
        <f t="shared" si="16"/>
        <v>1435.325</v>
      </c>
      <c r="E149" s="15">
        <f t="shared" si="17"/>
        <v>2017.5</v>
      </c>
      <c r="F149" s="15">
        <f t="shared" si="18"/>
        <v>2556.3249999999998</v>
      </c>
      <c r="G149" s="15">
        <f t="shared" si="19"/>
        <v>3051.8</v>
      </c>
      <c r="H149" s="15">
        <f t="shared" si="20"/>
        <v>-687.6</v>
      </c>
      <c r="I149" s="15">
        <f t="shared" si="21"/>
        <v>-1006.2000000000002</v>
      </c>
      <c r="J149" s="15">
        <f t="shared" si="22"/>
        <v>-1312</v>
      </c>
      <c r="K149" s="15">
        <f t="shared" si="23"/>
        <v>-1608</v>
      </c>
      <c r="L149" s="15">
        <f t="shared" si="24"/>
        <v>-1897.1999999999998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2" customHeight="1">
      <c r="B150" s="15">
        <v>0.8</v>
      </c>
      <c r="C150" s="15">
        <f t="shared" si="15"/>
        <v>882.80000000000007</v>
      </c>
      <c r="D150" s="15">
        <f t="shared" si="16"/>
        <v>1579.2000000000003</v>
      </c>
      <c r="E150" s="15">
        <f t="shared" si="17"/>
        <v>2230</v>
      </c>
      <c r="F150" s="15">
        <f t="shared" si="18"/>
        <v>2835.2</v>
      </c>
      <c r="G150" s="15">
        <f t="shared" si="19"/>
        <v>3394.8</v>
      </c>
      <c r="H150" s="15">
        <f t="shared" si="20"/>
        <v>-731.60000000000014</v>
      </c>
      <c r="I150" s="15">
        <f t="shared" si="21"/>
        <v>-1069.2000000000003</v>
      </c>
      <c r="J150" s="15">
        <f t="shared" si="22"/>
        <v>-1392</v>
      </c>
      <c r="K150" s="15">
        <f t="shared" si="23"/>
        <v>-1703</v>
      </c>
      <c r="L150" s="15">
        <f t="shared" si="24"/>
        <v>-2005.2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2" customHeight="1">
      <c r="B151" s="15">
        <v>0.85</v>
      </c>
      <c r="C151" s="15">
        <f t="shared" si="15"/>
        <v>955.8</v>
      </c>
      <c r="D151" s="15">
        <f t="shared" si="16"/>
        <v>1723.075</v>
      </c>
      <c r="E151" s="15">
        <f t="shared" si="17"/>
        <v>2442.5</v>
      </c>
      <c r="F151" s="15">
        <f t="shared" si="18"/>
        <v>3114.0749999999998</v>
      </c>
      <c r="G151" s="15">
        <f t="shared" si="19"/>
        <v>3737.7999999999997</v>
      </c>
      <c r="H151" s="15">
        <f t="shared" si="20"/>
        <v>-775.6</v>
      </c>
      <c r="I151" s="15">
        <f t="shared" si="21"/>
        <v>-1132.2</v>
      </c>
      <c r="J151" s="15">
        <f t="shared" si="22"/>
        <v>-1472</v>
      </c>
      <c r="K151" s="15">
        <f t="shared" si="23"/>
        <v>-1798</v>
      </c>
      <c r="L151" s="15">
        <f t="shared" si="24"/>
        <v>-2113.1999999999998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2" customHeight="1">
      <c r="B152" s="15">
        <v>0.9</v>
      </c>
      <c r="C152" s="15">
        <f t="shared" si="15"/>
        <v>1028.8000000000002</v>
      </c>
      <c r="D152" s="15">
        <f t="shared" si="16"/>
        <v>1866.95</v>
      </c>
      <c r="E152" s="15">
        <f t="shared" si="17"/>
        <v>2655</v>
      </c>
      <c r="F152" s="15">
        <f t="shared" si="18"/>
        <v>3392.9500000000003</v>
      </c>
      <c r="G152" s="15">
        <f t="shared" si="19"/>
        <v>4080.8</v>
      </c>
      <c r="H152" s="15">
        <f t="shared" si="20"/>
        <v>-819.6</v>
      </c>
      <c r="I152" s="15">
        <f t="shared" si="21"/>
        <v>-1195.2000000000003</v>
      </c>
      <c r="J152" s="15">
        <f t="shared" si="22"/>
        <v>-1552</v>
      </c>
      <c r="K152" s="15">
        <f t="shared" si="23"/>
        <v>-1893</v>
      </c>
      <c r="L152" s="15">
        <f t="shared" si="24"/>
        <v>-2221.1999999999998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2" customHeight="1">
      <c r="B153" s="15">
        <v>0.95</v>
      </c>
      <c r="C153" s="15">
        <f t="shared" si="15"/>
        <v>1101.8</v>
      </c>
      <c r="D153" s="15">
        <f t="shared" si="16"/>
        <v>2010.825</v>
      </c>
      <c r="E153" s="15">
        <f t="shared" si="17"/>
        <v>2867.5</v>
      </c>
      <c r="F153" s="15">
        <f t="shared" si="18"/>
        <v>3671.8249999999998</v>
      </c>
      <c r="G153" s="15">
        <f t="shared" si="19"/>
        <v>4423.7999999999993</v>
      </c>
      <c r="H153" s="15">
        <f t="shared" si="20"/>
        <v>-863.6</v>
      </c>
      <c r="I153" s="15">
        <f t="shared" si="21"/>
        <v>-1258.2</v>
      </c>
      <c r="J153" s="15">
        <f t="shared" si="22"/>
        <v>-1632</v>
      </c>
      <c r="K153" s="15">
        <f t="shared" si="23"/>
        <v>-1988</v>
      </c>
      <c r="L153" s="15">
        <f t="shared" si="24"/>
        <v>-2329.1999999999998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2" customHeight="1">
      <c r="B154" s="15">
        <v>1</v>
      </c>
      <c r="C154" s="15">
        <f t="shared" si="15"/>
        <v>1174.8</v>
      </c>
      <c r="D154" s="15">
        <f t="shared" si="16"/>
        <v>2154.6999999999998</v>
      </c>
      <c r="E154" s="15">
        <f t="shared" si="17"/>
        <v>3080</v>
      </c>
      <c r="F154" s="15">
        <f t="shared" si="18"/>
        <v>3950.7</v>
      </c>
      <c r="G154" s="15">
        <f t="shared" si="19"/>
        <v>4766.8</v>
      </c>
      <c r="H154" s="15">
        <f t="shared" si="20"/>
        <v>-907.6</v>
      </c>
      <c r="I154" s="15">
        <f t="shared" si="21"/>
        <v>-1321.2000000000003</v>
      </c>
      <c r="J154" s="15">
        <f t="shared" si="22"/>
        <v>-1712</v>
      </c>
      <c r="K154" s="15">
        <f t="shared" si="23"/>
        <v>-2083</v>
      </c>
      <c r="L154" s="15">
        <f t="shared" si="24"/>
        <v>-2437.1999999999998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>
      <c r="B161" s="30" t="s">
        <v>80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63</v>
      </c>
      <c r="C164" t="s">
        <v>64</v>
      </c>
      <c r="D164" t="s">
        <v>65</v>
      </c>
      <c r="E164" t="s">
        <v>66</v>
      </c>
      <c r="F164" t="s">
        <v>21</v>
      </c>
      <c r="G164" t="s">
        <v>81</v>
      </c>
      <c r="H164" t="s">
        <v>67</v>
      </c>
      <c r="I164" t="s">
        <v>57</v>
      </c>
      <c r="J164" t="s">
        <v>68</v>
      </c>
      <c r="K164" t="s">
        <v>82</v>
      </c>
      <c r="L164" t="s">
        <v>69</v>
      </c>
      <c r="M164" t="s">
        <v>28</v>
      </c>
      <c r="N164" t="s">
        <v>29</v>
      </c>
      <c r="O164" t="s">
        <v>70</v>
      </c>
      <c r="P164" t="s">
        <v>60</v>
      </c>
      <c r="Q164" t="s">
        <v>71</v>
      </c>
      <c r="R164" t="s">
        <v>72</v>
      </c>
      <c r="S164" t="s">
        <v>73</v>
      </c>
      <c r="T164" t="s">
        <v>74</v>
      </c>
      <c r="U164" t="s">
        <v>75</v>
      </c>
      <c r="V164" t="s">
        <v>76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2500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</v>
      </c>
      <c r="I165">
        <f>F165*H165</f>
        <v>2250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2000</v>
      </c>
      <c r="K165">
        <f>IF(Calculator!$C$4="Type-B",Parameters!$L$14,INDEX(Parameters!$D$14:$H$14,1,R165)+(INDEX(Parameters!$D$14:$H$14,1,R165+1)-INDEX(Parameters!$D$14:$H$14,1,R165))*U165)</f>
        <v>0.6</v>
      </c>
      <c r="L165">
        <f>I165+J165</f>
        <v>4250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0.28000000000000003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</v>
      </c>
      <c r="P165">
        <f>M165*O165</f>
        <v>1600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2026-10-03T17:49:33Z</dcterms:modified>
</cp:coreProperties>
</file>