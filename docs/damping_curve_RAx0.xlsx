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damping-rx-sync-20261026\native\"/>
    </mc:Choice>
  </mc:AlternateContent>
  <xr:revisionPtr revIDLastSave="0" documentId="13_ncr:1_{4ACEAC72-8851-44CF-AEBC-70E45295771A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<sst xmlns="http://schemas.openxmlformats.org/spreadsheetml/2006/main" count="231" uniqueCount="99">
  <si>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</si>
  <si>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</si>
  <si>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</si>
  <si>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</si>
  <si>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</si>
  <si>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</si>
  <si>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</si>
  <si>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</si>
  <si>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</si>
  <si>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</si>
  <si>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</si>
  <si>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</si>
  <si>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</si>
  <si>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</si>
  <si>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</si>
  <si>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</si>
  <si>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</si>
  <si>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</si>
  <si>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</si>
  <si>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</si>
  <si>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</si>
  <si>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</si>
  <si>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</si>
  <si>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</si>
  <si>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</si>
  <si>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</si>
  <si>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</si>
  <si>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</si>
  <si>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</si>
  <si>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</si>
  <si>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</si>
  <si>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</si>
  <si>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</si>
  <si>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</si>
  <si>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</si>
  <si>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</si>
  <si>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</si>
  <si>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</si>
  <si>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</si>
  <si>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</si>
  <si>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</si>
  <si>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</si>
  <si>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</si>
  <si>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</si>
  <si>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</si>
  <si>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</si>
  <si>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RAx0 · Damping Calculator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</si>
  <si>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</si>
  <si>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</si>
  <si>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</si>
  <si>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</si>
  <si>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</si>
  <si>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</si>
  <si>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</si>
  <si>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</si>
  <si>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</si>
  <si>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</si>
  <si>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</si>
  <si>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</si>
  <si>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</si>
  <si>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</si>
  <si>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</si>
  <si>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</si>
  <si>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</si>
  <si>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</si>
  <si>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</si>
  <si>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</si>
  <si>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</si>
  <si>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</si>
  <si>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</si>
  <si>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</si>
  <si>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</si>
  <si>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</si>
  <si>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</si>
  <si>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</si>
  <si>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</si>
  <si>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7" type="noConversion"/>
  </si>
  <si>
    <t>低速压缩 · c</t>
    <phoneticPr fontId="7" type="noConversion"/>
  </si>
  <si>
    <t>高速压缩 · C</t>
    <phoneticPr fontId="7" type="noConversion"/>
  </si>
  <si>
    <t>回弹 · R</t>
    <phoneticPr fontId="7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</si>
  <si>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7" type="noConversion"/>
  </si>
  <si>
    <t>RA</t>
    <phoneticPr fontId="7" type="noConversion"/>
  </si>
  <si>
    <t>活塞行程</t>
    <phoneticPr fontId="7" type="noConversion"/>
  </si>
  <si>
    <t>有</t>
    <phoneticPr fontId="7" type="noConversion"/>
  </si>
  <si>
    <t>CTM Racing · RA · Damper Catalog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</si>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</sst>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26" fillId="15" borderId="16" xfId="0" applyFont="1" applyFill="1" applyBorder="1" applyAlignment="1">
      <alignment horizontal="left" vertical="center"/>
    </xf>
  </cellStyleXfs>
  <cellXfs count="98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14" fillId="2" borderId="2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2" borderId="6" xfId="1" applyFont="1" applyFill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9" fillId="8" borderId="9" xfId="0" applyFont="1" applyFill="1" applyBorder="1" applyAlignment="1">
      <alignment horizontal="left" vertical="center"/>
    </xf>
    <xf numFmtId="49" fontId="20" fillId="9" borderId="10" xfId="0" applyNumberFormat="1" applyFont="1" applyFill="1" applyBorder="1" applyAlignment="1">
      <alignment horizontal="left" vertical="center"/>
    </xf>
    <xf numFmtId="0" fontId="21" fillId="10" borderId="11" xfId="0" applyFont="1" applyFill="1" applyBorder="1" applyAlignment="1">
      <alignment horizontal="left" vertical="center"/>
    </xf>
    <xf numFmtId="0" fontId="24" fillId="13" borderId="14" xfId="0" applyFont="1" applyFill="1" applyBorder="1" applyAlignment="1">
      <alignment horizontal="left" vertical="center"/>
    </xf>
    <xf numFmtId="1" fontId="25" fillId="14" borderId="15" xfId="0" applyNumberFormat="1" applyFont="1" applyFill="1" applyBorder="1" applyAlignment="1">
      <alignment horizontal="right" vertical="center"/>
    </xf>
    <xf numFmtId="2" fontId="30" fillId="19" borderId="20" xfId="0" applyNumberFormat="1" applyFont="1" applyFill="1" applyBorder="1" applyAlignment="1">
      <alignment horizontal="right" vertical="center"/>
    </xf>
    <xf numFmtId="0" fontId="31" fillId="20" borderId="21" xfId="0" applyFont="1" applyFill="1" applyBorder="1" applyAlignment="1">
      <alignment horizontal="right" vertical="center"/>
    </xf>
    <xf numFmtId="0" fontId="32" fillId="21" borderId="22" xfId="0" applyFont="1" applyFill="1" applyBorder="1" applyAlignment="1">
      <alignment horizontal="left" vertical="center"/>
    </xf>
    <xf numFmtId="0" fontId="33" fillId="22" borderId="23" xfId="0" applyFont="1" applyFill="1" applyBorder="1" applyAlignment="1">
      <alignment horizontal="right" vertical="center"/>
    </xf>
    <xf numFmtId="2" fontId="36" fillId="25" borderId="26" xfId="0" applyNumberFormat="1" applyFont="1" applyFill="1" applyBorder="1" applyAlignment="1">
      <alignment horizontal="right" vertical="center"/>
    </xf>
    <xf numFmtId="2" fontId="38" fillId="27" borderId="28" xfId="0" applyNumberFormat="1" applyFont="1" applyFill="1" applyBorder="1" applyAlignment="1">
      <alignment horizontal="right" vertical="center"/>
    </xf>
    <xf numFmtId="0" fontId="40" fillId="29" borderId="30" xfId="0" applyFont="1" applyFill="1" applyBorder="1" applyAlignment="1">
      <alignment horizontal="right" vertical="center"/>
    </xf>
    <xf numFmtId="176" fontId="41" fillId="30" borderId="31" xfId="0" applyNumberFormat="1" applyFont="1" applyFill="1" applyBorder="1" applyAlignment="1">
      <alignment horizontal="right" vertical="center"/>
    </xf>
    <xf numFmtId="176" fontId="42" fillId="31" borderId="32" xfId="0" applyNumberFormat="1" applyFont="1" applyFill="1" applyBorder="1" applyAlignment="1">
      <alignment horizontal="right" vertical="center"/>
    </xf>
    <xf numFmtId="0" fontId="47" fillId="36" borderId="37" xfId="0" applyFont="1" applyFill="1" applyBorder="1" applyAlignment="1">
      <alignment horizontal="center" vertical="center" wrapText="1"/>
    </xf>
    <xf numFmtId="9" fontId="48" fillId="37" borderId="38" xfId="0" applyNumberFormat="1" applyFont="1" applyFill="1" applyBorder="1" applyAlignment="1">
      <alignment horizontal="center" vertical="center" wrapText="1"/>
    </xf>
    <xf numFmtId="1" fontId="49" fillId="38" borderId="39" xfId="0" applyNumberFormat="1" applyFont="1" applyFill="1" applyBorder="1" applyAlignment="1">
      <alignment horizontal="right" vertical="center"/>
    </xf>
    <xf numFmtId="176" fontId="50" fillId="39" borderId="40" xfId="0" applyNumberFormat="1" applyFont="1" applyFill="1" applyBorder="1" applyAlignment="1">
      <alignment horizontal="right" vertical="center"/>
    </xf>
    <xf numFmtId="1" fontId="51" fillId="40" borderId="41" xfId="0" applyNumberFormat="1" applyFont="1" applyFill="1" applyBorder="1" applyAlignment="1">
      <alignment horizontal="right" vertical="center"/>
    </xf>
    <xf numFmtId="176" fontId="52" fillId="41" borderId="42" xfId="0" applyNumberFormat="1" applyFont="1" applyFill="1" applyBorder="1" applyAlignment="1">
      <alignment horizontal="right" vertical="center"/>
    </xf>
    <xf numFmtId="0" fontId="53" fillId="42" borderId="43" xfId="0" applyFont="1" applyFill="1" applyBorder="1" applyAlignment="1">
      <alignment horizontal="center" vertical="center" wrapText="1"/>
    </xf>
    <xf numFmtId="0" fontId="61" fillId="50" borderId="51" xfId="0" applyFont="1" applyFill="1" applyBorder="1" applyAlignment="1">
      <alignment horizontal="left" vertical="center"/>
    </xf>
    <xf numFmtId="0" fontId="62" fillId="51" borderId="52" xfId="0" applyFont="1" applyFill="1" applyBorder="1" applyAlignment="1">
      <alignment horizontal="center" vertical="center" wrapText="1"/>
    </xf>
    <xf numFmtId="0" fontId="63" fillId="52" borderId="53" xfId="0" applyFont="1" applyFill="1" applyBorder="1" applyAlignment="1">
      <alignment horizontal="center" vertical="center" wrapText="1"/>
    </xf>
    <xf numFmtId="0" fontId="64" fillId="53" borderId="54" xfId="0" applyFont="1" applyFill="1" applyBorder="1" applyAlignment="1">
      <alignment horizontal="center" vertical="center" wrapText="1"/>
    </xf>
    <xf numFmtId="0" fontId="65" fillId="54" borderId="55" xfId="0" applyFont="1" applyFill="1" applyBorder="1" applyAlignment="1">
      <alignment horizontal="center" vertical="center" wrapText="1"/>
    </xf>
    <xf numFmtId="0" fontId="66" fillId="55" borderId="56" xfId="0" applyFont="1" applyFill="1" applyBorder="1" applyAlignment="1">
      <alignment horizontal="right" vertical="center"/>
    </xf>
    <xf numFmtId="0" fontId="67" fillId="56" borderId="57" xfId="0" applyFont="1" applyFill="1" applyBorder="1" applyAlignment="1">
      <alignment horizontal="right" vertical="center"/>
    </xf>
    <xf numFmtId="0" fontId="68" fillId="57" borderId="58" xfId="0" applyFont="1" applyFill="1" applyBorder="1" applyAlignment="1">
      <alignment horizontal="right" vertical="center"/>
    </xf>
    <xf numFmtId="0" fontId="69" fillId="58" borderId="59" xfId="0" applyFont="1" applyFill="1" applyBorder="1" applyAlignment="1">
      <alignment horizontal="right" vertical="center"/>
    </xf>
    <xf numFmtId="0" fontId="70" fillId="59" borderId="60" xfId="0" applyFont="1" applyFill="1" applyBorder="1" applyAlignment="1">
      <alignment horizontal="center" vertical="center" wrapText="1"/>
    </xf>
    <xf numFmtId="0" fontId="71" fillId="60" borderId="61" xfId="0" applyFont="1" applyFill="1" applyBorder="1" applyAlignment="1">
      <alignment horizontal="center" vertical="center" wrapText="1"/>
    </xf>
    <xf numFmtId="2" fontId="72" fillId="61" borderId="62" xfId="0" applyNumberFormat="1" applyFont="1" applyFill="1" applyBorder="1" applyAlignment="1">
      <alignment horizontal="right" vertical="center"/>
    </xf>
    <xf numFmtId="2" fontId="73" fillId="62" borderId="63" xfId="0" applyNumberFormat="1" applyFont="1" applyFill="1" applyBorder="1" applyAlignment="1">
      <alignment horizontal="right" vertical="center"/>
    </xf>
    <xf numFmtId="0" fontId="74" fillId="63" borderId="64" xfId="0" applyFont="1" applyFill="1" applyBorder="1" applyAlignment="1">
      <alignment horizontal="center" vertical="center" wrapText="1"/>
    </xf>
    <xf numFmtId="0" fontId="75" fillId="64" borderId="65" xfId="0" applyFont="1" applyFill="1" applyBorder="1" applyAlignment="1">
      <alignment horizontal="center" vertical="center" wrapText="1"/>
    </xf>
    <xf numFmtId="2" fontId="76" fillId="65" borderId="66" xfId="0" applyNumberFormat="1" applyFont="1" applyFill="1" applyBorder="1" applyAlignment="1">
      <alignment horizontal="right" vertical="center"/>
    </xf>
    <xf numFmtId="2" fontId="77" fillId="66" borderId="67" xfId="0" applyNumberFormat="1" applyFont="1" applyFill="1" applyBorder="1" applyAlignment="1">
      <alignment horizontal="right" vertical="center"/>
    </xf>
    <xf numFmtId="0" fontId="79" fillId="68" borderId="69" xfId="0" applyFont="1" applyFill="1" applyBorder="1" applyAlignment="1">
      <alignment horizontal="center" vertical="center" wrapText="1"/>
    </xf>
    <xf numFmtId="0" fontId="80" fillId="69" borderId="70" xfId="0" applyFont="1" applyFill="1" applyBorder="1" applyAlignment="1">
      <alignment horizontal="center" vertical="center" wrapText="1"/>
    </xf>
    <xf numFmtId="0" fontId="81" fillId="70" borderId="71" xfId="0" applyFont="1" applyFill="1" applyBorder="1" applyAlignment="1">
      <alignment horizontal="right" vertical="center"/>
    </xf>
    <xf numFmtId="0" fontId="82" fillId="71" borderId="72" xfId="0" applyFont="1" applyFill="1" applyBorder="1" applyAlignment="1">
      <alignment vertical="center"/>
    </xf>
    <xf numFmtId="0" fontId="37" fillId="26" borderId="27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8" fillId="7" borderId="8" xfId="0" applyFont="1" applyFill="1" applyBorder="1" applyAlignment="1">
      <alignment horizontal="left" vertical="center"/>
    </xf>
    <xf numFmtId="0" fontId="45" fillId="34" borderId="35" xfId="0" applyFont="1" applyFill="1" applyBorder="1" applyAlignment="1">
      <alignment horizontal="left" vertical="center"/>
    </xf>
    <xf numFmtId="0" fontId="46" fillId="35" borderId="36" xfId="0" applyFont="1" applyFill="1" applyBorder="1" applyAlignment="1">
      <alignment horizontal="left" vertical="center"/>
    </xf>
    <xf numFmtId="0" fontId="23" fillId="12" borderId="13" xfId="0" applyFont="1" applyFill="1" applyBorder="1" applyAlignment="1">
      <alignment horizontal="left" vertical="center" wrapText="1"/>
    </xf>
    <xf numFmtId="0" fontId="22" fillId="11" borderId="12" xfId="0" applyFont="1" applyFill="1" applyBorder="1" applyAlignment="1">
      <alignment horizontal="left" vertical="center" wrapText="1"/>
    </xf>
    <xf numFmtId="0" fontId="39" fillId="28" borderId="29" xfId="0" applyFont="1" applyFill="1" applyBorder="1" applyAlignment="1">
      <alignment horizontal="left" vertical="center"/>
    </xf>
    <xf numFmtId="0" fontId="35" fillId="24" borderId="25" xfId="0" applyFont="1" applyFill="1" applyBorder="1" applyAlignment="1">
      <alignment vertical="center"/>
    </xf>
    <xf numFmtId="0" fontId="27" fillId="16" borderId="17" xfId="0" applyFont="1" applyFill="1" applyBorder="1" applyAlignment="1">
      <alignment horizontal="left" vertical="center"/>
    </xf>
    <xf numFmtId="0" fontId="54" fillId="43" borderId="44" xfId="0" applyFont="1" applyFill="1" applyBorder="1" applyAlignment="1">
      <alignment horizontal="left" vertical="center"/>
    </xf>
    <xf numFmtId="0" fontId="55" fillId="44" borderId="45" xfId="0" applyFont="1" applyFill="1" applyBorder="1" applyAlignment="1">
      <alignment horizontal="left" vertical="center"/>
    </xf>
    <xf numFmtId="0" fontId="56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7" fillId="46" borderId="47" xfId="0" applyFont="1" applyFill="1" applyBorder="1" applyAlignment="1">
      <alignment horizontal="left" vertical="center"/>
    </xf>
    <xf numFmtId="0" fontId="58" fillId="47" borderId="48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2" fontId="28" fillId="17" borderId="18" xfId="0" applyNumberFormat="1" applyFont="1" applyFill="1" applyBorder="1" applyAlignment="1">
      <alignment horizontal="right" vertical="center"/>
    </xf>
    <xf numFmtId="2" fontId="29" fillId="18" borderId="19" xfId="0" applyNumberFormat="1" applyFont="1" applyFill="1" applyBorder="1" applyAlignment="1">
      <alignment horizontal="right" vertical="center"/>
    </xf>
    <xf numFmtId="0" fontId="34" fillId="23" borderId="24" xfId="0" applyFont="1" applyFill="1" applyBorder="1" applyAlignment="1">
      <alignment horizontal="left" vertical="center"/>
    </xf>
    <xf numFmtId="0" fontId="43" fillId="32" borderId="33" xfId="0" applyFont="1" applyFill="1" applyBorder="1" applyAlignment="1">
      <alignment horizontal="left" vertical="center"/>
    </xf>
    <xf numFmtId="0" fontId="44" fillId="33" borderId="34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59" fillId="48" borderId="49" xfId="0" applyFont="1" applyFill="1" applyBorder="1" applyAlignment="1">
      <alignment horizontal="left" vertical="center" wrapText="1"/>
    </xf>
    <xf numFmtId="0" fontId="60" fillId="49" borderId="50" xfId="0" applyFont="1" applyFill="1" applyBorder="1" applyAlignment="1">
      <alignment horizontal="left" vertical="center" wrapText="1"/>
    </xf>
    <xf numFmtId="0" fontId="78" fillId="67" borderId="68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85" t="s">
        <v>84</v>
      </c>
      <c r="C2" s="86"/>
      <c r="D2" s="86"/>
      <c r="E2" s="86"/>
      <c r="F2" s="86"/>
      <c r="G2" s="86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7"/>
      <c r="C4" s="6"/>
      <c r="D4" s="9" t="s">
        <v>62</v>
      </c>
      <c r="E4" s="10" t="s">
        <v>61</v>
      </c>
      <c r="F4" s="10" t="s">
        <v>63</v>
      </c>
      <c r="G4" s="11" t="s">
        <v>64</v>
      </c>
      <c r="H4" s="6"/>
    </row>
    <row r="5" spans="1:8" ht="31" customHeight="1">
      <c r="A5" s="6"/>
      <c r="B5" s="7"/>
      <c r="C5" s="6"/>
      <c r="D5" s="19" t="s">
        <v>82</v>
      </c>
      <c r="E5" s="22" t="s">
        <v>85</v>
      </c>
      <c r="F5" s="22" t="s">
        <v>85</v>
      </c>
      <c r="G5" s="22" t="s">
        <v>86</v>
      </c>
      <c r="H5" s="6"/>
    </row>
    <row r="6" spans="1:8" ht="31" customHeight="1">
      <c r="A6" s="6"/>
      <c r="B6" s="87" t="s">
        <v>81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87"/>
      <c r="C7" s="6"/>
      <c r="D7" s="19" t="s">
        <v>77</v>
      </c>
      <c r="E7" s="15">
        <v>24</v>
      </c>
      <c r="F7" s="15">
        <v>24</v>
      </c>
      <c r="G7" s="15">
        <v>24</v>
      </c>
      <c r="H7" s="6"/>
    </row>
    <row r="8" spans="1:8" ht="31" customHeight="1">
      <c r="A8" s="6"/>
      <c r="B8" s="23" t="s">
        <v>65</v>
      </c>
      <c r="C8" s="6"/>
      <c r="D8" s="18" t="s">
        <v>78</v>
      </c>
      <c r="E8" s="16">
        <v>10</v>
      </c>
      <c r="F8" s="16">
        <v>20</v>
      </c>
      <c r="G8" s="16">
        <v>20</v>
      </c>
      <c r="H8" s="6"/>
    </row>
    <row r="9" spans="1:8" ht="31" customHeight="1">
      <c r="A9" s="6"/>
      <c r="B9" s="17" t="s">
        <v>76</v>
      </c>
      <c r="C9" s="6"/>
      <c r="D9" s="19" t="s">
        <v>79</v>
      </c>
      <c r="E9" s="15">
        <v>40</v>
      </c>
      <c r="F9" s="15">
        <v>60</v>
      </c>
      <c r="G9" s="15">
        <v>40</v>
      </c>
      <c r="H9" s="6"/>
    </row>
    <row r="10" spans="1:8" ht="31" customHeight="1">
      <c r="A10" s="6"/>
      <c r="B10" s="8"/>
      <c r="C10" s="6"/>
      <c r="D10" s="13" t="s">
        <v>69</v>
      </c>
      <c r="E10" s="20"/>
      <c r="F10" s="14" t="s">
        <v>70</v>
      </c>
      <c r="G10" s="14" t="s">
        <v>71</v>
      </c>
      <c r="H10" s="6"/>
    </row>
    <row r="11" spans="1:8" ht="31" customHeight="1">
      <c r="A11" s="6"/>
      <c r="B11" s="8"/>
      <c r="C11" s="6"/>
      <c r="D11" s="12" t="s">
        <v>72</v>
      </c>
      <c r="E11" s="21"/>
      <c r="F11" s="22" t="s">
        <v>83</v>
      </c>
      <c r="G11" s="21"/>
      <c r="H11" s="6"/>
    </row>
    <row r="12" spans="1:8" ht="31" customHeight="1">
      <c r="A12" s="6"/>
      <c r="B12" s="8"/>
      <c r="C12" s="6"/>
      <c r="D12" s="13" t="s">
        <v>73</v>
      </c>
      <c r="E12" s="14" t="s">
        <v>74</v>
      </c>
      <c r="F12" s="14" t="s">
        <v>74</v>
      </c>
      <c r="G12" s="14" t="s">
        <v>74</v>
      </c>
      <c r="H12" s="6"/>
    </row>
    <row r="13" spans="1:8" ht="31" customHeight="1">
      <c r="A13" s="6"/>
      <c r="B13" s="8"/>
      <c r="C13" s="6"/>
      <c r="D13" s="12" t="s">
        <v>75</v>
      </c>
      <c r="E13" s="21"/>
      <c r="F13" s="22" t="s">
        <v>80</v>
      </c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4"/>
      <c r="E15" s="84"/>
      <c r="F15" s="84"/>
      <c r="G15" s="84"/>
      <c r="H15" s="6"/>
    </row>
    <row r="16" spans="1:8" ht="22" customHeight="1">
      <c r="A16" s="6"/>
      <c r="B16" s="6"/>
      <c r="C16" s="6"/>
      <c r="D16" s="84"/>
      <c r="E16" s="84"/>
      <c r="F16" s="84"/>
      <c r="G16" s="84"/>
      <c r="H16" s="6"/>
    </row>
    <row r="17" spans="1:8" ht="22" customHeight="1">
      <c r="A17" s="6"/>
      <c r="B17" s="6"/>
      <c r="C17" s="6"/>
      <c r="D17" s="68"/>
      <c r="E17" s="84"/>
      <c r="F17" s="84"/>
      <c r="G17" s="84"/>
      <c r="H17" s="6"/>
    </row>
    <row r="18" spans="1:8" ht="22" customHeight="1">
      <c r="A18" s="6"/>
      <c r="B18" s="6"/>
      <c r="C18" s="6"/>
      <c r="D18" s="84"/>
      <c r="E18" s="84"/>
      <c r="F18" s="84"/>
      <c r="G18" s="84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6">
    <mergeCell ref="D17:G17"/>
    <mergeCell ref="D18:G18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98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7" t="s">
        <v>59</v>
      </c>
      <c r="C6" s="26" t="s">
        <v>61</v>
      </c>
      <c r="D6" s="1"/>
      <c r="E6" s="1"/>
      <c r="F6" s="73" t="s">
        <v>18</v>
      </c>
      <c r="G6" s="72"/>
      <c r="H6" s="72"/>
      <c r="I6" s="72"/>
      <c r="J6" s="72"/>
      <c r="K6" s="1"/>
      <c r="L6" s="1"/>
      <c r="M6" s="1"/>
      <c r="N6" s="1"/>
      <c r="O6" s="1"/>
    </row>
    <row r="7" spans="1:15" ht="28" customHeight="1">
      <c r="A7" s="1"/>
      <c r="B7" s="28" t="s">
        <v>7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5" t="s">
        <v>9</v>
      </c>
      <c r="C8" s="29">
        <v>-5</v>
      </c>
      <c r="D8" s="1"/>
      <c r="E8" s="1"/>
      <c r="F8" s="1" t="s">
        <v>19</v>
      </c>
      <c r="G8" s="76"/>
      <c r="H8" s="76"/>
      <c r="I8" s="89">
        <f>IF(C18="OK",Samples!F165*MIN(C10,Samples!G165)+Samples!I165*MAX(0,C10-Samples!G165)+Samples!J165*MAX(0,C10-Samples!K165),"检查输入")</f>
        <v>1736.47</v>
      </c>
      <c r="J8" s="90"/>
      <c r="K8" s="1"/>
      <c r="L8" s="1"/>
      <c r="M8" s="1"/>
      <c r="N8" s="1"/>
      <c r="O8" s="1"/>
    </row>
    <row r="9" spans="1:15" ht="28" customHeight="1">
      <c r="A9" s="1"/>
      <c r="B9" s="28" t="s">
        <v>20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7" t="s">
        <v>21</v>
      </c>
      <c r="C10" s="30">
        <v>0.45</v>
      </c>
      <c r="D10" s="1"/>
      <c r="E10" s="1"/>
      <c r="F10" s="1" t="s">
        <v>22</v>
      </c>
      <c r="G10" s="76"/>
      <c r="H10" s="76"/>
      <c r="I10" s="89">
        <f>IF(C18="OK",Samples!M165*MIN(C10,Samples!N165)+Samples!P165*MAX(0,C10-Samples!N165),"检查输入")</f>
        <v>1519.2</v>
      </c>
      <c r="J10" s="90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7" t="s">
        <v>23</v>
      </c>
      <c r="C13" s="31">
        <f>Parameters!D23</f>
        <v>24</v>
      </c>
      <c r="D13" s="1"/>
      <c r="E13" s="1"/>
      <c r="F13" s="73" t="s">
        <v>47</v>
      </c>
      <c r="G13" s="72"/>
      <c r="H13" s="72"/>
      <c r="I13" s="72"/>
      <c r="J13" s="72"/>
      <c r="K13" s="1"/>
      <c r="L13" s="1"/>
      <c r="M13" s="1"/>
      <c r="N13" s="1"/>
      <c r="O13" s="1"/>
    </row>
    <row r="14" spans="1:15" ht="28" customHeight="1">
      <c r="A14" s="1"/>
      <c r="B14" s="32" t="s">
        <v>24</v>
      </c>
      <c r="C14" s="33">
        <f>IF(C6="RA60",Parameters!D27,Parameters!D24)</f>
        <v>10</v>
      </c>
      <c r="D14" s="1"/>
      <c r="E14" s="1"/>
      <c r="F14" s="91" t="s">
        <v>10</v>
      </c>
      <c r="G14" s="75"/>
      <c r="H14" s="75"/>
      <c r="I14" s="34">
        <f>Samples!F165</f>
        <v>3650</v>
      </c>
      <c r="J14" s="25" t="s">
        <v>11</v>
      </c>
      <c r="K14" s="1"/>
      <c r="L14" s="1"/>
      <c r="M14" s="1"/>
      <c r="N14" s="1"/>
      <c r="O14" s="1"/>
    </row>
    <row r="15" spans="1:15" ht="28" customHeight="1">
      <c r="A15" s="1"/>
      <c r="B15" s="27" t="s">
        <v>25</v>
      </c>
      <c r="C15" s="31">
        <f>IF(C6="RA80",Parameters!D26,Parameters!D25)</f>
        <v>40</v>
      </c>
      <c r="D15" s="1"/>
      <c r="E15" s="1"/>
      <c r="F15" s="76" t="s">
        <v>26</v>
      </c>
      <c r="G15" s="67"/>
      <c r="H15" s="67"/>
      <c r="I15" s="35">
        <f>Samples!I165</f>
        <v>3431</v>
      </c>
      <c r="J15" s="28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4" t="s">
        <v>48</v>
      </c>
      <c r="G16" s="75"/>
      <c r="H16" s="75"/>
      <c r="I16" s="34">
        <f>Samples!J165</f>
        <v>1750</v>
      </c>
      <c r="J16" s="25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">
        <v>27</v>
      </c>
      <c r="G17" s="67"/>
      <c r="H17" s="67"/>
      <c r="I17" s="35">
        <f>Samples!L165</f>
        <v>5181</v>
      </c>
      <c r="J17" s="28" t="s">
        <v>11</v>
      </c>
      <c r="K17" s="1"/>
      <c r="L17" s="1"/>
      <c r="M17" s="1"/>
      <c r="N17" s="1"/>
      <c r="O17" s="1"/>
    </row>
    <row r="18" spans="1:15" ht="28" customHeight="1">
      <c r="A18" s="1"/>
      <c r="B18" s="27" t="s">
        <v>28</v>
      </c>
      <c r="C18" s="3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91" t="s">
        <v>15</v>
      </c>
      <c r="G19" s="75"/>
      <c r="H19" s="75"/>
      <c r="I19" s="34">
        <f>Samples!M165</f>
        <v>3600</v>
      </c>
      <c r="J19" s="25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6" t="s">
        <v>29</v>
      </c>
      <c r="G20" s="67"/>
      <c r="H20" s="67"/>
      <c r="I20" s="35">
        <f>Samples!P165</f>
        <v>3096</v>
      </c>
      <c r="J20" s="28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4" t="s">
        <v>44</v>
      </c>
      <c r="G22" s="75"/>
      <c r="H22" s="75"/>
      <c r="I22" s="37">
        <f>Samples!G165</f>
        <v>0.08</v>
      </c>
      <c r="J22" s="25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">
        <v>45</v>
      </c>
      <c r="G23" s="67"/>
      <c r="H23" s="67"/>
      <c r="I23" s="38">
        <f>Samples!K165</f>
        <v>0.35</v>
      </c>
      <c r="J23" s="28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91" t="s">
        <v>16</v>
      </c>
      <c r="G24" s="75"/>
      <c r="H24" s="75"/>
      <c r="I24" s="37">
        <f>Samples!N165</f>
        <v>0.25</v>
      </c>
      <c r="J24" s="25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92" t="s">
        <v>87</v>
      </c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61" zoomScaleNormal="75" workbookViewId="0">
      <pane ySplit="4" topLeftCell="A5" activePane="bottomLeft" state="frozen"/>
      <selection pane="bottomLeft" activeCell="C7" sqref="C7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2</v>
      </c>
      <c r="C6" s="29">
        <v>-10</v>
      </c>
      <c r="D6" s="1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64" zoomScaleNormal="79" workbookViewId="0">
      <pane ySplit="4" topLeftCell="A5" activePane="bottomLeft" state="frozen"/>
      <selection pane="bottomLeft" activeCell="C6" sqref="C6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3</v>
      </c>
      <c r="C6" s="29">
        <v>-12</v>
      </c>
      <c r="D6" s="1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57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77" zoomScaleNormal="83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58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88"/>
      <c r="F4" s="88"/>
      <c r="G4" s="88"/>
      <c r="H4" s="88"/>
      <c r="I4" s="88"/>
      <c r="J4" s="88"/>
      <c r="K4" s="88"/>
      <c r="L4" s="88"/>
      <c r="M4" s="8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tabSelected="1" zoomScale="115" zoomScaleNormal="115" workbookViewId="0">
      <pane ySplit="4" topLeftCell="A7" activePane="bottomLeft" state="frozen"/>
      <selection pane="bottomLeft" activeCell="N20" sqref="N20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8" t="s">
        <v>49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1"/>
    </row>
    <row r="3" spans="1:15" ht="24" customHeight="1">
      <c r="A3" s="1"/>
      <c r="B3" s="70" t="s">
        <v>87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2" t="s">
        <v>1</v>
      </c>
      <c r="E5" s="72"/>
      <c r="F5" s="72"/>
      <c r="G5" s="72"/>
      <c r="H5" s="72"/>
      <c r="I5" s="1"/>
      <c r="J5" s="72" t="s">
        <v>4</v>
      </c>
      <c r="K5" s="72"/>
      <c r="L5" s="72"/>
      <c r="M5" s="72"/>
      <c r="N5" s="72"/>
      <c r="O5" s="1"/>
    </row>
    <row r="6" spans="1:15" ht="30" customHeight="1">
      <c r="A6" s="1"/>
      <c r="B6" s="39" t="s">
        <v>5</v>
      </c>
      <c r="C6" s="39" t="s">
        <v>6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" customHeight="1">
      <c r="A7" s="1"/>
      <c r="B7" s="25" t="s">
        <v>7</v>
      </c>
      <c r="C7" s="27" t="s">
        <v>8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" customHeight="1">
      <c r="A8" s="1"/>
      <c r="B8" s="28" t="s">
        <v>9</v>
      </c>
      <c r="C8" s="32" t="s">
        <v>8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5" t="s">
        <v>10</v>
      </c>
      <c r="C10" s="25" t="s">
        <v>11</v>
      </c>
      <c r="D10" s="29">
        <v>1850</v>
      </c>
      <c r="E10" s="41">
        <f>(D10+F10)/2</f>
        <v>2750</v>
      </c>
      <c r="F10" s="29">
        <v>3650</v>
      </c>
      <c r="G10" s="41">
        <f>(F10+H10)/2</f>
        <v>4550</v>
      </c>
      <c r="H10" s="29">
        <v>5450</v>
      </c>
      <c r="I10" s="1"/>
      <c r="J10" s="29">
        <v>2400</v>
      </c>
      <c r="K10" s="41">
        <f>(J10+L10)/2</f>
        <v>3300</v>
      </c>
      <c r="L10" s="29">
        <v>4200</v>
      </c>
      <c r="M10" s="41">
        <f>(L10+N10)/2</f>
        <v>5100</v>
      </c>
      <c r="N10" s="29">
        <v>6000</v>
      </c>
      <c r="O10" s="1"/>
    </row>
    <row r="11" spans="1:15" ht="29" customHeight="1">
      <c r="A11" s="1"/>
      <c r="B11" s="32" t="s">
        <v>44</v>
      </c>
      <c r="C11" s="28" t="s">
        <v>12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" customHeight="1">
      <c r="A12" s="1"/>
      <c r="B12" s="25" t="s">
        <v>13</v>
      </c>
      <c r="C12" s="27" t="s">
        <v>14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" customHeight="1">
      <c r="A13" s="1"/>
      <c r="B13" s="32" t="s">
        <v>50</v>
      </c>
      <c r="C13" s="28" t="s">
        <v>11</v>
      </c>
      <c r="D13" s="29">
        <v>250</v>
      </c>
      <c r="E13" s="43">
        <f>(D13+F13)/2</f>
        <v>1000</v>
      </c>
      <c r="F13" s="29">
        <v>1750</v>
      </c>
      <c r="G13" s="43">
        <f>(F13+H13)/2</f>
        <v>2500</v>
      </c>
      <c r="H13" s="29">
        <v>3250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" customHeight="1">
      <c r="A14" s="1"/>
      <c r="B14" s="27" t="s">
        <v>45</v>
      </c>
      <c r="C14" s="25" t="s">
        <v>12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51</v>
      </c>
      <c r="C16" s="39" t="s">
        <v>8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" customHeight="1">
      <c r="A17" s="1"/>
      <c r="B17" s="25" t="s">
        <v>15</v>
      </c>
      <c r="C17" s="25" t="s">
        <v>11</v>
      </c>
      <c r="D17" s="29">
        <v>2100</v>
      </c>
      <c r="E17" s="41">
        <f>(D17+F17)/2</f>
        <v>2850</v>
      </c>
      <c r="F17" s="29">
        <v>3600</v>
      </c>
      <c r="G17" s="41">
        <f>(F17+H17)/2</f>
        <v>4350</v>
      </c>
      <c r="H17" s="29">
        <v>5100</v>
      </c>
      <c r="I17" s="1"/>
      <c r="J17" s="29">
        <v>3000</v>
      </c>
      <c r="K17" s="41">
        <f>(J17+L17)/2</f>
        <v>3750</v>
      </c>
      <c r="L17" s="29">
        <v>4500</v>
      </c>
      <c r="M17" s="41">
        <f>(L17+N17)/2</f>
        <v>5250</v>
      </c>
      <c r="N17" s="29">
        <v>6000</v>
      </c>
      <c r="O17" s="1"/>
    </row>
    <row r="18" spans="1:15" ht="29" customHeight="1">
      <c r="A18" s="1"/>
      <c r="B18" s="28" t="s">
        <v>16</v>
      </c>
      <c r="C18" s="28" t="s">
        <v>12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" customHeight="1">
      <c r="A19" s="1"/>
      <c r="B19" s="25" t="s">
        <v>17</v>
      </c>
      <c r="C19" s="27" t="s">
        <v>14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0.74</v>
      </c>
      <c r="K19" s="37">
        <f>(J19+L19)/2</f>
        <v>0.71</v>
      </c>
      <c r="L19" s="42">
        <v>0.68</v>
      </c>
      <c r="M19" s="37">
        <f>(L19+N19)/2</f>
        <v>0.65</v>
      </c>
      <c r="N19" s="42">
        <v>0.62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3" t="s">
        <v>52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1"/>
    </row>
    <row r="23" spans="1:15" ht="29" customHeight="1">
      <c r="A23" s="1"/>
      <c r="B23" s="74" t="s">
        <v>53</v>
      </c>
      <c r="C23" s="75"/>
      <c r="D23" s="31">
        <v>24</v>
      </c>
      <c r="E23" s="1"/>
      <c r="F23" s="77" t="s">
        <v>88</v>
      </c>
      <c r="G23" s="78"/>
      <c r="H23" s="78"/>
      <c r="I23" s="78"/>
      <c r="J23" s="78"/>
      <c r="K23" s="78"/>
      <c r="L23" s="78"/>
      <c r="M23" s="78"/>
      <c r="N23" s="78"/>
      <c r="O23" s="1"/>
    </row>
    <row r="24" spans="1:15" ht="29" customHeight="1">
      <c r="A24" s="1"/>
      <c r="B24" s="1" t="s">
        <v>89</v>
      </c>
      <c r="C24" s="67"/>
      <c r="D24" s="33">
        <v>20</v>
      </c>
      <c r="E24" s="1"/>
      <c r="F24" s="78"/>
      <c r="G24" s="78"/>
      <c r="H24" s="78"/>
      <c r="I24" s="78"/>
      <c r="J24" s="78"/>
      <c r="K24" s="78"/>
      <c r="L24" s="78"/>
      <c r="M24" s="78"/>
      <c r="N24" s="78"/>
      <c r="O24" s="1"/>
    </row>
    <row r="25" spans="1:15" ht="29" customHeight="1">
      <c r="A25" s="1"/>
      <c r="B25" s="74" t="s">
        <v>60</v>
      </c>
      <c r="C25" s="75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6" t="s">
        <v>54</v>
      </c>
      <c r="C26" s="67"/>
      <c r="D26" s="33">
        <v>60</v>
      </c>
      <c r="E26" s="1"/>
      <c r="F26" s="79" t="s">
        <v>90</v>
      </c>
      <c r="G26" s="71"/>
      <c r="H26" s="71"/>
      <c r="I26" s="71"/>
      <c r="J26" s="71"/>
      <c r="K26" s="71"/>
      <c r="L26" s="71"/>
      <c r="M26" s="71"/>
      <c r="N26" s="71"/>
      <c r="O26" s="1"/>
    </row>
    <row r="27" spans="1:15" ht="29" customHeight="1">
      <c r="A27" s="1"/>
      <c r="B27" s="1" t="s">
        <v>91</v>
      </c>
      <c r="C27" s="67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81" t="s">
        <v>92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1"/>
    </row>
    <row r="29" spans="1:15" ht="23.15" customHeight="1">
      <c r="A29" s="1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1"/>
    </row>
    <row r="30" spans="1:15" ht="31" customHeight="1">
      <c r="A30" s="1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1"/>
    </row>
    <row r="31" spans="1:15" ht="23.15" customHeight="1">
      <c r="A31" s="1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1"/>
    </row>
    <row r="32" spans="1:15" ht="23.15" customHeight="1">
      <c r="A32" s="1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1"/>
    </row>
    <row r="33" spans="1:15" ht="23.15" customHeight="1">
      <c r="A33" s="1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1"/>
    </row>
    <row r="34" spans="1:15" ht="23.15" customHeight="1">
      <c r="A34" s="1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1"/>
    </row>
    <row r="35" spans="1:15" ht="23.15" customHeight="1">
      <c r="A35" s="1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5" t="s">
        <v>93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Q1" s="96"/>
      <c r="R1" s="96"/>
      <c r="S1" s="96"/>
      <c r="T1" s="96"/>
      <c r="U1" s="96"/>
      <c r="V1" s="96"/>
    </row>
    <row r="2" spans="1:22" ht="22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7" t="s">
        <v>30</v>
      </c>
      <c r="C4" s="48" t="s">
        <v>31</v>
      </c>
      <c r="D4" s="48" t="s">
        <v>32</v>
      </c>
      <c r="E4" s="48" t="s">
        <v>33</v>
      </c>
      <c r="F4" s="48" t="s">
        <v>10</v>
      </c>
      <c r="G4" s="47" t="s">
        <v>44</v>
      </c>
      <c r="H4" s="47" t="s">
        <v>34</v>
      </c>
      <c r="I4" s="48" t="s">
        <v>26</v>
      </c>
      <c r="J4" s="48" t="s">
        <v>35</v>
      </c>
      <c r="K4" s="47" t="s">
        <v>45</v>
      </c>
      <c r="L4" s="47" t="s">
        <v>36</v>
      </c>
      <c r="M4" s="48" t="s">
        <v>15</v>
      </c>
      <c r="N4" s="48" t="s">
        <v>16</v>
      </c>
      <c r="O4" s="47" t="s">
        <v>37</v>
      </c>
      <c r="P4" s="49" t="s">
        <v>29</v>
      </c>
      <c r="Q4" s="50" t="s">
        <v>38</v>
      </c>
      <c r="R4" s="50" t="s">
        <v>39</v>
      </c>
      <c r="S4" s="50" t="s">
        <v>40</v>
      </c>
      <c r="T4" s="50" t="s">
        <v>41</v>
      </c>
      <c r="U4" s="50" t="s">
        <v>42</v>
      </c>
      <c r="V4" s="50" t="s">
        <v>43</v>
      </c>
    </row>
    <row r="5" spans="1:22" ht="2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1850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3600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1932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2667.5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4417.5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2536.5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3431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5181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3096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4140.5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5890.5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3610.5000000000005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4796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6546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4080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">
        <v>21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8">
        <v>0.05</v>
      </c>
      <c r="C15" s="58">
        <f t="shared" si="0"/>
        <v>92.5</v>
      </c>
      <c r="D15" s="58">
        <f t="shared" si="1"/>
        <v>137.5</v>
      </c>
      <c r="E15" s="58">
        <f t="shared" si="2"/>
        <v>182.5</v>
      </c>
      <c r="F15" s="58">
        <f t="shared" si="3"/>
        <v>227.5</v>
      </c>
      <c r="G15" s="58">
        <f t="shared" si="4"/>
        <v>272.5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7">
        <v>0.1</v>
      </c>
      <c r="C16" s="57">
        <f t="shared" si="0"/>
        <v>185</v>
      </c>
      <c r="D16" s="57">
        <f t="shared" si="1"/>
        <v>273.35000000000002</v>
      </c>
      <c r="E16" s="57">
        <f t="shared" si="2"/>
        <v>360.62</v>
      </c>
      <c r="F16" s="57">
        <f t="shared" si="3"/>
        <v>446.81</v>
      </c>
      <c r="G16" s="57">
        <f t="shared" si="4"/>
        <v>531.92000000000007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8">
        <v>0.15</v>
      </c>
      <c r="C17" s="58">
        <f t="shared" si="0"/>
        <v>277.5</v>
      </c>
      <c r="D17" s="58">
        <f t="shared" si="1"/>
        <v>406.72500000000002</v>
      </c>
      <c r="E17" s="58">
        <f t="shared" si="2"/>
        <v>532.16999999999996</v>
      </c>
      <c r="F17" s="58">
        <f t="shared" si="3"/>
        <v>653.83500000000004</v>
      </c>
      <c r="G17" s="58">
        <f t="shared" si="4"/>
        <v>771.72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7">
        <v>0.2</v>
      </c>
      <c r="C18" s="57">
        <f t="shared" si="0"/>
        <v>370</v>
      </c>
      <c r="D18" s="57">
        <f t="shared" si="1"/>
        <v>540.1</v>
      </c>
      <c r="E18" s="57">
        <f t="shared" si="2"/>
        <v>703.72</v>
      </c>
      <c r="F18" s="57">
        <f t="shared" si="3"/>
        <v>860.86</v>
      </c>
      <c r="G18" s="57">
        <f t="shared" si="4"/>
        <v>1011.5200000000001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8">
        <v>0.25</v>
      </c>
      <c r="C19" s="58">
        <f t="shared" si="0"/>
        <v>462.49999999999994</v>
      </c>
      <c r="D19" s="58">
        <f t="shared" si="1"/>
        <v>673.47499999999991</v>
      </c>
      <c r="E19" s="58">
        <f t="shared" si="2"/>
        <v>875.27</v>
      </c>
      <c r="F19" s="58">
        <f t="shared" si="3"/>
        <v>1067.885</v>
      </c>
      <c r="G19" s="58">
        <f t="shared" si="4"/>
        <v>1251.32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7">
        <v>0.3</v>
      </c>
      <c r="C20" s="57">
        <f t="shared" si="0"/>
        <v>555</v>
      </c>
      <c r="D20" s="57">
        <f t="shared" si="1"/>
        <v>806.84999999999991</v>
      </c>
      <c r="E20" s="57">
        <f t="shared" si="2"/>
        <v>1046.82</v>
      </c>
      <c r="F20" s="57">
        <f t="shared" si="3"/>
        <v>1274.9099999999999</v>
      </c>
      <c r="G20" s="57">
        <f t="shared" si="4"/>
        <v>1491.12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8">
        <v>0.35</v>
      </c>
      <c r="C21" s="58">
        <f t="shared" si="0"/>
        <v>647.5</v>
      </c>
      <c r="D21" s="58">
        <f t="shared" si="1"/>
        <v>940.22499999999991</v>
      </c>
      <c r="E21" s="58">
        <f t="shared" si="2"/>
        <v>1218.3699999999999</v>
      </c>
      <c r="F21" s="58">
        <f t="shared" si="3"/>
        <v>1481.9349999999999</v>
      </c>
      <c r="G21" s="58">
        <f t="shared" si="4"/>
        <v>1730.9199999999998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7">
        <v>0.4</v>
      </c>
      <c r="C22" s="57">
        <f t="shared" si="0"/>
        <v>827.50000000000011</v>
      </c>
      <c r="D22" s="57">
        <f t="shared" si="1"/>
        <v>1161.0999999999999</v>
      </c>
      <c r="E22" s="57">
        <f t="shared" si="2"/>
        <v>1477.42</v>
      </c>
      <c r="F22" s="57">
        <f t="shared" si="3"/>
        <v>1776.46</v>
      </c>
      <c r="G22" s="57">
        <f t="shared" si="4"/>
        <v>2058.2200000000003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8">
        <v>0.45</v>
      </c>
      <c r="C23" s="58">
        <f t="shared" si="0"/>
        <v>1007.5</v>
      </c>
      <c r="D23" s="58">
        <f t="shared" si="1"/>
        <v>1381.9749999999999</v>
      </c>
      <c r="E23" s="58">
        <f t="shared" si="2"/>
        <v>1736.47</v>
      </c>
      <c r="F23" s="58">
        <f t="shared" si="3"/>
        <v>2070.9850000000001</v>
      </c>
      <c r="G23" s="58">
        <f t="shared" si="4"/>
        <v>2385.52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7">
        <v>0.5</v>
      </c>
      <c r="C24" s="57">
        <f t="shared" si="0"/>
        <v>1187.5</v>
      </c>
      <c r="D24" s="57">
        <f t="shared" si="1"/>
        <v>1602.85</v>
      </c>
      <c r="E24" s="57">
        <f t="shared" si="2"/>
        <v>1995.52</v>
      </c>
      <c r="F24" s="57">
        <f t="shared" si="3"/>
        <v>2365.5100000000002</v>
      </c>
      <c r="G24" s="57">
        <f t="shared" si="4"/>
        <v>2712.8199999999997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8">
        <v>0.55000000000000004</v>
      </c>
      <c r="C25" s="58">
        <f t="shared" si="0"/>
        <v>1367.5</v>
      </c>
      <c r="D25" s="58">
        <f t="shared" si="1"/>
        <v>1823.7250000000004</v>
      </c>
      <c r="E25" s="58">
        <f t="shared" si="2"/>
        <v>2254.5700000000002</v>
      </c>
      <c r="F25" s="58">
        <f t="shared" si="3"/>
        <v>2660.0349999999999</v>
      </c>
      <c r="G25" s="58">
        <f t="shared" si="4"/>
        <v>3040.1200000000003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7">
        <v>0.6</v>
      </c>
      <c r="C26" s="57">
        <f t="shared" si="0"/>
        <v>1547.5</v>
      </c>
      <c r="D26" s="57">
        <f t="shared" si="1"/>
        <v>2044.6000000000001</v>
      </c>
      <c r="E26" s="57">
        <f t="shared" si="2"/>
        <v>2513.62</v>
      </c>
      <c r="F26" s="57">
        <f t="shared" si="3"/>
        <v>2954.56</v>
      </c>
      <c r="G26" s="57">
        <f t="shared" si="4"/>
        <v>3367.42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8">
        <v>0.65</v>
      </c>
      <c r="C27" s="58">
        <f t="shared" si="0"/>
        <v>1727.5000000000005</v>
      </c>
      <c r="D27" s="58">
        <f t="shared" si="1"/>
        <v>2265.4750000000004</v>
      </c>
      <c r="E27" s="58">
        <f t="shared" si="2"/>
        <v>2772.67</v>
      </c>
      <c r="F27" s="58">
        <f t="shared" si="3"/>
        <v>3249.085</v>
      </c>
      <c r="G27" s="58">
        <f t="shared" si="4"/>
        <v>3694.7200000000003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7">
        <v>0.7</v>
      </c>
      <c r="C28" s="57">
        <f t="shared" si="0"/>
        <v>1907.5</v>
      </c>
      <c r="D28" s="57">
        <f t="shared" si="1"/>
        <v>2486.35</v>
      </c>
      <c r="E28" s="57">
        <f t="shared" si="2"/>
        <v>3031.72</v>
      </c>
      <c r="F28" s="57">
        <f t="shared" si="3"/>
        <v>3543.61</v>
      </c>
      <c r="G28" s="57">
        <f t="shared" si="4"/>
        <v>4022.02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8">
        <v>0.75</v>
      </c>
      <c r="C29" s="58">
        <f t="shared" si="0"/>
        <v>2087.5</v>
      </c>
      <c r="D29" s="58">
        <f t="shared" si="1"/>
        <v>2707.2250000000004</v>
      </c>
      <c r="E29" s="58">
        <f t="shared" si="2"/>
        <v>3290.77</v>
      </c>
      <c r="F29" s="58">
        <f t="shared" si="3"/>
        <v>3838.1350000000002</v>
      </c>
      <c r="G29" s="58">
        <f t="shared" si="4"/>
        <v>4349.32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7">
        <v>0.8</v>
      </c>
      <c r="C30" s="57">
        <f t="shared" si="0"/>
        <v>2267.5000000000005</v>
      </c>
      <c r="D30" s="57">
        <f t="shared" si="1"/>
        <v>2928.1000000000004</v>
      </c>
      <c r="E30" s="57">
        <f t="shared" si="2"/>
        <v>3549.82</v>
      </c>
      <c r="F30" s="57">
        <f t="shared" si="3"/>
        <v>4132.6600000000008</v>
      </c>
      <c r="G30" s="57">
        <f t="shared" si="4"/>
        <v>4676.6200000000008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8">
        <v>0.85</v>
      </c>
      <c r="C31" s="58">
        <f t="shared" si="0"/>
        <v>2447.5</v>
      </c>
      <c r="D31" s="58">
        <f t="shared" si="1"/>
        <v>3148.9749999999999</v>
      </c>
      <c r="E31" s="58">
        <f t="shared" si="2"/>
        <v>3808.87</v>
      </c>
      <c r="F31" s="58">
        <f t="shared" si="3"/>
        <v>4427.1849999999995</v>
      </c>
      <c r="G31" s="58">
        <f t="shared" si="4"/>
        <v>5003.92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7">
        <v>0.9</v>
      </c>
      <c r="C32" s="57">
        <f t="shared" si="0"/>
        <v>2627.5000000000005</v>
      </c>
      <c r="D32" s="57">
        <f t="shared" si="1"/>
        <v>3369.8500000000004</v>
      </c>
      <c r="E32" s="57">
        <f t="shared" si="2"/>
        <v>4067.92</v>
      </c>
      <c r="F32" s="57">
        <f t="shared" si="3"/>
        <v>4721.71</v>
      </c>
      <c r="G32" s="57">
        <f t="shared" si="4"/>
        <v>5331.22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8">
        <v>0.95</v>
      </c>
      <c r="C33" s="58">
        <f t="shared" si="0"/>
        <v>2807.5</v>
      </c>
      <c r="D33" s="58">
        <f t="shared" si="1"/>
        <v>3590.7249999999999</v>
      </c>
      <c r="E33" s="58">
        <f t="shared" si="2"/>
        <v>4326.9699999999993</v>
      </c>
      <c r="F33" s="58">
        <f t="shared" si="3"/>
        <v>5016.2350000000006</v>
      </c>
      <c r="G33" s="58">
        <f t="shared" si="4"/>
        <v>5658.5199999999995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7">
        <v>1</v>
      </c>
      <c r="C34" s="57">
        <f t="shared" si="0"/>
        <v>2987.5</v>
      </c>
      <c r="D34" s="57">
        <f t="shared" si="1"/>
        <v>3811.6</v>
      </c>
      <c r="E34" s="57">
        <f t="shared" si="2"/>
        <v>4586.0200000000004</v>
      </c>
      <c r="F34" s="57">
        <f t="shared" si="3"/>
        <v>5310.76</v>
      </c>
      <c r="G34" s="57">
        <f t="shared" si="4"/>
        <v>5985.8200000000006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5" t="s">
        <v>94</v>
      </c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6"/>
      <c r="Q41" s="96"/>
      <c r="R41" s="96"/>
      <c r="S41" s="96"/>
      <c r="T41" s="96"/>
      <c r="U41" s="96"/>
      <c r="V41" s="96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50" t="s">
        <v>30</v>
      </c>
      <c r="C44" s="49" t="s">
        <v>31</v>
      </c>
      <c r="D44" s="49" t="s">
        <v>32</v>
      </c>
      <c r="E44" s="49" t="s">
        <v>33</v>
      </c>
      <c r="F44" s="49" t="s">
        <v>10</v>
      </c>
      <c r="G44" s="50" t="s">
        <v>44</v>
      </c>
      <c r="H44" s="50" t="s">
        <v>34</v>
      </c>
      <c r="I44" s="49" t="s">
        <v>26</v>
      </c>
      <c r="J44" s="49" t="s">
        <v>35</v>
      </c>
      <c r="K44" s="50" t="s">
        <v>45</v>
      </c>
      <c r="L44" s="50" t="s">
        <v>36</v>
      </c>
      <c r="M44" s="49" t="s">
        <v>15</v>
      </c>
      <c r="N44" s="49" t="s">
        <v>16</v>
      </c>
      <c r="O44" s="50" t="s">
        <v>37</v>
      </c>
      <c r="P44" s="49" t="s">
        <v>29</v>
      </c>
      <c r="Q44" s="50" t="s">
        <v>38</v>
      </c>
      <c r="R44" s="50" t="s">
        <v>39</v>
      </c>
      <c r="S44" s="50" t="s">
        <v>40</v>
      </c>
      <c r="T44" s="50" t="s">
        <v>41</v>
      </c>
      <c r="U44" s="50" t="s">
        <v>42</v>
      </c>
      <c r="V44" s="50" t="s">
        <v>43</v>
      </c>
    </row>
    <row r="45" spans="1:22" ht="2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3431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3681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1932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3431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4431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2536.5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3431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5181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3096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3431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5931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3610.5000000000005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3431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6681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4080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">
        <v>21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2">
        <v>0.05</v>
      </c>
      <c r="C55" s="62">
        <f t="shared" si="5"/>
        <v>182.5</v>
      </c>
      <c r="D55" s="62">
        <f t="shared" si="6"/>
        <v>182.5</v>
      </c>
      <c r="E55" s="62">
        <f t="shared" si="7"/>
        <v>182.5</v>
      </c>
      <c r="F55" s="62">
        <f t="shared" si="8"/>
        <v>182.5</v>
      </c>
      <c r="G55" s="62">
        <f t="shared" si="9"/>
        <v>182.5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61">
        <v>0.1</v>
      </c>
      <c r="C56" s="61">
        <f t="shared" si="5"/>
        <v>360.62</v>
      </c>
      <c r="D56" s="61">
        <f t="shared" si="6"/>
        <v>360.62</v>
      </c>
      <c r="E56" s="61">
        <f t="shared" si="7"/>
        <v>360.62</v>
      </c>
      <c r="F56" s="61">
        <f t="shared" si="8"/>
        <v>360.62</v>
      </c>
      <c r="G56" s="61">
        <f t="shared" si="9"/>
        <v>360.62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2">
        <v>0.15</v>
      </c>
      <c r="C57" s="62">
        <f t="shared" si="5"/>
        <v>532.16999999999996</v>
      </c>
      <c r="D57" s="62">
        <f t="shared" si="6"/>
        <v>532.16999999999996</v>
      </c>
      <c r="E57" s="62">
        <f t="shared" si="7"/>
        <v>532.16999999999996</v>
      </c>
      <c r="F57" s="62">
        <f t="shared" si="8"/>
        <v>532.16999999999996</v>
      </c>
      <c r="G57" s="62">
        <f t="shared" si="9"/>
        <v>532.16999999999996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61">
        <v>0.2</v>
      </c>
      <c r="C58" s="61">
        <f t="shared" si="5"/>
        <v>703.72</v>
      </c>
      <c r="D58" s="61">
        <f t="shared" si="6"/>
        <v>703.72</v>
      </c>
      <c r="E58" s="61">
        <f t="shared" si="7"/>
        <v>703.72</v>
      </c>
      <c r="F58" s="61">
        <f t="shared" si="8"/>
        <v>703.72</v>
      </c>
      <c r="G58" s="61">
        <f t="shared" si="9"/>
        <v>703.72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2">
        <v>0.25</v>
      </c>
      <c r="C59" s="62">
        <f t="shared" si="5"/>
        <v>875.27</v>
      </c>
      <c r="D59" s="62">
        <f t="shared" si="6"/>
        <v>875.27</v>
      </c>
      <c r="E59" s="62">
        <f t="shared" si="7"/>
        <v>875.27</v>
      </c>
      <c r="F59" s="62">
        <f t="shared" si="8"/>
        <v>875.27</v>
      </c>
      <c r="G59" s="62">
        <f t="shared" si="9"/>
        <v>875.27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61">
        <v>0.3</v>
      </c>
      <c r="C60" s="61">
        <f t="shared" si="5"/>
        <v>1046.82</v>
      </c>
      <c r="D60" s="61">
        <f t="shared" si="6"/>
        <v>1046.82</v>
      </c>
      <c r="E60" s="61">
        <f t="shared" si="7"/>
        <v>1046.82</v>
      </c>
      <c r="F60" s="61">
        <f t="shared" si="8"/>
        <v>1046.82</v>
      </c>
      <c r="G60" s="61">
        <f t="shared" si="9"/>
        <v>1046.82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2">
        <v>0.35</v>
      </c>
      <c r="C61" s="62">
        <f t="shared" si="5"/>
        <v>1220.8699999999999</v>
      </c>
      <c r="D61" s="62">
        <f t="shared" si="6"/>
        <v>1223.3699999999999</v>
      </c>
      <c r="E61" s="62">
        <f t="shared" si="7"/>
        <v>1218.3699999999999</v>
      </c>
      <c r="F61" s="62">
        <f t="shared" si="8"/>
        <v>1218.3699999999999</v>
      </c>
      <c r="G61" s="62">
        <f t="shared" si="9"/>
        <v>1218.3699999999999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61">
        <v>0.4</v>
      </c>
      <c r="C62" s="61">
        <f t="shared" si="5"/>
        <v>1404.92</v>
      </c>
      <c r="D62" s="61">
        <f t="shared" si="6"/>
        <v>1444.92</v>
      </c>
      <c r="E62" s="61">
        <f t="shared" si="7"/>
        <v>1477.42</v>
      </c>
      <c r="F62" s="61">
        <f t="shared" si="8"/>
        <v>1502.42</v>
      </c>
      <c r="G62" s="61">
        <f t="shared" si="9"/>
        <v>1519.92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2">
        <v>0.45</v>
      </c>
      <c r="C63" s="62">
        <f t="shared" si="5"/>
        <v>1588.97</v>
      </c>
      <c r="D63" s="62">
        <f t="shared" si="6"/>
        <v>1666.47</v>
      </c>
      <c r="E63" s="62">
        <f t="shared" si="7"/>
        <v>1736.47</v>
      </c>
      <c r="F63" s="62">
        <f t="shared" si="8"/>
        <v>1798.97</v>
      </c>
      <c r="G63" s="62">
        <f t="shared" si="9"/>
        <v>1853.97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61">
        <v>0.5</v>
      </c>
      <c r="C64" s="61">
        <f t="shared" si="5"/>
        <v>1773.02</v>
      </c>
      <c r="D64" s="61">
        <f t="shared" si="6"/>
        <v>1888.02</v>
      </c>
      <c r="E64" s="61">
        <f t="shared" si="7"/>
        <v>1995.52</v>
      </c>
      <c r="F64" s="61">
        <f t="shared" si="8"/>
        <v>2095.52</v>
      </c>
      <c r="G64" s="61">
        <f t="shared" si="9"/>
        <v>2188.02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2">
        <v>0.55000000000000004</v>
      </c>
      <c r="C65" s="62">
        <f t="shared" si="5"/>
        <v>1957.0700000000002</v>
      </c>
      <c r="D65" s="62">
        <f t="shared" si="6"/>
        <v>2109.5700000000002</v>
      </c>
      <c r="E65" s="62">
        <f t="shared" si="7"/>
        <v>2254.5700000000002</v>
      </c>
      <c r="F65" s="62">
        <f t="shared" si="8"/>
        <v>2392.0700000000002</v>
      </c>
      <c r="G65" s="62">
        <f t="shared" si="9"/>
        <v>2522.0700000000006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61">
        <v>0.6</v>
      </c>
      <c r="C66" s="61">
        <f t="shared" si="5"/>
        <v>2141.12</v>
      </c>
      <c r="D66" s="61">
        <f t="shared" si="6"/>
        <v>2331.12</v>
      </c>
      <c r="E66" s="61">
        <f t="shared" si="7"/>
        <v>2513.62</v>
      </c>
      <c r="F66" s="61">
        <f t="shared" si="8"/>
        <v>2688.62</v>
      </c>
      <c r="G66" s="61">
        <f t="shared" si="9"/>
        <v>2856.12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2">
        <v>0.65</v>
      </c>
      <c r="C67" s="62">
        <f t="shared" si="5"/>
        <v>2325.17</v>
      </c>
      <c r="D67" s="62">
        <f t="shared" si="6"/>
        <v>2552.67</v>
      </c>
      <c r="E67" s="62">
        <f t="shared" si="7"/>
        <v>2772.67</v>
      </c>
      <c r="F67" s="62">
        <f t="shared" si="8"/>
        <v>2985.17</v>
      </c>
      <c r="G67" s="62">
        <f t="shared" si="9"/>
        <v>3190.17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61">
        <v>0.7</v>
      </c>
      <c r="C68" s="61">
        <f t="shared" si="5"/>
        <v>2509.2199999999998</v>
      </c>
      <c r="D68" s="61">
        <f t="shared" si="6"/>
        <v>2774.22</v>
      </c>
      <c r="E68" s="61">
        <f t="shared" si="7"/>
        <v>3031.72</v>
      </c>
      <c r="F68" s="61">
        <f t="shared" si="8"/>
        <v>3281.72</v>
      </c>
      <c r="G68" s="61">
        <f t="shared" si="9"/>
        <v>3524.22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2">
        <v>0.75</v>
      </c>
      <c r="C69" s="62">
        <f t="shared" si="5"/>
        <v>2693.27</v>
      </c>
      <c r="D69" s="62">
        <f t="shared" si="6"/>
        <v>2995.77</v>
      </c>
      <c r="E69" s="62">
        <f t="shared" si="7"/>
        <v>3290.77</v>
      </c>
      <c r="F69" s="62">
        <f t="shared" si="8"/>
        <v>3578.27</v>
      </c>
      <c r="G69" s="62">
        <f t="shared" si="9"/>
        <v>3858.27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61">
        <v>0.8</v>
      </c>
      <c r="C70" s="61">
        <f t="shared" si="5"/>
        <v>2877.32</v>
      </c>
      <c r="D70" s="61">
        <f t="shared" si="6"/>
        <v>3217.32</v>
      </c>
      <c r="E70" s="61">
        <f t="shared" si="7"/>
        <v>3549.82</v>
      </c>
      <c r="F70" s="61">
        <f t="shared" si="8"/>
        <v>3874.8200000000006</v>
      </c>
      <c r="G70" s="61">
        <f t="shared" si="9"/>
        <v>4192.3200000000006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2">
        <v>0.85</v>
      </c>
      <c r="C71" s="62">
        <f t="shared" si="5"/>
        <v>3061.37</v>
      </c>
      <c r="D71" s="62">
        <f t="shared" si="6"/>
        <v>3438.87</v>
      </c>
      <c r="E71" s="62">
        <f t="shared" si="7"/>
        <v>3808.87</v>
      </c>
      <c r="F71" s="62">
        <f t="shared" si="8"/>
        <v>4171.37</v>
      </c>
      <c r="G71" s="62">
        <f t="shared" si="9"/>
        <v>4526.37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61">
        <v>0.9</v>
      </c>
      <c r="C72" s="61">
        <f t="shared" si="5"/>
        <v>3245.42</v>
      </c>
      <c r="D72" s="61">
        <f t="shared" si="6"/>
        <v>3660.42</v>
      </c>
      <c r="E72" s="61">
        <f t="shared" si="7"/>
        <v>4067.92</v>
      </c>
      <c r="F72" s="61">
        <f t="shared" si="8"/>
        <v>4467.92</v>
      </c>
      <c r="G72" s="61">
        <f t="shared" si="9"/>
        <v>4860.42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2">
        <v>0.95</v>
      </c>
      <c r="C73" s="62">
        <f t="shared" si="5"/>
        <v>3429.47</v>
      </c>
      <c r="D73" s="62">
        <f t="shared" si="6"/>
        <v>3881.97</v>
      </c>
      <c r="E73" s="62">
        <f t="shared" si="7"/>
        <v>4326.9699999999993</v>
      </c>
      <c r="F73" s="62">
        <f t="shared" si="8"/>
        <v>4764.4699999999993</v>
      </c>
      <c r="G73" s="62">
        <f t="shared" si="9"/>
        <v>5194.4699999999993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61">
        <v>1</v>
      </c>
      <c r="C74" s="61">
        <f t="shared" si="5"/>
        <v>3613.52</v>
      </c>
      <c r="D74" s="61">
        <f t="shared" si="6"/>
        <v>4103.5200000000004</v>
      </c>
      <c r="E74" s="61">
        <f t="shared" si="7"/>
        <v>4586.0200000000004</v>
      </c>
      <c r="F74" s="61">
        <f t="shared" si="8"/>
        <v>5061.0200000000004</v>
      </c>
      <c r="G74" s="61">
        <f t="shared" si="9"/>
        <v>5528.52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6" t="s">
        <v>95</v>
      </c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50" t="s">
        <v>30</v>
      </c>
      <c r="C84" s="49" t="s">
        <v>31</v>
      </c>
      <c r="D84" s="49" t="s">
        <v>32</v>
      </c>
      <c r="E84" s="49" t="s">
        <v>33</v>
      </c>
      <c r="F84" s="49" t="s">
        <v>10</v>
      </c>
      <c r="G84" s="50" t="s">
        <v>44</v>
      </c>
      <c r="H84" s="50" t="s">
        <v>34</v>
      </c>
      <c r="I84" s="49" t="s">
        <v>26</v>
      </c>
      <c r="J84" s="49" t="s">
        <v>35</v>
      </c>
      <c r="K84" s="50" t="s">
        <v>45</v>
      </c>
      <c r="L84" s="50" t="s">
        <v>36</v>
      </c>
      <c r="M84" s="49" t="s">
        <v>15</v>
      </c>
      <c r="N84" s="49" t="s">
        <v>16</v>
      </c>
      <c r="O84" s="50" t="s">
        <v>37</v>
      </c>
      <c r="P84" s="49" t="s">
        <v>29</v>
      </c>
      <c r="Q84" s="50" t="s">
        <v>38</v>
      </c>
      <c r="R84" s="50" t="s">
        <v>39</v>
      </c>
      <c r="S84" s="50" t="s">
        <v>40</v>
      </c>
      <c r="T84" s="50" t="s">
        <v>41</v>
      </c>
      <c r="U84" s="50" t="s">
        <v>42</v>
      </c>
      <c r="V84" s="50" t="s">
        <v>43</v>
      </c>
    </row>
    <row r="85" spans="2:22" ht="2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1850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2100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1932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2667.5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3667.5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2536.5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3431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5181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3096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4140.5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6640.5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3610.5000000000005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4796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8046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4080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">
        <v>21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2">
        <v>0.05</v>
      </c>
      <c r="C95" s="62">
        <f t="shared" si="10"/>
        <v>105</v>
      </c>
      <c r="D95" s="62">
        <f t="shared" si="11"/>
        <v>142.5</v>
      </c>
      <c r="E95" s="62">
        <f t="shared" si="12"/>
        <v>180</v>
      </c>
      <c r="F95" s="62">
        <f t="shared" si="13"/>
        <v>217.5</v>
      </c>
      <c r="G95" s="62">
        <f t="shared" si="14"/>
        <v>255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61">
        <v>0.1</v>
      </c>
      <c r="C96" s="61">
        <f t="shared" si="10"/>
        <v>210</v>
      </c>
      <c r="D96" s="61">
        <f t="shared" si="11"/>
        <v>285</v>
      </c>
      <c r="E96" s="61">
        <f t="shared" si="12"/>
        <v>360</v>
      </c>
      <c r="F96" s="61">
        <f t="shared" si="13"/>
        <v>435</v>
      </c>
      <c r="G96" s="61">
        <f t="shared" si="14"/>
        <v>510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2">
        <v>0.15</v>
      </c>
      <c r="C97" s="62">
        <f t="shared" si="10"/>
        <v>315</v>
      </c>
      <c r="D97" s="62">
        <f t="shared" si="11"/>
        <v>427.5</v>
      </c>
      <c r="E97" s="62">
        <f t="shared" si="12"/>
        <v>540</v>
      </c>
      <c r="F97" s="62">
        <f t="shared" si="13"/>
        <v>652.5</v>
      </c>
      <c r="G97" s="62">
        <f t="shared" si="14"/>
        <v>765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61">
        <v>0.2</v>
      </c>
      <c r="C98" s="61">
        <f t="shared" si="10"/>
        <v>420</v>
      </c>
      <c r="D98" s="61">
        <f t="shared" si="11"/>
        <v>570</v>
      </c>
      <c r="E98" s="61">
        <f t="shared" si="12"/>
        <v>720</v>
      </c>
      <c r="F98" s="61">
        <f t="shared" si="13"/>
        <v>870</v>
      </c>
      <c r="G98" s="61">
        <f t="shared" si="14"/>
        <v>1020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2">
        <v>0.25</v>
      </c>
      <c r="C99" s="62">
        <f t="shared" si="10"/>
        <v>521.64</v>
      </c>
      <c r="D99" s="62">
        <f t="shared" si="11"/>
        <v>709.36500000000001</v>
      </c>
      <c r="E99" s="62">
        <f t="shared" si="12"/>
        <v>900</v>
      </c>
      <c r="F99" s="62">
        <f t="shared" si="13"/>
        <v>1087.5</v>
      </c>
      <c r="G99" s="62">
        <f t="shared" si="14"/>
        <v>1275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61">
        <v>0.3</v>
      </c>
      <c r="C100" s="61">
        <f t="shared" si="10"/>
        <v>618.24</v>
      </c>
      <c r="D100" s="61">
        <f t="shared" si="11"/>
        <v>836.19</v>
      </c>
      <c r="E100" s="61">
        <f t="shared" si="12"/>
        <v>1054.8</v>
      </c>
      <c r="F100" s="61">
        <f t="shared" si="13"/>
        <v>1275.42</v>
      </c>
      <c r="G100" s="61">
        <f t="shared" si="14"/>
        <v>1499.3999999999999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2">
        <v>0.35</v>
      </c>
      <c r="C101" s="62">
        <f t="shared" si="10"/>
        <v>714.83999999999992</v>
      </c>
      <c r="D101" s="62">
        <f t="shared" si="11"/>
        <v>963.01499999999999</v>
      </c>
      <c r="E101" s="62">
        <f t="shared" si="12"/>
        <v>1209.5999999999999</v>
      </c>
      <c r="F101" s="62">
        <f t="shared" si="13"/>
        <v>1455.9449999999999</v>
      </c>
      <c r="G101" s="62">
        <f t="shared" si="14"/>
        <v>1703.3999999999999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61">
        <v>0.4</v>
      </c>
      <c r="C102" s="61">
        <f t="shared" si="10"/>
        <v>811.44</v>
      </c>
      <c r="D102" s="61">
        <f t="shared" si="11"/>
        <v>1089.8400000000001</v>
      </c>
      <c r="E102" s="61">
        <f t="shared" si="12"/>
        <v>1364.4</v>
      </c>
      <c r="F102" s="61">
        <f t="shared" si="13"/>
        <v>1636.47</v>
      </c>
      <c r="G102" s="61">
        <f t="shared" si="14"/>
        <v>1907.4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2">
        <v>0.45</v>
      </c>
      <c r="C103" s="62">
        <f t="shared" si="10"/>
        <v>908.04</v>
      </c>
      <c r="D103" s="62">
        <f t="shared" si="11"/>
        <v>1216.665</v>
      </c>
      <c r="E103" s="62">
        <f t="shared" si="12"/>
        <v>1519.2</v>
      </c>
      <c r="F103" s="62">
        <f t="shared" si="13"/>
        <v>1816.9950000000001</v>
      </c>
      <c r="G103" s="62">
        <f t="shared" si="14"/>
        <v>2111.4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61">
        <v>0.5</v>
      </c>
      <c r="C104" s="61">
        <f t="shared" si="10"/>
        <v>1004.64</v>
      </c>
      <c r="D104" s="61">
        <f t="shared" si="11"/>
        <v>1343.49</v>
      </c>
      <c r="E104" s="61">
        <f t="shared" si="12"/>
        <v>1674</v>
      </c>
      <c r="F104" s="61">
        <f t="shared" si="13"/>
        <v>1997.52</v>
      </c>
      <c r="G104" s="61">
        <f t="shared" si="14"/>
        <v>2315.4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2">
        <v>0.55000000000000004</v>
      </c>
      <c r="C105" s="62">
        <f t="shared" si="10"/>
        <v>1101.2400000000002</v>
      </c>
      <c r="D105" s="62">
        <f t="shared" si="11"/>
        <v>1470.3150000000001</v>
      </c>
      <c r="E105" s="62">
        <f t="shared" si="12"/>
        <v>1828.8000000000002</v>
      </c>
      <c r="F105" s="62">
        <f t="shared" si="13"/>
        <v>2178.0450000000001</v>
      </c>
      <c r="G105" s="62">
        <f t="shared" si="14"/>
        <v>2519.4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61">
        <v>0.6</v>
      </c>
      <c r="C106" s="61">
        <f t="shared" si="10"/>
        <v>1197.8400000000001</v>
      </c>
      <c r="D106" s="61">
        <f t="shared" si="11"/>
        <v>1597.1399999999999</v>
      </c>
      <c r="E106" s="61">
        <f t="shared" si="12"/>
        <v>1983.6</v>
      </c>
      <c r="F106" s="61">
        <f t="shared" si="13"/>
        <v>2358.5699999999997</v>
      </c>
      <c r="G106" s="61">
        <f t="shared" si="14"/>
        <v>2723.3999999999996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2">
        <v>0.65</v>
      </c>
      <c r="C107" s="62">
        <f t="shared" si="10"/>
        <v>1294.44</v>
      </c>
      <c r="D107" s="62">
        <f t="shared" si="11"/>
        <v>1723.9650000000001</v>
      </c>
      <c r="E107" s="62">
        <f t="shared" si="12"/>
        <v>2138.4</v>
      </c>
      <c r="F107" s="62">
        <f t="shared" si="13"/>
        <v>2539.0950000000003</v>
      </c>
      <c r="G107" s="62">
        <f t="shared" si="14"/>
        <v>2927.4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61">
        <v>0.7</v>
      </c>
      <c r="C108" s="61">
        <f t="shared" si="10"/>
        <v>1391.04</v>
      </c>
      <c r="D108" s="61">
        <f t="shared" si="11"/>
        <v>1850.79</v>
      </c>
      <c r="E108" s="61">
        <f t="shared" si="12"/>
        <v>2293.1999999999998</v>
      </c>
      <c r="F108" s="61">
        <f t="shared" si="13"/>
        <v>2719.62</v>
      </c>
      <c r="G108" s="61">
        <f t="shared" si="14"/>
        <v>3131.3999999999996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2">
        <v>0.75</v>
      </c>
      <c r="C109" s="62">
        <f t="shared" si="10"/>
        <v>1487.6399999999999</v>
      </c>
      <c r="D109" s="62">
        <f t="shared" si="11"/>
        <v>1977.615</v>
      </c>
      <c r="E109" s="62">
        <f t="shared" si="12"/>
        <v>2448</v>
      </c>
      <c r="F109" s="62">
        <f t="shared" si="13"/>
        <v>2900.1450000000004</v>
      </c>
      <c r="G109" s="62">
        <f t="shared" si="14"/>
        <v>3335.3999999999996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61">
        <v>0.8</v>
      </c>
      <c r="C110" s="61">
        <f t="shared" si="10"/>
        <v>1584.24</v>
      </c>
      <c r="D110" s="61">
        <f t="shared" si="11"/>
        <v>2104.44</v>
      </c>
      <c r="E110" s="61">
        <f t="shared" si="12"/>
        <v>2602.8000000000002</v>
      </c>
      <c r="F110" s="61">
        <f t="shared" si="13"/>
        <v>3080.67</v>
      </c>
      <c r="G110" s="61">
        <f t="shared" si="14"/>
        <v>3539.4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2">
        <v>0.85</v>
      </c>
      <c r="C111" s="62">
        <f t="shared" si="10"/>
        <v>1680.84</v>
      </c>
      <c r="D111" s="62">
        <f t="shared" si="11"/>
        <v>2231.2649999999999</v>
      </c>
      <c r="E111" s="62">
        <f t="shared" si="12"/>
        <v>2757.6</v>
      </c>
      <c r="F111" s="62">
        <f t="shared" si="13"/>
        <v>3261.1950000000002</v>
      </c>
      <c r="G111" s="62">
        <f t="shared" si="14"/>
        <v>3743.3999999999996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61">
        <v>0.9</v>
      </c>
      <c r="C112" s="61">
        <f t="shared" si="10"/>
        <v>1777.44</v>
      </c>
      <c r="D112" s="61">
        <f t="shared" si="11"/>
        <v>2358.09</v>
      </c>
      <c r="E112" s="61">
        <f t="shared" si="12"/>
        <v>2912.4</v>
      </c>
      <c r="F112" s="61">
        <f t="shared" si="13"/>
        <v>3441.7200000000003</v>
      </c>
      <c r="G112" s="61">
        <f t="shared" si="14"/>
        <v>3947.4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2">
        <v>0.95</v>
      </c>
      <c r="C113" s="62">
        <f t="shared" si="10"/>
        <v>1874.04</v>
      </c>
      <c r="D113" s="62">
        <f t="shared" si="11"/>
        <v>2484.915</v>
      </c>
      <c r="E113" s="62">
        <f t="shared" si="12"/>
        <v>3067.2</v>
      </c>
      <c r="F113" s="62">
        <f t="shared" si="13"/>
        <v>3622.2450000000003</v>
      </c>
      <c r="G113" s="62">
        <f t="shared" si="14"/>
        <v>4151.3999999999996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61">
        <v>1</v>
      </c>
      <c r="C114" s="61">
        <f t="shared" si="10"/>
        <v>1970.64</v>
      </c>
      <c r="D114" s="61">
        <f t="shared" si="11"/>
        <v>2611.7399999999998</v>
      </c>
      <c r="E114" s="61">
        <f t="shared" si="12"/>
        <v>3222</v>
      </c>
      <c r="F114" s="61">
        <f t="shared" si="13"/>
        <v>3802.7700000000004</v>
      </c>
      <c r="G114" s="61">
        <f t="shared" si="14"/>
        <v>4355.3999999999996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6" t="s">
        <v>96</v>
      </c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50" t="s">
        <v>30</v>
      </c>
      <c r="C124" s="49" t="s">
        <v>31</v>
      </c>
      <c r="D124" s="49" t="s">
        <v>32</v>
      </c>
      <c r="E124" s="49" t="s">
        <v>33</v>
      </c>
      <c r="F124" s="49" t="s">
        <v>10</v>
      </c>
      <c r="G124" s="50" t="s">
        <v>44</v>
      </c>
      <c r="H124" s="50" t="s">
        <v>34</v>
      </c>
      <c r="I124" s="49" t="s">
        <v>26</v>
      </c>
      <c r="J124" s="49" t="s">
        <v>35</v>
      </c>
      <c r="K124" s="50" t="s">
        <v>45</v>
      </c>
      <c r="L124" s="50" t="s">
        <v>36</v>
      </c>
      <c r="M124" s="49" t="s">
        <v>15</v>
      </c>
      <c r="N124" s="49" t="s">
        <v>16</v>
      </c>
      <c r="O124" s="50" t="s">
        <v>37</v>
      </c>
      <c r="P124" s="49" t="s">
        <v>29</v>
      </c>
      <c r="Q124" s="50" t="s">
        <v>38</v>
      </c>
      <c r="R124" s="50" t="s">
        <v>39</v>
      </c>
      <c r="S124" s="50" t="s">
        <v>40</v>
      </c>
      <c r="T124" s="50" t="s">
        <v>41</v>
      </c>
      <c r="U124" s="50" t="s">
        <v>42</v>
      </c>
      <c r="V124" s="50" t="s">
        <v>43</v>
      </c>
    </row>
    <row r="125" spans="2:22" ht="2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1850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2100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1932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2667.5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3667.5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2536.5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3431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5181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3096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4140.5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6640.5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3610.5000000000005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4796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8046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4080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">
        <v>21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2">
        <v>0.05</v>
      </c>
      <c r="C135" s="62">
        <f t="shared" si="15"/>
        <v>92.5</v>
      </c>
      <c r="D135" s="62">
        <f t="shared" si="16"/>
        <v>137.5</v>
      </c>
      <c r="E135" s="62">
        <f t="shared" si="17"/>
        <v>182.5</v>
      </c>
      <c r="F135" s="62">
        <f t="shared" si="18"/>
        <v>227.5</v>
      </c>
      <c r="G135" s="62">
        <f t="shared" si="19"/>
        <v>272.5</v>
      </c>
      <c r="H135" s="62">
        <f t="shared" si="20"/>
        <v>-105</v>
      </c>
      <c r="I135" s="62">
        <f t="shared" si="21"/>
        <v>-142.5</v>
      </c>
      <c r="J135" s="62">
        <f t="shared" si="22"/>
        <v>-180</v>
      </c>
      <c r="K135" s="62">
        <f t="shared" si="23"/>
        <v>-217.5</v>
      </c>
      <c r="L135" s="62">
        <f t="shared" si="24"/>
        <v>-255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61">
        <v>0.1</v>
      </c>
      <c r="C136" s="61">
        <f t="shared" si="15"/>
        <v>185</v>
      </c>
      <c r="D136" s="61">
        <f t="shared" si="16"/>
        <v>273.35000000000002</v>
      </c>
      <c r="E136" s="61">
        <f t="shared" si="17"/>
        <v>360.62</v>
      </c>
      <c r="F136" s="61">
        <f t="shared" si="18"/>
        <v>446.81</v>
      </c>
      <c r="G136" s="61">
        <f t="shared" si="19"/>
        <v>531.92000000000007</v>
      </c>
      <c r="H136" s="61">
        <f t="shared" si="20"/>
        <v>-210</v>
      </c>
      <c r="I136" s="61">
        <f t="shared" si="21"/>
        <v>-285</v>
      </c>
      <c r="J136" s="61">
        <f t="shared" si="22"/>
        <v>-360</v>
      </c>
      <c r="K136" s="61">
        <f t="shared" si="23"/>
        <v>-435</v>
      </c>
      <c r="L136" s="61">
        <f t="shared" si="24"/>
        <v>-510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2">
        <v>0.15</v>
      </c>
      <c r="C137" s="62">
        <f t="shared" si="15"/>
        <v>277.5</v>
      </c>
      <c r="D137" s="62">
        <f t="shared" si="16"/>
        <v>406.72500000000002</v>
      </c>
      <c r="E137" s="62">
        <f t="shared" si="17"/>
        <v>532.16999999999996</v>
      </c>
      <c r="F137" s="62">
        <f t="shared" si="18"/>
        <v>653.83500000000004</v>
      </c>
      <c r="G137" s="62">
        <f t="shared" si="19"/>
        <v>771.72</v>
      </c>
      <c r="H137" s="62">
        <f t="shared" si="20"/>
        <v>-315</v>
      </c>
      <c r="I137" s="62">
        <f t="shared" si="21"/>
        <v>-427.5</v>
      </c>
      <c r="J137" s="62">
        <f t="shared" si="22"/>
        <v>-540</v>
      </c>
      <c r="K137" s="62">
        <f t="shared" si="23"/>
        <v>-652.5</v>
      </c>
      <c r="L137" s="62">
        <f t="shared" si="24"/>
        <v>-765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61">
        <v>0.2</v>
      </c>
      <c r="C138" s="61">
        <f t="shared" si="15"/>
        <v>370</v>
      </c>
      <c r="D138" s="61">
        <f t="shared" si="16"/>
        <v>540.1</v>
      </c>
      <c r="E138" s="61">
        <f t="shared" si="17"/>
        <v>703.72</v>
      </c>
      <c r="F138" s="61">
        <f t="shared" si="18"/>
        <v>860.86</v>
      </c>
      <c r="G138" s="61">
        <f t="shared" si="19"/>
        <v>1011.5200000000001</v>
      </c>
      <c r="H138" s="61">
        <f t="shared" si="20"/>
        <v>-420</v>
      </c>
      <c r="I138" s="61">
        <f t="shared" si="21"/>
        <v>-570</v>
      </c>
      <c r="J138" s="61">
        <f t="shared" si="22"/>
        <v>-720</v>
      </c>
      <c r="K138" s="61">
        <f t="shared" si="23"/>
        <v>-870</v>
      </c>
      <c r="L138" s="61">
        <f t="shared" si="24"/>
        <v>-1020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2">
        <v>0.25</v>
      </c>
      <c r="C139" s="62">
        <f t="shared" si="15"/>
        <v>462.49999999999994</v>
      </c>
      <c r="D139" s="62">
        <f t="shared" si="16"/>
        <v>673.47499999999991</v>
      </c>
      <c r="E139" s="62">
        <f t="shared" si="17"/>
        <v>875.27</v>
      </c>
      <c r="F139" s="62">
        <f t="shared" si="18"/>
        <v>1067.885</v>
      </c>
      <c r="G139" s="62">
        <f t="shared" si="19"/>
        <v>1251.32</v>
      </c>
      <c r="H139" s="62">
        <f t="shared" si="20"/>
        <v>-521.64</v>
      </c>
      <c r="I139" s="62">
        <f t="shared" si="21"/>
        <v>-709.36500000000001</v>
      </c>
      <c r="J139" s="62">
        <f t="shared" si="22"/>
        <v>-900</v>
      </c>
      <c r="K139" s="62">
        <f t="shared" si="23"/>
        <v>-1087.5</v>
      </c>
      <c r="L139" s="62">
        <f t="shared" si="24"/>
        <v>-1275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61">
        <v>0.3</v>
      </c>
      <c r="C140" s="61">
        <f t="shared" si="15"/>
        <v>555</v>
      </c>
      <c r="D140" s="61">
        <f t="shared" si="16"/>
        <v>806.84999999999991</v>
      </c>
      <c r="E140" s="61">
        <f t="shared" si="17"/>
        <v>1046.82</v>
      </c>
      <c r="F140" s="61">
        <f t="shared" si="18"/>
        <v>1274.9099999999999</v>
      </c>
      <c r="G140" s="61">
        <f t="shared" si="19"/>
        <v>1491.12</v>
      </c>
      <c r="H140" s="61">
        <f t="shared" si="20"/>
        <v>-618.24</v>
      </c>
      <c r="I140" s="61">
        <f t="shared" si="21"/>
        <v>-836.19</v>
      </c>
      <c r="J140" s="61">
        <f t="shared" si="22"/>
        <v>-1054.8</v>
      </c>
      <c r="K140" s="61">
        <f t="shared" si="23"/>
        <v>-1275.42</v>
      </c>
      <c r="L140" s="61">
        <f t="shared" si="24"/>
        <v>-1499.3999999999999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2">
        <v>0.35</v>
      </c>
      <c r="C141" s="62">
        <f t="shared" si="15"/>
        <v>650</v>
      </c>
      <c r="D141" s="62">
        <f t="shared" si="16"/>
        <v>945.22499999999991</v>
      </c>
      <c r="E141" s="62">
        <f t="shared" si="17"/>
        <v>1218.3699999999999</v>
      </c>
      <c r="F141" s="62">
        <f t="shared" si="18"/>
        <v>1481.9349999999999</v>
      </c>
      <c r="G141" s="62">
        <f t="shared" si="19"/>
        <v>1730.9199999999998</v>
      </c>
      <c r="H141" s="62">
        <f t="shared" si="20"/>
        <v>-714.83999999999992</v>
      </c>
      <c r="I141" s="62">
        <f t="shared" si="21"/>
        <v>-963.01499999999999</v>
      </c>
      <c r="J141" s="62">
        <f t="shared" si="22"/>
        <v>-1209.5999999999999</v>
      </c>
      <c r="K141" s="62">
        <f t="shared" si="23"/>
        <v>-1455.9449999999999</v>
      </c>
      <c r="L141" s="62">
        <f t="shared" si="24"/>
        <v>-1703.3999999999999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61">
        <v>0.4</v>
      </c>
      <c r="C142" s="61">
        <f t="shared" si="15"/>
        <v>755</v>
      </c>
      <c r="D142" s="61">
        <f t="shared" si="16"/>
        <v>1128.5999999999999</v>
      </c>
      <c r="E142" s="61">
        <f t="shared" si="17"/>
        <v>1477.42</v>
      </c>
      <c r="F142" s="61">
        <f t="shared" si="18"/>
        <v>1801.46</v>
      </c>
      <c r="G142" s="61">
        <f t="shared" si="19"/>
        <v>2100.7200000000003</v>
      </c>
      <c r="H142" s="61">
        <f t="shared" si="20"/>
        <v>-811.44</v>
      </c>
      <c r="I142" s="61">
        <f t="shared" si="21"/>
        <v>-1089.8400000000001</v>
      </c>
      <c r="J142" s="61">
        <f t="shared" si="22"/>
        <v>-1364.4</v>
      </c>
      <c r="K142" s="61">
        <f t="shared" si="23"/>
        <v>-1636.47</v>
      </c>
      <c r="L142" s="61">
        <f t="shared" si="24"/>
        <v>-1907.4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2">
        <v>0.45</v>
      </c>
      <c r="C143" s="62">
        <f t="shared" si="15"/>
        <v>860</v>
      </c>
      <c r="D143" s="62">
        <f t="shared" si="16"/>
        <v>1311.9749999999999</v>
      </c>
      <c r="E143" s="62">
        <f t="shared" si="17"/>
        <v>1736.47</v>
      </c>
      <c r="F143" s="62">
        <f t="shared" si="18"/>
        <v>2133.4850000000001</v>
      </c>
      <c r="G143" s="62">
        <f t="shared" si="19"/>
        <v>2503.02</v>
      </c>
      <c r="H143" s="62">
        <f t="shared" si="20"/>
        <v>-908.04</v>
      </c>
      <c r="I143" s="62">
        <f t="shared" si="21"/>
        <v>-1216.665</v>
      </c>
      <c r="J143" s="62">
        <f t="shared" si="22"/>
        <v>-1519.2</v>
      </c>
      <c r="K143" s="62">
        <f t="shared" si="23"/>
        <v>-1816.9950000000001</v>
      </c>
      <c r="L143" s="62">
        <f t="shared" si="24"/>
        <v>-2111.4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61">
        <v>0.5</v>
      </c>
      <c r="C144" s="61">
        <f t="shared" si="15"/>
        <v>965</v>
      </c>
      <c r="D144" s="61">
        <f t="shared" si="16"/>
        <v>1495.35</v>
      </c>
      <c r="E144" s="61">
        <f t="shared" si="17"/>
        <v>1995.52</v>
      </c>
      <c r="F144" s="61">
        <f t="shared" si="18"/>
        <v>2465.5100000000002</v>
      </c>
      <c r="G144" s="61">
        <f t="shared" si="19"/>
        <v>2905.3199999999997</v>
      </c>
      <c r="H144" s="61">
        <f t="shared" si="20"/>
        <v>-1004.64</v>
      </c>
      <c r="I144" s="61">
        <f t="shared" si="21"/>
        <v>-1343.49</v>
      </c>
      <c r="J144" s="61">
        <f t="shared" si="22"/>
        <v>-1674</v>
      </c>
      <c r="K144" s="61">
        <f t="shared" si="23"/>
        <v>-1997.52</v>
      </c>
      <c r="L144" s="61">
        <f t="shared" si="24"/>
        <v>-2315.4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2">
        <v>0.55000000000000004</v>
      </c>
      <c r="C145" s="62">
        <f t="shared" si="15"/>
        <v>1070</v>
      </c>
      <c r="D145" s="62">
        <f t="shared" si="16"/>
        <v>1678.7250000000001</v>
      </c>
      <c r="E145" s="62">
        <f t="shared" si="17"/>
        <v>2254.5700000000002</v>
      </c>
      <c r="F145" s="62">
        <f t="shared" si="18"/>
        <v>2797.5349999999999</v>
      </c>
      <c r="G145" s="62">
        <f t="shared" si="19"/>
        <v>3307.6200000000008</v>
      </c>
      <c r="H145" s="62">
        <f t="shared" si="20"/>
        <v>-1101.2400000000002</v>
      </c>
      <c r="I145" s="62">
        <f t="shared" si="21"/>
        <v>-1470.3150000000001</v>
      </c>
      <c r="J145" s="62">
        <f t="shared" si="22"/>
        <v>-1828.8000000000002</v>
      </c>
      <c r="K145" s="62">
        <f t="shared" si="23"/>
        <v>-2178.0450000000001</v>
      </c>
      <c r="L145" s="62">
        <f t="shared" si="24"/>
        <v>-2519.4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61">
        <v>0.6</v>
      </c>
      <c r="C146" s="61">
        <f t="shared" si="15"/>
        <v>1175</v>
      </c>
      <c r="D146" s="61">
        <f t="shared" si="16"/>
        <v>1862.1000000000001</v>
      </c>
      <c r="E146" s="61">
        <f t="shared" si="17"/>
        <v>2513.62</v>
      </c>
      <c r="F146" s="61">
        <f t="shared" si="18"/>
        <v>3129.56</v>
      </c>
      <c r="G146" s="61">
        <f t="shared" si="19"/>
        <v>3709.92</v>
      </c>
      <c r="H146" s="61">
        <f t="shared" si="20"/>
        <v>-1197.8400000000001</v>
      </c>
      <c r="I146" s="61">
        <f t="shared" si="21"/>
        <v>-1597.1399999999999</v>
      </c>
      <c r="J146" s="61">
        <f t="shared" si="22"/>
        <v>-1983.6</v>
      </c>
      <c r="K146" s="61">
        <f t="shared" si="23"/>
        <v>-2358.5699999999997</v>
      </c>
      <c r="L146" s="61">
        <f t="shared" si="24"/>
        <v>-2723.3999999999996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2">
        <v>0.65</v>
      </c>
      <c r="C147" s="62">
        <f t="shared" si="15"/>
        <v>1280.0000000000002</v>
      </c>
      <c r="D147" s="62">
        <f t="shared" si="16"/>
        <v>2045.4750000000001</v>
      </c>
      <c r="E147" s="62">
        <f t="shared" si="17"/>
        <v>2772.67</v>
      </c>
      <c r="F147" s="62">
        <f t="shared" si="18"/>
        <v>3461.585</v>
      </c>
      <c r="G147" s="62">
        <f t="shared" si="19"/>
        <v>4112.22</v>
      </c>
      <c r="H147" s="62">
        <f t="shared" si="20"/>
        <v>-1294.44</v>
      </c>
      <c r="I147" s="62">
        <f t="shared" si="21"/>
        <v>-1723.9650000000001</v>
      </c>
      <c r="J147" s="62">
        <f t="shared" si="22"/>
        <v>-2138.4</v>
      </c>
      <c r="K147" s="62">
        <f t="shared" si="23"/>
        <v>-2539.0950000000003</v>
      </c>
      <c r="L147" s="62">
        <f t="shared" si="24"/>
        <v>-2927.4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61">
        <v>0.7</v>
      </c>
      <c r="C148" s="61">
        <f t="shared" si="15"/>
        <v>1385</v>
      </c>
      <c r="D148" s="61">
        <f t="shared" si="16"/>
        <v>2228.85</v>
      </c>
      <c r="E148" s="61">
        <f t="shared" si="17"/>
        <v>3031.72</v>
      </c>
      <c r="F148" s="61">
        <f t="shared" si="18"/>
        <v>3793.61</v>
      </c>
      <c r="G148" s="61">
        <f t="shared" si="19"/>
        <v>4514.5200000000004</v>
      </c>
      <c r="H148" s="61">
        <f t="shared" si="20"/>
        <v>-1391.04</v>
      </c>
      <c r="I148" s="61">
        <f t="shared" si="21"/>
        <v>-1850.79</v>
      </c>
      <c r="J148" s="61">
        <f t="shared" si="22"/>
        <v>-2293.1999999999998</v>
      </c>
      <c r="K148" s="61">
        <f t="shared" si="23"/>
        <v>-2719.62</v>
      </c>
      <c r="L148" s="61">
        <f t="shared" si="24"/>
        <v>-3131.3999999999996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2">
        <v>0.75</v>
      </c>
      <c r="C149" s="62">
        <f t="shared" si="15"/>
        <v>1490</v>
      </c>
      <c r="D149" s="62">
        <f t="shared" si="16"/>
        <v>2412.2250000000004</v>
      </c>
      <c r="E149" s="62">
        <f t="shared" si="17"/>
        <v>3290.77</v>
      </c>
      <c r="F149" s="62">
        <f t="shared" si="18"/>
        <v>4125.6350000000002</v>
      </c>
      <c r="G149" s="62">
        <f t="shared" si="19"/>
        <v>4916.82</v>
      </c>
      <c r="H149" s="62">
        <f t="shared" si="20"/>
        <v>-1487.6399999999999</v>
      </c>
      <c r="I149" s="62">
        <f t="shared" si="21"/>
        <v>-1977.615</v>
      </c>
      <c r="J149" s="62">
        <f t="shared" si="22"/>
        <v>-2448</v>
      </c>
      <c r="K149" s="62">
        <f t="shared" si="23"/>
        <v>-2900.1450000000004</v>
      </c>
      <c r="L149" s="62">
        <f t="shared" si="24"/>
        <v>-3335.3999999999996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61">
        <v>0.8</v>
      </c>
      <c r="C150" s="61">
        <f t="shared" si="15"/>
        <v>1595.0000000000002</v>
      </c>
      <c r="D150" s="61">
        <f t="shared" si="16"/>
        <v>2595.6000000000004</v>
      </c>
      <c r="E150" s="61">
        <f t="shared" si="17"/>
        <v>3549.82</v>
      </c>
      <c r="F150" s="61">
        <f t="shared" si="18"/>
        <v>4457.6600000000008</v>
      </c>
      <c r="G150" s="61">
        <f t="shared" si="19"/>
        <v>5319.1200000000008</v>
      </c>
      <c r="H150" s="61">
        <f t="shared" si="20"/>
        <v>-1584.24</v>
      </c>
      <c r="I150" s="61">
        <f t="shared" si="21"/>
        <v>-2104.44</v>
      </c>
      <c r="J150" s="61">
        <f t="shared" si="22"/>
        <v>-2602.8000000000002</v>
      </c>
      <c r="K150" s="61">
        <f t="shared" si="23"/>
        <v>-3080.67</v>
      </c>
      <c r="L150" s="61">
        <f t="shared" si="24"/>
        <v>-3539.4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2">
        <v>0.85</v>
      </c>
      <c r="C151" s="62">
        <f t="shared" si="15"/>
        <v>1700</v>
      </c>
      <c r="D151" s="62">
        <f t="shared" si="16"/>
        <v>2778.9749999999999</v>
      </c>
      <c r="E151" s="62">
        <f t="shared" si="17"/>
        <v>3808.87</v>
      </c>
      <c r="F151" s="62">
        <f t="shared" si="18"/>
        <v>4789.6849999999995</v>
      </c>
      <c r="G151" s="62">
        <f t="shared" si="19"/>
        <v>5721.42</v>
      </c>
      <c r="H151" s="62">
        <f t="shared" si="20"/>
        <v>-1680.84</v>
      </c>
      <c r="I151" s="62">
        <f t="shared" si="21"/>
        <v>-2231.2649999999999</v>
      </c>
      <c r="J151" s="62">
        <f t="shared" si="22"/>
        <v>-2757.6</v>
      </c>
      <c r="K151" s="62">
        <f t="shared" si="23"/>
        <v>-3261.1950000000002</v>
      </c>
      <c r="L151" s="62">
        <f t="shared" si="24"/>
        <v>-3743.3999999999996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61">
        <v>0.9</v>
      </c>
      <c r="C152" s="61">
        <f t="shared" si="15"/>
        <v>1805.0000000000002</v>
      </c>
      <c r="D152" s="61">
        <f t="shared" si="16"/>
        <v>2962.3500000000004</v>
      </c>
      <c r="E152" s="61">
        <f t="shared" si="17"/>
        <v>4067.92</v>
      </c>
      <c r="F152" s="61">
        <f t="shared" si="18"/>
        <v>5121.71</v>
      </c>
      <c r="G152" s="61">
        <f t="shared" si="19"/>
        <v>6123.72</v>
      </c>
      <c r="H152" s="61">
        <f t="shared" si="20"/>
        <v>-1777.44</v>
      </c>
      <c r="I152" s="61">
        <f t="shared" si="21"/>
        <v>-2358.09</v>
      </c>
      <c r="J152" s="61">
        <f t="shared" si="22"/>
        <v>-2912.4</v>
      </c>
      <c r="K152" s="61">
        <f t="shared" si="23"/>
        <v>-3441.7200000000003</v>
      </c>
      <c r="L152" s="61">
        <f t="shared" si="24"/>
        <v>-3947.4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2">
        <v>0.95</v>
      </c>
      <c r="C153" s="62">
        <f t="shared" si="15"/>
        <v>1910</v>
      </c>
      <c r="D153" s="62">
        <f t="shared" si="16"/>
        <v>3145.7249999999999</v>
      </c>
      <c r="E153" s="62">
        <f t="shared" si="17"/>
        <v>4326.9699999999993</v>
      </c>
      <c r="F153" s="62">
        <f t="shared" si="18"/>
        <v>5453.7350000000006</v>
      </c>
      <c r="G153" s="62">
        <f t="shared" si="19"/>
        <v>6526.0199999999995</v>
      </c>
      <c r="H153" s="62">
        <f t="shared" si="20"/>
        <v>-1874.04</v>
      </c>
      <c r="I153" s="62">
        <f t="shared" si="21"/>
        <v>-2484.915</v>
      </c>
      <c r="J153" s="62">
        <f t="shared" si="22"/>
        <v>-3067.2</v>
      </c>
      <c r="K153" s="62">
        <f t="shared" si="23"/>
        <v>-3622.2450000000003</v>
      </c>
      <c r="L153" s="62">
        <f t="shared" si="24"/>
        <v>-4151.3999999999996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61">
        <v>1</v>
      </c>
      <c r="C154" s="61">
        <f t="shared" si="15"/>
        <v>2015</v>
      </c>
      <c r="D154" s="61">
        <f t="shared" si="16"/>
        <v>3329.1</v>
      </c>
      <c r="E154" s="61">
        <f t="shared" si="17"/>
        <v>4586.0200000000004</v>
      </c>
      <c r="F154" s="61">
        <f t="shared" si="18"/>
        <v>5785.76</v>
      </c>
      <c r="G154" s="61">
        <f t="shared" si="19"/>
        <v>6928.3200000000006</v>
      </c>
      <c r="H154" s="61">
        <f t="shared" si="20"/>
        <v>-1970.64</v>
      </c>
      <c r="I154" s="61">
        <f t="shared" si="21"/>
        <v>-2611.7399999999998</v>
      </c>
      <c r="J154" s="61">
        <f t="shared" si="22"/>
        <v>-3222</v>
      </c>
      <c r="K154" s="61">
        <f t="shared" si="23"/>
        <v>-3802.7700000000004</v>
      </c>
      <c r="L154" s="61">
        <f t="shared" si="24"/>
        <v>-4355.3999999999996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7" t="s">
        <v>97</v>
      </c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</row>
    <row r="164" spans="2:22" ht="44" customHeight="1">
      <c r="B164" s="63" t="s">
        <v>30</v>
      </c>
      <c r="C164" s="64" t="s">
        <v>31</v>
      </c>
      <c r="D164" s="64" t="s">
        <v>32</v>
      </c>
      <c r="E164" s="64" t="s">
        <v>33</v>
      </c>
      <c r="F164" s="64" t="s">
        <v>10</v>
      </c>
      <c r="G164" s="63" t="s">
        <v>44</v>
      </c>
      <c r="H164" s="63" t="s">
        <v>34</v>
      </c>
      <c r="I164" s="64" t="s">
        <v>26</v>
      </c>
      <c r="J164" s="64" t="s">
        <v>35</v>
      </c>
      <c r="K164" s="63" t="s">
        <v>45</v>
      </c>
      <c r="L164" s="63" t="s">
        <v>36</v>
      </c>
      <c r="M164" s="64" t="s">
        <v>15</v>
      </c>
      <c r="N164" s="64" t="s">
        <v>16</v>
      </c>
      <c r="O164" s="63" t="s">
        <v>37</v>
      </c>
      <c r="P164" s="64" t="s">
        <v>29</v>
      </c>
      <c r="Q164" s="63" t="s">
        <v>38</v>
      </c>
      <c r="R164" s="63" t="s">
        <v>39</v>
      </c>
      <c r="S164" s="63" t="s">
        <v>40</v>
      </c>
      <c r="T164" s="63" t="s">
        <v>41</v>
      </c>
      <c r="U164" s="63" t="s">
        <v>42</v>
      </c>
      <c r="V164" s="63" t="s">
        <v>43</v>
      </c>
    </row>
    <row r="165" spans="2:22" ht="2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3431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5181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3096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2026-10-25T16:26:04Z</dcterms:modified>
</cp:coreProperties>
</file>