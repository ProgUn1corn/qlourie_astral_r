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E491ADC5-F862-4705-9401-3F66287E1DDC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Catalog" sheetId="8" r:id="rId1"/>
    <sheet name="Calculator" sheetId="6" r:id="rId2"/>
    <sheet name="LSC Sweep" sheetId="1" r:id="rId3"/>
    <sheet name="HSC Sweep" sheetId="2" r:id="rId4"/>
    <sheet name="LSR Sweep" sheetId="3" r:id="rId5"/>
    <sheet name="Full Sweep" sheetId="4" r:id="rId6"/>
    <sheet name="Parameters" sheetId="5" r:id="rId7"/>
    <sheet name="Locale" sheetId="9" state="hidden" r:id="rId8"/>
    <sheet name="Samples" sheetId="7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5" i="7" l="1"/>
  <c r="D165" i="7"/>
  <c r="C165" i="7"/>
  <c r="C49" i="7"/>
  <c r="C48" i="7"/>
  <c r="Q48" i="7" s="1"/>
  <c r="T48" i="7" s="1"/>
  <c r="C47" i="7"/>
  <c r="C46" i="7"/>
  <c r="C45" i="7"/>
  <c r="D9" i="7"/>
  <c r="D8" i="7"/>
  <c r="D7" i="7"/>
  <c r="D6" i="7"/>
  <c r="D5" i="7"/>
  <c r="D78" i="9"/>
  <c r="B2" i="5" s="1"/>
  <c r="D77" i="9"/>
  <c r="B2" i="3" s="1"/>
  <c r="D76" i="9"/>
  <c r="B2" i="1" s="1"/>
  <c r="D75" i="9"/>
  <c r="B2" i="2" s="1"/>
  <c r="D74" i="9"/>
  <c r="B2" i="4" s="1"/>
  <c r="D73" i="9"/>
  <c r="B2" i="6" s="1"/>
  <c r="D72" i="9"/>
  <c r="D71" i="9"/>
  <c r="F6" i="6" s="1"/>
  <c r="D70" i="9"/>
  <c r="F13" i="6" s="1"/>
  <c r="D69" i="9"/>
  <c r="D68" i="9"/>
  <c r="D67" i="9"/>
  <c r="B27" i="6" s="1"/>
  <c r="D66" i="9"/>
  <c r="F23" i="5" s="1"/>
  <c r="D65" i="9"/>
  <c r="D64" i="9"/>
  <c r="F26" i="5" s="1"/>
  <c r="D63" i="9"/>
  <c r="D62" i="9"/>
  <c r="D61" i="9"/>
  <c r="F17" i="6" s="1"/>
  <c r="D60" i="9"/>
  <c r="D59" i="9"/>
  <c r="D58" i="9"/>
  <c r="D57" i="9"/>
  <c r="B10" i="6" s="1"/>
  <c r="D56" i="9"/>
  <c r="D55" i="9"/>
  <c r="D54" i="9"/>
  <c r="D53" i="9"/>
  <c r="D52" i="9"/>
  <c r="D51" i="9"/>
  <c r="F10" i="6" s="1"/>
  <c r="D50" i="9"/>
  <c r="D49" i="9"/>
  <c r="D48" i="9"/>
  <c r="D47" i="9"/>
  <c r="D46" i="9"/>
  <c r="D45" i="9"/>
  <c r="D44" i="9"/>
  <c r="D43" i="9"/>
  <c r="D42" i="9"/>
  <c r="B81" i="7" s="1"/>
  <c r="D41" i="9"/>
  <c r="D40" i="9"/>
  <c r="D39" i="9"/>
  <c r="B1" i="7" s="1"/>
  <c r="D38" i="9"/>
  <c r="D37" i="9"/>
  <c r="D36" i="9"/>
  <c r="D35" i="9"/>
  <c r="D7" i="8" s="1"/>
  <c r="D34" i="9"/>
  <c r="D33" i="9"/>
  <c r="D32" i="9"/>
  <c r="D31" i="9"/>
  <c r="B41" i="7" s="1"/>
  <c r="D30" i="9"/>
  <c r="D29" i="9"/>
  <c r="D28" i="9"/>
  <c r="D27" i="9"/>
  <c r="D26" i="9"/>
  <c r="B121" i="7" s="1"/>
  <c r="D25" i="9"/>
  <c r="E5" i="8" s="1"/>
  <c r="D24" i="9"/>
  <c r="B6" i="2" s="1"/>
  <c r="D23" i="9"/>
  <c r="B6" i="1" s="1"/>
  <c r="D22" i="9"/>
  <c r="D21" i="9"/>
  <c r="D20" i="9"/>
  <c r="D19" i="9"/>
  <c r="D18" i="9"/>
  <c r="D17" i="9"/>
  <c r="D16" i="9"/>
  <c r="D15" i="9"/>
  <c r="D14" i="9"/>
  <c r="D13" i="9"/>
  <c r="B161" i="7" s="1"/>
  <c r="D12" i="9"/>
  <c r="B13" i="6" s="1"/>
  <c r="D11" i="9"/>
  <c r="D10" i="9"/>
  <c r="D9" i="9"/>
  <c r="D8" i="9"/>
  <c r="D7" i="9"/>
  <c r="D6" i="9"/>
  <c r="D5" i="9"/>
  <c r="D4" i="9"/>
  <c r="D3" i="9"/>
  <c r="D2" i="9"/>
  <c r="F24" i="6"/>
  <c r="F23" i="6"/>
  <c r="F19" i="6"/>
  <c r="B18" i="6"/>
  <c r="C15" i="6"/>
  <c r="B15" i="6"/>
  <c r="C14" i="6"/>
  <c r="B14" i="6"/>
  <c r="C13" i="6"/>
  <c r="C18" i="6" s="1"/>
  <c r="F8" i="6"/>
  <c r="B6" i="6"/>
  <c r="F12" i="8"/>
  <c r="E12" i="8"/>
  <c r="F11" i="8"/>
  <c r="F10" i="8"/>
  <c r="E10" i="8"/>
  <c r="F9" i="8"/>
  <c r="E9" i="8"/>
  <c r="D9" i="8"/>
  <c r="B9" i="8"/>
  <c r="F8" i="8"/>
  <c r="E8" i="8"/>
  <c r="D8" i="8"/>
  <c r="B8" i="8"/>
  <c r="F7" i="8"/>
  <c r="E7" i="8"/>
  <c r="F6" i="8"/>
  <c r="E6" i="8"/>
  <c r="D6" i="8"/>
  <c r="D5" i="8"/>
  <c r="D4" i="8"/>
  <c r="B2" i="8"/>
  <c r="B28" i="5"/>
  <c r="B23" i="5"/>
  <c r="B22" i="5"/>
  <c r="M19" i="5"/>
  <c r="K19" i="5"/>
  <c r="G19" i="5"/>
  <c r="E19" i="5"/>
  <c r="C19" i="5"/>
  <c r="M18" i="5"/>
  <c r="K18" i="5"/>
  <c r="G18" i="5"/>
  <c r="E18" i="5"/>
  <c r="B18" i="5"/>
  <c r="M17" i="5"/>
  <c r="K17" i="5"/>
  <c r="G17" i="5"/>
  <c r="E17" i="5"/>
  <c r="B17" i="5"/>
  <c r="H16" i="5"/>
  <c r="G16" i="5"/>
  <c r="F16" i="5"/>
  <c r="E16" i="5"/>
  <c r="D16" i="5"/>
  <c r="C16" i="5"/>
  <c r="N14" i="5"/>
  <c r="M14" i="5"/>
  <c r="K14" i="5"/>
  <c r="J14" i="5"/>
  <c r="G14" i="5"/>
  <c r="E14" i="5"/>
  <c r="B14" i="5"/>
  <c r="M13" i="5"/>
  <c r="K13" i="5"/>
  <c r="G13" i="5"/>
  <c r="E13" i="5"/>
  <c r="M12" i="5"/>
  <c r="K12" i="5"/>
  <c r="G12" i="5"/>
  <c r="E12" i="5"/>
  <c r="C12" i="5"/>
  <c r="M11" i="5"/>
  <c r="K11" i="5"/>
  <c r="G11" i="5"/>
  <c r="E11" i="5"/>
  <c r="M10" i="5"/>
  <c r="K10" i="5"/>
  <c r="G10" i="5"/>
  <c r="E10" i="5"/>
  <c r="H8" i="5"/>
  <c r="G8" i="5"/>
  <c r="F8" i="5"/>
  <c r="E8" i="5"/>
  <c r="D8" i="5"/>
  <c r="C8" i="5"/>
  <c r="H7" i="5"/>
  <c r="G7" i="5"/>
  <c r="F7" i="5"/>
  <c r="E7" i="5"/>
  <c r="D7" i="5"/>
  <c r="C7" i="5"/>
  <c r="N6" i="5"/>
  <c r="M6" i="5"/>
  <c r="L6" i="5"/>
  <c r="K6" i="5"/>
  <c r="J6" i="5"/>
  <c r="C6" i="5"/>
  <c r="B6" i="5"/>
  <c r="B3" i="5"/>
  <c r="F22" i="6" l="1"/>
  <c r="B11" i="5"/>
  <c r="B4" i="4"/>
  <c r="B4" i="2"/>
  <c r="B4" i="1"/>
  <c r="B4" i="6"/>
  <c r="B4" i="3"/>
  <c r="F16" i="6"/>
  <c r="B13" i="5"/>
  <c r="S165" i="7"/>
  <c r="V165" i="7" s="1"/>
  <c r="R165" i="7"/>
  <c r="U165" i="7" s="1"/>
  <c r="Q165" i="7"/>
  <c r="T165" i="7" s="1"/>
  <c r="Q49" i="7"/>
  <c r="T49" i="7" s="1"/>
  <c r="F48" i="7"/>
  <c r="H48" i="7"/>
  <c r="Q47" i="7"/>
  <c r="T47" i="7" s="1"/>
  <c r="Q46" i="7"/>
  <c r="T46" i="7" s="1"/>
  <c r="Q45" i="7"/>
  <c r="T45" i="7" s="1"/>
  <c r="R9" i="7"/>
  <c r="U9" i="7" s="1"/>
  <c r="R8" i="7"/>
  <c r="U8" i="7" s="1"/>
  <c r="R7" i="7"/>
  <c r="U7" i="7" s="1"/>
  <c r="R6" i="7"/>
  <c r="U6" i="7" s="1"/>
  <c r="R5" i="7"/>
  <c r="U5" i="7" s="1"/>
  <c r="L44" i="7"/>
  <c r="L124" i="7"/>
  <c r="L84" i="7"/>
  <c r="L4" i="7"/>
  <c r="L164" i="7"/>
  <c r="B53" i="7"/>
  <c r="B133" i="7"/>
  <c r="B93" i="7"/>
  <c r="B13" i="7"/>
  <c r="K44" i="7"/>
  <c r="K164" i="7"/>
  <c r="K4" i="7"/>
  <c r="K124" i="7"/>
  <c r="K84" i="7"/>
  <c r="N84" i="7"/>
  <c r="N124" i="7"/>
  <c r="N44" i="7"/>
  <c r="N4" i="7"/>
  <c r="N164" i="7"/>
  <c r="M164" i="7"/>
  <c r="M84" i="7"/>
  <c r="M44" i="7"/>
  <c r="M124" i="7"/>
  <c r="M4" i="7"/>
  <c r="V164" i="7"/>
  <c r="V124" i="7"/>
  <c r="V84" i="7"/>
  <c r="V44" i="7"/>
  <c r="V4" i="7"/>
  <c r="S164" i="7"/>
  <c r="S84" i="7"/>
  <c r="S44" i="7"/>
  <c r="S124" i="7"/>
  <c r="S4" i="7"/>
  <c r="T164" i="7"/>
  <c r="T84" i="7"/>
  <c r="T44" i="7"/>
  <c r="T4" i="7"/>
  <c r="T124" i="7"/>
  <c r="Q4" i="7"/>
  <c r="Q44" i="7"/>
  <c r="Q84" i="7"/>
  <c r="Q124" i="7"/>
  <c r="Q164" i="7"/>
  <c r="O164" i="7"/>
  <c r="O4" i="7"/>
  <c r="O84" i="7"/>
  <c r="O124" i="7"/>
  <c r="O44" i="7"/>
  <c r="U124" i="7"/>
  <c r="U84" i="7"/>
  <c r="U4" i="7"/>
  <c r="U164" i="7"/>
  <c r="U44" i="7"/>
  <c r="R44" i="7"/>
  <c r="R84" i="7"/>
  <c r="R124" i="7"/>
  <c r="R164" i="7"/>
  <c r="R4" i="7"/>
  <c r="G124" i="7"/>
  <c r="G84" i="7"/>
  <c r="G4" i="7"/>
  <c r="G164" i="7"/>
  <c r="G44" i="7"/>
  <c r="B124" i="7"/>
  <c r="B84" i="7"/>
  <c r="B44" i="7"/>
  <c r="B164" i="7"/>
  <c r="B4" i="7"/>
  <c r="H124" i="7"/>
  <c r="H4" i="7"/>
  <c r="H44" i="7"/>
  <c r="H84" i="7"/>
  <c r="H164" i="7"/>
  <c r="E129" i="7"/>
  <c r="E89" i="7"/>
  <c r="E9" i="7"/>
  <c r="E49" i="7"/>
  <c r="E8" i="7"/>
  <c r="E48" i="7"/>
  <c r="E88" i="7"/>
  <c r="E128" i="7"/>
  <c r="E47" i="7"/>
  <c r="E87" i="7"/>
  <c r="E7" i="7"/>
  <c r="E127" i="7"/>
  <c r="E46" i="7"/>
  <c r="E86" i="7"/>
  <c r="E6" i="7"/>
  <c r="E126" i="7"/>
  <c r="E5" i="7"/>
  <c r="E85" i="7"/>
  <c r="E45" i="7"/>
  <c r="E125" i="7"/>
  <c r="D129" i="7"/>
  <c r="D89" i="7"/>
  <c r="D49" i="7"/>
  <c r="D88" i="7"/>
  <c r="D128" i="7"/>
  <c r="D48" i="7"/>
  <c r="D87" i="7"/>
  <c r="D47" i="7"/>
  <c r="D127" i="7"/>
  <c r="D46" i="7"/>
  <c r="D126" i="7"/>
  <c r="D86" i="7"/>
  <c r="D45" i="7"/>
  <c r="D85" i="7"/>
  <c r="D125" i="7"/>
  <c r="C89" i="7"/>
  <c r="C9" i="7"/>
  <c r="C129" i="7"/>
  <c r="C88" i="7"/>
  <c r="C8" i="7"/>
  <c r="C128" i="7"/>
  <c r="C127" i="7"/>
  <c r="C87" i="7"/>
  <c r="C7" i="7"/>
  <c r="C126" i="7"/>
  <c r="C6" i="7"/>
  <c r="C86" i="7"/>
  <c r="C85" i="7"/>
  <c r="C5" i="7"/>
  <c r="C125" i="7"/>
  <c r="N16" i="5"/>
  <c r="N7" i="5"/>
  <c r="N8" i="5"/>
  <c r="M16" i="5"/>
  <c r="M8" i="5"/>
  <c r="M7" i="5"/>
  <c r="L16" i="5"/>
  <c r="L7" i="5"/>
  <c r="L8" i="5"/>
  <c r="K16" i="5"/>
  <c r="K7" i="5"/>
  <c r="K8" i="5"/>
  <c r="J16" i="5"/>
  <c r="J8" i="5"/>
  <c r="J7" i="5"/>
  <c r="M165" i="7" l="1"/>
  <c r="N165" i="7"/>
  <c r="I24" i="6" s="1"/>
  <c r="O165" i="7"/>
  <c r="J165" i="7"/>
  <c r="I16" i="6" s="1"/>
  <c r="K165" i="7"/>
  <c r="I23" i="6" s="1"/>
  <c r="F165" i="7"/>
  <c r="G165" i="7"/>
  <c r="I22" i="6" s="1"/>
  <c r="H165" i="7"/>
  <c r="F49" i="7"/>
  <c r="H49" i="7"/>
  <c r="I48" i="7"/>
  <c r="H47" i="7"/>
  <c r="F47" i="7"/>
  <c r="F46" i="7"/>
  <c r="H46" i="7"/>
  <c r="F45" i="7"/>
  <c r="H45" i="7"/>
  <c r="J9" i="7"/>
  <c r="K9" i="7"/>
  <c r="J8" i="7"/>
  <c r="K8" i="7"/>
  <c r="K7" i="7"/>
  <c r="J7" i="7"/>
  <c r="K6" i="7"/>
  <c r="J6" i="7"/>
  <c r="J5" i="7"/>
  <c r="K5" i="7"/>
  <c r="S129" i="7"/>
  <c r="V129" i="7" s="1"/>
  <c r="L133" i="7"/>
  <c r="S89" i="7"/>
  <c r="V89" i="7" s="1"/>
  <c r="B89" i="7"/>
  <c r="G93" i="7" s="1"/>
  <c r="S9" i="7"/>
  <c r="V9" i="7" s="1"/>
  <c r="S49" i="7"/>
  <c r="V49" i="7" s="1"/>
  <c r="S8" i="7"/>
  <c r="V8" i="7" s="1"/>
  <c r="S48" i="7"/>
  <c r="V48" i="7" s="1"/>
  <c r="S88" i="7"/>
  <c r="V88" i="7" s="1"/>
  <c r="B88" i="7"/>
  <c r="F93" i="7" s="1"/>
  <c r="S128" i="7"/>
  <c r="V128" i="7" s="1"/>
  <c r="K133" i="7"/>
  <c r="S47" i="7"/>
  <c r="V47" i="7" s="1"/>
  <c r="S87" i="7"/>
  <c r="V87" i="7" s="1"/>
  <c r="B87" i="7"/>
  <c r="E93" i="7" s="1"/>
  <c r="S7" i="7"/>
  <c r="V7" i="7" s="1"/>
  <c r="S127" i="7"/>
  <c r="V127" i="7" s="1"/>
  <c r="J133" i="7"/>
  <c r="S46" i="7"/>
  <c r="V46" i="7" s="1"/>
  <c r="S86" i="7"/>
  <c r="V86" i="7" s="1"/>
  <c r="B86" i="7"/>
  <c r="D93" i="7" s="1"/>
  <c r="S6" i="7"/>
  <c r="V6" i="7" s="1"/>
  <c r="S126" i="7"/>
  <c r="V126" i="7" s="1"/>
  <c r="I133" i="7"/>
  <c r="S5" i="7"/>
  <c r="V5" i="7" s="1"/>
  <c r="S85" i="7"/>
  <c r="V85" i="7" s="1"/>
  <c r="B85" i="7"/>
  <c r="C93" i="7" s="1"/>
  <c r="S45" i="7"/>
  <c r="V45" i="7" s="1"/>
  <c r="H133" i="7"/>
  <c r="S125" i="7"/>
  <c r="V125" i="7" s="1"/>
  <c r="R129" i="7"/>
  <c r="U129" i="7" s="1"/>
  <c r="R89" i="7"/>
  <c r="U89" i="7" s="1"/>
  <c r="R49" i="7"/>
  <c r="B49" i="7"/>
  <c r="G53" i="7" s="1"/>
  <c r="R88" i="7"/>
  <c r="U88" i="7" s="1"/>
  <c r="R128" i="7"/>
  <c r="U128" i="7" s="1"/>
  <c r="R48" i="7"/>
  <c r="B48" i="7"/>
  <c r="F53" i="7" s="1"/>
  <c r="R87" i="7"/>
  <c r="U87" i="7" s="1"/>
  <c r="B47" i="7"/>
  <c r="E53" i="7" s="1"/>
  <c r="R47" i="7"/>
  <c r="U47" i="7" s="1"/>
  <c r="R127" i="7"/>
  <c r="U127" i="7" s="1"/>
  <c r="B46" i="7"/>
  <c r="D53" i="7" s="1"/>
  <c r="R46" i="7"/>
  <c r="R126" i="7"/>
  <c r="U126" i="7" s="1"/>
  <c r="R86" i="7"/>
  <c r="U86" i="7" s="1"/>
  <c r="R45" i="7"/>
  <c r="U45" i="7" s="1"/>
  <c r="B45" i="7"/>
  <c r="C53" i="7" s="1"/>
  <c r="R85" i="7"/>
  <c r="U85" i="7" s="1"/>
  <c r="R125" i="7"/>
  <c r="U125" i="7" s="1"/>
  <c r="Q89" i="7"/>
  <c r="T89" i="7" s="1"/>
  <c r="B9" i="7"/>
  <c r="G13" i="7" s="1"/>
  <c r="Q9" i="7"/>
  <c r="T9" i="7" s="1"/>
  <c r="Q129" i="7"/>
  <c r="T129" i="7" s="1"/>
  <c r="B129" i="7"/>
  <c r="G133" i="7" s="1"/>
  <c r="Q88" i="7"/>
  <c r="T88" i="7" s="1"/>
  <c r="B8" i="7"/>
  <c r="F13" i="7" s="1"/>
  <c r="Q8" i="7"/>
  <c r="T8" i="7" s="1"/>
  <c r="Q128" i="7"/>
  <c r="T128" i="7" s="1"/>
  <c r="B128" i="7"/>
  <c r="F133" i="7" s="1"/>
  <c r="Q127" i="7"/>
  <c r="T127" i="7" s="1"/>
  <c r="B127" i="7"/>
  <c r="E133" i="7" s="1"/>
  <c r="Q87" i="7"/>
  <c r="T87" i="7" s="1"/>
  <c r="Q7" i="7"/>
  <c r="T7" i="7" s="1"/>
  <c r="B7" i="7"/>
  <c r="E13" i="7" s="1"/>
  <c r="Q126" i="7"/>
  <c r="T126" i="7" s="1"/>
  <c r="B126" i="7"/>
  <c r="D133" i="7" s="1"/>
  <c r="Q6" i="7"/>
  <c r="T6" i="7" s="1"/>
  <c r="B6" i="7"/>
  <c r="D13" i="7" s="1"/>
  <c r="Q86" i="7"/>
  <c r="T86" i="7" s="1"/>
  <c r="Q85" i="7"/>
  <c r="T85" i="7" s="1"/>
  <c r="Q5" i="7"/>
  <c r="T5" i="7" s="1"/>
  <c r="B5" i="7"/>
  <c r="C13" i="7" s="1"/>
  <c r="B125" i="7"/>
  <c r="C133" i="7" s="1"/>
  <c r="Q125" i="7"/>
  <c r="T125" i="7" s="1"/>
  <c r="G47" i="7" l="1"/>
  <c r="G45" i="7"/>
  <c r="U49" i="7"/>
  <c r="K49" i="7" s="1"/>
  <c r="U48" i="7"/>
  <c r="K48" i="7" s="1"/>
  <c r="U46" i="7"/>
  <c r="P165" i="7"/>
  <c r="I19" i="6"/>
  <c r="I165" i="7"/>
  <c r="I8" i="6" s="1"/>
  <c r="I14" i="6"/>
  <c r="I49" i="7"/>
  <c r="I47" i="7"/>
  <c r="I46" i="7"/>
  <c r="I45" i="7"/>
  <c r="M129" i="7"/>
  <c r="N129" i="7"/>
  <c r="O129" i="7"/>
  <c r="M89" i="7"/>
  <c r="N89" i="7"/>
  <c r="O89" i="7"/>
  <c r="O9" i="7"/>
  <c r="M9" i="7"/>
  <c r="N9" i="7"/>
  <c r="M49" i="7"/>
  <c r="N49" i="7"/>
  <c r="O49" i="7"/>
  <c r="O8" i="7"/>
  <c r="M8" i="7"/>
  <c r="N8" i="7"/>
  <c r="M48" i="7"/>
  <c r="O48" i="7"/>
  <c r="N48" i="7"/>
  <c r="M88" i="7"/>
  <c r="N88" i="7"/>
  <c r="O88" i="7"/>
  <c r="M128" i="7"/>
  <c r="N128" i="7"/>
  <c r="O128" i="7"/>
  <c r="N47" i="7"/>
  <c r="M47" i="7"/>
  <c r="O47" i="7"/>
  <c r="O87" i="7"/>
  <c r="M87" i="7"/>
  <c r="N87" i="7"/>
  <c r="N7" i="7"/>
  <c r="M7" i="7"/>
  <c r="O7" i="7"/>
  <c r="N127" i="7"/>
  <c r="M127" i="7"/>
  <c r="O127" i="7"/>
  <c r="N46" i="7"/>
  <c r="M46" i="7"/>
  <c r="O46" i="7"/>
  <c r="N86" i="7"/>
  <c r="M86" i="7"/>
  <c r="O86" i="7"/>
  <c r="M6" i="7"/>
  <c r="N6" i="7"/>
  <c r="O6" i="7"/>
  <c r="O126" i="7"/>
  <c r="M126" i="7"/>
  <c r="N126" i="7"/>
  <c r="N5" i="7"/>
  <c r="O5" i="7"/>
  <c r="M5" i="7"/>
  <c r="N85" i="7"/>
  <c r="M85" i="7"/>
  <c r="O85" i="7"/>
  <c r="M45" i="7"/>
  <c r="O45" i="7"/>
  <c r="N45" i="7"/>
  <c r="N125" i="7"/>
  <c r="M125" i="7"/>
  <c r="O125" i="7"/>
  <c r="J129" i="7"/>
  <c r="K129" i="7"/>
  <c r="J89" i="7"/>
  <c r="K89" i="7"/>
  <c r="J88" i="7"/>
  <c r="K88" i="7"/>
  <c r="J128" i="7"/>
  <c r="K128" i="7"/>
  <c r="J87" i="7"/>
  <c r="K87" i="7"/>
  <c r="J47" i="7"/>
  <c r="K47" i="7"/>
  <c r="J127" i="7"/>
  <c r="K127" i="7"/>
  <c r="K126" i="7"/>
  <c r="J126" i="7"/>
  <c r="J86" i="7"/>
  <c r="K86" i="7"/>
  <c r="J45" i="7"/>
  <c r="K45" i="7"/>
  <c r="J85" i="7"/>
  <c r="K85" i="7"/>
  <c r="J125" i="7"/>
  <c r="K125" i="7"/>
  <c r="F89" i="7"/>
  <c r="G89" i="7"/>
  <c r="H89" i="7"/>
  <c r="F9" i="7"/>
  <c r="H9" i="7"/>
  <c r="G9" i="7"/>
  <c r="F129" i="7"/>
  <c r="G129" i="7"/>
  <c r="H129" i="7"/>
  <c r="F88" i="7"/>
  <c r="G88" i="7"/>
  <c r="H88" i="7"/>
  <c r="F8" i="7"/>
  <c r="G8" i="7"/>
  <c r="H8" i="7"/>
  <c r="F128" i="7"/>
  <c r="G128" i="7"/>
  <c r="H128" i="7"/>
  <c r="F127" i="7"/>
  <c r="G127" i="7"/>
  <c r="H127" i="7"/>
  <c r="G87" i="7"/>
  <c r="F87" i="7"/>
  <c r="H87" i="7"/>
  <c r="G7" i="7"/>
  <c r="F7" i="7"/>
  <c r="H7" i="7"/>
  <c r="F126" i="7"/>
  <c r="H126" i="7"/>
  <c r="G126" i="7"/>
  <c r="F6" i="7"/>
  <c r="H6" i="7"/>
  <c r="G6" i="7"/>
  <c r="G86" i="7"/>
  <c r="F86" i="7"/>
  <c r="H86" i="7"/>
  <c r="H85" i="7"/>
  <c r="F85" i="7"/>
  <c r="G85" i="7"/>
  <c r="G5" i="7"/>
  <c r="F5" i="7"/>
  <c r="H5" i="7"/>
  <c r="G125" i="7"/>
  <c r="F125" i="7"/>
  <c r="H125" i="7"/>
  <c r="G46" i="7" l="1"/>
  <c r="K46" i="7"/>
  <c r="J46" i="7"/>
  <c r="P9" i="7"/>
  <c r="P8" i="7"/>
  <c r="I85" i="7"/>
  <c r="L85" i="7" s="1"/>
  <c r="P5" i="7"/>
  <c r="G48" i="7"/>
  <c r="J48" i="7"/>
  <c r="L48" i="7" s="1"/>
  <c r="J49" i="7"/>
  <c r="G49" i="7"/>
  <c r="P6" i="7"/>
  <c r="L165" i="7"/>
  <c r="I17" i="6" s="1"/>
  <c r="I15" i="6"/>
  <c r="P129" i="7"/>
  <c r="P89" i="7"/>
  <c r="G94" i="7" s="1"/>
  <c r="P88" i="7"/>
  <c r="P128" i="7"/>
  <c r="P87" i="7"/>
  <c r="E94" i="7" s="1"/>
  <c r="P127" i="7"/>
  <c r="J135" i="7"/>
  <c r="P86" i="7"/>
  <c r="P126" i="7"/>
  <c r="P85" i="7"/>
  <c r="P125" i="7"/>
  <c r="I9" i="7"/>
  <c r="G16" i="7"/>
  <c r="I129" i="7"/>
  <c r="G135" i="7" s="1"/>
  <c r="I8" i="7"/>
  <c r="F18" i="7"/>
  <c r="I128" i="7"/>
  <c r="I127" i="7"/>
  <c r="E135" i="7"/>
  <c r="E137" i="7"/>
  <c r="I7" i="7"/>
  <c r="E24" i="7"/>
  <c r="I126" i="7"/>
  <c r="D136" i="7" s="1"/>
  <c r="I6" i="7"/>
  <c r="I5" i="7"/>
  <c r="C16" i="7" s="1"/>
  <c r="I125" i="7"/>
  <c r="L47" i="7"/>
  <c r="I87" i="7"/>
  <c r="L87" i="7" s="1"/>
  <c r="L45" i="7"/>
  <c r="P49" i="7"/>
  <c r="P48" i="7"/>
  <c r="P47" i="7"/>
  <c r="P7" i="7"/>
  <c r="P46" i="7"/>
  <c r="P45" i="7"/>
  <c r="I89" i="7"/>
  <c r="L89" i="7" s="1"/>
  <c r="I88" i="7"/>
  <c r="L88" i="7" s="1"/>
  <c r="I86" i="7"/>
  <c r="L86" i="7" s="1"/>
  <c r="I20" i="6"/>
  <c r="I10" i="6"/>
  <c r="E65" i="7"/>
  <c r="E66" i="7"/>
  <c r="E69" i="7"/>
  <c r="E71" i="7"/>
  <c r="E72" i="7"/>
  <c r="E73" i="7"/>
  <c r="E64" i="7"/>
  <c r="E68" i="7"/>
  <c r="E59" i="7"/>
  <c r="E62" i="7"/>
  <c r="E67" i="7"/>
  <c r="E70" i="7"/>
  <c r="E74" i="7"/>
  <c r="E56" i="7"/>
  <c r="E57" i="7"/>
  <c r="E60" i="7"/>
  <c r="E61" i="7"/>
  <c r="E63" i="7"/>
  <c r="E54" i="7"/>
  <c r="E55" i="7"/>
  <c r="E58" i="7"/>
  <c r="C73" i="7"/>
  <c r="C66" i="7"/>
  <c r="C55" i="7"/>
  <c r="C64" i="7"/>
  <c r="C70" i="7"/>
  <c r="C74" i="7"/>
  <c r="C63" i="7"/>
  <c r="C59" i="7"/>
  <c r="C67" i="7"/>
  <c r="C62" i="7"/>
  <c r="C69" i="7"/>
  <c r="C61" i="7"/>
  <c r="C57" i="7"/>
  <c r="C72" i="7"/>
  <c r="C65" i="7"/>
  <c r="C68" i="7"/>
  <c r="C60" i="7"/>
  <c r="C56" i="7"/>
  <c r="C54" i="7"/>
  <c r="C71" i="7"/>
  <c r="C58" i="7"/>
  <c r="E134" i="7" l="1"/>
  <c r="E138" i="7"/>
  <c r="E136" i="7"/>
  <c r="E139" i="7"/>
  <c r="E140" i="7"/>
  <c r="E141" i="7"/>
  <c r="E142" i="7"/>
  <c r="C96" i="7"/>
  <c r="C97" i="7"/>
  <c r="C109" i="7"/>
  <c r="C150" i="7"/>
  <c r="C135" i="7"/>
  <c r="C136" i="7"/>
  <c r="C137" i="7"/>
  <c r="C138" i="7"/>
  <c r="C139" i="7"/>
  <c r="C140" i="7"/>
  <c r="C141" i="7"/>
  <c r="C146" i="7"/>
  <c r="C148" i="7"/>
  <c r="C142" i="7"/>
  <c r="C144" i="7"/>
  <c r="C145" i="7"/>
  <c r="C147" i="7"/>
  <c r="C149" i="7"/>
  <c r="H136" i="7"/>
  <c r="H137" i="7"/>
  <c r="K134" i="7"/>
  <c r="K135" i="7"/>
  <c r="K136" i="7"/>
  <c r="K137" i="7"/>
  <c r="J150" i="7"/>
  <c r="J151" i="7"/>
  <c r="F97" i="7"/>
  <c r="F94" i="7"/>
  <c r="D17" i="7"/>
  <c r="D18" i="7"/>
  <c r="D29" i="7"/>
  <c r="D32" i="7"/>
  <c r="D34" i="7"/>
  <c r="J134" i="7"/>
  <c r="J136" i="7"/>
  <c r="J149" i="7"/>
  <c r="F14" i="7"/>
  <c r="F23" i="7"/>
  <c r="F15" i="7"/>
  <c r="F27" i="7"/>
  <c r="F28" i="7"/>
  <c r="F31" i="7"/>
  <c r="G95" i="7"/>
  <c r="G96" i="7"/>
  <c r="G97" i="7"/>
  <c r="G98" i="7"/>
  <c r="E143" i="7"/>
  <c r="E144" i="7"/>
  <c r="E145" i="7"/>
  <c r="E146" i="7"/>
  <c r="E147" i="7"/>
  <c r="E148" i="7"/>
  <c r="E149" i="7"/>
  <c r="E150" i="7"/>
  <c r="E16" i="7"/>
  <c r="E23" i="7"/>
  <c r="L127" i="7"/>
  <c r="E151" i="7"/>
  <c r="E152" i="7"/>
  <c r="E153" i="7"/>
  <c r="E154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L46" i="7"/>
  <c r="D65" i="7"/>
  <c r="D67" i="7"/>
  <c r="D58" i="7"/>
  <c r="D61" i="7"/>
  <c r="D71" i="7"/>
  <c r="D73" i="7"/>
  <c r="D59" i="7"/>
  <c r="D62" i="7"/>
  <c r="D68" i="7"/>
  <c r="D54" i="7"/>
  <c r="D72" i="7"/>
  <c r="D56" i="7"/>
  <c r="D66" i="7"/>
  <c r="D64" i="7"/>
  <c r="D55" i="7"/>
  <c r="D60" i="7"/>
  <c r="D74" i="7"/>
  <c r="D69" i="7"/>
  <c r="D70" i="7"/>
  <c r="D57" i="7"/>
  <c r="D63" i="7"/>
  <c r="C110" i="7"/>
  <c r="C111" i="7"/>
  <c r="J141" i="7"/>
  <c r="J142" i="7"/>
  <c r="J143" i="7"/>
  <c r="J144" i="7"/>
  <c r="J145" i="7"/>
  <c r="J146" i="7"/>
  <c r="J147" i="7"/>
  <c r="J148" i="7"/>
  <c r="D134" i="7"/>
  <c r="D135" i="7"/>
  <c r="G15" i="7"/>
  <c r="G27" i="7"/>
  <c r="G29" i="7"/>
  <c r="G30" i="7"/>
  <c r="G32" i="7"/>
  <c r="G33" i="7"/>
  <c r="G34" i="7"/>
  <c r="G20" i="7"/>
  <c r="G22" i="7"/>
  <c r="G23" i="7"/>
  <c r="G18" i="7"/>
  <c r="G17" i="7"/>
  <c r="G28" i="7"/>
  <c r="G31" i="7"/>
  <c r="G99" i="7"/>
  <c r="G100" i="7"/>
  <c r="C143" i="7"/>
  <c r="C134" i="7"/>
  <c r="L49" i="7"/>
  <c r="G57" i="7"/>
  <c r="G59" i="7"/>
  <c r="G62" i="7"/>
  <c r="J137" i="7"/>
  <c r="J138" i="7"/>
  <c r="J139" i="7"/>
  <c r="J140" i="7"/>
  <c r="C94" i="7"/>
  <c r="C95" i="7"/>
  <c r="L129" i="7"/>
  <c r="G134" i="7"/>
  <c r="G65" i="7"/>
  <c r="G74" i="7"/>
  <c r="G101" i="7"/>
  <c r="G105" i="7"/>
  <c r="G106" i="7"/>
  <c r="G107" i="7"/>
  <c r="G108" i="7"/>
  <c r="G109" i="7"/>
  <c r="G110" i="7"/>
  <c r="G111" i="7"/>
  <c r="G112" i="7"/>
  <c r="G113" i="7"/>
  <c r="G114" i="7"/>
  <c r="G102" i="7"/>
  <c r="G103" i="7"/>
  <c r="G104" i="7"/>
  <c r="L134" i="7"/>
  <c r="L145" i="7"/>
  <c r="L146" i="7"/>
  <c r="L147" i="7"/>
  <c r="L148" i="7"/>
  <c r="L149" i="7"/>
  <c r="L150" i="7"/>
  <c r="L151" i="7"/>
  <c r="L152" i="7"/>
  <c r="L153" i="7"/>
  <c r="L154" i="7"/>
  <c r="F98" i="7"/>
  <c r="F99" i="7"/>
  <c r="F100" i="7"/>
  <c r="F101" i="7"/>
  <c r="F103" i="7"/>
  <c r="F104" i="7"/>
  <c r="F105" i="7"/>
  <c r="F72" i="7"/>
  <c r="F62" i="7"/>
  <c r="F73" i="7"/>
  <c r="F67" i="7"/>
  <c r="F55" i="7"/>
  <c r="F59" i="7"/>
  <c r="F65" i="7"/>
  <c r="F61" i="7"/>
  <c r="F64" i="7"/>
  <c r="F54" i="7"/>
  <c r="F58" i="7"/>
  <c r="F74" i="7"/>
  <c r="F66" i="7"/>
  <c r="F57" i="7"/>
  <c r="F71" i="7"/>
  <c r="F63" i="7"/>
  <c r="F69" i="7"/>
  <c r="F68" i="7"/>
  <c r="F60" i="7"/>
  <c r="F56" i="7"/>
  <c r="F70" i="7"/>
  <c r="G58" i="7"/>
  <c r="G55" i="7"/>
  <c r="G63" i="7"/>
  <c r="G71" i="7"/>
  <c r="G61" i="7"/>
  <c r="G69" i="7"/>
  <c r="F107" i="7"/>
  <c r="F108" i="7"/>
  <c r="F109" i="7"/>
  <c r="F110" i="7"/>
  <c r="F111" i="7"/>
  <c r="F112" i="7"/>
  <c r="F102" i="7"/>
  <c r="F106" i="7"/>
  <c r="F96" i="7"/>
  <c r="F95" i="7"/>
  <c r="F114" i="7"/>
  <c r="F113" i="7"/>
  <c r="C31" i="7"/>
  <c r="C33" i="7"/>
  <c r="C14" i="7"/>
  <c r="C21" i="7"/>
  <c r="C28" i="7"/>
  <c r="C30" i="7"/>
  <c r="C26" i="7"/>
  <c r="C18" i="7"/>
  <c r="C24" i="7"/>
  <c r="C23" i="7"/>
  <c r="C22" i="7"/>
  <c r="G54" i="7"/>
  <c r="G67" i="7"/>
  <c r="G56" i="7"/>
  <c r="G64" i="7"/>
  <c r="G66" i="7"/>
  <c r="G68" i="7"/>
  <c r="G70" i="7"/>
  <c r="G72" i="7"/>
  <c r="G73" i="7"/>
  <c r="G60" i="7"/>
  <c r="H134" i="7"/>
  <c r="H135" i="7"/>
  <c r="L9" i="7"/>
  <c r="G19" i="7"/>
  <c r="G14" i="7"/>
  <c r="G21" i="7"/>
  <c r="G24" i="7"/>
  <c r="G25" i="7"/>
  <c r="G26" i="7"/>
  <c r="L135" i="7"/>
  <c r="L136" i="7"/>
  <c r="L137" i="7"/>
  <c r="L138" i="7"/>
  <c r="L139" i="7"/>
  <c r="L140" i="7"/>
  <c r="L141" i="7"/>
  <c r="L142" i="7"/>
  <c r="L143" i="7"/>
  <c r="L144" i="7"/>
  <c r="D102" i="7"/>
  <c r="D103" i="7"/>
  <c r="E34" i="7"/>
  <c r="E28" i="7"/>
  <c r="E18" i="7"/>
  <c r="E14" i="7"/>
  <c r="E15" i="7"/>
  <c r="E20" i="7"/>
  <c r="E27" i="7"/>
  <c r="E31" i="7"/>
  <c r="L12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C29" i="7"/>
  <c r="C32" i="7"/>
  <c r="C34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J152" i="7"/>
  <c r="J153" i="7"/>
  <c r="J154" i="7"/>
  <c r="C100" i="7"/>
  <c r="C102" i="7"/>
  <c r="C104" i="7"/>
  <c r="C105" i="7"/>
  <c r="C106" i="7"/>
  <c r="C108" i="7"/>
  <c r="E101" i="7"/>
  <c r="E102" i="7"/>
  <c r="D94" i="7"/>
  <c r="D95" i="7"/>
  <c r="D96" i="7"/>
  <c r="D97" i="7"/>
  <c r="D98" i="7"/>
  <c r="D99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F34" i="7"/>
  <c r="F33" i="7"/>
  <c r="E95" i="7"/>
  <c r="E100" i="7"/>
  <c r="E106" i="7"/>
  <c r="E110" i="7"/>
  <c r="E114" i="7"/>
  <c r="E113" i="7"/>
  <c r="E98" i="7"/>
  <c r="E109" i="7"/>
  <c r="E104" i="7"/>
  <c r="E108" i="7"/>
  <c r="E112" i="7"/>
  <c r="E97" i="7"/>
  <c r="E105" i="7"/>
  <c r="E107" i="7"/>
  <c r="E96" i="7"/>
  <c r="E99" i="7"/>
  <c r="E103" i="7"/>
  <c r="E111" i="7"/>
  <c r="D106" i="7"/>
  <c r="D107" i="7"/>
  <c r="D109" i="7"/>
  <c r="D110" i="7"/>
  <c r="D111" i="7"/>
  <c r="D112" i="7"/>
  <c r="D113" i="7"/>
  <c r="D114" i="7"/>
  <c r="D108" i="7"/>
  <c r="D100" i="7"/>
  <c r="D101" i="7"/>
  <c r="D104" i="7"/>
  <c r="D105" i="7"/>
  <c r="I146" i="7"/>
  <c r="I145" i="7"/>
  <c r="I144" i="7"/>
  <c r="I143" i="7"/>
  <c r="I142" i="7"/>
  <c r="I151" i="7"/>
  <c r="I141" i="7"/>
  <c r="I140" i="7"/>
  <c r="I139" i="7"/>
  <c r="I153" i="7"/>
  <c r="I152" i="7"/>
  <c r="I150" i="7"/>
  <c r="I149" i="7"/>
  <c r="I148" i="7"/>
  <c r="I154" i="7"/>
  <c r="I147" i="7"/>
  <c r="I134" i="7"/>
  <c r="I135" i="7"/>
  <c r="I136" i="7"/>
  <c r="I137" i="7"/>
  <c r="I138" i="7"/>
  <c r="C99" i="7"/>
  <c r="C101" i="7"/>
  <c r="C103" i="7"/>
  <c r="C107" i="7"/>
  <c r="C113" i="7"/>
  <c r="C112" i="7"/>
  <c r="C114" i="7"/>
  <c r="C98" i="7"/>
  <c r="L8" i="7"/>
  <c r="F17" i="7"/>
  <c r="F22" i="7"/>
  <c r="F20" i="7"/>
  <c r="F30" i="7"/>
  <c r="F24" i="7"/>
  <c r="F19" i="7"/>
  <c r="F21" i="7"/>
  <c r="F26" i="7"/>
  <c r="F16" i="7"/>
  <c r="F25" i="7"/>
  <c r="F29" i="7"/>
  <c r="F32" i="7"/>
  <c r="L128" i="7"/>
  <c r="F134" i="7"/>
  <c r="F137" i="7"/>
  <c r="F140" i="7"/>
  <c r="F143" i="7"/>
  <c r="F146" i="7"/>
  <c r="F149" i="7"/>
  <c r="F152" i="7"/>
  <c r="F135" i="7"/>
  <c r="F138" i="7"/>
  <c r="F141" i="7"/>
  <c r="F145" i="7"/>
  <c r="F148" i="7"/>
  <c r="F151" i="7"/>
  <c r="F154" i="7"/>
  <c r="F150" i="7"/>
  <c r="F136" i="7"/>
  <c r="F139" i="7"/>
  <c r="F142" i="7"/>
  <c r="F144" i="7"/>
  <c r="F147" i="7"/>
  <c r="F153" i="7"/>
  <c r="L7" i="7"/>
  <c r="E25" i="7"/>
  <c r="E19" i="7"/>
  <c r="E26" i="7"/>
  <c r="E32" i="7"/>
  <c r="E21" i="7"/>
  <c r="E29" i="7"/>
  <c r="E33" i="7"/>
  <c r="E22" i="7"/>
  <c r="E30" i="7"/>
  <c r="E17" i="7"/>
  <c r="L6" i="7"/>
  <c r="D20" i="7"/>
  <c r="D23" i="7"/>
  <c r="D27" i="7"/>
  <c r="D30" i="7"/>
  <c r="D22" i="7"/>
  <c r="D31" i="7"/>
  <c r="D21" i="7"/>
  <c r="D28" i="7"/>
  <c r="D14" i="7"/>
  <c r="D33" i="7"/>
  <c r="D26" i="7"/>
  <c r="D25" i="7"/>
  <c r="D24" i="7"/>
  <c r="D19" i="7"/>
  <c r="D16" i="7"/>
  <c r="D15" i="7"/>
  <c r="L5" i="7"/>
  <c r="C20" i="7"/>
  <c r="C17" i="7"/>
  <c r="C19" i="7"/>
  <c r="C27" i="7"/>
  <c r="C15" i="7"/>
  <c r="C25" i="7"/>
  <c r="L125" i="7"/>
  <c r="C151" i="7"/>
  <c r="C152" i="7"/>
  <c r="C153" i="7"/>
  <c r="C154" i="7"/>
</calcChain>
</file>

<file path=xl/sharedStrings.xml><?xml version="1.0" encoding="utf-8"?>
<sst xmlns="http://schemas.openxmlformats.org/spreadsheetml/2006/main" count="322" uniqueCount="266">
  <si>
    <t>规格</t>
  </si>
  <si>
    <t>活塞行程</t>
  </si>
  <si>
    <t>RA</t>
  </si>
  <si>
    <t>阻尼调节</t>
  </si>
  <si>
    <t>低速压缩 · c</t>
  </si>
  <si>
    <t>高速压缩 · C</t>
  </si>
  <si>
    <t>回弹 · R</t>
  </si>
  <si>
    <t>HBS</t>
  </si>
  <si>
    <t>HRS</t>
  </si>
  <si>
    <t>LRS</t>
  </si>
  <si>
    <t>DSV</t>
  </si>
  <si>
    <t>Valving</t>
  </si>
  <si>
    <t>避震器型号</t>
  </si>
  <si>
    <t>当前输入 · 阻尼力大小</t>
  </si>
  <si>
    <t>LSC · c</t>
  </si>
  <si>
    <t>HSC · C</t>
  </si>
  <si>
    <t>压缩力 (N)</t>
  </si>
  <si>
    <t>LSR · R</t>
  </si>
  <si>
    <t>轴速 (m/s)</t>
  </si>
  <si>
    <t>回弹力 (N)</t>
  </si>
  <si>
    <t>c 总格数</t>
  </si>
  <si>
    <t>当前曲线参数</t>
  </si>
  <si>
    <t>C 总格数</t>
  </si>
  <si>
    <t>bump1</t>
  </si>
  <si>
    <t>N·s/m</t>
  </si>
  <si>
    <t>R 总格数</t>
  </si>
  <si>
    <t>bump2</t>
  </si>
  <si>
    <t>HSbump · 高速增量</t>
  </si>
  <si>
    <t>总高速系数</t>
  </si>
  <si>
    <t>输入检查</t>
  </si>
  <si>
    <t>HSrebound</t>
  </si>
  <si>
    <t>m/s</t>
  </si>
  <si>
    <t>Rebound knee</t>
  </si>
  <si>
    <t>黄色单元格为手动输入。</t>
  </si>
  <si>
    <t>Type-A</t>
  </si>
  <si>
    <t>Type-B</t>
  </si>
  <si>
    <t>调节位置</t>
  </si>
  <si>
    <t>比例</t>
  </si>
  <si>
    <t>格</t>
  </si>
  <si>
    <t>bump2 / bump1</t>
  </si>
  <si>
    <t>倍率</t>
  </si>
  <si>
    <t>HSrebound / rebound</t>
  </si>
  <si>
    <t>0 为最硬，负数为退出格数。</t>
  </si>
  <si>
    <t>连续分段理论曲线，仅基础阻尼。</t>
  </si>
  <si>
    <t>LSC Sweep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</si>
  <si>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</si>
  <si>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</si>
  <si>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</si>
  <si>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</si>
  <si>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</si>
  <si>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</si>
  <si>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</si>
  <si>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</si>
  <si>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</si>
  <si>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</si>
  <si>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</si>
  <si>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</si>
  <si>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</si>
  <si>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</si>
  <si>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HSC Sweep</t>
  </si>
  <si>
    <t>LSR Sweep</t>
  </si>
  <si>
    <t>Full Sweep</t>
  </si>
  <si>
    <t>Calculator</t>
  </si>
  <si>
    <t>CTM Racing · RAx8 · Damper Catalog</t>
  </si>
  <si>
    <t>RA68</t>
  </si>
  <si>
    <t>RA88</t>
  </si>
  <si>
    <t>3-Way</t>
  </si>
  <si>
    <t>Rallycross</t>
  </si>
  <si>
    <t>固定</t>
  </si>
  <si>
    <t>有</t>
  </si>
  <si>
    <t>CTM Racing · RAx8 · Damping Calculator</t>
  </si>
  <si>
    <t>CTM Racing · RAx8 · LSC Sweep</t>
  </si>
  <si>
    <t>CTM Racing · RAx8 · HSC Sweep</t>
  </si>
  <si>
    <t>CTM Racing · RAx8 · LSR Sweep</t>
  </si>
  <si>
    <t>CTM Racing · RAx8 · Full Sweep</t>
  </si>
  <si>
    <t>CTM Racing · RAx8 · Valving Parameters</t>
  </si>
  <si>
    <t>LSR · R（RA88）</t>
  </si>
  <si>
    <t>LSC · 全系列</t>
  </si>
  <si>
    <t>HSC · RA88</t>
  </si>
  <si>
    <t>LSR · RA68</t>
  </si>
  <si>
    <t>LSR · RA88</t>
  </si>
  <si>
    <t>HSC · RA68</t>
  </si>
  <si>
    <t>RA88</t>
    <phoneticPr fontId="72" type="noConversion"/>
  </si>
  <si>
    <t>Rally</t>
  </si>
  <si>
    <t>3+1-Way</t>
  </si>
  <si>
    <t>Language / 语言</t>
  </si>
  <si>
    <t>简体中文</t>
  </si>
  <si>
    <t>key</t>
  </si>
  <si>
    <t>en-US</t>
  </si>
  <si>
    <t>zh-CN</t>
  </si>
  <si>
    <t>Active</t>
  </si>
  <si>
    <t>chart.rax8CompressionRebound</t>
  </si>
  <si>
    <t>RAx8 · Compression (+) / Rebound (−)</t>
  </si>
  <si>
    <t>RAx8 · 压缩 (+) / 回弹 (−)</t>
  </si>
  <si>
    <t>chart.rax8HscSweep</t>
  </si>
  <si>
    <t>RAx8 · HSC Sweep</t>
  </si>
  <si>
    <t>RAx8 · 高速压缩调节曲线</t>
  </si>
  <si>
    <t>chart.rax8LscSweep</t>
  </si>
  <si>
    <t>RAx8 · LSC Sweep</t>
  </si>
  <si>
    <t>RAx8 · 低速压缩调节曲线</t>
  </si>
  <si>
    <t>chart.rax8LsrSweep</t>
  </si>
  <si>
    <t>RAx8 · LSR Sweep</t>
  </si>
  <si>
    <t>RAx8 · 低速回弹调节曲线</t>
  </si>
  <si>
    <t>label.adjustableSixteenClicks</t>
  </si>
  <si>
    <t>Adjustable · 16 clicks</t>
  </si>
  <si>
    <t>可调 · 16 格</t>
  </si>
  <si>
    <t>label.adjusterClicks</t>
  </si>
  <si>
    <t>Adjusters · Clicks</t>
  </si>
  <si>
    <t>调节格数</t>
  </si>
  <si>
    <t>label.adjusterPosition</t>
  </si>
  <si>
    <t>Adjuster position</t>
  </si>
  <si>
    <t>label.available</t>
  </si>
  <si>
    <t>Yes</t>
  </si>
  <si>
    <t>label.bump2Multiplier</t>
  </si>
  <si>
    <t>bump2 multiplier</t>
  </si>
  <si>
    <t>label.bumpDampingForceN</t>
  </si>
  <si>
    <t>Bump damping force (N)</t>
  </si>
  <si>
    <t>压缩阻尼力 (N)</t>
  </si>
  <si>
    <t>label.cTotalClicks</t>
  </si>
  <si>
    <t>c total clicks</t>
  </si>
  <si>
    <t>label.calculator</t>
  </si>
  <si>
    <t>计算器</t>
  </si>
  <si>
    <t>label.clicks</t>
  </si>
  <si>
    <t>clicks</t>
  </si>
  <si>
    <t>label.compressionForceN</t>
  </si>
  <si>
    <t>Compression force (N)</t>
  </si>
  <si>
    <t>label.curve</t>
  </si>
  <si>
    <t>Curve</t>
  </si>
  <si>
    <t>label.damperModel</t>
  </si>
  <si>
    <t>Damper model</t>
  </si>
  <si>
    <t>label.dampingAdjustment</t>
  </si>
  <si>
    <t>Damping adjustment</t>
  </si>
  <si>
    <t>label.dampingForceN</t>
  </si>
  <si>
    <t>Damping force (N)</t>
  </si>
  <si>
    <t>阻尼力 (N)</t>
  </si>
  <si>
    <t>label.extensionSpeed</t>
  </si>
  <si>
    <t>Extension speed (m/s)</t>
  </si>
  <si>
    <t>伸展速度 (m/s)</t>
  </si>
  <si>
    <t>label.firstKnee</t>
  </si>
  <si>
    <t>First knee</t>
  </si>
  <si>
    <t>第一拐点</t>
  </si>
  <si>
    <t>label.fixed</t>
  </si>
  <si>
    <t>Fixed</t>
  </si>
  <si>
    <t>label.fixedHsc</t>
  </si>
  <si>
    <t>Fixed HSC</t>
  </si>
  <si>
    <t>固定高速压缩</t>
  </si>
  <si>
    <t>label.fixedLsc</t>
  </si>
  <si>
    <t>Fixed LSC</t>
  </si>
  <si>
    <t>固定低速压缩</t>
  </si>
  <si>
    <t>label.frontRearTravel</t>
  </si>
  <si>
    <t>Front 215 / Rear 190 mm</t>
  </si>
  <si>
    <t>前轴 215 / 后轴 190 mm</t>
  </si>
  <si>
    <t>label.fullSweep</t>
  </si>
  <si>
    <t>全范围扫描</t>
  </si>
  <si>
    <t>label.highSpeedBumpIncrement</t>
  </si>
  <si>
    <t>HSbump · High-speed increment</t>
  </si>
  <si>
    <t>label.highSpeedCompressionC</t>
  </si>
  <si>
    <t>High-speed compression · C</t>
  </si>
  <si>
    <t>label.hscRange</t>
  </si>
  <si>
    <t>HSC range</t>
  </si>
  <si>
    <t>label.hscRangePosition</t>
  </si>
  <si>
    <t>HSC range position</t>
  </si>
  <si>
    <t>label.hscSweep</t>
  </si>
  <si>
    <t>HSC 扫描</t>
  </si>
  <si>
    <t>label.hscTotalClicks</t>
  </si>
  <si>
    <t>C total clicks</t>
  </si>
  <si>
    <t>label.hsrMultiplier</t>
  </si>
  <si>
    <t>HSR multiplier</t>
  </si>
  <si>
    <t>label.inputCheck</t>
  </si>
  <si>
    <t>Input check</t>
  </si>
  <si>
    <t>label.lowSpeedCompressionC</t>
  </si>
  <si>
    <t>Low-speed compression · c</t>
  </si>
  <si>
    <t>label.lscAllSeries</t>
  </si>
  <si>
    <t>LSC · All series</t>
  </si>
  <si>
    <t>label.lscRange</t>
  </si>
  <si>
    <t>LSC range</t>
  </si>
  <si>
    <t>label.lscRangePosition</t>
  </si>
  <si>
    <t>LSC range position</t>
  </si>
  <si>
    <t>label.lscSweep</t>
  </si>
  <si>
    <t>LSC 扫描</t>
  </si>
  <si>
    <t>label.lsrRange</t>
  </si>
  <si>
    <t>LSR range</t>
  </si>
  <si>
    <t>label.lsrRangePosition</t>
  </si>
  <si>
    <t>LSR range position</t>
  </si>
  <si>
    <t>label.lsrSweep</t>
  </si>
  <si>
    <t>LSR 扫描</t>
  </si>
  <si>
    <t>label.lsrTotalClicks</t>
  </si>
  <si>
    <t>R total clicks</t>
  </si>
  <si>
    <t>label.multiplier</t>
  </si>
  <si>
    <t>Multiplier</t>
  </si>
  <si>
    <t>label.pistonTravel</t>
  </si>
  <si>
    <t>Piston travel</t>
  </si>
  <si>
    <t>label.rally</t>
  </si>
  <si>
    <t>拉力</t>
  </si>
  <si>
    <t>label.rallycross</t>
  </si>
  <si>
    <t>跨界拉力</t>
  </si>
  <si>
    <t>label.ratio</t>
  </si>
  <si>
    <t>Ratio</t>
  </si>
  <si>
    <t>label.rebound</t>
  </si>
  <si>
    <t>Rebound</t>
  </si>
  <si>
    <t>回弹</t>
  </si>
  <si>
    <t>label.reboundDampingForceN</t>
  </si>
  <si>
    <t>Rebound damping force (N)</t>
  </si>
  <si>
    <t>回弹阻尼力 (N)</t>
  </si>
  <si>
    <t>label.reboundForceN</t>
  </si>
  <si>
    <t>Rebound force (N)</t>
  </si>
  <si>
    <t>label.reboundKnee</t>
  </si>
  <si>
    <t>回弹拐点</t>
  </si>
  <si>
    <t>label.reboundR</t>
  </si>
  <si>
    <t>Rebound · R</t>
  </si>
  <si>
    <t>label.secondKnee</t>
  </si>
  <si>
    <t>Second knee</t>
  </si>
  <si>
    <t>第二拐点</t>
  </si>
  <si>
    <t>label.shaftSpeedMagnitudeMps</t>
  </si>
  <si>
    <t>Shaft speed magnitude (m/s)</t>
  </si>
  <si>
    <t>轴速大小 (m/s)</t>
  </si>
  <si>
    <t>label.shaftSpeedMps</t>
  </si>
  <si>
    <t>Shaft speed (m/s)</t>
  </si>
  <si>
    <t>label.shaftVelocityMps</t>
  </si>
  <si>
    <t>label.specification</t>
  </si>
  <si>
    <t>Specification</t>
  </si>
  <si>
    <t>label.threePlusOneWay</t>
  </si>
  <si>
    <t>3+1 向调节</t>
  </si>
  <si>
    <t>label.threeWay</t>
  </si>
  <si>
    <t>3 向调节</t>
  </si>
  <si>
    <t>label.totalHighSpeedCoefficient</t>
  </si>
  <si>
    <t>Total high-speed coefficient</t>
  </si>
  <si>
    <t>label.totalHsCoefficient</t>
  </si>
  <si>
    <t>Total HS coefficient</t>
  </si>
  <si>
    <t>label.valving</t>
  </si>
  <si>
    <t>阀系</t>
  </si>
  <si>
    <t>note.adjusterClicks</t>
  </si>
  <si>
    <t>0 is the hardest setting; negative values are clicks out.</t>
  </si>
  <si>
    <t>note.baseDampingCurve</t>
  </si>
  <si>
    <t>Continuous piecewise theoretical curve; base damping only.</t>
  </si>
  <si>
    <t>note.sweepRa88Clicks</t>
  </si>
  <si>
    <t>Sweep uses RA88 adjustment clicks.</t>
  </si>
  <si>
    <t>调节曲线使用 RA88 调节格数。</t>
  </si>
  <si>
    <t>note.yellowInputs</t>
  </si>
  <si>
    <t>Yellow cells are manual inputs.</t>
  </si>
  <si>
    <t>status.checkInput</t>
  </si>
  <si>
    <t>Check input</t>
  </si>
  <si>
    <t>检查输入</t>
  </si>
  <si>
    <t>status.ok</t>
  </si>
  <si>
    <t>OK</t>
  </si>
  <si>
    <t>正常</t>
  </si>
  <si>
    <t>title.currentCurveParameters</t>
  </si>
  <si>
    <t>Current curve parameters</t>
  </si>
  <si>
    <t>title.currentDampingForce</t>
  </si>
  <si>
    <t>Current input · damping force magnitude</t>
  </si>
  <si>
    <t>title.rax8DamperCatalog</t>
  </si>
  <si>
    <t>CTM Racing · RAx8 · 避震器目录</t>
  </si>
  <si>
    <t>title.rax8DampingCalculator</t>
  </si>
  <si>
    <t>CTM Racing · RAx8 · 阻尼计算器</t>
  </si>
  <si>
    <t>title.rax8FullSweep</t>
  </si>
  <si>
    <t>CTM Racing · RAx8 · 全范围扫描</t>
  </si>
  <si>
    <t>title.rax8HSCSweep</t>
  </si>
  <si>
    <t>CTM Racing · RAx8 · HSC 扫描</t>
  </si>
  <si>
    <t>title.rax8LSCSweep</t>
  </si>
  <si>
    <t>CTM Racing · RAx8 · LSC 扫描</t>
  </si>
  <si>
    <t>title.rax8LSRSweep</t>
  </si>
  <si>
    <t>CTM Racing · RAx8 · LSR 扫描</t>
  </si>
  <si>
    <t>title.rax8ValvingParameters</t>
  </si>
  <si>
    <t>CTM Racing · RAx8 · 阀系参数</t>
  </si>
  <si>
    <t>Type-A</t>
    <phoneticPr fontId="72" type="noConversion"/>
  </si>
  <si>
    <t>简体中文</t>
    <phoneticPr fontId="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</si>
</sst>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&quot; mm&quot;"/>
    <numFmt numFmtId="178" formatCode="0&quot; clicks&quot;"/>
  </numFmts>
  <fonts count="75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8"/>
      <color rgb="FF283C50"/>
      <name val="Arial"/>
      <family val="2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36"/>
      <color rgb="FF283C50"/>
      <name val="Arial"/>
      <family val="2"/>
    </font>
    <font>
      <b/>
      <sz val="12"/>
      <color rgb="FFFFFFFF"/>
      <name val="Arial"/>
      <family val="2"/>
    </font>
    <font>
      <sz val="10"/>
      <color rgb="FF667B91"/>
      <name val="Arial"/>
      <family val="2"/>
    </font>
    <font>
      <sz val="11"/>
      <color rgb="FF667B91"/>
      <name val="微软雅黑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667B91"/>
      <name val="微软雅黑"/>
      <family val="2"/>
    </font>
    <font>
      <b/>
      <sz val="12"/>
      <color rgb="FFFFFFFF"/>
      <name val="微软雅黑"/>
      <family val="2"/>
    </font>
    <font>
      <b/>
      <sz val="12"/>
      <color rgb="FFFFFFFF"/>
      <name val="Arial"/>
      <family val="2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667B91"/>
      <name val="Arial"/>
      <family val="2"/>
    </font>
    <font>
      <b/>
      <sz val="22"/>
      <color rgb="FF283C50"/>
      <name val="微软雅黑"/>
      <family val="2"/>
    </font>
    <font>
      <b/>
      <sz val="22"/>
      <color rgb="FF283C50"/>
      <name val="Arial"/>
      <family val="2"/>
    </font>
    <font>
      <sz val="11"/>
      <color rgb="FF195DB1"/>
      <name val="Arial"/>
      <family val="2"/>
    </font>
    <font>
      <sz val="11"/>
      <color rgb="FF283C50"/>
      <name val="Arial"/>
      <family val="2"/>
    </font>
    <font>
      <sz val="11"/>
      <color rgb="FF667B91"/>
      <name val="微软雅黑"/>
      <family val="2"/>
    </font>
    <font>
      <sz val="11"/>
      <color rgb="FF283C50"/>
      <name val="Arial"/>
      <family val="2"/>
    </font>
    <font>
      <sz val="11"/>
      <color rgb="FF667B91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667B91"/>
      <name val="微软雅黑"/>
      <family val="2"/>
    </font>
    <font>
      <sz val="11"/>
      <color rgb="FF283C50"/>
      <name val="微软雅黑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0"/>
      <color rgb="FF667B91"/>
      <name val="Arial"/>
      <family val="2"/>
    </font>
    <font>
      <sz val="10"/>
      <color rgb="FF667B91"/>
      <name val="微软雅黑"/>
      <family val="2"/>
    </font>
    <font>
      <sz val="10"/>
      <color rgb="FF667B91"/>
      <name val="Arial"/>
      <family val="2"/>
    </font>
    <font>
      <b/>
      <sz val="11"/>
      <color rgb="FF283C50"/>
      <name val="微软雅黑"/>
      <family val="2"/>
    </font>
    <font>
      <b/>
      <sz val="11"/>
      <color rgb="FF283C50"/>
      <name val="Arial"/>
      <family val="2"/>
    </font>
    <font>
      <b/>
      <sz val="11"/>
      <color rgb="FF283C50"/>
      <name val="Arial"/>
      <family val="2"/>
    </font>
    <font>
      <sz val="10"/>
      <color rgb="FF667B91"/>
      <name val="微软雅黑"/>
      <family val="2"/>
    </font>
    <font>
      <sz val="10"/>
      <color rgb="FF667B91"/>
      <name val="Arial"/>
      <family val="2"/>
    </font>
    <font>
      <sz val="10"/>
      <color rgb="FF667B91"/>
      <name val="微软雅黑"/>
      <family val="2"/>
    </font>
    <font>
      <sz val="10"/>
      <color rgb="FF667B91"/>
      <name val="微软雅黑"/>
      <family val="2"/>
    </font>
    <font>
      <sz val="10"/>
      <color rgb="FF667B91"/>
      <name val="Arial"/>
      <family val="2"/>
    </font>
    <font>
      <b/>
      <sz val="12"/>
      <color rgb="FFFFFFFF"/>
      <name val="Arial"/>
      <family val="2"/>
    </font>
    <font>
      <b/>
      <sz val="20"/>
      <color rgb="FF283C50"/>
      <name val="Arial"/>
      <family val="2"/>
    </font>
    <font>
      <b/>
      <sz val="11"/>
      <color rgb="FF283C50"/>
      <name val="微软雅黑"/>
      <family val="2"/>
    </font>
    <font>
      <b/>
      <sz val="11"/>
      <color rgb="FF283C50"/>
      <name val="Arial"/>
      <family val="2"/>
    </font>
    <font>
      <b/>
      <sz val="11"/>
      <color rgb="FF283C50"/>
      <name val="Arial"/>
      <family val="2"/>
    </font>
    <font>
      <b/>
      <sz val="11"/>
      <color rgb="FF283C50"/>
      <name val="微软雅黑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1"/>
      <color rgb="FF283C50"/>
      <name val="微软雅黑"/>
      <family val="2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1"/>
      <color rgb="FF283C50"/>
      <name val="微软雅黑"/>
      <family val="2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2"/>
      <color rgb="FFFFFFFF"/>
      <name val="Arial"/>
      <family val="2"/>
    </font>
    <font>
      <b/>
      <sz val="11"/>
      <color rgb="FF283C50"/>
      <name val="微软雅黑"/>
      <family val="2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9"/>
      <name val="宋体"/>
      <family val="3"/>
      <charset val="134"/>
    </font>
    <font>
      <sz val="11"/>
      <color rgb="FF222222"/>
      <name val="Arial"/>
      <family val="2"/>
    </font>
    <font>
      <b/>
      <sz val="11"/>
      <color rgb="FFFFFFFF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 diagonalDown="1">
      <left/>
      <right/>
      <top style="thin">
        <color rgb="FFDCE4EB"/>
      </top>
      <bottom style="thin">
        <color rgb="FFDCE4EB"/>
      </bottom>
      <diagonal style="thin">
        <color auto="1"/>
      </diagonal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xfId="0" applyNumberFormat="1" applyFont="1" applyAlignment="1">
      <alignment vertical="center"/>
    </xf>
  </cellStyleXfs>
  <cellXfs count="98">
    <xf numFmtId="0" fontId="0" fillId="0" borderId="0" xfId="0"/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2" fontId="6" fillId="0" borderId="0" xfId="0" applyNumberFormat="1" applyFont="1" applyAlignment="1">
      <alignment vertical="center"/>
    </xf>
    <xf numFmtId="0" fontId="7" fillId="2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vertical="center"/>
    </xf>
    <xf numFmtId="0" fontId="9" fillId="2" borderId="2" xfId="1" applyFont="1" applyFill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177" fontId="7" fillId="5" borderId="2" xfId="1" applyNumberFormat="1" applyFont="1" applyFill="1" applyBorder="1" applyAlignment="1">
      <alignment horizontal="center" vertical="center"/>
    </xf>
    <xf numFmtId="178" fontId="7" fillId="5" borderId="2" xfId="1" applyNumberFormat="1" applyFont="1" applyFill="1" applyBorder="1" applyAlignment="1">
      <alignment horizontal="center" vertical="center"/>
    </xf>
    <xf numFmtId="178" fontId="7" fillId="2" borderId="2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13" fillId="5" borderId="2" xfId="1" applyFont="1" applyFill="1" applyBorder="1" applyAlignment="1">
      <alignment vertical="center"/>
    </xf>
    <xf numFmtId="0" fontId="7" fillId="5" borderId="5" xfId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15" fillId="7" borderId="7" xfId="0" applyFont="1" applyFill="1" applyBorder="1" applyAlignment="1">
      <alignment horizontal="left" vertical="center"/>
    </xf>
    <xf numFmtId="49" fontId="16" fillId="8" borderId="8" xfId="0" applyNumberFormat="1" applyFont="1" applyFill="1" applyBorder="1" applyAlignment="1">
      <alignment horizontal="left" vertical="center"/>
    </xf>
    <xf numFmtId="0" fontId="17" fillId="9" borderId="9" xfId="0" applyFont="1" applyFill="1" applyBorder="1" applyAlignment="1">
      <alignment horizontal="left" vertical="center"/>
    </xf>
    <xf numFmtId="0" fontId="20" fillId="12" borderId="12" xfId="0" applyFont="1" applyFill="1" applyBorder="1" applyAlignment="1">
      <alignment horizontal="left" vertical="center"/>
    </xf>
    <xf numFmtId="1" fontId="21" fillId="13" borderId="13" xfId="0" applyNumberFormat="1" applyFont="1" applyFill="1" applyBorder="1" applyAlignment="1">
      <alignment horizontal="right" vertical="center"/>
    </xf>
    <xf numFmtId="2" fontId="25" fillId="17" borderId="17" xfId="0" applyNumberFormat="1" applyFont="1" applyFill="1" applyBorder="1" applyAlignment="1">
      <alignment horizontal="right" vertical="center"/>
    </xf>
    <xf numFmtId="0" fontId="26" fillId="18" borderId="18" xfId="0" applyFont="1" applyFill="1" applyBorder="1" applyAlignment="1">
      <alignment horizontal="right" vertical="center"/>
    </xf>
    <xf numFmtId="0" fontId="27" fillId="19" borderId="19" xfId="0" applyFont="1" applyFill="1" applyBorder="1" applyAlignment="1">
      <alignment horizontal="left" vertical="center"/>
    </xf>
    <xf numFmtId="0" fontId="28" fillId="20" borderId="20" xfId="0" applyFont="1" applyFill="1" applyBorder="1" applyAlignment="1">
      <alignment horizontal="right" vertical="center"/>
    </xf>
    <xf numFmtId="2" fontId="31" fillId="23" borderId="23" xfId="0" applyNumberFormat="1" applyFont="1" applyFill="1" applyBorder="1" applyAlignment="1">
      <alignment horizontal="right" vertical="center"/>
    </xf>
    <xf numFmtId="2" fontId="33" fillId="25" borderId="25" xfId="0" applyNumberFormat="1" applyFont="1" applyFill="1" applyBorder="1" applyAlignment="1">
      <alignment horizontal="right" vertical="center"/>
    </xf>
    <xf numFmtId="0" fontId="35" fillId="27" borderId="27" xfId="0" applyFont="1" applyFill="1" applyBorder="1" applyAlignment="1">
      <alignment horizontal="right" vertical="center"/>
    </xf>
    <xf numFmtId="176" fontId="36" fillId="28" borderId="28" xfId="0" applyNumberFormat="1" applyFont="1" applyFill="1" applyBorder="1" applyAlignment="1">
      <alignment horizontal="right" vertical="center"/>
    </xf>
    <xf numFmtId="176" fontId="37" fillId="29" borderId="29" xfId="0" applyNumberFormat="1" applyFont="1" applyFill="1" applyBorder="1" applyAlignment="1">
      <alignment horizontal="right" vertical="center"/>
    </xf>
    <xf numFmtId="0" fontId="41" fillId="33" borderId="33" xfId="0" applyFont="1" applyFill="1" applyBorder="1" applyAlignment="1">
      <alignment horizontal="center" vertical="center" wrapText="1"/>
    </xf>
    <xf numFmtId="9" fontId="42" fillId="34" borderId="34" xfId="0" applyNumberFormat="1" applyFont="1" applyFill="1" applyBorder="1" applyAlignment="1">
      <alignment horizontal="center" vertical="center" wrapText="1"/>
    </xf>
    <xf numFmtId="0" fontId="43" fillId="35" borderId="35" xfId="0" applyFont="1" applyFill="1" applyBorder="1" applyAlignment="1">
      <alignment horizontal="center" vertical="center" wrapText="1"/>
    </xf>
    <xf numFmtId="0" fontId="50" fillId="42" borderId="42" xfId="0" applyFont="1" applyFill="1" applyBorder="1" applyAlignment="1">
      <alignment horizontal="left" vertical="center"/>
    </xf>
    <xf numFmtId="0" fontId="51" fillId="43" borderId="43" xfId="0" applyFont="1" applyFill="1" applyBorder="1" applyAlignment="1">
      <alignment horizontal="center" vertical="center" wrapText="1"/>
    </xf>
    <xf numFmtId="0" fontId="52" fillId="44" borderId="44" xfId="0" applyFont="1" applyFill="1" applyBorder="1" applyAlignment="1">
      <alignment horizontal="center" vertical="center" wrapText="1"/>
    </xf>
    <xf numFmtId="0" fontId="53" fillId="45" borderId="45" xfId="0" applyFont="1" applyFill="1" applyBorder="1" applyAlignment="1">
      <alignment horizontal="center" vertical="center" wrapText="1"/>
    </xf>
    <xf numFmtId="0" fontId="54" fillId="46" borderId="46" xfId="0" applyFont="1" applyFill="1" applyBorder="1" applyAlignment="1">
      <alignment horizontal="center" vertical="center" wrapText="1"/>
    </xf>
    <xf numFmtId="0" fontId="55" fillId="47" borderId="47" xfId="0" applyFont="1" applyFill="1" applyBorder="1" applyAlignment="1">
      <alignment horizontal="right" vertical="center"/>
    </xf>
    <xf numFmtId="0" fontId="56" fillId="48" borderId="48" xfId="0" applyFont="1" applyFill="1" applyBorder="1" applyAlignment="1">
      <alignment horizontal="right" vertical="center"/>
    </xf>
    <xf numFmtId="0" fontId="57" fillId="49" borderId="49" xfId="0" applyFont="1" applyFill="1" applyBorder="1" applyAlignment="1">
      <alignment horizontal="right" vertical="center"/>
    </xf>
    <xf numFmtId="0" fontId="58" fillId="50" borderId="50" xfId="0" applyFont="1" applyFill="1" applyBorder="1" applyAlignment="1">
      <alignment horizontal="right" vertical="center"/>
    </xf>
    <xf numFmtId="0" fontId="59" fillId="51" borderId="51" xfId="0" applyFont="1" applyFill="1" applyBorder="1" applyAlignment="1">
      <alignment horizontal="center" vertical="center" wrapText="1"/>
    </xf>
    <xf numFmtId="0" fontId="60" fillId="52" borderId="52" xfId="0" applyFont="1" applyFill="1" applyBorder="1" applyAlignment="1">
      <alignment horizontal="center" vertical="center" wrapText="1"/>
    </xf>
    <xf numFmtId="2" fontId="61" fillId="53" borderId="53" xfId="0" applyNumberFormat="1" applyFont="1" applyFill="1" applyBorder="1" applyAlignment="1">
      <alignment horizontal="right" vertical="center"/>
    </xf>
    <xf numFmtId="2" fontId="62" fillId="54" borderId="54" xfId="0" applyNumberFormat="1" applyFont="1" applyFill="1" applyBorder="1" applyAlignment="1">
      <alignment horizontal="right" vertical="center"/>
    </xf>
    <xf numFmtId="0" fontId="63" fillId="55" borderId="55" xfId="0" applyFont="1" applyFill="1" applyBorder="1" applyAlignment="1">
      <alignment horizontal="center" vertical="center" wrapText="1"/>
    </xf>
    <xf numFmtId="0" fontId="64" fillId="56" borderId="56" xfId="0" applyFont="1" applyFill="1" applyBorder="1" applyAlignment="1">
      <alignment horizontal="center" vertical="center" wrapText="1"/>
    </xf>
    <xf numFmtId="2" fontId="65" fillId="57" borderId="57" xfId="0" applyNumberFormat="1" applyFont="1" applyFill="1" applyBorder="1" applyAlignment="1">
      <alignment horizontal="right" vertical="center"/>
    </xf>
    <xf numFmtId="2" fontId="66" fillId="58" borderId="58" xfId="0" applyNumberFormat="1" applyFont="1" applyFill="1" applyBorder="1" applyAlignment="1">
      <alignment horizontal="right" vertical="center"/>
    </xf>
    <xf numFmtId="0" fontId="68" fillId="60" borderId="60" xfId="0" applyFont="1" applyFill="1" applyBorder="1" applyAlignment="1">
      <alignment horizontal="center" vertical="center" wrapText="1"/>
    </xf>
    <xf numFmtId="0" fontId="69" fillId="61" borderId="61" xfId="0" applyFont="1" applyFill="1" applyBorder="1" applyAlignment="1">
      <alignment horizontal="center" vertical="center" wrapText="1"/>
    </xf>
    <xf numFmtId="0" fontId="70" fillId="62" borderId="62" xfId="0" applyFont="1" applyFill="1" applyBorder="1" applyAlignment="1">
      <alignment horizontal="right" vertical="center"/>
    </xf>
    <xf numFmtId="0" fontId="71" fillId="63" borderId="63" xfId="0" applyFont="1" applyFill="1" applyBorder="1" applyAlignment="1">
      <alignment vertical="center"/>
    </xf>
    <xf numFmtId="1" fontId="16" fillId="64" borderId="2" xfId="0" applyNumberFormat="1" applyFont="1" applyFill="1" applyBorder="1" applyAlignment="1">
      <alignment horizontal="right" vertical="center"/>
    </xf>
    <xf numFmtId="1" fontId="1" fillId="65" borderId="2" xfId="0" applyNumberFormat="1" applyFont="1" applyFill="1" applyBorder="1" applyAlignment="1">
      <alignment horizontal="right" vertical="center"/>
    </xf>
    <xf numFmtId="176" fontId="16" fillId="64" borderId="2" xfId="0" applyNumberFormat="1" applyFont="1" applyFill="1" applyBorder="1" applyAlignment="1">
      <alignment horizontal="right" vertical="center"/>
    </xf>
    <xf numFmtId="176" fontId="1" fillId="66" borderId="2" xfId="0" applyNumberFormat="1" applyFont="1" applyFill="1" applyBorder="1" applyAlignment="1">
      <alignment horizontal="right" vertical="center"/>
    </xf>
    <xf numFmtId="176" fontId="1" fillId="65" borderId="2" xfId="0" applyNumberFormat="1" applyFont="1" applyFill="1" applyBorder="1" applyAlignment="1">
      <alignment horizontal="right" vertical="center"/>
    </xf>
    <xf numFmtId="1" fontId="1" fillId="66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3" fillId="67" borderId="64" xfId="0" applyFont="1" applyFill="1" applyBorder="1"/>
    <xf numFmtId="0" fontId="74" fillId="69" borderId="64" xfId="0" applyFont="1" applyFill="1" applyBorder="1"/>
    <xf numFmtId="0" fontId="49" fillId="41" borderId="41" xfId="0" applyFont="1" applyFill="1" applyBorder="1" applyAlignment="1">
      <alignment horizontal="left" vertical="center" wrapText="1"/>
    </xf>
    <xf numFmtId="0" fontId="67" fillId="59" borderId="59" xfId="0" applyFont="1" applyFill="1" applyBorder="1" applyAlignment="1">
      <alignment horizontal="left" vertical="center" wrapText="1"/>
    </xf>
    <xf numFmtId="0" fontId="73" fillId="67" borderId="64" xfId="0" applyFont="1" applyFill="1" applyBorder="1" applyAlignment="1">
      <alignment vertical="center"/>
    </xf>
    <xf numFmtId="0" fontId="73" fillId="68" borderId="64" xfId="0" applyFont="1" applyFill="1" applyBorder="1" applyAlignment="1">
      <alignment vertical="center"/>
    </xf>
    <xf numFmtId="0" fontId="12" fillId="2" borderId="1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vertical="center"/>
    </xf>
    <xf numFmtId="0" fontId="8" fillId="2" borderId="1" xfId="1" applyNumberFormat="1" applyFont="1" applyFill="1" applyBorder="1" applyAlignment="1">
      <alignment vertical="center"/>
    </xf>
    <xf numFmtId="0" fontId="10" fillId="3" borderId="1" xfId="1" applyNumberFormat="1" applyFont="1" applyFill="1" applyBorder="1" applyAlignment="1">
      <alignment horizontal="center" vertical="center"/>
    </xf>
    <xf numFmtId="0" fontId="38" fillId="30" borderId="30" xfId="0" applyFont="1" applyFill="1" applyBorder="1" applyAlignment="1">
      <alignment horizontal="left" vertical="center"/>
    </xf>
    <xf numFmtId="0" fontId="29" fillId="21" borderId="21" xfId="0" applyFont="1" applyFill="1" applyBorder="1" applyAlignment="1">
      <alignment horizontal="left" vertical="center"/>
    </xf>
    <xf numFmtId="0" fontId="30" fillId="22" borderId="22" xfId="0" applyFont="1" applyFill="1" applyBorder="1" applyAlignment="1">
      <alignment vertical="center"/>
    </xf>
    <xf numFmtId="0" fontId="22" fillId="14" borderId="14" xfId="0" applyFont="1" applyFill="1" applyBorder="1" applyAlignment="1">
      <alignment horizontal="left" vertical="center"/>
    </xf>
    <xf numFmtId="0" fontId="32" fillId="24" borderId="24" xfId="0" applyFont="1" applyFill="1" applyBorder="1" applyAlignment="1">
      <alignment vertical="center"/>
    </xf>
    <xf numFmtId="0" fontId="34" fillId="26" borderId="26" xfId="0" applyFont="1" applyFill="1" applyBorder="1" applyAlignment="1">
      <alignment horizontal="left" vertical="center"/>
    </xf>
    <xf numFmtId="0" fontId="18" fillId="10" borderId="10" xfId="0" applyFont="1" applyFill="1" applyBorder="1" applyAlignment="1">
      <alignment horizontal="left" vertical="center" wrapText="1"/>
    </xf>
    <xf numFmtId="0" fontId="19" fillId="11" borderId="1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2" fontId="23" fillId="15" borderId="15" xfId="0" applyNumberFormat="1" applyFont="1" applyFill="1" applyBorder="1" applyAlignment="1">
      <alignment horizontal="right" vertical="center"/>
    </xf>
    <xf numFmtId="2" fontId="24" fillId="16" borderId="16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7" fillId="39" borderId="39" xfId="0" applyFont="1" applyFill="1" applyBorder="1" applyAlignment="1">
      <alignment horizontal="left" vertical="center"/>
    </xf>
    <xf numFmtId="0" fontId="48" fillId="40" borderId="40" xfId="0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39" fillId="31" borderId="31" xfId="0" applyFont="1" applyFill="1" applyBorder="1" applyAlignment="1">
      <alignment horizontal="left" vertical="center"/>
    </xf>
    <xf numFmtId="0" fontId="40" fillId="32" borderId="32" xfId="0" applyFont="1" applyFill="1" applyBorder="1" applyAlignment="1">
      <alignment horizontal="left" vertical="center"/>
    </xf>
    <xf numFmtId="0" fontId="44" fillId="36" borderId="36" xfId="0" applyFont="1" applyFill="1" applyBorder="1" applyAlignment="1">
      <alignment horizontal="left" vertical="center"/>
    </xf>
    <xf numFmtId="0" fontId="45" fillId="37" borderId="37" xfId="0" applyFont="1" applyFill="1" applyBorder="1" applyAlignment="1">
      <alignment horizontal="left" vertical="center"/>
    </xf>
    <xf numFmtId="0" fontId="46" fillId="38" borderId="38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Locale!$D$4</c:f>
          <c:strCache>
            <c:ptCount val="1"/>
            <c:pt idx="0">
              <c:v>RAx8 · 低速压缩调节曲线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Samples!$C$14:$C$34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720.00000000000011</c:v>
                </c:pt>
                <c:pt idx="9">
                  <c:v>810</c:v>
                </c:pt>
                <c:pt idx="10">
                  <c:v>975</c:v>
                </c:pt>
                <c:pt idx="11">
                  <c:v>1140.0000000000002</c:v>
                </c:pt>
                <c:pt idx="12">
                  <c:v>1305</c:v>
                </c:pt>
                <c:pt idx="13">
                  <c:v>1470</c:v>
                </c:pt>
                <c:pt idx="14">
                  <c:v>1635</c:v>
                </c:pt>
                <c:pt idx="15">
                  <c:v>1800</c:v>
                </c:pt>
                <c:pt idx="16">
                  <c:v>1965.0000000000002</c:v>
                </c:pt>
                <c:pt idx="17">
                  <c:v>2130</c:v>
                </c:pt>
                <c:pt idx="18">
                  <c:v>2295</c:v>
                </c:pt>
                <c:pt idx="19">
                  <c:v>2460</c:v>
                </c:pt>
                <c:pt idx="20">
                  <c:v>2625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Samples!$D$14:$D$34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357</c:v>
                </c:pt>
                <c:pt idx="4">
                  <c:v>474</c:v>
                </c:pt>
                <c:pt idx="5">
                  <c:v>591</c:v>
                </c:pt>
                <c:pt idx="6">
                  <c:v>708</c:v>
                </c:pt>
                <c:pt idx="7">
                  <c:v>824.99999999999989</c:v>
                </c:pt>
                <c:pt idx="8">
                  <c:v>942.00000000000011</c:v>
                </c:pt>
                <c:pt idx="9">
                  <c:v>1059</c:v>
                </c:pt>
                <c:pt idx="10">
                  <c:v>1251</c:v>
                </c:pt>
                <c:pt idx="11">
                  <c:v>1443.0000000000002</c:v>
                </c:pt>
                <c:pt idx="12">
                  <c:v>1635</c:v>
                </c:pt>
                <c:pt idx="13">
                  <c:v>1827</c:v>
                </c:pt>
                <c:pt idx="14">
                  <c:v>2019</c:v>
                </c:pt>
                <c:pt idx="15">
                  <c:v>2211</c:v>
                </c:pt>
                <c:pt idx="16">
                  <c:v>2403</c:v>
                </c:pt>
                <c:pt idx="17">
                  <c:v>2595</c:v>
                </c:pt>
                <c:pt idx="18">
                  <c:v>2787</c:v>
                </c:pt>
                <c:pt idx="19">
                  <c:v>2979</c:v>
                </c:pt>
                <c:pt idx="20">
                  <c:v>3171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Samples!$E$14:$E$34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442.5</c:v>
                </c:pt>
                <c:pt idx="4">
                  <c:v>585</c:v>
                </c:pt>
                <c:pt idx="5">
                  <c:v>727.5</c:v>
                </c:pt>
                <c:pt idx="6">
                  <c:v>870</c:v>
                </c:pt>
                <c:pt idx="7">
                  <c:v>1012.4999999999999</c:v>
                </c:pt>
                <c:pt idx="8">
                  <c:v>1155</c:v>
                </c:pt>
                <c:pt idx="9">
                  <c:v>1297.5</c:v>
                </c:pt>
                <c:pt idx="10">
                  <c:v>1515</c:v>
                </c:pt>
                <c:pt idx="11">
                  <c:v>1732.5000000000002</c:v>
                </c:pt>
                <c:pt idx="12">
                  <c:v>1950</c:v>
                </c:pt>
                <c:pt idx="13">
                  <c:v>2167.5</c:v>
                </c:pt>
                <c:pt idx="14">
                  <c:v>2385</c:v>
                </c:pt>
                <c:pt idx="15">
                  <c:v>2602.5</c:v>
                </c:pt>
                <c:pt idx="16">
                  <c:v>2820</c:v>
                </c:pt>
                <c:pt idx="17">
                  <c:v>3037.5</c:v>
                </c:pt>
                <c:pt idx="18">
                  <c:v>3255</c:v>
                </c:pt>
                <c:pt idx="19">
                  <c:v>3472.5</c:v>
                </c:pt>
                <c:pt idx="20">
                  <c:v>3690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Samples!$F$14:$F$34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526.5</c:v>
                </c:pt>
                <c:pt idx="4">
                  <c:v>693</c:v>
                </c:pt>
                <c:pt idx="5">
                  <c:v>859.5</c:v>
                </c:pt>
                <c:pt idx="6">
                  <c:v>1026</c:v>
                </c:pt>
                <c:pt idx="7">
                  <c:v>1192.5</c:v>
                </c:pt>
                <c:pt idx="8">
                  <c:v>1359</c:v>
                </c:pt>
                <c:pt idx="9">
                  <c:v>1525.5</c:v>
                </c:pt>
                <c:pt idx="10">
                  <c:v>1767</c:v>
                </c:pt>
                <c:pt idx="11">
                  <c:v>2008.5000000000002</c:v>
                </c:pt>
                <c:pt idx="12">
                  <c:v>2250</c:v>
                </c:pt>
                <c:pt idx="13">
                  <c:v>2491.5</c:v>
                </c:pt>
                <c:pt idx="14">
                  <c:v>2733</c:v>
                </c:pt>
                <c:pt idx="15">
                  <c:v>2974.5</c:v>
                </c:pt>
                <c:pt idx="16">
                  <c:v>3216</c:v>
                </c:pt>
                <c:pt idx="17">
                  <c:v>3457.5</c:v>
                </c:pt>
                <c:pt idx="18">
                  <c:v>3699</c:v>
                </c:pt>
                <c:pt idx="19">
                  <c:v>3940.5</c:v>
                </c:pt>
                <c:pt idx="20">
                  <c:v>4182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Samples!$G$14:$G$34</c:f>
              <c:numCache>
                <c:formatCode>0.00</c:formatCode>
                <c:ptCount val="21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609</c:v>
                </c:pt>
                <c:pt idx="4">
                  <c:v>798</c:v>
                </c:pt>
                <c:pt idx="5">
                  <c:v>987</c:v>
                </c:pt>
                <c:pt idx="6">
                  <c:v>1176</c:v>
                </c:pt>
                <c:pt idx="7">
                  <c:v>1365</c:v>
                </c:pt>
                <c:pt idx="8">
                  <c:v>1554.0000000000002</c:v>
                </c:pt>
                <c:pt idx="9">
                  <c:v>1743</c:v>
                </c:pt>
                <c:pt idx="10">
                  <c:v>2007</c:v>
                </c:pt>
                <c:pt idx="11">
                  <c:v>2271</c:v>
                </c:pt>
                <c:pt idx="12">
                  <c:v>2535</c:v>
                </c:pt>
                <c:pt idx="13">
                  <c:v>2799</c:v>
                </c:pt>
                <c:pt idx="14">
                  <c:v>3063</c:v>
                </c:pt>
                <c:pt idx="15">
                  <c:v>3327</c:v>
                </c:pt>
                <c:pt idx="16">
                  <c:v>3591.0000000000005</c:v>
                </c:pt>
                <c:pt idx="17">
                  <c:v>3855</c:v>
                </c:pt>
                <c:pt idx="18">
                  <c:v>4119</c:v>
                </c:pt>
                <c:pt idx="19">
                  <c:v>4383</c:v>
                </c:pt>
                <c:pt idx="20">
                  <c:v>4647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Locale!$D$11</c:f>
              <c:strCache>
                <c:ptCount val="1"/>
                <c:pt idx="0">
                  <c:v>压缩阻尼力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strRef>
              <c:f>Locale!$D$56</c:f>
              <c:strCache>
                <c:ptCount val="1"/>
                <c:pt idx="0">
                  <c:v>轴速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Locale!$D$3</c:f>
          <c:strCache>
            <c:ptCount val="1"/>
            <c:pt idx="0">
              <c:v>RAx8 · 高速压缩调节曲线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Samples!$C$54:$C$74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498.66666666666663</c:v>
                </c:pt>
                <c:pt idx="4">
                  <c:v>657.33333333333337</c:v>
                </c:pt>
                <c:pt idx="5">
                  <c:v>816</c:v>
                </c:pt>
                <c:pt idx="6">
                  <c:v>974.66666666666663</c:v>
                </c:pt>
                <c:pt idx="7">
                  <c:v>1133.3333333333333</c:v>
                </c:pt>
                <c:pt idx="8">
                  <c:v>1292.0000000000002</c:v>
                </c:pt>
                <c:pt idx="9">
                  <c:v>1451.6666666666667</c:v>
                </c:pt>
                <c:pt idx="10">
                  <c:v>1615.3333333333335</c:v>
                </c:pt>
                <c:pt idx="11">
                  <c:v>1779.0000000000002</c:v>
                </c:pt>
                <c:pt idx="12">
                  <c:v>1942.6666666666667</c:v>
                </c:pt>
                <c:pt idx="13">
                  <c:v>2106.3333333333335</c:v>
                </c:pt>
                <c:pt idx="14">
                  <c:v>2270</c:v>
                </c:pt>
                <c:pt idx="15">
                  <c:v>2433.666666666667</c:v>
                </c:pt>
                <c:pt idx="16">
                  <c:v>2597.3333333333335</c:v>
                </c:pt>
                <c:pt idx="17">
                  <c:v>2761</c:v>
                </c:pt>
                <c:pt idx="18">
                  <c:v>2924.666666666667</c:v>
                </c:pt>
                <c:pt idx="19">
                  <c:v>3088.3333333333335</c:v>
                </c:pt>
                <c:pt idx="20">
                  <c:v>3252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Samples!$D$54:$D$74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498.66666666666663</c:v>
                </c:pt>
                <c:pt idx="4">
                  <c:v>657.33333333333337</c:v>
                </c:pt>
                <c:pt idx="5">
                  <c:v>816</c:v>
                </c:pt>
                <c:pt idx="6">
                  <c:v>974.66666666666663</c:v>
                </c:pt>
                <c:pt idx="7">
                  <c:v>1133.3333333333333</c:v>
                </c:pt>
                <c:pt idx="8">
                  <c:v>1292.0000000000002</c:v>
                </c:pt>
                <c:pt idx="9">
                  <c:v>1454.6666666666667</c:v>
                </c:pt>
                <c:pt idx="10">
                  <c:v>1653.3333333333335</c:v>
                </c:pt>
                <c:pt idx="11">
                  <c:v>1852.0000000000002</c:v>
                </c:pt>
                <c:pt idx="12">
                  <c:v>2050.6666666666665</c:v>
                </c:pt>
                <c:pt idx="13">
                  <c:v>2249.3333333333335</c:v>
                </c:pt>
                <c:pt idx="14">
                  <c:v>2448</c:v>
                </c:pt>
                <c:pt idx="15">
                  <c:v>2646.666666666667</c:v>
                </c:pt>
                <c:pt idx="16">
                  <c:v>2845.3333333333335</c:v>
                </c:pt>
                <c:pt idx="17">
                  <c:v>3044</c:v>
                </c:pt>
                <c:pt idx="18">
                  <c:v>3242.666666666667</c:v>
                </c:pt>
                <c:pt idx="19">
                  <c:v>3441.3333333333335</c:v>
                </c:pt>
                <c:pt idx="20">
                  <c:v>3640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Samples!$E$54:$E$74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498.66666666666663</c:v>
                </c:pt>
                <c:pt idx="4">
                  <c:v>657.33333333333337</c:v>
                </c:pt>
                <c:pt idx="5">
                  <c:v>816</c:v>
                </c:pt>
                <c:pt idx="6">
                  <c:v>974.66666666666663</c:v>
                </c:pt>
                <c:pt idx="7">
                  <c:v>1133.3333333333333</c:v>
                </c:pt>
                <c:pt idx="8">
                  <c:v>1292.0000000000002</c:v>
                </c:pt>
                <c:pt idx="9">
                  <c:v>1450.6666666666667</c:v>
                </c:pt>
                <c:pt idx="10">
                  <c:v>1684.3333333333335</c:v>
                </c:pt>
                <c:pt idx="11">
                  <c:v>1918.0000000000002</c:v>
                </c:pt>
                <c:pt idx="12">
                  <c:v>2151.6666666666665</c:v>
                </c:pt>
                <c:pt idx="13">
                  <c:v>2385.3333333333335</c:v>
                </c:pt>
                <c:pt idx="14">
                  <c:v>2619</c:v>
                </c:pt>
                <c:pt idx="15">
                  <c:v>2852.666666666667</c:v>
                </c:pt>
                <c:pt idx="16">
                  <c:v>3086.3333333333335</c:v>
                </c:pt>
                <c:pt idx="17">
                  <c:v>3320</c:v>
                </c:pt>
                <c:pt idx="18">
                  <c:v>3553.666666666667</c:v>
                </c:pt>
                <c:pt idx="19">
                  <c:v>3787.3333333333335</c:v>
                </c:pt>
                <c:pt idx="20">
                  <c:v>4021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Samples!$F$54:$F$74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498.66666666666663</c:v>
                </c:pt>
                <c:pt idx="4">
                  <c:v>657.33333333333337</c:v>
                </c:pt>
                <c:pt idx="5">
                  <c:v>816</c:v>
                </c:pt>
                <c:pt idx="6">
                  <c:v>974.66666666666663</c:v>
                </c:pt>
                <c:pt idx="7">
                  <c:v>1133.3333333333333</c:v>
                </c:pt>
                <c:pt idx="8">
                  <c:v>1292.0000000000002</c:v>
                </c:pt>
                <c:pt idx="9">
                  <c:v>1450.6666666666667</c:v>
                </c:pt>
                <c:pt idx="10">
                  <c:v>1708.3333333333335</c:v>
                </c:pt>
                <c:pt idx="11">
                  <c:v>1977.0000000000002</c:v>
                </c:pt>
                <c:pt idx="12">
                  <c:v>2245.6666666666665</c:v>
                </c:pt>
                <c:pt idx="13">
                  <c:v>2514.3333333333335</c:v>
                </c:pt>
                <c:pt idx="14">
                  <c:v>2783</c:v>
                </c:pt>
                <c:pt idx="15">
                  <c:v>3051.666666666667</c:v>
                </c:pt>
                <c:pt idx="16">
                  <c:v>3320.3333333333335</c:v>
                </c:pt>
                <c:pt idx="17">
                  <c:v>3589</c:v>
                </c:pt>
                <c:pt idx="18">
                  <c:v>3857.666666666667</c:v>
                </c:pt>
                <c:pt idx="19">
                  <c:v>4126.333333333333</c:v>
                </c:pt>
                <c:pt idx="20">
                  <c:v>4395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Samples!$G$54:$G$74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498.66666666666663</c:v>
                </c:pt>
                <c:pt idx="4">
                  <c:v>657.33333333333337</c:v>
                </c:pt>
                <c:pt idx="5">
                  <c:v>816</c:v>
                </c:pt>
                <c:pt idx="6">
                  <c:v>974.66666666666663</c:v>
                </c:pt>
                <c:pt idx="7">
                  <c:v>1133.3333333333333</c:v>
                </c:pt>
                <c:pt idx="8">
                  <c:v>1292.0000000000002</c:v>
                </c:pt>
                <c:pt idx="9">
                  <c:v>1450.6666666666667</c:v>
                </c:pt>
                <c:pt idx="10">
                  <c:v>1725.3333333333335</c:v>
                </c:pt>
                <c:pt idx="11">
                  <c:v>2029.0000000000002</c:v>
                </c:pt>
                <c:pt idx="12">
                  <c:v>2332.6666666666665</c:v>
                </c:pt>
                <c:pt idx="13">
                  <c:v>2636.3333333333335</c:v>
                </c:pt>
                <c:pt idx="14">
                  <c:v>2940</c:v>
                </c:pt>
                <c:pt idx="15">
                  <c:v>3243.666666666667</c:v>
                </c:pt>
                <c:pt idx="16">
                  <c:v>3547.3333333333335</c:v>
                </c:pt>
                <c:pt idx="17">
                  <c:v>3851</c:v>
                </c:pt>
                <c:pt idx="18">
                  <c:v>4154.666666666667</c:v>
                </c:pt>
                <c:pt idx="19">
                  <c:v>4458.333333333333</c:v>
                </c:pt>
                <c:pt idx="20">
                  <c:v>4762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Locale!$D$11</c:f>
              <c:strCache>
                <c:ptCount val="1"/>
                <c:pt idx="0">
                  <c:v>压缩阻尼力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strRef>
              <c:f>Locale!$D$56</c:f>
              <c:strCache>
                <c:ptCount val="1"/>
                <c:pt idx="0">
                  <c:v>轴速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Locale!$D$5</c:f>
          <c:strCache>
            <c:ptCount val="1"/>
            <c:pt idx="0">
              <c:v>RAx8 · 低速回弹调节曲线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Samples!$C$94:$C$114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447.84</c:v>
                </c:pt>
                <c:pt idx="6">
                  <c:v>532.43999999999994</c:v>
                </c:pt>
                <c:pt idx="7">
                  <c:v>617.04</c:v>
                </c:pt>
                <c:pt idx="8">
                  <c:v>701.6400000000001</c:v>
                </c:pt>
                <c:pt idx="9">
                  <c:v>786.24</c:v>
                </c:pt>
                <c:pt idx="10">
                  <c:v>870.84</c:v>
                </c:pt>
                <c:pt idx="11">
                  <c:v>955.44</c:v>
                </c:pt>
                <c:pt idx="12">
                  <c:v>1040.04</c:v>
                </c:pt>
                <c:pt idx="13">
                  <c:v>1124.6400000000001</c:v>
                </c:pt>
                <c:pt idx="14">
                  <c:v>1209.24</c:v>
                </c:pt>
                <c:pt idx="15">
                  <c:v>1293.8400000000001</c:v>
                </c:pt>
                <c:pt idx="16">
                  <c:v>1378.44</c:v>
                </c:pt>
                <c:pt idx="17">
                  <c:v>1463.04</c:v>
                </c:pt>
                <c:pt idx="18">
                  <c:v>1547.64</c:v>
                </c:pt>
                <c:pt idx="19">
                  <c:v>1632.24</c:v>
                </c:pt>
                <c:pt idx="20">
                  <c:v>1716.84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Samples!$D$94:$D$114</c:f>
              <c:numCache>
                <c:formatCode>0.00</c:formatCode>
                <c:ptCount val="21"/>
                <c:pt idx="0">
                  <c:v>0</c:v>
                </c:pt>
                <c:pt idx="1">
                  <c:v>115</c:v>
                </c:pt>
                <c:pt idx="2">
                  <c:v>230</c:v>
                </c:pt>
                <c:pt idx="3">
                  <c:v>345</c:v>
                </c:pt>
                <c:pt idx="4">
                  <c:v>460</c:v>
                </c:pt>
                <c:pt idx="5">
                  <c:v>575</c:v>
                </c:pt>
                <c:pt idx="6">
                  <c:v>680.68499999999995</c:v>
                </c:pt>
                <c:pt idx="7">
                  <c:v>785.33499999999992</c:v>
                </c:pt>
                <c:pt idx="8">
                  <c:v>889.98500000000001</c:v>
                </c:pt>
                <c:pt idx="9">
                  <c:v>994.63499999999999</c:v>
                </c:pt>
                <c:pt idx="10">
                  <c:v>1099.2849999999999</c:v>
                </c:pt>
                <c:pt idx="11">
                  <c:v>1203.9349999999999</c:v>
                </c:pt>
                <c:pt idx="12">
                  <c:v>1308.585</c:v>
                </c:pt>
                <c:pt idx="13">
                  <c:v>1413.2350000000001</c:v>
                </c:pt>
                <c:pt idx="14">
                  <c:v>1517.8849999999998</c:v>
                </c:pt>
                <c:pt idx="15">
                  <c:v>1622.5350000000001</c:v>
                </c:pt>
                <c:pt idx="16">
                  <c:v>1727.1850000000002</c:v>
                </c:pt>
                <c:pt idx="17">
                  <c:v>1831.835</c:v>
                </c:pt>
                <c:pt idx="18">
                  <c:v>1936.4850000000001</c:v>
                </c:pt>
                <c:pt idx="19">
                  <c:v>2041.135</c:v>
                </c:pt>
                <c:pt idx="20">
                  <c:v>2145.7849999999999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Samples!$E$94:$E$114</c:f>
              <c:numCache>
                <c:formatCode>0.00</c:formatCode>
                <c:ptCount val="21"/>
                <c:pt idx="0">
                  <c:v>0</c:v>
                </c:pt>
                <c:pt idx="1">
                  <c:v>140</c:v>
                </c:pt>
                <c:pt idx="2">
                  <c:v>280</c:v>
                </c:pt>
                <c:pt idx="3">
                  <c:v>420</c:v>
                </c:pt>
                <c:pt idx="4">
                  <c:v>560</c:v>
                </c:pt>
                <c:pt idx="5">
                  <c:v>700</c:v>
                </c:pt>
                <c:pt idx="6">
                  <c:v>833.28</c:v>
                </c:pt>
                <c:pt idx="7">
                  <c:v>956.48</c:v>
                </c:pt>
                <c:pt idx="8">
                  <c:v>1079.68</c:v>
                </c:pt>
                <c:pt idx="9">
                  <c:v>1202.8800000000001</c:v>
                </c:pt>
                <c:pt idx="10">
                  <c:v>1326.08</c:v>
                </c:pt>
                <c:pt idx="11">
                  <c:v>1449.2800000000002</c:v>
                </c:pt>
                <c:pt idx="12">
                  <c:v>1572.48</c:v>
                </c:pt>
                <c:pt idx="13">
                  <c:v>1695.68</c:v>
                </c:pt>
                <c:pt idx="14">
                  <c:v>1818.88</c:v>
                </c:pt>
                <c:pt idx="15">
                  <c:v>1942.08</c:v>
                </c:pt>
                <c:pt idx="16">
                  <c:v>2065.2800000000002</c:v>
                </c:pt>
                <c:pt idx="17">
                  <c:v>2188.48</c:v>
                </c:pt>
                <c:pt idx="18">
                  <c:v>2311.6800000000003</c:v>
                </c:pt>
                <c:pt idx="19">
                  <c:v>2434.88</c:v>
                </c:pt>
                <c:pt idx="20">
                  <c:v>2558.08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Samples!$F$94:$F$114</c:f>
              <c:numCache>
                <c:formatCode>0.00</c:formatCode>
                <c:ptCount val="21"/>
                <c:pt idx="0">
                  <c:v>0</c:v>
                </c:pt>
                <c:pt idx="1">
                  <c:v>165</c:v>
                </c:pt>
                <c:pt idx="2">
                  <c:v>330</c:v>
                </c:pt>
                <c:pt idx="3">
                  <c:v>495</c:v>
                </c:pt>
                <c:pt idx="4">
                  <c:v>660</c:v>
                </c:pt>
                <c:pt idx="5">
                  <c:v>825</c:v>
                </c:pt>
                <c:pt idx="6">
                  <c:v>990</c:v>
                </c:pt>
                <c:pt idx="7">
                  <c:v>1132.7249999999999</c:v>
                </c:pt>
                <c:pt idx="8">
                  <c:v>1272.9749999999999</c:v>
                </c:pt>
                <c:pt idx="9">
                  <c:v>1413.2249999999999</c:v>
                </c:pt>
                <c:pt idx="10">
                  <c:v>1553.4749999999999</c:v>
                </c:pt>
                <c:pt idx="11">
                  <c:v>1693.7250000000001</c:v>
                </c:pt>
                <c:pt idx="12">
                  <c:v>1833.9749999999999</c:v>
                </c:pt>
                <c:pt idx="13">
                  <c:v>1974.2249999999999</c:v>
                </c:pt>
                <c:pt idx="14">
                  <c:v>2114.4749999999999</c:v>
                </c:pt>
                <c:pt idx="15">
                  <c:v>2254.7249999999999</c:v>
                </c:pt>
                <c:pt idx="16">
                  <c:v>2394.9749999999999</c:v>
                </c:pt>
                <c:pt idx="17">
                  <c:v>2535.2249999999999</c:v>
                </c:pt>
                <c:pt idx="18">
                  <c:v>2675.4749999999999</c:v>
                </c:pt>
                <c:pt idx="19">
                  <c:v>2815.7249999999999</c:v>
                </c:pt>
                <c:pt idx="20">
                  <c:v>2955.9749999999999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Samples!$G$94:$G$114</c:f>
              <c:numCache>
                <c:formatCode>0.00</c:formatCode>
                <c:ptCount val="21"/>
                <c:pt idx="0">
                  <c:v>0</c:v>
                </c:pt>
                <c:pt idx="1">
                  <c:v>190</c:v>
                </c:pt>
                <c:pt idx="2">
                  <c:v>380</c:v>
                </c:pt>
                <c:pt idx="3">
                  <c:v>570</c:v>
                </c:pt>
                <c:pt idx="4">
                  <c:v>760</c:v>
                </c:pt>
                <c:pt idx="5">
                  <c:v>950</c:v>
                </c:pt>
                <c:pt idx="6">
                  <c:v>1140</c:v>
                </c:pt>
                <c:pt idx="7">
                  <c:v>1316.32</c:v>
                </c:pt>
                <c:pt idx="8">
                  <c:v>1472.1200000000001</c:v>
                </c:pt>
                <c:pt idx="9">
                  <c:v>1627.92</c:v>
                </c:pt>
                <c:pt idx="10">
                  <c:v>1783.7199999999998</c:v>
                </c:pt>
                <c:pt idx="11">
                  <c:v>1939.52</c:v>
                </c:pt>
                <c:pt idx="12">
                  <c:v>2095.3199999999997</c:v>
                </c:pt>
                <c:pt idx="13">
                  <c:v>2251.12</c:v>
                </c:pt>
                <c:pt idx="14">
                  <c:v>2406.92</c:v>
                </c:pt>
                <c:pt idx="15">
                  <c:v>2562.7200000000003</c:v>
                </c:pt>
                <c:pt idx="16">
                  <c:v>2718.52</c:v>
                </c:pt>
                <c:pt idx="17">
                  <c:v>2874.32</c:v>
                </c:pt>
                <c:pt idx="18">
                  <c:v>3030.12</c:v>
                </c:pt>
                <c:pt idx="19">
                  <c:v>3185.9199999999996</c:v>
                </c:pt>
                <c:pt idx="20">
                  <c:v>3341.72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Locale!$D$50</c:f>
              <c:strCache>
                <c:ptCount val="1"/>
                <c:pt idx="0">
                  <c:v>回弹阻尼力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strRef>
              <c:f>Locale!$D$20</c:f>
              <c:strCache>
                <c:ptCount val="1"/>
                <c:pt idx="0">
                  <c:v>伸展速度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Locale!$D$2</c:f>
          <c:strCache>
            <c:ptCount val="1"/>
            <c:pt idx="0">
              <c:v>RAx8 · 压缩 (+) / 回弹 (−)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Samples!$C$134:$C$154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720.00000000000011</c:v>
                </c:pt>
                <c:pt idx="9">
                  <c:v>811</c:v>
                </c:pt>
                <c:pt idx="10">
                  <c:v>906</c:v>
                </c:pt>
                <c:pt idx="11">
                  <c:v>1001.0000000000001</c:v>
                </c:pt>
                <c:pt idx="12">
                  <c:v>1096</c:v>
                </c:pt>
                <c:pt idx="13">
                  <c:v>1191</c:v>
                </c:pt>
                <c:pt idx="14">
                  <c:v>1286</c:v>
                </c:pt>
                <c:pt idx="15">
                  <c:v>1381</c:v>
                </c:pt>
                <c:pt idx="16">
                  <c:v>1476.0000000000002</c:v>
                </c:pt>
                <c:pt idx="17">
                  <c:v>1571</c:v>
                </c:pt>
                <c:pt idx="18">
                  <c:v>1666</c:v>
                </c:pt>
                <c:pt idx="19">
                  <c:v>1761</c:v>
                </c:pt>
                <c:pt idx="20">
                  <c:v>1856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Samples!$D$134:$D$154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357</c:v>
                </c:pt>
                <c:pt idx="4">
                  <c:v>474</c:v>
                </c:pt>
                <c:pt idx="5">
                  <c:v>591</c:v>
                </c:pt>
                <c:pt idx="6">
                  <c:v>708</c:v>
                </c:pt>
                <c:pt idx="7">
                  <c:v>824.99999999999989</c:v>
                </c:pt>
                <c:pt idx="8">
                  <c:v>942.00000000000011</c:v>
                </c:pt>
                <c:pt idx="9">
                  <c:v>1063</c:v>
                </c:pt>
                <c:pt idx="10">
                  <c:v>1220</c:v>
                </c:pt>
                <c:pt idx="11">
                  <c:v>1377.0000000000002</c:v>
                </c:pt>
                <c:pt idx="12">
                  <c:v>1534</c:v>
                </c:pt>
                <c:pt idx="13">
                  <c:v>1691</c:v>
                </c:pt>
                <c:pt idx="14">
                  <c:v>1848</c:v>
                </c:pt>
                <c:pt idx="15">
                  <c:v>2005</c:v>
                </c:pt>
                <c:pt idx="16">
                  <c:v>2162.0000000000005</c:v>
                </c:pt>
                <c:pt idx="17">
                  <c:v>2319</c:v>
                </c:pt>
                <c:pt idx="18">
                  <c:v>2476</c:v>
                </c:pt>
                <c:pt idx="19">
                  <c:v>2633</c:v>
                </c:pt>
                <c:pt idx="20">
                  <c:v>2790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Samples!$E$134:$E$154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442.5</c:v>
                </c:pt>
                <c:pt idx="4">
                  <c:v>585</c:v>
                </c:pt>
                <c:pt idx="5">
                  <c:v>727.5</c:v>
                </c:pt>
                <c:pt idx="6">
                  <c:v>870</c:v>
                </c:pt>
                <c:pt idx="7">
                  <c:v>1012.4999999999999</c:v>
                </c:pt>
                <c:pt idx="8">
                  <c:v>1155</c:v>
                </c:pt>
                <c:pt idx="9">
                  <c:v>1297.5</c:v>
                </c:pt>
                <c:pt idx="10">
                  <c:v>1515</c:v>
                </c:pt>
                <c:pt idx="11">
                  <c:v>1732.5000000000002</c:v>
                </c:pt>
                <c:pt idx="12">
                  <c:v>1950</c:v>
                </c:pt>
                <c:pt idx="13">
                  <c:v>2167.5</c:v>
                </c:pt>
                <c:pt idx="14">
                  <c:v>2385</c:v>
                </c:pt>
                <c:pt idx="15">
                  <c:v>2602.5</c:v>
                </c:pt>
                <c:pt idx="16">
                  <c:v>2820</c:v>
                </c:pt>
                <c:pt idx="17">
                  <c:v>3037.5</c:v>
                </c:pt>
                <c:pt idx="18">
                  <c:v>3255</c:v>
                </c:pt>
                <c:pt idx="19">
                  <c:v>3472.5</c:v>
                </c:pt>
                <c:pt idx="20">
                  <c:v>3690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Samples!$F$134:$F$154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526.5</c:v>
                </c:pt>
                <c:pt idx="4">
                  <c:v>693</c:v>
                </c:pt>
                <c:pt idx="5">
                  <c:v>859.5</c:v>
                </c:pt>
                <c:pt idx="6">
                  <c:v>1026</c:v>
                </c:pt>
                <c:pt idx="7">
                  <c:v>1192.5</c:v>
                </c:pt>
                <c:pt idx="8">
                  <c:v>1359</c:v>
                </c:pt>
                <c:pt idx="9">
                  <c:v>1525.5</c:v>
                </c:pt>
                <c:pt idx="10">
                  <c:v>1791</c:v>
                </c:pt>
                <c:pt idx="11">
                  <c:v>2067.5000000000005</c:v>
                </c:pt>
                <c:pt idx="12">
                  <c:v>2344</c:v>
                </c:pt>
                <c:pt idx="13">
                  <c:v>2620.5</c:v>
                </c:pt>
                <c:pt idx="14">
                  <c:v>2897</c:v>
                </c:pt>
                <c:pt idx="15">
                  <c:v>3173.5</c:v>
                </c:pt>
                <c:pt idx="16">
                  <c:v>3450</c:v>
                </c:pt>
                <c:pt idx="17">
                  <c:v>3726.5</c:v>
                </c:pt>
                <c:pt idx="18">
                  <c:v>4003</c:v>
                </c:pt>
                <c:pt idx="19">
                  <c:v>4279.5</c:v>
                </c:pt>
                <c:pt idx="20">
                  <c:v>4556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Samples!$G$134:$G$154</c:f>
              <c:numCache>
                <c:formatCode>0.00</c:formatCode>
                <c:ptCount val="21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609</c:v>
                </c:pt>
                <c:pt idx="4">
                  <c:v>798</c:v>
                </c:pt>
                <c:pt idx="5">
                  <c:v>987</c:v>
                </c:pt>
                <c:pt idx="6">
                  <c:v>1176</c:v>
                </c:pt>
                <c:pt idx="7">
                  <c:v>1365</c:v>
                </c:pt>
                <c:pt idx="8">
                  <c:v>1554.0000000000002</c:v>
                </c:pt>
                <c:pt idx="9">
                  <c:v>1743</c:v>
                </c:pt>
                <c:pt idx="10">
                  <c:v>2048</c:v>
                </c:pt>
                <c:pt idx="11">
                  <c:v>2382</c:v>
                </c:pt>
                <c:pt idx="12">
                  <c:v>2716</c:v>
                </c:pt>
                <c:pt idx="13">
                  <c:v>3050</c:v>
                </c:pt>
                <c:pt idx="14">
                  <c:v>3384</c:v>
                </c:pt>
                <c:pt idx="15">
                  <c:v>3718</c:v>
                </c:pt>
                <c:pt idx="16">
                  <c:v>4052.0000000000005</c:v>
                </c:pt>
                <c:pt idx="17">
                  <c:v>4386</c:v>
                </c:pt>
                <c:pt idx="18">
                  <c:v>4720</c:v>
                </c:pt>
                <c:pt idx="19">
                  <c:v>5054</c:v>
                </c:pt>
                <c:pt idx="20">
                  <c:v>5388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Samples!$H$134:$H$154</c:f>
              <c:numCache>
                <c:formatCode>0.00</c:formatCode>
                <c:ptCount val="21"/>
                <c:pt idx="0">
                  <c:v>0</c:v>
                </c:pt>
                <c:pt idx="1">
                  <c:v>-90</c:v>
                </c:pt>
                <c:pt idx="2">
                  <c:v>-180</c:v>
                </c:pt>
                <c:pt idx="3">
                  <c:v>-270</c:v>
                </c:pt>
                <c:pt idx="4">
                  <c:v>-360</c:v>
                </c:pt>
                <c:pt idx="5">
                  <c:v>-447.84</c:v>
                </c:pt>
                <c:pt idx="6">
                  <c:v>-532.43999999999994</c:v>
                </c:pt>
                <c:pt idx="7">
                  <c:v>-617.04</c:v>
                </c:pt>
                <c:pt idx="8">
                  <c:v>-701.6400000000001</c:v>
                </c:pt>
                <c:pt idx="9">
                  <c:v>-786.24</c:v>
                </c:pt>
                <c:pt idx="10">
                  <c:v>-870.84</c:v>
                </c:pt>
                <c:pt idx="11">
                  <c:v>-955.44</c:v>
                </c:pt>
                <c:pt idx="12">
                  <c:v>-1040.04</c:v>
                </c:pt>
                <c:pt idx="13">
                  <c:v>-1124.6400000000001</c:v>
                </c:pt>
                <c:pt idx="14">
                  <c:v>-1209.24</c:v>
                </c:pt>
                <c:pt idx="15">
                  <c:v>-1293.8400000000001</c:v>
                </c:pt>
                <c:pt idx="16">
                  <c:v>-1378.44</c:v>
                </c:pt>
                <c:pt idx="17">
                  <c:v>-1463.04</c:v>
                </c:pt>
                <c:pt idx="18">
                  <c:v>-1547.64</c:v>
                </c:pt>
                <c:pt idx="19">
                  <c:v>-1632.24</c:v>
                </c:pt>
                <c:pt idx="20">
                  <c:v>-1716.84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Samples!$I$134:$I$154</c:f>
              <c:numCache>
                <c:formatCode>0.00</c:formatCode>
                <c:ptCount val="21"/>
                <c:pt idx="0">
                  <c:v>0</c:v>
                </c:pt>
                <c:pt idx="1">
                  <c:v>-115</c:v>
                </c:pt>
                <c:pt idx="2">
                  <c:v>-230</c:v>
                </c:pt>
                <c:pt idx="3">
                  <c:v>-345</c:v>
                </c:pt>
                <c:pt idx="4">
                  <c:v>-460</c:v>
                </c:pt>
                <c:pt idx="5">
                  <c:v>-575</c:v>
                </c:pt>
                <c:pt idx="6">
                  <c:v>-680.68499999999995</c:v>
                </c:pt>
                <c:pt idx="7">
                  <c:v>-785.33499999999992</c:v>
                </c:pt>
                <c:pt idx="8">
                  <c:v>-889.98500000000001</c:v>
                </c:pt>
                <c:pt idx="9">
                  <c:v>-994.63499999999999</c:v>
                </c:pt>
                <c:pt idx="10">
                  <c:v>-1099.2849999999999</c:v>
                </c:pt>
                <c:pt idx="11">
                  <c:v>-1203.9349999999999</c:v>
                </c:pt>
                <c:pt idx="12">
                  <c:v>-1308.585</c:v>
                </c:pt>
                <c:pt idx="13">
                  <c:v>-1413.2350000000001</c:v>
                </c:pt>
                <c:pt idx="14">
                  <c:v>-1517.8849999999998</c:v>
                </c:pt>
                <c:pt idx="15">
                  <c:v>-1622.5350000000001</c:v>
                </c:pt>
                <c:pt idx="16">
                  <c:v>-1727.1850000000002</c:v>
                </c:pt>
                <c:pt idx="17">
                  <c:v>-1831.835</c:v>
                </c:pt>
                <c:pt idx="18">
                  <c:v>-1936.4850000000001</c:v>
                </c:pt>
                <c:pt idx="19">
                  <c:v>-2041.135</c:v>
                </c:pt>
                <c:pt idx="20">
                  <c:v>-2145.7849999999999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Samples!$J$134:$J$154</c:f>
              <c:numCache>
                <c:formatCode>0.00</c:formatCode>
                <c:ptCount val="21"/>
                <c:pt idx="0">
                  <c:v>0</c:v>
                </c:pt>
                <c:pt idx="1">
                  <c:v>-140</c:v>
                </c:pt>
                <c:pt idx="2">
                  <c:v>-280</c:v>
                </c:pt>
                <c:pt idx="3">
                  <c:v>-420</c:v>
                </c:pt>
                <c:pt idx="4">
                  <c:v>-560</c:v>
                </c:pt>
                <c:pt idx="5">
                  <c:v>-700</c:v>
                </c:pt>
                <c:pt idx="6">
                  <c:v>-833.28</c:v>
                </c:pt>
                <c:pt idx="7">
                  <c:v>-956.48</c:v>
                </c:pt>
                <c:pt idx="8">
                  <c:v>-1079.68</c:v>
                </c:pt>
                <c:pt idx="9">
                  <c:v>-1202.8800000000001</c:v>
                </c:pt>
                <c:pt idx="10">
                  <c:v>-1326.08</c:v>
                </c:pt>
                <c:pt idx="11">
                  <c:v>-1449.2800000000002</c:v>
                </c:pt>
                <c:pt idx="12">
                  <c:v>-1572.48</c:v>
                </c:pt>
                <c:pt idx="13">
                  <c:v>-1695.68</c:v>
                </c:pt>
                <c:pt idx="14">
                  <c:v>-1818.88</c:v>
                </c:pt>
                <c:pt idx="15">
                  <c:v>-1942.08</c:v>
                </c:pt>
                <c:pt idx="16">
                  <c:v>-2065.2800000000002</c:v>
                </c:pt>
                <c:pt idx="17">
                  <c:v>-2188.48</c:v>
                </c:pt>
                <c:pt idx="18">
                  <c:v>-2311.6800000000003</c:v>
                </c:pt>
                <c:pt idx="19">
                  <c:v>-2434.88</c:v>
                </c:pt>
                <c:pt idx="20">
                  <c:v>-2558.08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Samples!$K$134:$K$154</c:f>
              <c:numCache>
                <c:formatCode>0.00</c:formatCode>
                <c:ptCount val="21"/>
                <c:pt idx="0">
                  <c:v>0</c:v>
                </c:pt>
                <c:pt idx="1">
                  <c:v>-165</c:v>
                </c:pt>
                <c:pt idx="2">
                  <c:v>-330</c:v>
                </c:pt>
                <c:pt idx="3">
                  <c:v>-495</c:v>
                </c:pt>
                <c:pt idx="4">
                  <c:v>-660</c:v>
                </c:pt>
                <c:pt idx="5">
                  <c:v>-825</c:v>
                </c:pt>
                <c:pt idx="6">
                  <c:v>-990</c:v>
                </c:pt>
                <c:pt idx="7">
                  <c:v>-1132.7249999999999</c:v>
                </c:pt>
                <c:pt idx="8">
                  <c:v>-1272.9749999999999</c:v>
                </c:pt>
                <c:pt idx="9">
                  <c:v>-1413.2249999999999</c:v>
                </c:pt>
                <c:pt idx="10">
                  <c:v>-1553.4749999999999</c:v>
                </c:pt>
                <c:pt idx="11">
                  <c:v>-1693.7250000000001</c:v>
                </c:pt>
                <c:pt idx="12">
                  <c:v>-1833.9749999999999</c:v>
                </c:pt>
                <c:pt idx="13">
                  <c:v>-1974.2249999999999</c:v>
                </c:pt>
                <c:pt idx="14">
                  <c:v>-2114.4749999999999</c:v>
                </c:pt>
                <c:pt idx="15">
                  <c:v>-2254.7249999999999</c:v>
                </c:pt>
                <c:pt idx="16">
                  <c:v>-2394.9749999999999</c:v>
                </c:pt>
                <c:pt idx="17">
                  <c:v>-2535.2249999999999</c:v>
                </c:pt>
                <c:pt idx="18">
                  <c:v>-2675.4749999999999</c:v>
                </c:pt>
                <c:pt idx="19">
                  <c:v>-2815.7249999999999</c:v>
                </c:pt>
                <c:pt idx="20">
                  <c:v>-2955.9749999999999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Samples!$L$134:$L$154</c:f>
              <c:numCache>
                <c:formatCode>0.00</c:formatCode>
                <c:ptCount val="21"/>
                <c:pt idx="0">
                  <c:v>0</c:v>
                </c:pt>
                <c:pt idx="1">
                  <c:v>-190</c:v>
                </c:pt>
                <c:pt idx="2">
                  <c:v>-380</c:v>
                </c:pt>
                <c:pt idx="3">
                  <c:v>-570</c:v>
                </c:pt>
                <c:pt idx="4">
                  <c:v>-760</c:v>
                </c:pt>
                <c:pt idx="5">
                  <c:v>-950</c:v>
                </c:pt>
                <c:pt idx="6">
                  <c:v>-1140</c:v>
                </c:pt>
                <c:pt idx="7">
                  <c:v>-1316.32</c:v>
                </c:pt>
                <c:pt idx="8">
                  <c:v>-1472.1200000000001</c:v>
                </c:pt>
                <c:pt idx="9">
                  <c:v>-1627.92</c:v>
                </c:pt>
                <c:pt idx="10">
                  <c:v>-1783.7199999999998</c:v>
                </c:pt>
                <c:pt idx="11">
                  <c:v>-1939.52</c:v>
                </c:pt>
                <c:pt idx="12">
                  <c:v>-2095.3199999999997</c:v>
                </c:pt>
                <c:pt idx="13">
                  <c:v>-2251.12</c:v>
                </c:pt>
                <c:pt idx="14">
                  <c:v>-2406.92</c:v>
                </c:pt>
                <c:pt idx="15">
                  <c:v>-2562.7200000000003</c:v>
                </c:pt>
                <c:pt idx="16">
                  <c:v>-2718.52</c:v>
                </c:pt>
                <c:pt idx="17">
                  <c:v>-2874.32</c:v>
                </c:pt>
                <c:pt idx="18">
                  <c:v>-3030.12</c:v>
                </c:pt>
                <c:pt idx="19">
                  <c:v>-3185.9199999999996</c:v>
                </c:pt>
                <c:pt idx="20">
                  <c:v>-3341.72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Locale!$D$19</c:f>
              <c:strCache>
                <c:ptCount val="1"/>
                <c:pt idx="0">
                  <c:v>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strRef>
              <c:f>Locale!$D$55</c:f>
              <c:strCache>
                <c:ptCount val="1"/>
                <c:pt idx="0">
                  <c:v>轴速大小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0FA4-4DD2-4B50-8AA7-32365116ADE5}">
  <sheetPr>
    <tabColor rgb="FF31475E"/>
  </sheetPr>
  <dimension ref="A1:H21"/>
  <sheetViews>
    <sheetView showGridLines="0" workbookViewId="0">
      <selection activeCell="G13" sqref="G13"/>
    </sheetView>
  </sheetViews>
  <sheetFormatPr defaultRowHeight="14"/>
  <cols>
    <col min="1" max="1" width="3" customWidth="1"/>
    <col min="2" max="2" width="18" customWidth="1"/>
    <col min="3" max="3" width="3" customWidth="1"/>
    <col min="4" max="7" width="25" customWidth="1"/>
    <col min="8" max="8" width="3" customWidth="1"/>
  </cols>
  <sheetData>
    <row r="1" spans="1:8" ht="22" customHeight="1">
      <c r="A1" s="6"/>
      <c r="B1" s="71" t="s">
        <v>85</v>
      </c>
      <c r="C1" s="71" t="s">
        <v>85</v>
      </c>
      <c r="D1" s="71" t="s">
        <v>85</v>
      </c>
      <c r="E1" s="72" t="s">
        <v>265</v>
      </c>
      <c r="F1" s="72" t="s">
        <v>86</v>
      </c>
      <c r="G1" s="72" t="s">
        <v>86</v>
      </c>
      <c r="H1" s="6"/>
    </row>
    <row r="2" spans="1:8" ht="35.15" customHeight="1">
      <c r="A2" s="6"/>
      <c r="B2" s="74" t="str">
        <f>VLOOKUP("title.rax8DamperCatalog",Locale!$A$2:$D$78,4,FALSE)</f>
        <v>CTM Racing · RAx8 · 避震器目录</v>
      </c>
      <c r="C2" s="75"/>
      <c r="D2" s="75"/>
      <c r="E2" s="75"/>
      <c r="F2" s="75"/>
      <c r="G2" s="75"/>
      <c r="H2" s="6"/>
    </row>
    <row r="3" spans="1:8" ht="25" customHeight="1">
      <c r="A3" s="6"/>
      <c r="B3" s="6"/>
      <c r="C3" s="6"/>
      <c r="D3" s="6"/>
      <c r="E3" s="6"/>
      <c r="F3" s="6"/>
      <c r="G3" s="6"/>
      <c r="H3" s="6"/>
    </row>
    <row r="4" spans="1:8" ht="32.15" customHeight="1">
      <c r="A4" s="6"/>
      <c r="B4" s="16"/>
      <c r="C4" s="6"/>
      <c r="D4" s="8" t="str">
        <f>VLOOKUP("label.specification",Locale!$A$2:$D$78,4,FALSE)</f>
        <v>规格</v>
      </c>
      <c r="E4" s="9" t="s">
        <v>64</v>
      </c>
      <c r="F4" s="9" t="s">
        <v>65</v>
      </c>
      <c r="H4" s="6"/>
    </row>
    <row r="5" spans="1:8" ht="31" customHeight="1">
      <c r="A5" s="6"/>
      <c r="B5" s="16"/>
      <c r="C5" s="6"/>
      <c r="D5" s="17" t="str">
        <f>VLOOKUP("label.pistonTravel",Locale!$A$2:$D$78,4,FALSE)</f>
        <v>活塞行程</v>
      </c>
      <c r="E5" s="64" t="str">
        <f>VLOOKUP("label.frontRearTravel",Locale!$A$2:$D$78,4,FALSE)</f>
        <v>前轴 215 / 后轴 190 mm</v>
      </c>
      <c r="F5" s="13">
        <v>280</v>
      </c>
      <c r="H5" s="6"/>
    </row>
    <row r="6" spans="1:8" ht="31" customHeight="1">
      <c r="A6" s="6"/>
      <c r="B6" s="76" t="s">
        <v>2</v>
      </c>
      <c r="C6" s="6"/>
      <c r="D6" s="11" t="str">
        <f>VLOOKUP("label.dampingAdjustment",Locale!$A$2:$D$78,4,FALSE)</f>
        <v>阻尼调节</v>
      </c>
      <c r="E6" s="12" t="str">
        <f>VLOOKUP("label.threeWay",Locale!$A$2:$D$78,4,FALSE)</f>
        <v>3 向调节</v>
      </c>
      <c r="F6" s="12" t="str">
        <f>VLOOKUP("label.threePlusOneWay",Locale!$A$2:$D$78,4,FALSE)</f>
        <v>3+1 向调节</v>
      </c>
      <c r="H6" s="6"/>
    </row>
    <row r="7" spans="1:8" ht="31" customHeight="1">
      <c r="A7" s="6"/>
      <c r="B7" s="76"/>
      <c r="C7" s="6"/>
      <c r="D7" s="10" t="str">
        <f>VLOOKUP("label.lowSpeedCompressionC",Locale!$A$2:$D$78,4,FALSE)</f>
        <v>低速压缩 · c</v>
      </c>
      <c r="E7" s="14">
        <f>Parameters!D23</f>
        <v>24</v>
      </c>
      <c r="F7" s="14">
        <f>Parameters!D23</f>
        <v>24</v>
      </c>
      <c r="H7" s="6"/>
    </row>
    <row r="8" spans="1:8" ht="31" customHeight="1">
      <c r="A8" s="6"/>
      <c r="B8" s="65" t="str">
        <f>VLOOKUP("label.rally",Locale!$A$2:$D$78,4,FALSE)</f>
        <v>拉力</v>
      </c>
      <c r="C8" s="6"/>
      <c r="D8" s="11" t="str">
        <f>VLOOKUP("label.highSpeedCompressionC",Locale!$A$2:$D$78,4,FALSE)</f>
        <v>高速压缩 · C</v>
      </c>
      <c r="E8" s="15">
        <f>Parameters!D27</f>
        <v>10</v>
      </c>
      <c r="F8" s="15">
        <f>Parameters!D24</f>
        <v>20</v>
      </c>
      <c r="H8" s="6"/>
    </row>
    <row r="9" spans="1:8" ht="31" customHeight="1">
      <c r="A9" s="6"/>
      <c r="B9" s="66" t="str">
        <f>VLOOKUP("label.rallycross",Locale!$A$2:$D$78,4,FALSE)</f>
        <v>跨界拉力</v>
      </c>
      <c r="C9" s="6"/>
      <c r="D9" s="10" t="str">
        <f>VLOOKUP("label.reboundR",Locale!$A$2:$D$78,4,FALSE)</f>
        <v>回弹 · R</v>
      </c>
      <c r="E9" s="14">
        <f>Parameters!D25</f>
        <v>40</v>
      </c>
      <c r="F9" s="14">
        <f>Parameters!D26</f>
        <v>40</v>
      </c>
      <c r="H9" s="6"/>
    </row>
    <row r="10" spans="1:8" ht="31" customHeight="1">
      <c r="A10" s="6"/>
      <c r="B10" s="7"/>
      <c r="C10" s="6"/>
      <c r="D10" s="11" t="s">
        <v>7</v>
      </c>
      <c r="E10" s="12" t="str">
        <f>VLOOKUP("label.fixed",Locale!$A$2:$D$78,4,FALSE)</f>
        <v>固定</v>
      </c>
      <c r="F10" s="12" t="str">
        <f>VLOOKUP("label.adjustableSixteenClicks",Locale!$A$2:$D$78,4,FALSE)</f>
        <v>可调 · 16 格</v>
      </c>
      <c r="H10" s="6"/>
    </row>
    <row r="11" spans="1:8" ht="31" customHeight="1">
      <c r="A11" s="6"/>
      <c r="B11" s="7"/>
      <c r="C11" s="6"/>
      <c r="D11" s="10" t="s">
        <v>8</v>
      </c>
      <c r="E11" s="18"/>
      <c r="F11" s="14" t="str">
        <f>VLOOKUP("label.available",Locale!$A$2:$D$78,4,FALSE)</f>
        <v>有</v>
      </c>
      <c r="H11" s="6"/>
    </row>
    <row r="12" spans="1:8" ht="31" customHeight="1">
      <c r="A12" s="6"/>
      <c r="B12" s="7"/>
      <c r="C12" s="6"/>
      <c r="D12" s="11" t="s">
        <v>9</v>
      </c>
      <c r="E12" s="12" t="str">
        <f>VLOOKUP("label.available",Locale!$A$2:$D$78,4,FALSE)</f>
        <v>有</v>
      </c>
      <c r="F12" s="12" t="str">
        <f>VLOOKUP("label.available",Locale!$A$2:$D$78,4,FALSE)</f>
        <v>有</v>
      </c>
      <c r="H12" s="6"/>
    </row>
    <row r="13" spans="1:8" ht="31" customHeight="1">
      <c r="A13" s="6"/>
      <c r="B13" s="7"/>
      <c r="C13" s="6"/>
      <c r="D13" s="10" t="s">
        <v>10</v>
      </c>
      <c r="E13" s="18"/>
      <c r="F13" s="18"/>
      <c r="H13" s="6"/>
    </row>
    <row r="14" spans="1:8" ht="25" customHeight="1">
      <c r="A14" s="6"/>
      <c r="B14" s="6"/>
      <c r="C14" s="6"/>
      <c r="D14" s="6"/>
      <c r="E14" s="6"/>
      <c r="F14" s="6"/>
      <c r="G14" s="6"/>
      <c r="H14" s="6"/>
    </row>
    <row r="15" spans="1:8" ht="22" customHeight="1">
      <c r="A15" s="6"/>
      <c r="B15" s="6"/>
      <c r="C15" s="6"/>
      <c r="D15" s="73"/>
      <c r="E15" s="73"/>
      <c r="F15" s="73"/>
      <c r="G15" s="73"/>
      <c r="H15" s="6"/>
    </row>
    <row r="16" spans="1:8" ht="22" customHeight="1">
      <c r="A16" s="6"/>
      <c r="B16" s="6"/>
      <c r="C16" s="6"/>
      <c r="D16" s="73"/>
      <c r="E16" s="73"/>
      <c r="F16" s="73"/>
      <c r="G16" s="73"/>
      <c r="H16" s="6"/>
    </row>
    <row r="17" spans="1:8" ht="22" customHeight="1">
      <c r="A17" s="6"/>
      <c r="B17" s="6"/>
      <c r="C17" s="6"/>
      <c r="D17" s="1"/>
      <c r="E17" s="1"/>
      <c r="F17" s="73"/>
      <c r="G17" s="73"/>
      <c r="H17" s="6"/>
    </row>
    <row r="18" spans="1:8" ht="25" customHeight="1">
      <c r="A18" s="6"/>
      <c r="B18" s="6"/>
      <c r="C18" s="6"/>
      <c r="D18" s="6"/>
      <c r="E18" s="6"/>
      <c r="F18" s="6"/>
      <c r="G18" s="6"/>
      <c r="H18" s="6"/>
    </row>
    <row r="19" spans="1:8" ht="25" customHeight="1">
      <c r="A19" s="6"/>
      <c r="B19" s="6"/>
      <c r="C19" s="6"/>
      <c r="D19" s="6"/>
      <c r="E19" s="6"/>
      <c r="F19" s="6"/>
      <c r="G19" s="6"/>
      <c r="H19" s="6"/>
    </row>
    <row r="20" spans="1:8" ht="25" customHeight="1">
      <c r="A20" s="6"/>
      <c r="B20" s="6"/>
      <c r="C20" s="6"/>
      <c r="D20" s="6"/>
      <c r="E20" s="6"/>
      <c r="F20" s="6"/>
      <c r="G20" s="6"/>
      <c r="H20" s="6"/>
    </row>
    <row r="21" spans="1:8" ht="25" customHeight="1">
      <c r="A21" s="6"/>
      <c r="B21" s="6"/>
      <c r="C21" s="6"/>
      <c r="D21" s="6"/>
      <c r="E21" s="6"/>
      <c r="F21" s="6"/>
      <c r="G21" s="6"/>
      <c r="H21" s="6"/>
    </row>
  </sheetData>
  <mergeCells count="7">
    <mergeCell ref="B1:D1"/>
    <mergeCell ref="E1:G1"/>
    <mergeCell ref="D17:G17"/>
    <mergeCell ref="B2:G2"/>
    <mergeCell ref="B6:B7"/>
    <mergeCell ref="D15:G15"/>
    <mergeCell ref="D16:G16"/>
  </mergeCells>
  <phoneticPr fontId="72" type="noConversion"/>
  <dataValidations count="1">
    <dataValidation type="list" sqref="E1:G1" xr:uid="{00000000-0002-0000-0000-000000000000}">
      <formula1>"English,简体中文"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E724-B1D7-4C60-847B-65AB4F4CC168}">
  <sheetPr>
    <tabColor rgb="FF31475E"/>
  </sheetPr>
  <dimension ref="A1:O42"/>
  <sheetViews>
    <sheetView showGridLines="0" workbookViewId="0">
      <selection activeCell="D6" sqref="D6"/>
    </sheetView>
  </sheetViews>
  <sheetFormatPr defaultRowHeight="14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VLOOKUP("title.rax8DampingCalculator",Locale!$A$2:$D$78,4,FALSE)</f>
        <v>CTM Racing · RAx8 · 阻尼计算器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9"/>
      <c r="O2" s="2"/>
    </row>
    <row r="3" spans="1:1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8" customHeight="1">
      <c r="A4" s="2"/>
      <c r="B4" s="20" t="str">
        <f>VLOOKUP("label.valving",Locale!$A$2:$D$78,4,FALSE)</f>
        <v>阀系</v>
      </c>
      <c r="C4" s="21" t="s">
        <v>264</v>
      </c>
      <c r="D4" s="2"/>
      <c r="E4" s="85"/>
      <c r="F4" s="85"/>
      <c r="G4" s="85"/>
      <c r="H4" s="85"/>
      <c r="I4" s="85"/>
      <c r="J4" s="85"/>
      <c r="K4" s="85"/>
      <c r="L4" s="85"/>
      <c r="M4" s="85"/>
      <c r="N4" s="2"/>
      <c r="O4" s="2"/>
    </row>
    <row r="5" spans="1:15" ht="14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32.15" customHeight="1">
      <c r="A6" s="2"/>
      <c r="B6" s="22" t="str">
        <f>VLOOKUP("label.damperModel",Locale!$A$2:$D$78,4,FALSE)</f>
        <v>避震器型号</v>
      </c>
      <c r="C6" s="21" t="s">
        <v>82</v>
      </c>
      <c r="D6" s="2"/>
      <c r="E6" s="2"/>
      <c r="F6" s="83" t="str">
        <f>VLOOKUP("title.currentDampingForce",Locale!$A$2:$D$78,4,FALSE)</f>
        <v>当前输入 · 阻尼力大小</v>
      </c>
      <c r="G6" s="84"/>
      <c r="H6" s="84"/>
      <c r="I6" s="84"/>
      <c r="J6" s="84"/>
      <c r="K6" s="2"/>
      <c r="L6" s="2"/>
      <c r="M6" s="2"/>
      <c r="N6" s="2"/>
      <c r="O6" s="2"/>
    </row>
    <row r="7" spans="1:15" ht="28" customHeight="1">
      <c r="A7" s="2"/>
      <c r="B7" s="23" t="s">
        <v>14</v>
      </c>
      <c r="C7" s="24">
        <v>-8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8" customHeight="1">
      <c r="A8" s="2"/>
      <c r="B8" s="20" t="s">
        <v>15</v>
      </c>
      <c r="C8" s="24">
        <v>-10</v>
      </c>
      <c r="D8" s="2"/>
      <c r="E8" s="2"/>
      <c r="F8" s="1" t="str">
        <f>VLOOKUP("label.compressionForceN",Locale!$A$2:$D$78,4,FALSE)</f>
        <v>压缩力 (N)</v>
      </c>
      <c r="G8" s="80"/>
      <c r="H8" s="80"/>
      <c r="I8" s="86">
        <f>IF(C18=VLOOKUP("status.ok",Locale!$A$2:$D$78,4,FALSE),Samples!F165*MIN(C10,Samples!G165)+Samples!I165*MAX(0,C10-Samples!G165)+Samples!J165*MAX(0,C10-Samples!K165),VLOOKUP("status.checkInput",Locale!$A$2:$D$78,4,FALSE))</f>
        <v>2151.6666666666665</v>
      </c>
      <c r="J8" s="87"/>
      <c r="K8" s="2"/>
      <c r="L8" s="2"/>
      <c r="M8" s="2"/>
      <c r="N8" s="2"/>
      <c r="O8" s="2"/>
    </row>
    <row r="9" spans="1:15" ht="28" customHeight="1">
      <c r="A9" s="2"/>
      <c r="B9" s="23" t="s">
        <v>17</v>
      </c>
      <c r="C9" s="24">
        <v>-24</v>
      </c>
      <c r="D9" s="2"/>
      <c r="E9" s="2"/>
      <c r="F9" s="2"/>
      <c r="G9" s="2"/>
      <c r="H9" s="2"/>
      <c r="I9" s="5"/>
      <c r="J9" s="5"/>
      <c r="K9" s="2"/>
      <c r="L9" s="2"/>
      <c r="M9" s="2"/>
      <c r="N9" s="2"/>
      <c r="O9" s="2"/>
    </row>
    <row r="10" spans="1:15" ht="28" customHeight="1">
      <c r="A10" s="2"/>
      <c r="B10" s="22" t="str">
        <f>VLOOKUP("label.shaftVelocityMps",Locale!$A$2:$D$78,4,FALSE)</f>
        <v>轴速 (m/s)</v>
      </c>
      <c r="C10" s="25">
        <v>0.6</v>
      </c>
      <c r="D10" s="2"/>
      <c r="E10" s="2"/>
      <c r="F10" s="1" t="str">
        <f>VLOOKUP("label.reboundForceN",Locale!$A$2:$D$78,4,FALSE)</f>
        <v>回弹力 (N)</v>
      </c>
      <c r="G10" s="80"/>
      <c r="H10" s="80"/>
      <c r="I10" s="86">
        <f>IF(C18=VLOOKUP("status.ok",Locale!$A$2:$D$78,4,FALSE),Samples!M165*MIN(C10,Samples!N165)+Samples!P165*MAX(0,C10-Samples!N165),VLOOKUP("status.checkInput",Locale!$A$2:$D$78,4,FALSE))</f>
        <v>1467.3359999999998</v>
      </c>
      <c r="J10" s="87"/>
      <c r="K10" s="2"/>
      <c r="L10" s="2"/>
      <c r="M10" s="2"/>
      <c r="N10" s="2"/>
      <c r="O10" s="2"/>
    </row>
    <row r="11" spans="1:15" ht="23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3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32.15" customHeight="1">
      <c r="A13" s="2"/>
      <c r="B13" s="22" t="str">
        <f>VLOOKUP("label.cTotalClicks",Locale!$A$2:$D$78,4,FALSE)</f>
        <v>c 总格数</v>
      </c>
      <c r="C13" s="26">
        <f>Parameters!D23</f>
        <v>24</v>
      </c>
      <c r="D13" s="2"/>
      <c r="E13" s="2"/>
      <c r="F13" s="83" t="str">
        <f>VLOOKUP("title.currentCurveParameters",Locale!$A$2:$D$78,4,FALSE)</f>
        <v>当前曲线参数</v>
      </c>
      <c r="G13" s="84"/>
      <c r="H13" s="84"/>
      <c r="I13" s="84"/>
      <c r="J13" s="84"/>
      <c r="K13" s="2"/>
      <c r="L13" s="2"/>
      <c r="M13" s="2"/>
      <c r="N13" s="2"/>
      <c r="O13" s="2"/>
    </row>
    <row r="14" spans="1:15" ht="28" customHeight="1">
      <c r="A14" s="2"/>
      <c r="B14" s="27" t="str">
        <f>VLOOKUP("label.hscTotalClicks",Locale!$A$2:$D$78,4,FALSE)</f>
        <v>C 总格数</v>
      </c>
      <c r="C14" s="28">
        <f>IF(C6="RA68",Parameters!D27,Parameters!D24)</f>
        <v>20</v>
      </c>
      <c r="D14" s="2"/>
      <c r="E14" s="2"/>
      <c r="F14" s="78" t="s">
        <v>23</v>
      </c>
      <c r="G14" s="79"/>
      <c r="H14" s="79"/>
      <c r="I14" s="29">
        <f>Samples!F165</f>
        <v>3400</v>
      </c>
      <c r="J14" s="20" t="s">
        <v>24</v>
      </c>
      <c r="K14" s="2"/>
      <c r="L14" s="2"/>
      <c r="M14" s="2"/>
      <c r="N14" s="2"/>
      <c r="O14" s="2"/>
    </row>
    <row r="15" spans="1:15" ht="28" customHeight="1">
      <c r="A15" s="2"/>
      <c r="B15" s="22" t="str">
        <f>VLOOKUP("label.lsrTotalClicks",Locale!$A$2:$D$78,4,FALSE)</f>
        <v>R 总格数</v>
      </c>
      <c r="C15" s="26">
        <f>IF(C6="RA88",Parameters!D26,Parameters!D25)</f>
        <v>40</v>
      </c>
      <c r="D15" s="2"/>
      <c r="E15" s="2"/>
      <c r="F15" s="80" t="s">
        <v>26</v>
      </c>
      <c r="G15" s="81"/>
      <c r="H15" s="81"/>
      <c r="I15" s="30">
        <f>Samples!I165</f>
        <v>3173.3333333333335</v>
      </c>
      <c r="J15" s="23" t="s">
        <v>24</v>
      </c>
      <c r="K15" s="2"/>
      <c r="L15" s="2"/>
      <c r="M15" s="2"/>
      <c r="N15" s="2"/>
      <c r="O15" s="2"/>
    </row>
    <row r="16" spans="1:15" ht="28" customHeight="1">
      <c r="A16" s="2"/>
      <c r="B16" s="2"/>
      <c r="C16" s="2"/>
      <c r="D16" s="2"/>
      <c r="E16" s="2"/>
      <c r="F16" s="82" t="str">
        <f>VLOOKUP("label.highSpeedBumpIncrement",Locale!$A$2:$D$78,4,FALSE)</f>
        <v>HSbump · 高速增量</v>
      </c>
      <c r="G16" s="79"/>
      <c r="H16" s="79"/>
      <c r="I16" s="29">
        <f>Samples!J165</f>
        <v>1500</v>
      </c>
      <c r="J16" s="20" t="s">
        <v>24</v>
      </c>
      <c r="K16" s="2"/>
      <c r="L16" s="2"/>
      <c r="M16" s="2"/>
      <c r="N16" s="2"/>
      <c r="O16" s="2"/>
    </row>
    <row r="17" spans="1:15" ht="28" customHeight="1">
      <c r="A17" s="2"/>
      <c r="B17" s="2"/>
      <c r="C17" s="2"/>
      <c r="D17" s="2"/>
      <c r="E17" s="2"/>
      <c r="F17" s="1" t="str">
        <f>VLOOKUP("label.totalHighSpeedCoefficient",Locale!$A$2:$D$78,4,FALSE)</f>
        <v>总高速系数</v>
      </c>
      <c r="G17" s="81"/>
      <c r="H17" s="81"/>
      <c r="I17" s="30">
        <f>Samples!L165</f>
        <v>4673.3333333333339</v>
      </c>
      <c r="J17" s="23" t="s">
        <v>24</v>
      </c>
      <c r="K17" s="2"/>
      <c r="L17" s="2"/>
      <c r="M17" s="2"/>
      <c r="N17" s="2"/>
      <c r="O17" s="2"/>
    </row>
    <row r="18" spans="1:15" ht="28" customHeight="1">
      <c r="A18" s="2"/>
      <c r="B18" s="22" t="str">
        <f>VLOOKUP("label.inputCheck",Locale!$A$2:$D$78,4,FALSE)</f>
        <v>输入检查</v>
      </c>
      <c r="C18" s="31" t="str">
        <f>IF(AND(OR(C4="Type-A",C4="Type-B"),OR(C6="RA68",C6="RA88"),COUNT(C7:C10)=4,C7&gt;=-C13,C7&lt;=0,C8&gt;=-C14,C8&lt;=0,C9&gt;=-C15,C9&lt;=0,C10&gt;=0,INT(C7)=C7,INT(C8)=C8,INT(C9)=C9),VLOOKUP("status.ok",Locale!$A$2:$D$78,4,FALSE),VLOOKUP("status.checkInput",Locale!$A$2:$D$78,4,FALSE))</f>
        <v>正常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8" customHeight="1">
      <c r="A19" s="2"/>
      <c r="B19" s="2"/>
      <c r="C19" s="2"/>
      <c r="D19" s="2"/>
      <c r="E19" s="2"/>
      <c r="F19" s="78" t="str">
        <f>VLOOKUP("label.rebound",Locale!$A$2:$D$78,4,FALSE)</f>
        <v>回弹</v>
      </c>
      <c r="G19" s="79"/>
      <c r="H19" s="79"/>
      <c r="I19" s="29">
        <f>Samples!M165</f>
        <v>2600</v>
      </c>
      <c r="J19" s="20" t="s">
        <v>24</v>
      </c>
      <c r="K19" s="2"/>
      <c r="L19" s="2"/>
      <c r="M19" s="2"/>
      <c r="N19" s="2"/>
      <c r="O19" s="2"/>
    </row>
    <row r="20" spans="1:15" ht="28" customHeight="1">
      <c r="A20" s="2"/>
      <c r="B20" s="2"/>
      <c r="C20" s="2"/>
      <c r="D20" s="2"/>
      <c r="E20" s="2"/>
      <c r="F20" s="80" t="s">
        <v>30</v>
      </c>
      <c r="G20" s="81"/>
      <c r="H20" s="81"/>
      <c r="I20" s="30">
        <f>Samples!P165</f>
        <v>2319.1999999999998</v>
      </c>
      <c r="J20" s="23" t="s">
        <v>24</v>
      </c>
      <c r="K20" s="2"/>
      <c r="L20" s="2"/>
      <c r="M20" s="2"/>
      <c r="N20" s="2"/>
      <c r="O20" s="2"/>
    </row>
    <row r="21" spans="1:15" ht="28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8" customHeight="1">
      <c r="A22" s="2"/>
      <c r="B22" s="2"/>
      <c r="C22" s="2"/>
      <c r="D22" s="2"/>
      <c r="E22" s="2"/>
      <c r="F22" s="82" t="str">
        <f>VLOOKUP("label.firstKnee",Locale!$A$2:$D$78,4,FALSE)</f>
        <v>第一拐点</v>
      </c>
      <c r="G22" s="79"/>
      <c r="H22" s="79"/>
      <c r="I22" s="32">
        <f>Samples!G165</f>
        <v>0.1</v>
      </c>
      <c r="J22" s="20" t="s">
        <v>31</v>
      </c>
      <c r="K22" s="2"/>
      <c r="L22" s="2"/>
      <c r="M22" s="2"/>
      <c r="N22" s="2"/>
      <c r="O22" s="2"/>
    </row>
    <row r="23" spans="1:15" ht="28" customHeight="1">
      <c r="A23" s="2"/>
      <c r="B23" s="2"/>
      <c r="C23" s="2"/>
      <c r="D23" s="2"/>
      <c r="E23" s="2"/>
      <c r="F23" s="1" t="str">
        <f>VLOOKUP("label.secondKnee",Locale!$A$2:$D$78,4,FALSE)</f>
        <v>第二拐点</v>
      </c>
      <c r="G23" s="81"/>
      <c r="H23" s="81"/>
      <c r="I23" s="33">
        <f>Samples!K165</f>
        <v>0.45</v>
      </c>
      <c r="J23" s="23" t="s">
        <v>31</v>
      </c>
      <c r="K23" s="2"/>
      <c r="L23" s="2"/>
      <c r="M23" s="2"/>
      <c r="N23" s="2"/>
      <c r="O23" s="2"/>
    </row>
    <row r="24" spans="1:15" ht="28" customHeight="1">
      <c r="A24" s="2"/>
      <c r="B24" s="2"/>
      <c r="C24" s="2"/>
      <c r="D24" s="2"/>
      <c r="E24" s="2"/>
      <c r="F24" s="78" t="str">
        <f>VLOOKUP("label.reboundKnee",Locale!$A$2:$D$78,4,FALSE)</f>
        <v>回弹拐点</v>
      </c>
      <c r="G24" s="79"/>
      <c r="H24" s="79"/>
      <c r="I24" s="32">
        <f>Samples!N165</f>
        <v>0.27</v>
      </c>
      <c r="J24" s="20" t="s">
        <v>31</v>
      </c>
      <c r="K24" s="2"/>
      <c r="L24" s="2"/>
      <c r="M24" s="2"/>
      <c r="N24" s="2"/>
      <c r="O24" s="2"/>
    </row>
    <row r="25" spans="1:15" ht="23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3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3.15" customHeight="1">
      <c r="A27" s="2"/>
      <c r="B27" s="1" t="str">
        <f>VLOOKUP("note.yellowInputs",Locale!$A$2:$D$78,4,FALSE)</f>
        <v>黄色单元格为手动输入。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2"/>
      <c r="O27" s="2"/>
    </row>
    <row r="28" spans="1:15" ht="23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3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3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3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3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3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23.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18">
    <mergeCell ref="B2:M2"/>
    <mergeCell ref="E4:M4"/>
    <mergeCell ref="F6:J6"/>
    <mergeCell ref="F8:H8"/>
    <mergeCell ref="F10:H10"/>
    <mergeCell ref="I8:J8"/>
    <mergeCell ref="I10:J10"/>
    <mergeCell ref="F13:J13"/>
    <mergeCell ref="F14:H14"/>
    <mergeCell ref="F15:H15"/>
    <mergeCell ref="F16:H16"/>
    <mergeCell ref="F17:H17"/>
    <mergeCell ref="B27:M27"/>
    <mergeCell ref="F19:H19"/>
    <mergeCell ref="F20:H20"/>
    <mergeCell ref="F22:H22"/>
    <mergeCell ref="F23:H23"/>
    <mergeCell ref="F24:H24"/>
  </mergeCells>
  <phoneticPr fontId="72" type="noConversion"/>
  <dataValidations count="5">
    <dataValidation type="list" sqref="C4" xr:uid="{00000000-0002-0000-0100-000000000000}">
      <formula1>"Type-A,Type-B"</formula1>
    </dataValidation>
    <dataValidation type="list" sqref="C6" xr:uid="{00000000-0002-0000-0100-000001000000}">
      <formula1>"RA68,RA88"</formula1>
    </dataValidation>
    <dataValidation type="whole" sqref="C7" xr:uid="{00000000-0002-0000-0100-000002000000}">
      <formula1>-24</formula1>
      <formula2>0</formula2>
    </dataValidation>
    <dataValidation type="whole" sqref="C8:C9" xr:uid="{00000000-0002-0000-0100-000003000000}">
      <formula1>-C14</formula1>
      <formula2>0</formula2>
    </dataValidation>
    <dataValidation type="decimal" operator="greaterThanOrEqual" sqref="C10" xr:uid="{00000000-0002-0000-0100-000004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C722-0869-4EF5-9E30-018B3FF565DE}">
  <sheetPr>
    <tabColor rgb="FF31475E"/>
  </sheetPr>
  <dimension ref="A1:O42"/>
  <sheetViews>
    <sheetView showGridLines="0" zoomScale="88" workbookViewId="0">
      <selection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VLOOKUP("title.rax8LSCSweep",Locale!$A$2:$D$78,4,FALSE)</f>
        <v>CTM Racing · RAx8 · LSC 扫描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9"/>
      <c r="O2" s="2"/>
    </row>
    <row r="3" spans="1:1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8" customHeight="1">
      <c r="A4" s="2"/>
      <c r="B4" s="20" t="str">
        <f>VLOOKUP("label.valving",Locale!$A$2:$D$78,4,FALSE)</f>
        <v>阀系</v>
      </c>
      <c r="C4" s="21" t="s">
        <v>264</v>
      </c>
      <c r="D4" s="2"/>
      <c r="E4" s="85"/>
      <c r="F4" s="85"/>
      <c r="G4" s="85"/>
      <c r="H4" s="85"/>
      <c r="I4" s="85"/>
      <c r="J4" s="85"/>
      <c r="K4" s="85"/>
      <c r="L4" s="85"/>
      <c r="M4" s="85"/>
      <c r="N4" s="2"/>
      <c r="O4" s="2"/>
    </row>
    <row r="5" spans="1:15" ht="14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8" customHeight="1">
      <c r="A6" s="2"/>
      <c r="B6" s="22" t="str">
        <f>VLOOKUP("label.fixedHsc",Locale!$A$2:$D$78,4,FALSE)</f>
        <v>固定高速压缩</v>
      </c>
      <c r="C6" s="24">
        <v>-10</v>
      </c>
      <c r="D6" s="2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 ht="23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3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3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3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3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3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3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3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3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3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3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3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3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3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3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3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3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3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3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3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3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3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3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3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3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3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3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2"/>
      <c r="O41" s="2"/>
    </row>
    <row r="42" spans="1:15" ht="23.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4">
    <mergeCell ref="B2:M2"/>
    <mergeCell ref="E4:M4"/>
    <mergeCell ref="E6:M6"/>
    <mergeCell ref="B41:M41"/>
  </mergeCells>
  <phoneticPr fontId="72" type="noConversion"/>
  <dataValidations count="2">
    <dataValidation type="list" sqref="C4" xr:uid="{00000000-0002-0000-0200-000000000000}">
      <formula1>"Type-A,Type-B"</formula1>
    </dataValidation>
    <dataValidation type="whole" sqref="C6" xr:uid="{00000000-0002-0000-0200-000001000000}">
      <formula1>-20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3CC8-23D3-43CA-BCB6-F3EE11F2654B}">
  <sheetPr>
    <tabColor rgb="FF31475E"/>
  </sheetPr>
  <dimension ref="A1:O42"/>
  <sheetViews>
    <sheetView showGridLines="0" topLeftCell="A3" zoomScale="98" workbookViewId="0">
      <selection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VLOOKUP("title.rax8HSCSweep",Locale!$A$2:$D$78,4,FALSE)</f>
        <v>CTM Racing · RAx8 · HSC 扫描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9"/>
      <c r="O2" s="2"/>
    </row>
    <row r="3" spans="1:1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8" customHeight="1">
      <c r="A4" s="2"/>
      <c r="B4" s="20" t="str">
        <f>VLOOKUP("label.valving",Locale!$A$2:$D$78,4,FALSE)</f>
        <v>阀系</v>
      </c>
      <c r="C4" s="21" t="s">
        <v>264</v>
      </c>
      <c r="D4" s="2"/>
      <c r="E4" s="85"/>
      <c r="F4" s="85"/>
      <c r="G4" s="85"/>
      <c r="H4" s="85"/>
      <c r="I4" s="85"/>
      <c r="J4" s="85"/>
      <c r="K4" s="85"/>
      <c r="L4" s="85"/>
      <c r="M4" s="85"/>
      <c r="N4" s="2"/>
      <c r="O4" s="2"/>
    </row>
    <row r="5" spans="1:15" ht="14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8" customHeight="1">
      <c r="A6" s="2"/>
      <c r="B6" s="22" t="str">
        <f>VLOOKUP("label.fixedLsc",Locale!$A$2:$D$78,4,FALSE)</f>
        <v>固定低速压缩</v>
      </c>
      <c r="C6" s="24">
        <v>-8</v>
      </c>
      <c r="D6" s="2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 ht="23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3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3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3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3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3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3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3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3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3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3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3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3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3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3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3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3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3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3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3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3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3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3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3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3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3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3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2"/>
      <c r="O41" s="2"/>
    </row>
    <row r="42" spans="1:15" ht="23.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4">
    <mergeCell ref="B2:M2"/>
    <mergeCell ref="E4:M4"/>
    <mergeCell ref="E6:M6"/>
    <mergeCell ref="B41:M41"/>
  </mergeCells>
  <phoneticPr fontId="72" type="noConversion"/>
  <dataValidations count="2">
    <dataValidation type="list" sqref="C4" xr:uid="{00000000-0002-0000-0300-000000000000}">
      <formula1>"Type-A,Type-B"</formula1>
    </dataValidation>
    <dataValidation type="whole" sqref="C6" xr:uid="{00000000-0002-0000-0300-000001000000}">
      <formula1>-24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75BE-7BBD-401F-B54B-864310A91D47}">
  <sheetPr>
    <tabColor rgb="FF31475E"/>
  </sheetPr>
  <dimension ref="A1:O42"/>
  <sheetViews>
    <sheetView showGridLines="0" zoomScale="92" workbookViewId="0">
      <selection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VLOOKUP("title.rax8LSRSweep",Locale!$A$2:$D$78,4,FALSE)</f>
        <v>CTM Racing · RAx8 · LSR 扫描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9"/>
      <c r="O2" s="2"/>
    </row>
    <row r="3" spans="1:1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8" customHeight="1">
      <c r="A4" s="2"/>
      <c r="B4" s="20" t="str">
        <f>VLOOKUP("label.valving",Locale!$A$2:$D$78,4,FALSE)</f>
        <v>阀系</v>
      </c>
      <c r="C4" s="21" t="s">
        <v>264</v>
      </c>
      <c r="D4" s="2"/>
      <c r="E4" s="85"/>
      <c r="F4" s="85"/>
      <c r="G4" s="85"/>
      <c r="H4" s="85"/>
      <c r="I4" s="85"/>
      <c r="J4" s="85"/>
      <c r="K4" s="85"/>
      <c r="L4" s="85"/>
      <c r="M4" s="85"/>
      <c r="N4" s="2"/>
      <c r="O4" s="2"/>
    </row>
    <row r="5" spans="1:15" ht="14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8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 ht="23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3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3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3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3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3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3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3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3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3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3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3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3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3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3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3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3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3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3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3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3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3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3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3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3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3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3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2"/>
      <c r="O41" s="2"/>
    </row>
    <row r="42" spans="1:15" ht="23.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4">
    <mergeCell ref="B2:M2"/>
    <mergeCell ref="E4:M4"/>
    <mergeCell ref="B6:M6"/>
    <mergeCell ref="B41:M41"/>
  </mergeCells>
  <phoneticPr fontId="72" type="noConversion"/>
  <dataValidations count="1">
    <dataValidation type="list" sqref="C4" xr:uid="{00000000-0002-0000-0400-000000000000}">
      <formula1>"Type-A,Type-B"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5CD3-785E-4443-841F-282AAFF59AF6}">
  <sheetPr>
    <tabColor rgb="FF31475E"/>
  </sheetPr>
  <dimension ref="A1:O42"/>
  <sheetViews>
    <sheetView showGridLines="0" zoomScale="83" workbookViewId="0">
      <selection activeCell="P19" sqref="P19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VLOOKUP("title.rax8FullSweep",Locale!$A$2:$D$78,4,FALSE)</f>
        <v>CTM Racing · RAx8 · 全范围扫描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9"/>
      <c r="O2" s="2"/>
    </row>
    <row r="3" spans="1:15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8" customHeight="1">
      <c r="A4" s="2"/>
      <c r="B4" s="20" t="str">
        <f>VLOOKUP("label.valving",Locale!$A$2:$D$78,4,FALSE)</f>
        <v>阀系</v>
      </c>
      <c r="C4" s="21" t="s">
        <v>264</v>
      </c>
      <c r="D4" s="2"/>
      <c r="E4" s="85"/>
      <c r="F4" s="85"/>
      <c r="G4" s="85"/>
      <c r="H4" s="85"/>
      <c r="I4" s="85"/>
      <c r="J4" s="85"/>
      <c r="K4" s="85"/>
      <c r="L4" s="85"/>
      <c r="M4" s="85"/>
      <c r="N4" s="2"/>
      <c r="O4" s="2"/>
    </row>
    <row r="5" spans="1:15" ht="14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8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 ht="23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3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3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3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3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3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3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3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3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3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3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3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3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3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3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3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3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3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3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3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3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3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3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3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3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3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3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3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2"/>
      <c r="O41" s="2"/>
    </row>
    <row r="42" spans="1:15" ht="23.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4">
    <mergeCell ref="B2:M2"/>
    <mergeCell ref="E4:M4"/>
    <mergeCell ref="B6:M6"/>
    <mergeCell ref="B41:M41"/>
  </mergeCells>
  <phoneticPr fontId="72" type="noConversion"/>
  <dataValidations count="1">
    <dataValidation type="list" sqref="C4" xr:uid="{00000000-0002-0000-0500-000000000000}">
      <formula1>"Type-A,Type-B"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F0B-D397-4A4A-868D-8FD96F5F4234}">
  <sheetPr>
    <tabColor rgb="FFC49A32"/>
  </sheetPr>
  <dimension ref="A1:O41"/>
  <sheetViews>
    <sheetView showGridLines="0" workbookViewId="0">
      <pane ySplit="6" topLeftCell="A8" activePane="bottomLeft" state="frozen"/>
      <selection pane="bottomLeft" activeCell="F13" sqref="F13"/>
    </sheetView>
  </sheetViews>
  <sheetFormatPr defaultRowHeight="14"/>
  <cols>
    <col min="1" max="1" width="2.5" customWidth="1"/>
    <col min="2" max="2" width="25" customWidth="1"/>
    <col min="3" max="8" width="10" customWidth="1"/>
    <col min="9" max="9" width="3" customWidth="1"/>
    <col min="10" max="14" width="10" customWidth="1"/>
    <col min="15" max="15" width="10.5" customWidth="1"/>
  </cols>
  <sheetData>
    <row r="1" spans="1:15" ht="1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5.15" customHeight="1">
      <c r="A2" s="2"/>
      <c r="B2" s="1" t="str">
        <f>VLOOKUP("title.rax8ValvingParameters",Locale!$A$2:$D$78,4,FALSE)</f>
        <v>CTM Racing · RAx8 · 阀系参数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24" customHeight="1">
      <c r="A3" s="2"/>
      <c r="B3" s="93" t="str">
        <f>VLOOKUP("note.yellowInputs",Locale!$A$2:$D$78,4,FALSE)</f>
        <v>黄色单元格为手动输入。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2"/>
    </row>
    <row r="4" spans="1:15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2.15" customHeight="1">
      <c r="A5" s="2"/>
      <c r="B5" s="2"/>
      <c r="C5" s="2"/>
      <c r="D5" s="84" t="s">
        <v>34</v>
      </c>
      <c r="E5" s="84"/>
      <c r="F5" s="84"/>
      <c r="G5" s="84"/>
      <c r="H5" s="84"/>
      <c r="I5" s="2"/>
      <c r="J5" s="84" t="s">
        <v>35</v>
      </c>
      <c r="K5" s="84"/>
      <c r="L5" s="84"/>
      <c r="M5" s="84"/>
      <c r="N5" s="84"/>
      <c r="O5" s="2"/>
    </row>
    <row r="6" spans="1:15" ht="30" customHeight="1">
      <c r="A6" s="2"/>
      <c r="B6" s="34" t="str">
        <f>VLOOKUP("label.adjusterPosition",Locale!$A$2:$D$78,4,FALSE)</f>
        <v>调节位置</v>
      </c>
      <c r="C6" s="34" t="str">
        <f>VLOOKUP("label.ratio",Locale!$A$2:$D$78,4,FALSE)</f>
        <v>比例</v>
      </c>
      <c r="D6" s="35">
        <v>0</v>
      </c>
      <c r="E6" s="35">
        <v>0.25</v>
      </c>
      <c r="F6" s="35">
        <v>0.5</v>
      </c>
      <c r="G6" s="35">
        <v>0.75</v>
      </c>
      <c r="H6" s="35">
        <v>1</v>
      </c>
      <c r="I6" s="1"/>
      <c r="J6" s="35">
        <f>D6</f>
        <v>0</v>
      </c>
      <c r="K6" s="35">
        <f>E6</f>
        <v>0.25</v>
      </c>
      <c r="L6" s="35">
        <f>F6</f>
        <v>0.5</v>
      </c>
      <c r="M6" s="35">
        <f>G6</f>
        <v>0.75</v>
      </c>
      <c r="N6" s="35">
        <f>H6</f>
        <v>1</v>
      </c>
      <c r="O6" s="2"/>
    </row>
    <row r="7" spans="1:15" ht="29.15" customHeight="1">
      <c r="A7" s="2"/>
      <c r="B7" s="20" t="s">
        <v>14</v>
      </c>
      <c r="C7" s="22" t="str">
        <f>VLOOKUP("label.clicks",Locale!$A$2:$D$78,4,FALSE)</f>
        <v>格</v>
      </c>
      <c r="D7" s="26">
        <f>(D$6-1)*$D$23</f>
        <v>-24</v>
      </c>
      <c r="E7" s="26">
        <f>(E$6-1)*$D$23</f>
        <v>-18</v>
      </c>
      <c r="F7" s="26">
        <f>(F$6-1)*$D$23</f>
        <v>-12</v>
      </c>
      <c r="G7" s="26">
        <f>(G$6-1)*$D$23</f>
        <v>-6</v>
      </c>
      <c r="H7" s="26">
        <f>(H$6-1)*$D$23</f>
        <v>0</v>
      </c>
      <c r="I7" s="2"/>
      <c r="J7" s="26">
        <f>(J$6-1)*$D$23</f>
        <v>-24</v>
      </c>
      <c r="K7" s="26">
        <f>(K$6-1)*$D$23</f>
        <v>-18</v>
      </c>
      <c r="L7" s="26">
        <f>(L$6-1)*$D$23</f>
        <v>-12</v>
      </c>
      <c r="M7" s="26">
        <f>(M$6-1)*$D$23</f>
        <v>-6</v>
      </c>
      <c r="N7" s="26">
        <f>(N$6-1)*$D$23</f>
        <v>0</v>
      </c>
      <c r="O7" s="2"/>
    </row>
    <row r="8" spans="1:15" ht="29.15" customHeight="1">
      <c r="A8" s="2"/>
      <c r="B8" s="23" t="s">
        <v>15</v>
      </c>
      <c r="C8" s="27" t="str">
        <f>VLOOKUP("label.clicks",Locale!$A$2:$D$78,4,FALSE)</f>
        <v>格</v>
      </c>
      <c r="D8" s="28">
        <f>(D$6-1)*$D$24</f>
        <v>-20</v>
      </c>
      <c r="E8" s="28">
        <f>(E$6-1)*$D$24</f>
        <v>-15</v>
      </c>
      <c r="F8" s="28">
        <f>(F$6-1)*$D$24</f>
        <v>-10</v>
      </c>
      <c r="G8" s="28">
        <f>(G$6-1)*$D$24</f>
        <v>-5</v>
      </c>
      <c r="H8" s="28">
        <f>(H$6-1)*$D$24</f>
        <v>0</v>
      </c>
      <c r="I8" s="2"/>
      <c r="J8" s="28">
        <f>(J$6-1)*$D$24</f>
        <v>-20</v>
      </c>
      <c r="K8" s="28">
        <f>(K$6-1)*$D$24</f>
        <v>-15</v>
      </c>
      <c r="L8" s="28">
        <f>(L$6-1)*$D$24</f>
        <v>-10</v>
      </c>
      <c r="M8" s="28">
        <f>(M$6-1)*$D$24</f>
        <v>-5</v>
      </c>
      <c r="N8" s="28">
        <f>(N$6-1)*$D$24</f>
        <v>0</v>
      </c>
      <c r="O8" s="2"/>
    </row>
    <row r="9" spans="1:15" ht="1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9.15" customHeight="1">
      <c r="A10" s="2"/>
      <c r="B10" s="20" t="s">
        <v>23</v>
      </c>
      <c r="C10" s="20" t="s">
        <v>24</v>
      </c>
      <c r="D10" s="58">
        <v>1800</v>
      </c>
      <c r="E10" s="59">
        <f>(D10+F10)/2</f>
        <v>2400</v>
      </c>
      <c r="F10" s="58">
        <v>3000</v>
      </c>
      <c r="G10" s="59">
        <f>(F10+H10)/2</f>
        <v>3600</v>
      </c>
      <c r="H10" s="58">
        <v>4200</v>
      </c>
      <c r="I10" s="2"/>
      <c r="J10" s="58">
        <v>2600</v>
      </c>
      <c r="K10" s="59">
        <f>(J10+L10)/2</f>
        <v>3050</v>
      </c>
      <c r="L10" s="58">
        <v>3500</v>
      </c>
      <c r="M10" s="59">
        <f>(L10+N10)/2</f>
        <v>3950</v>
      </c>
      <c r="N10" s="58">
        <v>4400</v>
      </c>
      <c r="O10" s="2"/>
    </row>
    <row r="11" spans="1:15" ht="29.15" customHeight="1">
      <c r="A11" s="2"/>
      <c r="B11" s="27" t="str">
        <f>VLOOKUP("label.firstKnee",Locale!$A$2:$D$78,4,FALSE)</f>
        <v>第一拐点</v>
      </c>
      <c r="C11" s="23" t="s">
        <v>31</v>
      </c>
      <c r="D11" s="60">
        <v>0.1</v>
      </c>
      <c r="E11" s="61">
        <f>(D11+F11)/2</f>
        <v>0.1</v>
      </c>
      <c r="F11" s="60">
        <v>0.1</v>
      </c>
      <c r="G11" s="61">
        <f>(F11+H11)/2</f>
        <v>0.1</v>
      </c>
      <c r="H11" s="60">
        <v>0.1</v>
      </c>
      <c r="I11" s="2"/>
      <c r="J11" s="60">
        <v>0.22</v>
      </c>
      <c r="K11" s="61">
        <f>(J11+L11)/2</f>
        <v>0.27</v>
      </c>
      <c r="L11" s="60">
        <v>0.32</v>
      </c>
      <c r="M11" s="61">
        <f>(L11+N11)/2</f>
        <v>0.37</v>
      </c>
      <c r="N11" s="60">
        <v>0.42</v>
      </c>
      <c r="O11" s="2"/>
    </row>
    <row r="12" spans="1:15" ht="29.15" customHeight="1">
      <c r="A12" s="2"/>
      <c r="B12" s="20" t="s">
        <v>39</v>
      </c>
      <c r="C12" s="22" t="str">
        <f>VLOOKUP("label.multiplier",Locale!$A$2:$D$78,4,FALSE)</f>
        <v>倍率</v>
      </c>
      <c r="D12" s="60">
        <v>1</v>
      </c>
      <c r="E12" s="62">
        <f>(D12+F12)/2</f>
        <v>0.97499999999999998</v>
      </c>
      <c r="F12" s="60">
        <v>0.95</v>
      </c>
      <c r="G12" s="62">
        <f>(F12+H12)/2</f>
        <v>0.92500000000000004</v>
      </c>
      <c r="H12" s="60">
        <v>0.9</v>
      </c>
      <c r="I12" s="2"/>
      <c r="J12" s="60">
        <v>0.68</v>
      </c>
      <c r="K12" s="62">
        <f>(J12+L12)/2</f>
        <v>0.66</v>
      </c>
      <c r="L12" s="60">
        <v>0.64</v>
      </c>
      <c r="M12" s="62">
        <f>(L12+N12)/2</f>
        <v>0.62</v>
      </c>
      <c r="N12" s="60">
        <v>0.6</v>
      </c>
      <c r="O12" s="2"/>
    </row>
    <row r="13" spans="1:15" ht="29.15" customHeight="1">
      <c r="A13" s="2"/>
      <c r="B13" s="27" t="str">
        <f>VLOOKUP("label.highSpeedBumpIncrement",Locale!$A$2:$D$78,4,FALSE)</f>
        <v>HSbump · 高速增量</v>
      </c>
      <c r="C13" s="23" t="s">
        <v>24</v>
      </c>
      <c r="D13" s="58">
        <v>100</v>
      </c>
      <c r="E13" s="63">
        <f>(D13+F13)/2</f>
        <v>800</v>
      </c>
      <c r="F13" s="58">
        <v>1500</v>
      </c>
      <c r="G13" s="63">
        <f>(F13+H13)/2</f>
        <v>2200</v>
      </c>
      <c r="H13" s="58">
        <v>2900</v>
      </c>
      <c r="I13" s="2"/>
      <c r="J13" s="58">
        <v>250</v>
      </c>
      <c r="K13" s="63">
        <f>(J13+L13)/2</f>
        <v>250</v>
      </c>
      <c r="L13" s="58">
        <v>250</v>
      </c>
      <c r="M13" s="63">
        <f>(L13+N13)/2</f>
        <v>250</v>
      </c>
      <c r="N13" s="58">
        <v>250</v>
      </c>
      <c r="O13" s="2"/>
    </row>
    <row r="14" spans="1:15" ht="29.15" customHeight="1">
      <c r="A14" s="2"/>
      <c r="B14" s="22" t="str">
        <f>VLOOKUP("label.secondKnee",Locale!$A$2:$D$78,4,FALSE)</f>
        <v>第二拐点</v>
      </c>
      <c r="C14" s="20" t="s">
        <v>31</v>
      </c>
      <c r="D14" s="60">
        <v>0.44</v>
      </c>
      <c r="E14" s="62">
        <f>(D14+F14)/2</f>
        <v>0.44500000000000001</v>
      </c>
      <c r="F14" s="60">
        <v>0.45</v>
      </c>
      <c r="G14" s="62">
        <f>(F14+H14)/2</f>
        <v>0.45500000000000002</v>
      </c>
      <c r="H14" s="60">
        <v>0.46</v>
      </c>
      <c r="I14" s="2"/>
      <c r="J14" s="62">
        <f>$L$14</f>
        <v>0.45</v>
      </c>
      <c r="K14" s="62">
        <f>$L$14</f>
        <v>0.45</v>
      </c>
      <c r="L14" s="60">
        <v>0.45</v>
      </c>
      <c r="M14" s="62">
        <f>$L$14</f>
        <v>0.45</v>
      </c>
      <c r="N14" s="62">
        <f>$L$14</f>
        <v>0.45</v>
      </c>
      <c r="O14" s="2"/>
    </row>
    <row r="15" spans="1:15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30" customHeight="1">
      <c r="A16" s="2"/>
      <c r="B16" s="36" t="s">
        <v>76</v>
      </c>
      <c r="C16" s="34" t="str">
        <f>VLOOKUP("label.clicks",Locale!$A$2:$D$78,4,FALSE)</f>
        <v>格</v>
      </c>
      <c r="D16" s="36">
        <f>(D$6-1)*$D$26</f>
        <v>-40</v>
      </c>
      <c r="E16" s="36">
        <f>(E$6-1)*$D$26</f>
        <v>-30</v>
      </c>
      <c r="F16" s="36">
        <f>(F$6-1)*$D$26</f>
        <v>-20</v>
      </c>
      <c r="G16" s="36">
        <f>(G$6-1)*$D$26</f>
        <v>-10</v>
      </c>
      <c r="H16" s="36">
        <f>(H$6-1)*$D$26</f>
        <v>0</v>
      </c>
      <c r="I16" s="2"/>
      <c r="J16" s="36">
        <f>(J$6-1)*$D$26</f>
        <v>-40</v>
      </c>
      <c r="K16" s="36">
        <f>(K$6-1)*$D$26</f>
        <v>-30</v>
      </c>
      <c r="L16" s="36">
        <f>(L$6-1)*$D$26</f>
        <v>-20</v>
      </c>
      <c r="M16" s="36">
        <f>(M$6-1)*$D$26</f>
        <v>-10</v>
      </c>
      <c r="N16" s="36">
        <f>(N$6-1)*$D$26</f>
        <v>0</v>
      </c>
      <c r="O16" s="2"/>
    </row>
    <row r="17" spans="1:15" ht="29.15" customHeight="1">
      <c r="A17" s="2"/>
      <c r="B17" s="20" t="str">
        <f>VLOOKUP("label.rebound",Locale!$A$2:$D$78,4,FALSE)</f>
        <v>回弹</v>
      </c>
      <c r="C17" s="20" t="s">
        <v>24</v>
      </c>
      <c r="D17" s="58">
        <v>1800</v>
      </c>
      <c r="E17" s="63">
        <f>(D17+F17)/2</f>
        <v>2300</v>
      </c>
      <c r="F17" s="58">
        <v>2800</v>
      </c>
      <c r="G17" s="63">
        <f>(F17+H17)/2</f>
        <v>3300</v>
      </c>
      <c r="H17" s="58">
        <v>3800</v>
      </c>
      <c r="I17" s="2"/>
      <c r="J17" s="58">
        <v>2500</v>
      </c>
      <c r="K17" s="63">
        <f>(J17+L17)/2</f>
        <v>3000</v>
      </c>
      <c r="L17" s="58">
        <v>3500</v>
      </c>
      <c r="M17" s="63">
        <f>(L17+N17)/2</f>
        <v>4000</v>
      </c>
      <c r="N17" s="58">
        <v>4500</v>
      </c>
      <c r="O17" s="2"/>
    </row>
    <row r="18" spans="1:15" ht="29.15" customHeight="1">
      <c r="A18" s="2"/>
      <c r="B18" s="23" t="str">
        <f>VLOOKUP("label.reboundKnee",Locale!$A$2:$D$78,4,FALSE)</f>
        <v>回弹拐点</v>
      </c>
      <c r="C18" s="23" t="s">
        <v>31</v>
      </c>
      <c r="D18" s="60">
        <v>0.23</v>
      </c>
      <c r="E18" s="62">
        <f>(D18+F18)/2</f>
        <v>0.255</v>
      </c>
      <c r="F18" s="60">
        <v>0.28000000000000003</v>
      </c>
      <c r="G18" s="62">
        <f>(F18+H18)/2</f>
        <v>0.30500000000000005</v>
      </c>
      <c r="H18" s="60">
        <v>0.33</v>
      </c>
      <c r="I18" s="2"/>
      <c r="J18" s="60">
        <v>0.2</v>
      </c>
      <c r="K18" s="62">
        <f>(J18+L18)/2</f>
        <v>0.22500000000000001</v>
      </c>
      <c r="L18" s="60">
        <v>0.25</v>
      </c>
      <c r="M18" s="62">
        <f>(L18+N18)/2</f>
        <v>0.27500000000000002</v>
      </c>
      <c r="N18" s="60">
        <v>0.3</v>
      </c>
      <c r="O18" s="2"/>
    </row>
    <row r="19" spans="1:15" ht="29.15" customHeight="1">
      <c r="A19" s="2"/>
      <c r="B19" s="20" t="s">
        <v>41</v>
      </c>
      <c r="C19" s="22" t="str">
        <f>VLOOKUP("label.multiplier",Locale!$A$2:$D$78,4,FALSE)</f>
        <v>倍率</v>
      </c>
      <c r="D19" s="60">
        <v>0.94</v>
      </c>
      <c r="E19" s="61">
        <f>(D19+F19)/2</f>
        <v>0.90999999999999992</v>
      </c>
      <c r="F19" s="60">
        <v>0.88</v>
      </c>
      <c r="G19" s="61">
        <f>(F19+H19)/2</f>
        <v>0.85</v>
      </c>
      <c r="H19" s="60">
        <v>0.82</v>
      </c>
      <c r="I19" s="2"/>
      <c r="J19" s="60">
        <v>0.76</v>
      </c>
      <c r="K19" s="61">
        <f>(J19+L19)/2</f>
        <v>0.72</v>
      </c>
      <c r="L19" s="60">
        <v>0.68</v>
      </c>
      <c r="M19" s="61">
        <f>(L19+N19)/2</f>
        <v>0.64</v>
      </c>
      <c r="N19" s="60">
        <v>0.6</v>
      </c>
      <c r="O19" s="2"/>
    </row>
    <row r="20" spans="1:15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2.15" customHeight="1">
      <c r="A22" s="2"/>
      <c r="B22" s="83" t="str">
        <f>VLOOKUP("label.adjusterClicks",Locale!$A$2:$D$78,4,FALSE)</f>
        <v>调节格数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2"/>
    </row>
    <row r="23" spans="1:15" ht="29.15" customHeight="1">
      <c r="A23" s="2"/>
      <c r="B23" s="82" t="str">
        <f>VLOOKUP("label.lscAllSeries",Locale!$A$2:$D$78,4,FALSE)</f>
        <v>LSC · 全系列</v>
      </c>
      <c r="C23" s="79"/>
      <c r="D23" s="26">
        <v>24</v>
      </c>
      <c r="E23" s="2"/>
      <c r="F23" s="95" t="str">
        <f>VLOOKUP("note.sweepRa88Clicks",Locale!$A$2:$D$78,4,FALSE)</f>
        <v>调节曲线使用 RA88 调节格数。</v>
      </c>
      <c r="G23" s="96"/>
      <c r="H23" s="96"/>
      <c r="I23" s="96"/>
      <c r="J23" s="96"/>
      <c r="K23" s="96"/>
      <c r="L23" s="96"/>
      <c r="M23" s="96"/>
      <c r="N23" s="96"/>
      <c r="O23" s="2"/>
    </row>
    <row r="24" spans="1:15" ht="29.15" customHeight="1">
      <c r="A24" s="2"/>
      <c r="B24" s="1" t="s">
        <v>78</v>
      </c>
      <c r="C24" s="81"/>
      <c r="D24" s="28">
        <v>20</v>
      </c>
      <c r="E24" s="2"/>
      <c r="F24" s="96"/>
      <c r="G24" s="96"/>
      <c r="H24" s="96"/>
      <c r="I24" s="96"/>
      <c r="J24" s="96"/>
      <c r="K24" s="96"/>
      <c r="L24" s="96"/>
      <c r="M24" s="96"/>
      <c r="N24" s="96"/>
      <c r="O24" s="2"/>
    </row>
    <row r="25" spans="1:15" ht="29.15" customHeight="1">
      <c r="A25" s="2"/>
      <c r="B25" s="82" t="s">
        <v>79</v>
      </c>
      <c r="C25" s="79"/>
      <c r="D25" s="26">
        <v>40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9.15" customHeight="1">
      <c r="A26" s="2"/>
      <c r="B26" s="80" t="s">
        <v>80</v>
      </c>
      <c r="C26" s="81"/>
      <c r="D26" s="28">
        <v>40</v>
      </c>
      <c r="E26" s="2"/>
      <c r="F26" s="97" t="str">
        <f>VLOOKUP("note.adjusterClicks",Locale!$A$2:$D$78,4,FALSE)</f>
        <v>0 为最硬，负数为退出格数。</v>
      </c>
      <c r="G26" s="94"/>
      <c r="H26" s="94"/>
      <c r="I26" s="94"/>
      <c r="J26" s="94"/>
      <c r="K26" s="94"/>
      <c r="L26" s="94"/>
      <c r="M26" s="94"/>
      <c r="N26" s="94"/>
      <c r="O26" s="2"/>
    </row>
    <row r="27" spans="1:15" ht="29.15" customHeight="1">
      <c r="A27" s="2"/>
      <c r="B27" s="1" t="s">
        <v>81</v>
      </c>
      <c r="C27" s="81"/>
      <c r="D27" s="28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4" customHeight="1">
      <c r="A28" s="2"/>
      <c r="B28" s="90" t="str">
        <f>VLOOKUP("note.baseDampingCurve",Locale!$A$2:$D$78,4,FALSE)</f>
        <v>连续分段理论曲线，仅基础阻尼。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2"/>
    </row>
    <row r="29" spans="1:15" ht="23.15" customHeight="1">
      <c r="A29" s="2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2"/>
    </row>
    <row r="30" spans="1:15" ht="31" customHeight="1">
      <c r="A30" s="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2"/>
    </row>
    <row r="31" spans="1:15" ht="23.15" customHeight="1">
      <c r="A31" s="2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2"/>
    </row>
    <row r="32" spans="1:15" ht="23.15" customHeight="1">
      <c r="A32" s="2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2"/>
    </row>
    <row r="33" spans="1:15" ht="23.15" customHeight="1">
      <c r="A33" s="2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2"/>
    </row>
    <row r="34" spans="1:15" ht="23.15" customHeight="1">
      <c r="A34" s="2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2"/>
    </row>
    <row r="35" spans="1:15" ht="23.15" customHeight="1">
      <c r="A35" s="2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2"/>
    </row>
    <row r="36" spans="1:15" ht="23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3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3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3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3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</sheetData>
  <mergeCells count="20">
    <mergeCell ref="B27:C27"/>
    <mergeCell ref="B2:N2"/>
    <mergeCell ref="B3:N3"/>
    <mergeCell ref="D5:H5"/>
    <mergeCell ref="J5:N5"/>
    <mergeCell ref="B22:N22"/>
    <mergeCell ref="B23:C23"/>
    <mergeCell ref="B24:C24"/>
    <mergeCell ref="B25:C25"/>
    <mergeCell ref="B26:C26"/>
    <mergeCell ref="F23:N24"/>
    <mergeCell ref="F26:N26"/>
    <mergeCell ref="B33:N33"/>
    <mergeCell ref="B34:N34"/>
    <mergeCell ref="B35:N35"/>
    <mergeCell ref="B28:N28"/>
    <mergeCell ref="B29:N29"/>
    <mergeCell ref="B30:N30"/>
    <mergeCell ref="B31:N31"/>
    <mergeCell ref="B32:N32"/>
  </mergeCells>
  <phoneticPr fontId="7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4E53-CC2B-4C83-8B3D-A6BCF903E527}">
  <dimension ref="A1:D78"/>
  <sheetViews>
    <sheetView workbookViewId="0"/>
  </sheetViews>
  <sheetFormatPr defaultRowHeight="14"/>
  <sheetData>
    <row r="1" spans="1:4">
      <c r="A1" s="68" t="s">
        <v>87</v>
      </c>
      <c r="B1" s="68" t="s">
        <v>88</v>
      </c>
      <c r="C1" s="68" t="s">
        <v>89</v>
      </c>
      <c r="D1" s="68" t="s">
        <v>90</v>
      </c>
    </row>
    <row r="2" spans="1:4">
      <c r="A2" s="67" t="s">
        <v>91</v>
      </c>
      <c r="B2" s="67" t="s">
        <v>92</v>
      </c>
      <c r="C2" s="67" t="s">
        <v>93</v>
      </c>
      <c r="D2" s="67" t="str">
        <f>IF(Catalog!$E$1="English",B2,C2)</f>
        <v>RAx8 · 压缩 (+) / 回弹 (−)</v>
      </c>
    </row>
    <row r="3" spans="1:4">
      <c r="A3" s="67" t="s">
        <v>94</v>
      </c>
      <c r="B3" s="67" t="s">
        <v>95</v>
      </c>
      <c r="C3" s="67" t="s">
        <v>96</v>
      </c>
      <c r="D3" s="67" t="str">
        <f>IF(Catalog!$E$1="English",B3,C3)</f>
        <v>RAx8 · 高速压缩调节曲线</v>
      </c>
    </row>
    <row r="4" spans="1:4">
      <c r="A4" s="67" t="s">
        <v>97</v>
      </c>
      <c r="B4" s="67" t="s">
        <v>98</v>
      </c>
      <c r="C4" s="67" t="s">
        <v>99</v>
      </c>
      <c r="D4" s="67" t="str">
        <f>IF(Catalog!$E$1="English",B4,C4)</f>
        <v>RAx8 · 低速压缩调节曲线</v>
      </c>
    </row>
    <row r="5" spans="1:4">
      <c r="A5" s="67" t="s">
        <v>100</v>
      </c>
      <c r="B5" s="67" t="s">
        <v>101</v>
      </c>
      <c r="C5" s="67" t="s">
        <v>102</v>
      </c>
      <c r="D5" s="67" t="str">
        <f>IF(Catalog!$E$1="English",B5,C5)</f>
        <v>RAx8 · 低速回弹调节曲线</v>
      </c>
    </row>
    <row r="6" spans="1:4">
      <c r="A6" s="67" t="s">
        <v>103</v>
      </c>
      <c r="B6" s="67" t="s">
        <v>104</v>
      </c>
      <c r="C6" s="67" t="s">
        <v>105</v>
      </c>
      <c r="D6" s="67" t="str">
        <f>IF(Catalog!$E$1="English",B6,C6)</f>
        <v>可调 · 16 格</v>
      </c>
    </row>
    <row r="7" spans="1:4">
      <c r="A7" s="67" t="s">
        <v>106</v>
      </c>
      <c r="B7" s="67" t="s">
        <v>107</v>
      </c>
      <c r="C7" s="67" t="s">
        <v>108</v>
      </c>
      <c r="D7" s="67" t="str">
        <f>IF(Catalog!$E$1="English",B7,C7)</f>
        <v>调节格数</v>
      </c>
    </row>
    <row r="8" spans="1:4">
      <c r="A8" s="67" t="s">
        <v>109</v>
      </c>
      <c r="B8" s="67" t="s">
        <v>110</v>
      </c>
      <c r="C8" s="67" t="s">
        <v>36</v>
      </c>
      <c r="D8" s="67" t="str">
        <f>IF(Catalog!$E$1="English",B8,C8)</f>
        <v>调节位置</v>
      </c>
    </row>
    <row r="9" spans="1:4">
      <c r="A9" s="67" t="s">
        <v>111</v>
      </c>
      <c r="B9" s="67" t="s">
        <v>112</v>
      </c>
      <c r="C9" s="67" t="s">
        <v>69</v>
      </c>
      <c r="D9" s="67" t="str">
        <f>IF(Catalog!$E$1="English",B9,C9)</f>
        <v>有</v>
      </c>
    </row>
    <row r="10" spans="1:4">
      <c r="A10" s="67" t="s">
        <v>113</v>
      </c>
      <c r="B10" s="67" t="s">
        <v>114</v>
      </c>
      <c r="C10" s="67" t="s">
        <v>49</v>
      </c>
      <c r="D10" s="67" t="str">
        <f>IF(Catalog!$E$1="English",B10,C10)</f>
        <v>bump2 倍率</v>
      </c>
    </row>
    <row r="11" spans="1:4">
      <c r="A11" s="67" t="s">
        <v>115</v>
      </c>
      <c r="B11" s="67" t="s">
        <v>116</v>
      </c>
      <c r="C11" s="67" t="s">
        <v>117</v>
      </c>
      <c r="D11" s="67" t="str">
        <f>IF(Catalog!$E$1="English",B11,C11)</f>
        <v>压缩阻尼力 (N)</v>
      </c>
    </row>
    <row r="12" spans="1:4">
      <c r="A12" s="67" t="s">
        <v>118</v>
      </c>
      <c r="B12" s="67" t="s">
        <v>119</v>
      </c>
      <c r="C12" s="67" t="s">
        <v>20</v>
      </c>
      <c r="D12" s="67" t="str">
        <f>IF(Catalog!$E$1="English",B12,C12)</f>
        <v>c 总格数</v>
      </c>
    </row>
    <row r="13" spans="1:4">
      <c r="A13" s="67" t="s">
        <v>120</v>
      </c>
      <c r="B13" s="67" t="s">
        <v>62</v>
      </c>
      <c r="C13" s="67" t="s">
        <v>121</v>
      </c>
      <c r="D13" s="67" t="str">
        <f>IF(Catalog!$E$1="English",B13,C13)</f>
        <v>计算器</v>
      </c>
    </row>
    <row r="14" spans="1:4">
      <c r="A14" s="67" t="s">
        <v>122</v>
      </c>
      <c r="B14" s="67" t="s">
        <v>123</v>
      </c>
      <c r="C14" s="67" t="s">
        <v>38</v>
      </c>
      <c r="D14" s="67" t="str">
        <f>IF(Catalog!$E$1="English",B14,C14)</f>
        <v>格</v>
      </c>
    </row>
    <row r="15" spans="1:4">
      <c r="A15" s="67" t="s">
        <v>124</v>
      </c>
      <c r="B15" s="67" t="s">
        <v>125</v>
      </c>
      <c r="C15" s="67" t="s">
        <v>16</v>
      </c>
      <c r="D15" s="67" t="str">
        <f>IF(Catalog!$E$1="English",B15,C15)</f>
        <v>压缩力 (N)</v>
      </c>
    </row>
    <row r="16" spans="1:4">
      <c r="A16" s="67" t="s">
        <v>126</v>
      </c>
      <c r="B16" s="67" t="s">
        <v>127</v>
      </c>
      <c r="C16" s="67" t="s">
        <v>45</v>
      </c>
      <c r="D16" s="67" t="str">
        <f>IF(Catalog!$E$1="English",B16,C16)</f>
        <v>曲线</v>
      </c>
    </row>
    <row r="17" spans="1:4">
      <c r="A17" s="67" t="s">
        <v>128</v>
      </c>
      <c r="B17" s="67" t="s">
        <v>129</v>
      </c>
      <c r="C17" s="67" t="s">
        <v>12</v>
      </c>
      <c r="D17" s="67" t="str">
        <f>IF(Catalog!$E$1="English",B17,C17)</f>
        <v>避震器型号</v>
      </c>
    </row>
    <row r="18" spans="1:4">
      <c r="A18" s="67" t="s">
        <v>130</v>
      </c>
      <c r="B18" s="67" t="s">
        <v>131</v>
      </c>
      <c r="C18" s="67" t="s">
        <v>3</v>
      </c>
      <c r="D18" s="67" t="str">
        <f>IF(Catalog!$E$1="English",B18,C18)</f>
        <v>阻尼调节</v>
      </c>
    </row>
    <row r="19" spans="1:4">
      <c r="A19" s="67" t="s">
        <v>132</v>
      </c>
      <c r="B19" s="67" t="s">
        <v>133</v>
      </c>
      <c r="C19" s="67" t="s">
        <v>134</v>
      </c>
      <c r="D19" s="67" t="str">
        <f>IF(Catalog!$E$1="English",B19,C19)</f>
        <v>阻尼力 (N)</v>
      </c>
    </row>
    <row r="20" spans="1:4">
      <c r="A20" s="67" t="s">
        <v>135</v>
      </c>
      <c r="B20" s="67" t="s">
        <v>136</v>
      </c>
      <c r="C20" s="67" t="s">
        <v>137</v>
      </c>
      <c r="D20" s="67" t="str">
        <f>IF(Catalog!$E$1="English",B20,C20)</f>
        <v>伸展速度 (m/s)</v>
      </c>
    </row>
    <row r="21" spans="1:4">
      <c r="A21" s="67" t="s">
        <v>138</v>
      </c>
      <c r="B21" s="67" t="s">
        <v>139</v>
      </c>
      <c r="C21" s="67" t="s">
        <v>140</v>
      </c>
      <c r="D21" s="67" t="str">
        <f>IF(Catalog!$E$1="English",B21,C21)</f>
        <v>第一拐点</v>
      </c>
    </row>
    <row r="22" spans="1:4">
      <c r="A22" s="67" t="s">
        <v>141</v>
      </c>
      <c r="B22" s="67" t="s">
        <v>142</v>
      </c>
      <c r="C22" s="67" t="s">
        <v>68</v>
      </c>
      <c r="D22" s="67" t="str">
        <f>IF(Catalog!$E$1="English",B22,C22)</f>
        <v>固定</v>
      </c>
    </row>
    <row r="23" spans="1:4">
      <c r="A23" s="67" t="s">
        <v>143</v>
      </c>
      <c r="B23" s="67" t="s">
        <v>144</v>
      </c>
      <c r="C23" s="67" t="s">
        <v>145</v>
      </c>
      <c r="D23" s="67" t="str">
        <f>IF(Catalog!$E$1="English",B23,C23)</f>
        <v>固定高速压缩</v>
      </c>
    </row>
    <row r="24" spans="1:4">
      <c r="A24" s="67" t="s">
        <v>146</v>
      </c>
      <c r="B24" s="67" t="s">
        <v>147</v>
      </c>
      <c r="C24" s="67" t="s">
        <v>148</v>
      </c>
      <c r="D24" s="67" t="str">
        <f>IF(Catalog!$E$1="English",B24,C24)</f>
        <v>固定低速压缩</v>
      </c>
    </row>
    <row r="25" spans="1:4">
      <c r="A25" s="67" t="s">
        <v>149</v>
      </c>
      <c r="B25" s="67" t="s">
        <v>150</v>
      </c>
      <c r="C25" s="67" t="s">
        <v>151</v>
      </c>
      <c r="D25" s="67" t="str">
        <f>IF(Catalog!$E$1="English",B25,C25)</f>
        <v>前轴 215 / 后轴 190 mm</v>
      </c>
    </row>
    <row r="26" spans="1:4">
      <c r="A26" s="67" t="s">
        <v>152</v>
      </c>
      <c r="B26" s="67" t="s">
        <v>61</v>
      </c>
      <c r="C26" s="67" t="s">
        <v>153</v>
      </c>
      <c r="D26" s="67" t="str">
        <f>IF(Catalog!$E$1="English",B26,C26)</f>
        <v>全范围扫描</v>
      </c>
    </row>
    <row r="27" spans="1:4">
      <c r="A27" s="67" t="s">
        <v>154</v>
      </c>
      <c r="B27" s="67" t="s">
        <v>155</v>
      </c>
      <c r="C27" s="67" t="s">
        <v>27</v>
      </c>
      <c r="D27" s="67" t="str">
        <f>IF(Catalog!$E$1="English",B27,C27)</f>
        <v>HSbump · 高速增量</v>
      </c>
    </row>
    <row r="28" spans="1:4">
      <c r="A28" s="67" t="s">
        <v>156</v>
      </c>
      <c r="B28" s="67" t="s">
        <v>157</v>
      </c>
      <c r="C28" s="67" t="s">
        <v>5</v>
      </c>
      <c r="D28" s="67" t="str">
        <f>IF(Catalog!$E$1="English",B28,C28)</f>
        <v>高速压缩 · C</v>
      </c>
    </row>
    <row r="29" spans="1:4">
      <c r="A29" s="67" t="s">
        <v>158</v>
      </c>
      <c r="B29" s="67" t="s">
        <v>159</v>
      </c>
      <c r="C29" s="67" t="s">
        <v>54</v>
      </c>
      <c r="D29" s="67" t="str">
        <f>IF(Catalog!$E$1="English",B29,C29)</f>
        <v>HSC 区间</v>
      </c>
    </row>
    <row r="30" spans="1:4">
      <c r="A30" s="67" t="s">
        <v>160</v>
      </c>
      <c r="B30" s="67" t="s">
        <v>161</v>
      </c>
      <c r="C30" s="67" t="s">
        <v>57</v>
      </c>
      <c r="D30" s="67" t="str">
        <f>IF(Catalog!$E$1="English",B30,C30)</f>
        <v>HSC 区间位置</v>
      </c>
    </row>
    <row r="31" spans="1:4">
      <c r="A31" s="67" t="s">
        <v>162</v>
      </c>
      <c r="B31" s="67" t="s">
        <v>59</v>
      </c>
      <c r="C31" s="67" t="s">
        <v>163</v>
      </c>
      <c r="D31" s="67" t="str">
        <f>IF(Catalog!$E$1="English",B31,C31)</f>
        <v>HSC 扫描</v>
      </c>
    </row>
    <row r="32" spans="1:4">
      <c r="A32" s="67" t="s">
        <v>164</v>
      </c>
      <c r="B32" s="67" t="s">
        <v>165</v>
      </c>
      <c r="C32" s="67" t="s">
        <v>22</v>
      </c>
      <c r="D32" s="67" t="str">
        <f>IF(Catalog!$E$1="English",B32,C32)</f>
        <v>C 总格数</v>
      </c>
    </row>
    <row r="33" spans="1:4">
      <c r="A33" s="67" t="s">
        <v>166</v>
      </c>
      <c r="B33" s="67" t="s">
        <v>167</v>
      </c>
      <c r="C33" s="67" t="s">
        <v>52</v>
      </c>
      <c r="D33" s="67" t="str">
        <f>IF(Catalog!$E$1="English",B33,C33)</f>
        <v>HSR 倍率</v>
      </c>
    </row>
    <row r="34" spans="1:4">
      <c r="A34" s="67" t="s">
        <v>168</v>
      </c>
      <c r="B34" s="67" t="s">
        <v>169</v>
      </c>
      <c r="C34" s="67" t="s">
        <v>29</v>
      </c>
      <c r="D34" s="67" t="str">
        <f>IF(Catalog!$E$1="English",B34,C34)</f>
        <v>输入检查</v>
      </c>
    </row>
    <row r="35" spans="1:4">
      <c r="A35" s="67" t="s">
        <v>170</v>
      </c>
      <c r="B35" s="67" t="s">
        <v>171</v>
      </c>
      <c r="C35" s="67" t="s">
        <v>4</v>
      </c>
      <c r="D35" s="67" t="str">
        <f>IF(Catalog!$E$1="English",B35,C35)</f>
        <v>低速压缩 · c</v>
      </c>
    </row>
    <row r="36" spans="1:4">
      <c r="A36" s="67" t="s">
        <v>172</v>
      </c>
      <c r="B36" s="67" t="s">
        <v>173</v>
      </c>
      <c r="C36" s="67" t="s">
        <v>77</v>
      </c>
      <c r="D36" s="67" t="str">
        <f>IF(Catalog!$E$1="English",B36,C36)</f>
        <v>LSC · 全系列</v>
      </c>
    </row>
    <row r="37" spans="1:4">
      <c r="A37" s="67" t="s">
        <v>174</v>
      </c>
      <c r="B37" s="67" t="s">
        <v>175</v>
      </c>
      <c r="C37" s="67" t="s">
        <v>53</v>
      </c>
      <c r="D37" s="67" t="str">
        <f>IF(Catalog!$E$1="English",B37,C37)</f>
        <v>LSC 区间</v>
      </c>
    </row>
    <row r="38" spans="1:4">
      <c r="A38" s="67" t="s">
        <v>176</v>
      </c>
      <c r="B38" s="67" t="s">
        <v>177</v>
      </c>
      <c r="C38" s="67" t="s">
        <v>56</v>
      </c>
      <c r="D38" s="67" t="str">
        <f>IF(Catalog!$E$1="English",B38,C38)</f>
        <v>LSC 区间位置</v>
      </c>
    </row>
    <row r="39" spans="1:4">
      <c r="A39" s="67" t="s">
        <v>178</v>
      </c>
      <c r="B39" s="67" t="s">
        <v>44</v>
      </c>
      <c r="C39" s="67" t="s">
        <v>179</v>
      </c>
      <c r="D39" s="67" t="str">
        <f>IF(Catalog!$E$1="English",B39,C39)</f>
        <v>LSC 扫描</v>
      </c>
    </row>
    <row r="40" spans="1:4">
      <c r="A40" s="67" t="s">
        <v>180</v>
      </c>
      <c r="B40" s="67" t="s">
        <v>181</v>
      </c>
      <c r="C40" s="67" t="s">
        <v>55</v>
      </c>
      <c r="D40" s="67" t="str">
        <f>IF(Catalog!$E$1="English",B40,C40)</f>
        <v>LSR 区间</v>
      </c>
    </row>
    <row r="41" spans="1:4">
      <c r="A41" s="67" t="s">
        <v>182</v>
      </c>
      <c r="B41" s="67" t="s">
        <v>183</v>
      </c>
      <c r="C41" s="67" t="s">
        <v>58</v>
      </c>
      <c r="D41" s="67" t="str">
        <f>IF(Catalog!$E$1="English",B41,C41)</f>
        <v>LSR 区间位置</v>
      </c>
    </row>
    <row r="42" spans="1:4">
      <c r="A42" s="67" t="s">
        <v>184</v>
      </c>
      <c r="B42" s="67" t="s">
        <v>60</v>
      </c>
      <c r="C42" s="67" t="s">
        <v>185</v>
      </c>
      <c r="D42" s="67" t="str">
        <f>IF(Catalog!$E$1="English",B42,C42)</f>
        <v>LSR 扫描</v>
      </c>
    </row>
    <row r="43" spans="1:4">
      <c r="A43" s="67" t="s">
        <v>186</v>
      </c>
      <c r="B43" s="67" t="s">
        <v>187</v>
      </c>
      <c r="C43" s="67" t="s">
        <v>25</v>
      </c>
      <c r="D43" s="67" t="str">
        <f>IF(Catalog!$E$1="English",B43,C43)</f>
        <v>R 总格数</v>
      </c>
    </row>
    <row r="44" spans="1:4">
      <c r="A44" s="67" t="s">
        <v>188</v>
      </c>
      <c r="B44" s="67" t="s">
        <v>189</v>
      </c>
      <c r="C44" s="67" t="s">
        <v>40</v>
      </c>
      <c r="D44" s="67" t="str">
        <f>IF(Catalog!$E$1="English",B44,C44)</f>
        <v>倍率</v>
      </c>
    </row>
    <row r="45" spans="1:4">
      <c r="A45" s="67" t="s">
        <v>190</v>
      </c>
      <c r="B45" s="67" t="s">
        <v>191</v>
      </c>
      <c r="C45" s="67" t="s">
        <v>1</v>
      </c>
      <c r="D45" s="67" t="str">
        <f>IF(Catalog!$E$1="English",B45,C45)</f>
        <v>活塞行程</v>
      </c>
    </row>
    <row r="46" spans="1:4">
      <c r="A46" s="67" t="s">
        <v>192</v>
      </c>
      <c r="B46" s="67" t="s">
        <v>83</v>
      </c>
      <c r="C46" s="67" t="s">
        <v>193</v>
      </c>
      <c r="D46" s="67" t="str">
        <f>IF(Catalog!$E$1="English",B46,C46)</f>
        <v>拉力</v>
      </c>
    </row>
    <row r="47" spans="1:4">
      <c r="A47" s="67" t="s">
        <v>194</v>
      </c>
      <c r="B47" s="67" t="s">
        <v>67</v>
      </c>
      <c r="C47" s="67" t="s">
        <v>195</v>
      </c>
      <c r="D47" s="67" t="str">
        <f>IF(Catalog!$E$1="English",B47,C47)</f>
        <v>跨界拉力</v>
      </c>
    </row>
    <row r="48" spans="1:4">
      <c r="A48" s="67" t="s">
        <v>196</v>
      </c>
      <c r="B48" s="67" t="s">
        <v>197</v>
      </c>
      <c r="C48" s="67" t="s">
        <v>37</v>
      </c>
      <c r="D48" s="67" t="str">
        <f>IF(Catalog!$E$1="English",B48,C48)</f>
        <v>比例</v>
      </c>
    </row>
    <row r="49" spans="1:4">
      <c r="A49" s="67" t="s">
        <v>198</v>
      </c>
      <c r="B49" s="67" t="s">
        <v>199</v>
      </c>
      <c r="C49" s="67" t="s">
        <v>200</v>
      </c>
      <c r="D49" s="67" t="str">
        <f>IF(Catalog!$E$1="English",B49,C49)</f>
        <v>回弹</v>
      </c>
    </row>
    <row r="50" spans="1:4">
      <c r="A50" s="67" t="s">
        <v>201</v>
      </c>
      <c r="B50" s="67" t="s">
        <v>202</v>
      </c>
      <c r="C50" s="67" t="s">
        <v>203</v>
      </c>
      <c r="D50" s="67" t="str">
        <f>IF(Catalog!$E$1="English",B50,C50)</f>
        <v>回弹阻尼力 (N)</v>
      </c>
    </row>
    <row r="51" spans="1:4">
      <c r="A51" s="67" t="s">
        <v>204</v>
      </c>
      <c r="B51" s="67" t="s">
        <v>205</v>
      </c>
      <c r="C51" s="67" t="s">
        <v>19</v>
      </c>
      <c r="D51" s="67" t="str">
        <f>IF(Catalog!$E$1="English",B51,C51)</f>
        <v>回弹力 (N)</v>
      </c>
    </row>
    <row r="52" spans="1:4">
      <c r="A52" s="67" t="s">
        <v>206</v>
      </c>
      <c r="B52" s="67" t="s">
        <v>32</v>
      </c>
      <c r="C52" s="67" t="s">
        <v>207</v>
      </c>
      <c r="D52" s="67" t="str">
        <f>IF(Catalog!$E$1="English",B52,C52)</f>
        <v>回弹拐点</v>
      </c>
    </row>
    <row r="53" spans="1:4">
      <c r="A53" s="67" t="s">
        <v>208</v>
      </c>
      <c r="B53" s="67" t="s">
        <v>209</v>
      </c>
      <c r="C53" s="67" t="s">
        <v>6</v>
      </c>
      <c r="D53" s="67" t="str">
        <f>IF(Catalog!$E$1="English",B53,C53)</f>
        <v>回弹 · R</v>
      </c>
    </row>
    <row r="54" spans="1:4">
      <c r="A54" s="67" t="s">
        <v>210</v>
      </c>
      <c r="B54" s="67" t="s">
        <v>211</v>
      </c>
      <c r="C54" s="67" t="s">
        <v>212</v>
      </c>
      <c r="D54" s="67" t="str">
        <f>IF(Catalog!$E$1="English",B54,C54)</f>
        <v>第二拐点</v>
      </c>
    </row>
    <row r="55" spans="1:4">
      <c r="A55" s="67" t="s">
        <v>213</v>
      </c>
      <c r="B55" s="67" t="s">
        <v>214</v>
      </c>
      <c r="C55" s="67" t="s">
        <v>215</v>
      </c>
      <c r="D55" s="67" t="str">
        <f>IF(Catalog!$E$1="English",B55,C55)</f>
        <v>轴速大小 (m/s)</v>
      </c>
    </row>
    <row r="56" spans="1:4">
      <c r="A56" s="67" t="s">
        <v>216</v>
      </c>
      <c r="B56" s="67" t="s">
        <v>217</v>
      </c>
      <c r="C56" s="67" t="s">
        <v>18</v>
      </c>
      <c r="D56" s="67" t="str">
        <f>IF(Catalog!$E$1="English",B56,C56)</f>
        <v>轴速 (m/s)</v>
      </c>
    </row>
    <row r="57" spans="1:4">
      <c r="A57" s="67" t="s">
        <v>218</v>
      </c>
      <c r="B57" s="67" t="s">
        <v>217</v>
      </c>
      <c r="C57" s="67" t="s">
        <v>18</v>
      </c>
      <c r="D57" s="67" t="str">
        <f>IF(Catalog!$E$1="English",B57,C57)</f>
        <v>轴速 (m/s)</v>
      </c>
    </row>
    <row r="58" spans="1:4">
      <c r="A58" s="67" t="s">
        <v>219</v>
      </c>
      <c r="B58" s="67" t="s">
        <v>220</v>
      </c>
      <c r="C58" s="67" t="s">
        <v>0</v>
      </c>
      <c r="D58" s="67" t="str">
        <f>IF(Catalog!$E$1="English",B58,C58)</f>
        <v>规格</v>
      </c>
    </row>
    <row r="59" spans="1:4">
      <c r="A59" s="67" t="s">
        <v>221</v>
      </c>
      <c r="B59" s="67" t="s">
        <v>84</v>
      </c>
      <c r="C59" s="67" t="s">
        <v>222</v>
      </c>
      <c r="D59" s="67" t="str">
        <f>IF(Catalog!$E$1="English",B59,C59)</f>
        <v>3+1 向调节</v>
      </c>
    </row>
    <row r="60" spans="1:4">
      <c r="A60" s="67" t="s">
        <v>223</v>
      </c>
      <c r="B60" s="67" t="s">
        <v>66</v>
      </c>
      <c r="C60" s="67" t="s">
        <v>224</v>
      </c>
      <c r="D60" s="67" t="str">
        <f>IF(Catalog!$E$1="English",B60,C60)</f>
        <v>3 向调节</v>
      </c>
    </row>
    <row r="61" spans="1:4">
      <c r="A61" s="67" t="s">
        <v>225</v>
      </c>
      <c r="B61" s="67" t="s">
        <v>226</v>
      </c>
      <c r="C61" s="67" t="s">
        <v>28</v>
      </c>
      <c r="D61" s="67" t="str">
        <f>IF(Catalog!$E$1="English",B61,C61)</f>
        <v>总高速系数</v>
      </c>
    </row>
    <row r="62" spans="1:4">
      <c r="A62" s="67" t="s">
        <v>227</v>
      </c>
      <c r="B62" s="67" t="s">
        <v>228</v>
      </c>
      <c r="C62" s="67" t="s">
        <v>51</v>
      </c>
      <c r="D62" s="67" t="str">
        <f>IF(Catalog!$E$1="English",B62,C62)</f>
        <v>总 HS 系数</v>
      </c>
    </row>
    <row r="63" spans="1:4">
      <c r="A63" s="67" t="s">
        <v>229</v>
      </c>
      <c r="B63" s="67" t="s">
        <v>11</v>
      </c>
      <c r="C63" s="67" t="s">
        <v>230</v>
      </c>
      <c r="D63" s="67" t="str">
        <f>IF(Catalog!$E$1="English",B63,C63)</f>
        <v>阀系</v>
      </c>
    </row>
    <row r="64" spans="1:4">
      <c r="A64" s="67" t="s">
        <v>231</v>
      </c>
      <c r="B64" s="67" t="s">
        <v>232</v>
      </c>
      <c r="C64" s="67" t="s">
        <v>42</v>
      </c>
      <c r="D64" s="67" t="str">
        <f>IF(Catalog!$E$1="English",B64,C64)</f>
        <v>0 为最硬，负数为退出格数。</v>
      </c>
    </row>
    <row r="65" spans="1:4">
      <c r="A65" s="67" t="s">
        <v>233</v>
      </c>
      <c r="B65" s="67" t="s">
        <v>234</v>
      </c>
      <c r="C65" s="67" t="s">
        <v>43</v>
      </c>
      <c r="D65" s="67" t="str">
        <f>IF(Catalog!$E$1="English",B65,C65)</f>
        <v>连续分段理论曲线，仅基础阻尼。</v>
      </c>
    </row>
    <row r="66" spans="1:4">
      <c r="A66" s="67" t="s">
        <v>235</v>
      </c>
      <c r="B66" s="67" t="s">
        <v>236</v>
      </c>
      <c r="C66" s="67" t="s">
        <v>237</v>
      </c>
      <c r="D66" s="67" t="str">
        <f>IF(Catalog!$E$1="English",B66,C66)</f>
        <v>调节曲线使用 RA88 调节格数。</v>
      </c>
    </row>
    <row r="67" spans="1:4">
      <c r="A67" s="67" t="s">
        <v>238</v>
      </c>
      <c r="B67" s="67" t="s">
        <v>239</v>
      </c>
      <c r="C67" s="67" t="s">
        <v>33</v>
      </c>
      <c r="D67" s="67" t="str">
        <f>IF(Catalog!$E$1="English",B67,C67)</f>
        <v>黄色单元格为手动输入。</v>
      </c>
    </row>
    <row r="68" spans="1:4">
      <c r="A68" s="67" t="s">
        <v>240</v>
      </c>
      <c r="B68" s="67" t="s">
        <v>241</v>
      </c>
      <c r="C68" s="67" t="s">
        <v>242</v>
      </c>
      <c r="D68" s="67" t="str">
        <f>IF(Catalog!$E$1="English",B68,C68)</f>
        <v>检查输入</v>
      </c>
    </row>
    <row r="69" spans="1:4">
      <c r="A69" s="67" t="s">
        <v>243</v>
      </c>
      <c r="B69" s="67" t="s">
        <v>244</v>
      </c>
      <c r="C69" s="67" t="s">
        <v>245</v>
      </c>
      <c r="D69" s="67" t="str">
        <f>IF(Catalog!$E$1="English",B69,C69)</f>
        <v>正常</v>
      </c>
    </row>
    <row r="70" spans="1:4">
      <c r="A70" s="67" t="s">
        <v>246</v>
      </c>
      <c r="B70" s="67" t="s">
        <v>247</v>
      </c>
      <c r="C70" s="67" t="s">
        <v>21</v>
      </c>
      <c r="D70" s="67" t="str">
        <f>IF(Catalog!$E$1="English",B70,C70)</f>
        <v>当前曲线参数</v>
      </c>
    </row>
    <row r="71" spans="1:4">
      <c r="A71" s="67" t="s">
        <v>248</v>
      </c>
      <c r="B71" s="67" t="s">
        <v>249</v>
      </c>
      <c r="C71" s="67" t="s">
        <v>13</v>
      </c>
      <c r="D71" s="67" t="str">
        <f>IF(Catalog!$E$1="English",B71,C71)</f>
        <v>当前输入 · 阻尼力大小</v>
      </c>
    </row>
    <row r="72" spans="1:4">
      <c r="A72" s="67" t="s">
        <v>250</v>
      </c>
      <c r="B72" s="67" t="s">
        <v>63</v>
      </c>
      <c r="C72" s="67" t="s">
        <v>251</v>
      </c>
      <c r="D72" s="67" t="str">
        <f>IF(Catalog!$E$1="English",B72,C72)</f>
        <v>CTM Racing · RAx8 · 避震器目录</v>
      </c>
    </row>
    <row r="73" spans="1:4">
      <c r="A73" s="67" t="s">
        <v>252</v>
      </c>
      <c r="B73" s="67" t="s">
        <v>70</v>
      </c>
      <c r="C73" s="67" t="s">
        <v>253</v>
      </c>
      <c r="D73" s="67" t="str">
        <f>IF(Catalog!$E$1="English",B73,C73)</f>
        <v>CTM Racing · RAx8 · 阻尼计算器</v>
      </c>
    </row>
    <row r="74" spans="1:4">
      <c r="A74" s="67" t="s">
        <v>254</v>
      </c>
      <c r="B74" s="67" t="s">
        <v>74</v>
      </c>
      <c r="C74" s="67" t="s">
        <v>255</v>
      </c>
      <c r="D74" s="67" t="str">
        <f>IF(Catalog!$E$1="English",B74,C74)</f>
        <v>CTM Racing · RAx8 · 全范围扫描</v>
      </c>
    </row>
    <row r="75" spans="1:4">
      <c r="A75" s="67" t="s">
        <v>256</v>
      </c>
      <c r="B75" s="67" t="s">
        <v>72</v>
      </c>
      <c r="C75" s="67" t="s">
        <v>257</v>
      </c>
      <c r="D75" s="67" t="str">
        <f>IF(Catalog!$E$1="English",B75,C75)</f>
        <v>CTM Racing · RAx8 · HSC 扫描</v>
      </c>
    </row>
    <row r="76" spans="1:4">
      <c r="A76" s="67" t="s">
        <v>258</v>
      </c>
      <c r="B76" s="67" t="s">
        <v>71</v>
      </c>
      <c r="C76" s="67" t="s">
        <v>259</v>
      </c>
      <c r="D76" s="67" t="str">
        <f>IF(Catalog!$E$1="English",B76,C76)</f>
        <v>CTM Racing · RAx8 · LSC 扫描</v>
      </c>
    </row>
    <row r="77" spans="1:4">
      <c r="A77" s="67" t="s">
        <v>260</v>
      </c>
      <c r="B77" s="67" t="s">
        <v>73</v>
      </c>
      <c r="C77" s="67" t="s">
        <v>261</v>
      </c>
      <c r="D77" s="67" t="str">
        <f>IF(Catalog!$E$1="English",B77,C77)</f>
        <v>CTM Racing · RAx8 · LSR 扫描</v>
      </c>
    </row>
    <row r="78" spans="1:4">
      <c r="A78" s="67" t="s">
        <v>262</v>
      </c>
      <c r="B78" s="67" t="s">
        <v>75</v>
      </c>
      <c r="C78" s="67" t="s">
        <v>263</v>
      </c>
      <c r="D78" s="67" t="str">
        <f>IF(Catalog!$E$1="English",B78,C78)</f>
        <v>CTM Racing · RAx8 · 阀系参数</v>
      </c>
    </row>
  </sheetData>
  <phoneticPr fontId="7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A58C-8166-4CD0-9A95-0679512CED5E}">
  <sheetPr>
    <tabColor rgb="FF93A0AC"/>
  </sheetPr>
  <dimension ref="A1:V165"/>
  <sheetViews>
    <sheetView showGridLines="0" tabSelected="1" workbookViewId="0">
      <pane ySplit="4" topLeftCell="A5" activePane="bottomLeft" state="frozen"/>
      <selection pane="bottomLeft"/>
    </sheetView>
  </sheetViews>
  <sheetFormatPr defaultRowHeight="14"/>
  <cols>
    <col min="1" max="1" width="2.5" customWidth="1"/>
    <col min="2" max="2" width="18" customWidth="1"/>
    <col min="3" max="22" width="12" customWidth="1"/>
  </cols>
  <sheetData>
    <row r="1" spans="1:22" ht="32.15" customHeight="1">
      <c r="A1" s="2"/>
      <c r="B1" s="1" t="str">
        <f>VLOOKUP("label.lscSweep",Locale!$A$2:$D$78,4,FALSE)</f>
        <v>LSC 扫描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69"/>
      <c r="Q1" s="69"/>
      <c r="R1" s="69"/>
      <c r="S1" s="69"/>
      <c r="T1" s="69"/>
      <c r="U1" s="69"/>
      <c r="V1" s="69"/>
    </row>
    <row r="2" spans="1:22" ht="22" customHeight="1">
      <c r="A2" s="2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"/>
      <c r="P2" s="4"/>
      <c r="Q2" s="4"/>
      <c r="R2" s="4"/>
      <c r="S2" s="4"/>
      <c r="T2" s="4"/>
      <c r="U2" s="4"/>
      <c r="V2" s="4"/>
    </row>
    <row r="3" spans="1:22" ht="22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</row>
    <row r="4" spans="1:22" ht="44.15" customHeight="1">
      <c r="A4" s="2"/>
      <c r="B4" s="38" t="str">
        <f>VLOOKUP("label.curve",Locale!$A$2:$D$78,4,FALSE)</f>
        <v>曲线</v>
      </c>
      <c r="C4" s="39" t="s">
        <v>46</v>
      </c>
      <c r="D4" s="39" t="s">
        <v>47</v>
      </c>
      <c r="E4" s="39" t="s">
        <v>48</v>
      </c>
      <c r="F4" s="39" t="s">
        <v>23</v>
      </c>
      <c r="G4" s="38" t="str">
        <f>VLOOKUP("label.firstKnee",Locale!$A$2:$D$78,4,FALSE)</f>
        <v>第一拐点</v>
      </c>
      <c r="H4" s="38" t="str">
        <f>VLOOKUP("label.bump2Multiplier",Locale!$A$2:$D$78,4,FALSE)</f>
        <v>bump2 倍率</v>
      </c>
      <c r="I4" s="39" t="s">
        <v>26</v>
      </c>
      <c r="J4" s="39" t="s">
        <v>50</v>
      </c>
      <c r="K4" s="38" t="str">
        <f>VLOOKUP("label.secondKnee",Locale!$A$2:$D$78,4,FALSE)</f>
        <v>第二拐点</v>
      </c>
      <c r="L4" s="38" t="str">
        <f>VLOOKUP("label.totalHsCoefficient",Locale!$A$2:$D$78,4,FALSE)</f>
        <v>总 HS 系数</v>
      </c>
      <c r="M4" s="39" t="str">
        <f>VLOOKUP("label.rebound",Locale!$A$2:$D$78,4,FALSE)</f>
        <v>回弹</v>
      </c>
      <c r="N4" s="39" t="str">
        <f>VLOOKUP("label.reboundKnee",Locale!$A$2:$D$78,4,FALSE)</f>
        <v>回弹拐点</v>
      </c>
      <c r="O4" s="38" t="str">
        <f>VLOOKUP("label.hsrMultiplier",Locale!$A$2:$D$78,4,FALSE)</f>
        <v>HSR 倍率</v>
      </c>
      <c r="P4" s="40" t="s">
        <v>30</v>
      </c>
      <c r="Q4" s="41" t="str">
        <f>VLOOKUP("label.lscRange",Locale!$A$2:$D$78,4,FALSE)</f>
        <v>LSC 区间</v>
      </c>
      <c r="R4" s="41" t="str">
        <f>VLOOKUP("label.hscRange",Locale!$A$2:$D$78,4,FALSE)</f>
        <v>HSC 区间</v>
      </c>
      <c r="S4" s="41" t="str">
        <f>VLOOKUP("label.lsrRange",Locale!$A$2:$D$78,4,FALSE)</f>
        <v>LSR 区间</v>
      </c>
      <c r="T4" s="41" t="str">
        <f>VLOOKUP("label.lscRangePosition",Locale!$A$2:$D$78,4,FALSE)</f>
        <v>LSC 区间位置</v>
      </c>
      <c r="U4" s="41" t="str">
        <f>VLOOKUP("label.hscRangePosition",Locale!$A$2:$D$78,4,FALSE)</f>
        <v>HSC 区间位置</v>
      </c>
      <c r="V4" s="41" t="str">
        <f>VLOOKUP("label.lsrRangePosition",Locale!$A$2:$D$78,4,FALSE)</f>
        <v>LSR 区间位置</v>
      </c>
    </row>
    <row r="5" spans="1:22" ht="25" customHeight="1">
      <c r="A5" s="2"/>
      <c r="B5" s="42" t="str">
        <f>"c "&amp;C5</f>
        <v>c -24</v>
      </c>
      <c r="C5" s="42">
        <f>Parameters!D7</f>
        <v>-24</v>
      </c>
      <c r="D5" s="42">
        <f>'LSC Sweep'!$C$6</f>
        <v>-10</v>
      </c>
      <c r="E5" s="42">
        <f>Parameters!D16</f>
        <v>-40</v>
      </c>
      <c r="F5" s="42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1800</v>
      </c>
      <c r="G5" s="42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0.1</v>
      </c>
      <c r="H5" s="42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1</v>
      </c>
      <c r="I5" s="42">
        <f>F5*H5</f>
        <v>1800</v>
      </c>
      <c r="J5" s="42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1500</v>
      </c>
      <c r="K5" s="42">
        <f>IF('LSC Sweep'!$C$4="Type-B",Parameters!$L$14,INDEX(Parameters!$D$14:$H$14,1,R5)+(INDEX(Parameters!$D$14:$H$14,1,R5+1)-INDEX(Parameters!$D$14:$H$14,1,R5))*U5)</f>
        <v>0.45</v>
      </c>
      <c r="L5" s="42">
        <f>I5+J5</f>
        <v>3300</v>
      </c>
      <c r="M5" s="42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1800</v>
      </c>
      <c r="N5" s="42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0.23</v>
      </c>
      <c r="O5" s="42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0.94</v>
      </c>
      <c r="P5" s="43">
        <f>M5*O5</f>
        <v>1692</v>
      </c>
      <c r="Q5" s="43">
        <f>MIN(4,MAX(1,INT((1+C5/Parameters!$D$23)*4)+1))</f>
        <v>1</v>
      </c>
      <c r="R5" s="43">
        <f>MIN(4,MAX(1,INT((1+D5/Parameters!$D$24)*4)+1))</f>
        <v>3</v>
      </c>
      <c r="S5" s="43">
        <f>MIN(4,MAX(1,INT((1+E5/Parameters!$D$26)*4)+1))</f>
        <v>1</v>
      </c>
      <c r="T5" s="43">
        <f>MAX(0,MIN(1,(1+C5/Parameters!$D$23)*4-(Q5-1)))</f>
        <v>0</v>
      </c>
      <c r="U5" s="43">
        <f>MAX(0,MIN(1,(1+D5/Parameters!$D$24)*4-(R5-1)))</f>
        <v>0</v>
      </c>
      <c r="V5" s="43">
        <f>MAX(0,MIN(1,(1+E5/Parameters!$D$26)*4-(S5-1)))</f>
        <v>0</v>
      </c>
    </row>
    <row r="6" spans="1:22" ht="25" customHeight="1">
      <c r="A6" s="2"/>
      <c r="B6" s="44" t="str">
        <f>"c "&amp;C6</f>
        <v>c -18</v>
      </c>
      <c r="C6" s="44">
        <f>Parameters!E7</f>
        <v>-18</v>
      </c>
      <c r="D6" s="44">
        <f>'LSC Sweep'!$C$6</f>
        <v>-10</v>
      </c>
      <c r="E6" s="44">
        <f>Parameters!E16</f>
        <v>-30</v>
      </c>
      <c r="F6" s="44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2400</v>
      </c>
      <c r="G6" s="44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0.1</v>
      </c>
      <c r="H6" s="44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0.97499999999999998</v>
      </c>
      <c r="I6" s="44">
        <f>F6*H6</f>
        <v>2340</v>
      </c>
      <c r="J6" s="44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1500</v>
      </c>
      <c r="K6" s="44">
        <f>IF('LSC Sweep'!$C$4="Type-B",Parameters!$L$14,INDEX(Parameters!$D$14:$H$14,1,R6)+(INDEX(Parameters!$D$14:$H$14,1,R6+1)-INDEX(Parameters!$D$14:$H$14,1,R6))*U6)</f>
        <v>0.45</v>
      </c>
      <c r="L6" s="44">
        <f>I6+J6</f>
        <v>3840</v>
      </c>
      <c r="M6" s="44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2300</v>
      </c>
      <c r="N6" s="44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0.255</v>
      </c>
      <c r="O6" s="44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0.90999999999999992</v>
      </c>
      <c r="P6" s="45">
        <f>M6*O6</f>
        <v>2093</v>
      </c>
      <c r="Q6" s="45">
        <f>MIN(4,MAX(1,INT((1+C6/Parameters!$D$23)*4)+1))</f>
        <v>2</v>
      </c>
      <c r="R6" s="45">
        <f>MIN(4,MAX(1,INT((1+D6/Parameters!$D$24)*4)+1))</f>
        <v>3</v>
      </c>
      <c r="S6" s="45">
        <f>MIN(4,MAX(1,INT((1+E6/Parameters!$D$26)*4)+1))</f>
        <v>2</v>
      </c>
      <c r="T6" s="45">
        <f>MAX(0,MIN(1,(1+C6/Parameters!$D$23)*4-(Q6-1)))</f>
        <v>0</v>
      </c>
      <c r="U6" s="45">
        <f>MAX(0,MIN(1,(1+D6/Parameters!$D$24)*4-(R6-1)))</f>
        <v>0</v>
      </c>
      <c r="V6" s="45">
        <f>MAX(0,MIN(1,(1+E6/Parameters!$D$26)*4-(S6-1)))</f>
        <v>0</v>
      </c>
    </row>
    <row r="7" spans="1:22" ht="25" customHeight="1">
      <c r="A7" s="2"/>
      <c r="B7" s="42" t="str">
        <f>"c "&amp;C7</f>
        <v>c -12</v>
      </c>
      <c r="C7" s="42">
        <f>Parameters!F7</f>
        <v>-12</v>
      </c>
      <c r="D7" s="42">
        <f>'LSC Sweep'!$C$6</f>
        <v>-10</v>
      </c>
      <c r="E7" s="42">
        <f>Parameters!F16</f>
        <v>-20</v>
      </c>
      <c r="F7" s="42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3000</v>
      </c>
      <c r="G7" s="42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0.1</v>
      </c>
      <c r="H7" s="42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0.95</v>
      </c>
      <c r="I7" s="42">
        <f>F7*H7</f>
        <v>2850</v>
      </c>
      <c r="J7" s="42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1500</v>
      </c>
      <c r="K7" s="42">
        <f>IF('LSC Sweep'!$C$4="Type-B",Parameters!$L$14,INDEX(Parameters!$D$14:$H$14,1,R7)+(INDEX(Parameters!$D$14:$H$14,1,R7+1)-INDEX(Parameters!$D$14:$H$14,1,R7))*U7)</f>
        <v>0.45</v>
      </c>
      <c r="L7" s="42">
        <f>I7+J7</f>
        <v>4350</v>
      </c>
      <c r="M7" s="42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2800</v>
      </c>
      <c r="N7" s="42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0.28000000000000003</v>
      </c>
      <c r="O7" s="42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0.88</v>
      </c>
      <c r="P7" s="43">
        <f>M7*O7</f>
        <v>2464</v>
      </c>
      <c r="Q7" s="43">
        <f>MIN(4,MAX(1,INT((1+C7/Parameters!$D$23)*4)+1))</f>
        <v>3</v>
      </c>
      <c r="R7" s="43">
        <f>MIN(4,MAX(1,INT((1+D7/Parameters!$D$24)*4)+1))</f>
        <v>3</v>
      </c>
      <c r="S7" s="43">
        <f>MIN(4,MAX(1,INT((1+E7/Parameters!$D$26)*4)+1))</f>
        <v>3</v>
      </c>
      <c r="T7" s="43">
        <f>MAX(0,MIN(1,(1+C7/Parameters!$D$23)*4-(Q7-1)))</f>
        <v>0</v>
      </c>
      <c r="U7" s="43">
        <f>MAX(0,MIN(1,(1+D7/Parameters!$D$24)*4-(R7-1)))</f>
        <v>0</v>
      </c>
      <c r="V7" s="43">
        <f>MAX(0,MIN(1,(1+E7/Parameters!$D$26)*4-(S7-1)))</f>
        <v>0</v>
      </c>
    </row>
    <row r="8" spans="1:22" ht="25" customHeight="1">
      <c r="A8" s="2"/>
      <c r="B8" s="44" t="str">
        <f>"c "&amp;C8</f>
        <v>c -6</v>
      </c>
      <c r="C8" s="44">
        <f>Parameters!G7</f>
        <v>-6</v>
      </c>
      <c r="D8" s="44">
        <f>'LSC Sweep'!$C$6</f>
        <v>-10</v>
      </c>
      <c r="E8" s="44">
        <f>Parameters!G16</f>
        <v>-10</v>
      </c>
      <c r="F8" s="44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3600</v>
      </c>
      <c r="G8" s="44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0.1</v>
      </c>
      <c r="H8" s="44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0.92500000000000004</v>
      </c>
      <c r="I8" s="44">
        <f>F8*H8</f>
        <v>3330</v>
      </c>
      <c r="J8" s="44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1500</v>
      </c>
      <c r="K8" s="44">
        <f>IF('LSC Sweep'!$C$4="Type-B",Parameters!$L$14,INDEX(Parameters!$D$14:$H$14,1,R8)+(INDEX(Parameters!$D$14:$H$14,1,R8+1)-INDEX(Parameters!$D$14:$H$14,1,R8))*U8)</f>
        <v>0.45</v>
      </c>
      <c r="L8" s="44">
        <f>I8+J8</f>
        <v>4830</v>
      </c>
      <c r="M8" s="44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3300</v>
      </c>
      <c r="N8" s="44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0.30500000000000005</v>
      </c>
      <c r="O8" s="44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0.85</v>
      </c>
      <c r="P8" s="45">
        <f>M8*O8</f>
        <v>2805</v>
      </c>
      <c r="Q8" s="45">
        <f>MIN(4,MAX(1,INT((1+C8/Parameters!$D$23)*4)+1))</f>
        <v>4</v>
      </c>
      <c r="R8" s="45">
        <f>MIN(4,MAX(1,INT((1+D8/Parameters!$D$24)*4)+1))</f>
        <v>3</v>
      </c>
      <c r="S8" s="45">
        <f>MIN(4,MAX(1,INT((1+E8/Parameters!$D$26)*4)+1))</f>
        <v>4</v>
      </c>
      <c r="T8" s="45">
        <f>MAX(0,MIN(1,(1+C8/Parameters!$D$23)*4-(Q8-1)))</f>
        <v>0</v>
      </c>
      <c r="U8" s="45">
        <f>MAX(0,MIN(1,(1+D8/Parameters!$D$24)*4-(R8-1)))</f>
        <v>0</v>
      </c>
      <c r="V8" s="45">
        <f>MAX(0,MIN(1,(1+E8/Parameters!$D$26)*4-(S8-1)))</f>
        <v>0</v>
      </c>
    </row>
    <row r="9" spans="1:22" ht="25" customHeight="1">
      <c r="A9" s="2"/>
      <c r="B9" s="42" t="str">
        <f>"c "&amp;C9</f>
        <v>c 0</v>
      </c>
      <c r="C9" s="42">
        <f>Parameters!H7</f>
        <v>0</v>
      </c>
      <c r="D9" s="42">
        <f>'LSC Sweep'!$C$6</f>
        <v>-10</v>
      </c>
      <c r="E9" s="42">
        <f>Parameters!H16</f>
        <v>0</v>
      </c>
      <c r="F9" s="42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4200</v>
      </c>
      <c r="G9" s="42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0.1</v>
      </c>
      <c r="H9" s="42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0.9</v>
      </c>
      <c r="I9" s="42">
        <f>F9*H9</f>
        <v>3780</v>
      </c>
      <c r="J9" s="42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1500</v>
      </c>
      <c r="K9" s="42">
        <f>IF('LSC Sweep'!$C$4="Type-B",Parameters!$L$14,INDEX(Parameters!$D$14:$H$14,1,R9)+(INDEX(Parameters!$D$14:$H$14,1,R9+1)-INDEX(Parameters!$D$14:$H$14,1,R9))*U9)</f>
        <v>0.45</v>
      </c>
      <c r="L9" s="42">
        <f>I9+J9</f>
        <v>5280</v>
      </c>
      <c r="M9" s="42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3800</v>
      </c>
      <c r="N9" s="42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0.33</v>
      </c>
      <c r="O9" s="42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0.82</v>
      </c>
      <c r="P9" s="43">
        <f>M9*O9</f>
        <v>3116</v>
      </c>
      <c r="Q9" s="43">
        <f>MIN(4,MAX(1,INT((1+C9/Parameters!$D$23)*4)+1))</f>
        <v>4</v>
      </c>
      <c r="R9" s="43">
        <f>MIN(4,MAX(1,INT((1+D9/Parameters!$D$24)*4)+1))</f>
        <v>3</v>
      </c>
      <c r="S9" s="43">
        <f>MIN(4,MAX(1,INT((1+E9/Parameters!$D$26)*4)+1))</f>
        <v>4</v>
      </c>
      <c r="T9" s="43">
        <f>MAX(0,MIN(1,(1+C9/Parameters!$D$23)*4-(Q9-1)))</f>
        <v>1</v>
      </c>
      <c r="U9" s="43">
        <f>MAX(0,MIN(1,(1+D9/Parameters!$D$24)*4-(R9-1)))</f>
        <v>0</v>
      </c>
      <c r="V9" s="43">
        <f>MAX(0,MIN(1,(1+E9/Parameters!$D$26)*4-(S9-1)))</f>
        <v>1</v>
      </c>
    </row>
    <row r="10" spans="1:22" ht="22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</row>
    <row r="11" spans="1:22" ht="22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4"/>
      <c r="R11" s="4"/>
      <c r="S11" s="4"/>
      <c r="T11" s="4"/>
      <c r="U11" s="4"/>
      <c r="V11" s="4"/>
    </row>
    <row r="12" spans="1:22" ht="22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4"/>
      <c r="S12" s="4"/>
      <c r="T12" s="4"/>
      <c r="U12" s="4"/>
      <c r="V12" s="4"/>
    </row>
    <row r="13" spans="1:22" ht="30" customHeight="1">
      <c r="A13" s="2"/>
      <c r="B13" s="46" t="str">
        <f>VLOOKUP("label.shaftVelocityMps",Locale!$A$2:$D$78,4,FALSE)</f>
        <v>轴速 (m/s)</v>
      </c>
      <c r="C13" s="47" t="str">
        <f>B5</f>
        <v>c -24</v>
      </c>
      <c r="D13" s="47" t="str">
        <f>B6</f>
        <v>c -18</v>
      </c>
      <c r="E13" s="47" t="str">
        <f>B7</f>
        <v>c -12</v>
      </c>
      <c r="F13" s="47" t="str">
        <f>B8</f>
        <v>c -6</v>
      </c>
      <c r="G13" s="47" t="str">
        <f>B9</f>
        <v>c 0</v>
      </c>
      <c r="H13" s="3"/>
      <c r="I13" s="3"/>
      <c r="J13" s="3"/>
      <c r="K13" s="3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</row>
    <row r="14" spans="1:22" ht="25" customHeight="1">
      <c r="A14" s="2"/>
      <c r="B14" s="48">
        <v>0</v>
      </c>
      <c r="C14" s="48">
        <f t="shared" ref="C14:C34" si="0">$F$5*MIN($B14,$G$5)+$I$5*MAX(0,$B14-$G$5)+$J$5*MAX(0,$B14-$K$5)</f>
        <v>0</v>
      </c>
      <c r="D14" s="48">
        <f t="shared" ref="D14:D34" si="1">$F$6*MIN($B14,$G$6)+$I$6*MAX(0,$B14-$G$6)+$J$6*MAX(0,$B14-$K$6)</f>
        <v>0</v>
      </c>
      <c r="E14" s="48">
        <f t="shared" ref="E14:E34" si="2">$F$7*MIN($B14,$G$7)+$I$7*MAX(0,$B14-$G$7)+$J$7*MAX(0,$B14-$K$7)</f>
        <v>0</v>
      </c>
      <c r="F14" s="48">
        <f t="shared" ref="F14:F34" si="3">$F$8*MIN($B14,$G$8)+$I$8*MAX(0,$B14-$G$8)+$J$8*MAX(0,$B14-$K$8)</f>
        <v>0</v>
      </c>
      <c r="G14" s="48">
        <f t="shared" ref="G14:G34" si="4">$F$9*MIN($B14,$G$9)+$I$9*MAX(0,$B14-$G$9)+$J$9*MAX(0,$B14-$K$9)</f>
        <v>0</v>
      </c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4"/>
      <c r="T14" s="4"/>
      <c r="U14" s="4"/>
      <c r="V14" s="4"/>
    </row>
    <row r="15" spans="1:22" ht="25" customHeight="1">
      <c r="A15" s="2"/>
      <c r="B15" s="49">
        <v>0.05</v>
      </c>
      <c r="C15" s="49">
        <f t="shared" si="0"/>
        <v>90</v>
      </c>
      <c r="D15" s="49">
        <f t="shared" si="1"/>
        <v>120</v>
      </c>
      <c r="E15" s="49">
        <f t="shared" si="2"/>
        <v>150</v>
      </c>
      <c r="F15" s="49">
        <f t="shared" si="3"/>
        <v>180</v>
      </c>
      <c r="G15" s="49">
        <f t="shared" si="4"/>
        <v>210</v>
      </c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U15" s="4"/>
      <c r="V15" s="4"/>
    </row>
    <row r="16" spans="1:22" ht="25" customHeight="1">
      <c r="A16" s="2"/>
      <c r="B16" s="48">
        <v>0.1</v>
      </c>
      <c r="C16" s="48">
        <f t="shared" si="0"/>
        <v>180</v>
      </c>
      <c r="D16" s="48">
        <f t="shared" si="1"/>
        <v>240</v>
      </c>
      <c r="E16" s="48">
        <f t="shared" si="2"/>
        <v>300</v>
      </c>
      <c r="F16" s="48">
        <f t="shared" si="3"/>
        <v>360</v>
      </c>
      <c r="G16" s="48">
        <f t="shared" si="4"/>
        <v>420</v>
      </c>
      <c r="H16" s="3"/>
      <c r="I16" s="3"/>
      <c r="J16" s="3"/>
      <c r="K16" s="3"/>
      <c r="L16" s="3"/>
      <c r="M16" s="3"/>
      <c r="N16" s="3"/>
      <c r="O16" s="3"/>
      <c r="P16" s="4"/>
      <c r="Q16" s="4"/>
      <c r="R16" s="4"/>
      <c r="S16" s="4"/>
      <c r="T16" s="4"/>
      <c r="U16" s="4"/>
      <c r="V16" s="4"/>
    </row>
    <row r="17" spans="1:22" ht="25" customHeight="1">
      <c r="A17" s="2"/>
      <c r="B17" s="49">
        <v>0.15</v>
      </c>
      <c r="C17" s="49">
        <f t="shared" si="0"/>
        <v>270</v>
      </c>
      <c r="D17" s="49">
        <f t="shared" si="1"/>
        <v>357</v>
      </c>
      <c r="E17" s="49">
        <f t="shared" si="2"/>
        <v>442.5</v>
      </c>
      <c r="F17" s="49">
        <f t="shared" si="3"/>
        <v>526.5</v>
      </c>
      <c r="G17" s="49">
        <f t="shared" si="4"/>
        <v>609</v>
      </c>
      <c r="H17" s="3"/>
      <c r="I17" s="3"/>
      <c r="J17" s="3"/>
      <c r="K17" s="3"/>
      <c r="L17" s="3"/>
      <c r="M17" s="3"/>
      <c r="N17" s="3"/>
      <c r="O17" s="3"/>
      <c r="P17" s="4"/>
      <c r="Q17" s="4"/>
      <c r="R17" s="4"/>
      <c r="S17" s="4"/>
      <c r="T17" s="4"/>
      <c r="U17" s="4"/>
      <c r="V17" s="4"/>
    </row>
    <row r="18" spans="1:22" ht="25" customHeight="1">
      <c r="A18" s="2"/>
      <c r="B18" s="48">
        <v>0.2</v>
      </c>
      <c r="C18" s="48">
        <f t="shared" si="0"/>
        <v>360</v>
      </c>
      <c r="D18" s="48">
        <f t="shared" si="1"/>
        <v>474</v>
      </c>
      <c r="E18" s="48">
        <f t="shared" si="2"/>
        <v>585</v>
      </c>
      <c r="F18" s="48">
        <f t="shared" si="3"/>
        <v>693</v>
      </c>
      <c r="G18" s="48">
        <f t="shared" si="4"/>
        <v>798</v>
      </c>
      <c r="H18" s="3"/>
      <c r="I18" s="3"/>
      <c r="J18" s="3"/>
      <c r="K18" s="3"/>
      <c r="L18" s="3"/>
      <c r="M18" s="3"/>
      <c r="N18" s="3"/>
      <c r="O18" s="3"/>
      <c r="P18" s="4"/>
      <c r="Q18" s="4"/>
      <c r="R18" s="4"/>
      <c r="S18" s="4"/>
      <c r="T18" s="4"/>
      <c r="U18" s="4"/>
      <c r="V18" s="4"/>
    </row>
    <row r="19" spans="1:22" ht="25" customHeight="1">
      <c r="A19" s="2"/>
      <c r="B19" s="49">
        <v>0.25</v>
      </c>
      <c r="C19" s="49">
        <f t="shared" si="0"/>
        <v>450</v>
      </c>
      <c r="D19" s="49">
        <f t="shared" si="1"/>
        <v>591</v>
      </c>
      <c r="E19" s="49">
        <f t="shared" si="2"/>
        <v>727.5</v>
      </c>
      <c r="F19" s="49">
        <f t="shared" si="3"/>
        <v>859.5</v>
      </c>
      <c r="G19" s="49">
        <f t="shared" si="4"/>
        <v>987</v>
      </c>
      <c r="H19" s="3"/>
      <c r="I19" s="3"/>
      <c r="J19" s="3"/>
      <c r="K19" s="3"/>
      <c r="L19" s="3"/>
      <c r="M19" s="3"/>
      <c r="N19" s="3"/>
      <c r="O19" s="3"/>
      <c r="P19" s="4"/>
      <c r="Q19" s="4"/>
      <c r="R19" s="4"/>
      <c r="S19" s="4"/>
      <c r="T19" s="4"/>
      <c r="U19" s="4"/>
      <c r="V19" s="4"/>
    </row>
    <row r="20" spans="1:22" ht="25" customHeight="1">
      <c r="A20" s="2"/>
      <c r="B20" s="48">
        <v>0.3</v>
      </c>
      <c r="C20" s="48">
        <f t="shared" si="0"/>
        <v>540</v>
      </c>
      <c r="D20" s="48">
        <f t="shared" si="1"/>
        <v>708</v>
      </c>
      <c r="E20" s="48">
        <f t="shared" si="2"/>
        <v>870</v>
      </c>
      <c r="F20" s="48">
        <f t="shared" si="3"/>
        <v>1026</v>
      </c>
      <c r="G20" s="48">
        <f t="shared" si="4"/>
        <v>1176</v>
      </c>
      <c r="H20" s="3"/>
      <c r="I20" s="3"/>
      <c r="J20" s="3"/>
      <c r="K20" s="3"/>
      <c r="L20" s="3"/>
      <c r="M20" s="3"/>
      <c r="N20" s="3"/>
      <c r="O20" s="3"/>
      <c r="P20" s="4"/>
      <c r="Q20" s="4"/>
      <c r="R20" s="4"/>
      <c r="S20" s="4"/>
      <c r="T20" s="4"/>
      <c r="U20" s="4"/>
      <c r="V20" s="4"/>
    </row>
    <row r="21" spans="1:22" ht="25" customHeight="1">
      <c r="A21" s="2"/>
      <c r="B21" s="49">
        <v>0.35</v>
      </c>
      <c r="C21" s="49">
        <f t="shared" si="0"/>
        <v>630</v>
      </c>
      <c r="D21" s="49">
        <f t="shared" si="1"/>
        <v>824.99999999999989</v>
      </c>
      <c r="E21" s="49">
        <f t="shared" si="2"/>
        <v>1012.4999999999999</v>
      </c>
      <c r="F21" s="49">
        <f t="shared" si="3"/>
        <v>1192.5</v>
      </c>
      <c r="G21" s="49">
        <f t="shared" si="4"/>
        <v>1365</v>
      </c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</row>
    <row r="22" spans="1:22" ht="25" customHeight="1">
      <c r="A22" s="2"/>
      <c r="B22" s="48">
        <v>0.4</v>
      </c>
      <c r="C22" s="48">
        <f t="shared" si="0"/>
        <v>720.00000000000011</v>
      </c>
      <c r="D22" s="48">
        <f t="shared" si="1"/>
        <v>942.00000000000011</v>
      </c>
      <c r="E22" s="48">
        <f t="shared" si="2"/>
        <v>1155</v>
      </c>
      <c r="F22" s="48">
        <f t="shared" si="3"/>
        <v>1359</v>
      </c>
      <c r="G22" s="48">
        <f t="shared" si="4"/>
        <v>1554.0000000000002</v>
      </c>
      <c r="H22" s="3"/>
      <c r="I22" s="3"/>
      <c r="J22" s="3"/>
      <c r="K22" s="3"/>
      <c r="L22" s="3"/>
      <c r="M22" s="3"/>
      <c r="N22" s="3"/>
      <c r="O22" s="3"/>
      <c r="P22" s="4"/>
      <c r="Q22" s="4"/>
      <c r="R22" s="4"/>
      <c r="S22" s="4"/>
      <c r="T22" s="4"/>
      <c r="U22" s="4"/>
      <c r="V22" s="4"/>
    </row>
    <row r="23" spans="1:22" ht="25" customHeight="1">
      <c r="A23" s="2"/>
      <c r="B23" s="49">
        <v>0.45</v>
      </c>
      <c r="C23" s="49">
        <f t="shared" si="0"/>
        <v>810</v>
      </c>
      <c r="D23" s="49">
        <f t="shared" si="1"/>
        <v>1059</v>
      </c>
      <c r="E23" s="49">
        <f t="shared" si="2"/>
        <v>1297.5</v>
      </c>
      <c r="F23" s="49">
        <f t="shared" si="3"/>
        <v>1525.5</v>
      </c>
      <c r="G23" s="49">
        <f t="shared" si="4"/>
        <v>1743</v>
      </c>
      <c r="H23" s="3"/>
      <c r="I23" s="3"/>
      <c r="J23" s="3"/>
      <c r="K23" s="3"/>
      <c r="L23" s="3"/>
      <c r="M23" s="3"/>
      <c r="N23" s="3"/>
      <c r="O23" s="3"/>
      <c r="P23" s="4"/>
      <c r="Q23" s="4"/>
      <c r="R23" s="4"/>
      <c r="S23" s="4"/>
      <c r="T23" s="4"/>
      <c r="U23" s="4"/>
      <c r="V23" s="4"/>
    </row>
    <row r="24" spans="1:22" ht="25" customHeight="1">
      <c r="A24" s="2"/>
      <c r="B24" s="48">
        <v>0.5</v>
      </c>
      <c r="C24" s="48">
        <f t="shared" si="0"/>
        <v>975</v>
      </c>
      <c r="D24" s="48">
        <f t="shared" si="1"/>
        <v>1251</v>
      </c>
      <c r="E24" s="48">
        <f t="shared" si="2"/>
        <v>1515</v>
      </c>
      <c r="F24" s="48">
        <f t="shared" si="3"/>
        <v>1767</v>
      </c>
      <c r="G24" s="48">
        <f t="shared" si="4"/>
        <v>2007</v>
      </c>
      <c r="H24" s="3"/>
      <c r="I24" s="3"/>
      <c r="J24" s="3"/>
      <c r="K24" s="3"/>
      <c r="L24" s="3"/>
      <c r="M24" s="3"/>
      <c r="N24" s="3"/>
      <c r="O24" s="3"/>
      <c r="P24" s="4"/>
      <c r="Q24" s="4"/>
      <c r="R24" s="4"/>
      <c r="S24" s="4"/>
      <c r="T24" s="4"/>
      <c r="U24" s="4"/>
      <c r="V24" s="4"/>
    </row>
    <row r="25" spans="1:22" ht="25" customHeight="1">
      <c r="A25" s="2"/>
      <c r="B25" s="49">
        <v>0.55000000000000004</v>
      </c>
      <c r="C25" s="49">
        <f t="shared" si="0"/>
        <v>1140.0000000000002</v>
      </c>
      <c r="D25" s="49">
        <f t="shared" si="1"/>
        <v>1443.0000000000002</v>
      </c>
      <c r="E25" s="49">
        <f t="shared" si="2"/>
        <v>1732.5000000000002</v>
      </c>
      <c r="F25" s="49">
        <f t="shared" si="3"/>
        <v>2008.5000000000002</v>
      </c>
      <c r="G25" s="49">
        <f t="shared" si="4"/>
        <v>2271</v>
      </c>
      <c r="H25" s="3"/>
      <c r="I25" s="3"/>
      <c r="J25" s="3"/>
      <c r="K25" s="3"/>
      <c r="L25" s="3"/>
      <c r="M25" s="3"/>
      <c r="N25" s="3"/>
      <c r="O25" s="3"/>
      <c r="P25" s="4"/>
      <c r="Q25" s="4"/>
      <c r="R25" s="4"/>
      <c r="S25" s="4"/>
      <c r="T25" s="4"/>
      <c r="U25" s="4"/>
      <c r="V25" s="4"/>
    </row>
    <row r="26" spans="1:22" ht="25" customHeight="1">
      <c r="A26" s="2"/>
      <c r="B26" s="48">
        <v>0.6</v>
      </c>
      <c r="C26" s="48">
        <f t="shared" si="0"/>
        <v>1305</v>
      </c>
      <c r="D26" s="48">
        <f t="shared" si="1"/>
        <v>1635</v>
      </c>
      <c r="E26" s="48">
        <f t="shared" si="2"/>
        <v>1950</v>
      </c>
      <c r="F26" s="48">
        <f t="shared" si="3"/>
        <v>2250</v>
      </c>
      <c r="G26" s="48">
        <f t="shared" si="4"/>
        <v>2535</v>
      </c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  <c r="S26" s="4"/>
      <c r="T26" s="4"/>
      <c r="U26" s="4"/>
      <c r="V26" s="4"/>
    </row>
    <row r="27" spans="1:22" ht="25" customHeight="1">
      <c r="A27" s="2"/>
      <c r="B27" s="49">
        <v>0.65</v>
      </c>
      <c r="C27" s="49">
        <f t="shared" si="0"/>
        <v>1470</v>
      </c>
      <c r="D27" s="49">
        <f t="shared" si="1"/>
        <v>1827</v>
      </c>
      <c r="E27" s="49">
        <f t="shared" si="2"/>
        <v>2167.5</v>
      </c>
      <c r="F27" s="49">
        <f t="shared" si="3"/>
        <v>2491.5</v>
      </c>
      <c r="G27" s="49">
        <f t="shared" si="4"/>
        <v>2799</v>
      </c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  <c r="S27" s="4"/>
      <c r="T27" s="4"/>
      <c r="U27" s="4"/>
      <c r="V27" s="4"/>
    </row>
    <row r="28" spans="1:22" ht="25" customHeight="1">
      <c r="A28" s="2"/>
      <c r="B28" s="48">
        <v>0.7</v>
      </c>
      <c r="C28" s="48">
        <f t="shared" si="0"/>
        <v>1635</v>
      </c>
      <c r="D28" s="48">
        <f t="shared" si="1"/>
        <v>2019</v>
      </c>
      <c r="E28" s="48">
        <f t="shared" si="2"/>
        <v>2385</v>
      </c>
      <c r="F28" s="48">
        <f t="shared" si="3"/>
        <v>2733</v>
      </c>
      <c r="G28" s="48">
        <f t="shared" si="4"/>
        <v>3063</v>
      </c>
      <c r="H28" s="3"/>
      <c r="I28" s="3"/>
      <c r="J28" s="3"/>
      <c r="K28" s="3"/>
      <c r="L28" s="3"/>
      <c r="M28" s="3"/>
      <c r="N28" s="3"/>
      <c r="O28" s="3"/>
      <c r="P28" s="4"/>
      <c r="Q28" s="4"/>
      <c r="R28" s="4"/>
      <c r="S28" s="4"/>
      <c r="T28" s="4"/>
      <c r="U28" s="4"/>
      <c r="V28" s="4"/>
    </row>
    <row r="29" spans="1:22" ht="25" customHeight="1">
      <c r="A29" s="2"/>
      <c r="B29" s="49">
        <v>0.75</v>
      </c>
      <c r="C29" s="49">
        <f t="shared" si="0"/>
        <v>1800</v>
      </c>
      <c r="D29" s="49">
        <f t="shared" si="1"/>
        <v>2211</v>
      </c>
      <c r="E29" s="49">
        <f t="shared" si="2"/>
        <v>2602.5</v>
      </c>
      <c r="F29" s="49">
        <f t="shared" si="3"/>
        <v>2974.5</v>
      </c>
      <c r="G29" s="49">
        <f t="shared" si="4"/>
        <v>3327</v>
      </c>
      <c r="H29" s="3"/>
      <c r="I29" s="3"/>
      <c r="J29" s="3"/>
      <c r="K29" s="3"/>
      <c r="L29" s="3"/>
      <c r="M29" s="3"/>
      <c r="N29" s="3"/>
      <c r="O29" s="3"/>
      <c r="P29" s="4"/>
      <c r="Q29" s="4"/>
      <c r="R29" s="4"/>
      <c r="S29" s="4"/>
      <c r="T29" s="4"/>
      <c r="U29" s="4"/>
      <c r="V29" s="4"/>
    </row>
    <row r="30" spans="1:22" ht="25" customHeight="1">
      <c r="A30" s="2"/>
      <c r="B30" s="48">
        <v>0.8</v>
      </c>
      <c r="C30" s="48">
        <f t="shared" si="0"/>
        <v>1965.0000000000002</v>
      </c>
      <c r="D30" s="48">
        <f t="shared" si="1"/>
        <v>2403</v>
      </c>
      <c r="E30" s="48">
        <f t="shared" si="2"/>
        <v>2820</v>
      </c>
      <c r="F30" s="48">
        <f t="shared" si="3"/>
        <v>3216</v>
      </c>
      <c r="G30" s="48">
        <f t="shared" si="4"/>
        <v>3591.0000000000005</v>
      </c>
      <c r="H30" s="3"/>
      <c r="I30" s="3"/>
      <c r="J30" s="3"/>
      <c r="K30" s="3"/>
      <c r="L30" s="3"/>
      <c r="M30" s="3"/>
      <c r="N30" s="3"/>
      <c r="O30" s="3"/>
      <c r="P30" s="4"/>
      <c r="Q30" s="4"/>
      <c r="R30" s="4"/>
      <c r="S30" s="4"/>
      <c r="T30" s="4"/>
      <c r="U30" s="4"/>
      <c r="V30" s="4"/>
    </row>
    <row r="31" spans="1:22" ht="25" customHeight="1">
      <c r="A31" s="2"/>
      <c r="B31" s="49">
        <v>0.85</v>
      </c>
      <c r="C31" s="49">
        <f t="shared" si="0"/>
        <v>2130</v>
      </c>
      <c r="D31" s="49">
        <f t="shared" si="1"/>
        <v>2595</v>
      </c>
      <c r="E31" s="49">
        <f t="shared" si="2"/>
        <v>3037.5</v>
      </c>
      <c r="F31" s="49">
        <f t="shared" si="3"/>
        <v>3457.5</v>
      </c>
      <c r="G31" s="49">
        <f t="shared" si="4"/>
        <v>3855</v>
      </c>
      <c r="H31" s="3"/>
      <c r="I31" s="3"/>
      <c r="J31" s="3"/>
      <c r="K31" s="3"/>
      <c r="L31" s="3"/>
      <c r="M31" s="3"/>
      <c r="N31" s="3"/>
      <c r="O31" s="3"/>
      <c r="P31" s="4"/>
      <c r="Q31" s="4"/>
      <c r="R31" s="4"/>
      <c r="S31" s="4"/>
      <c r="T31" s="4"/>
      <c r="U31" s="4"/>
      <c r="V31" s="4"/>
    </row>
    <row r="32" spans="1:22" ht="25" customHeight="1">
      <c r="A32" s="2"/>
      <c r="B32" s="48">
        <v>0.9</v>
      </c>
      <c r="C32" s="48">
        <f t="shared" si="0"/>
        <v>2295</v>
      </c>
      <c r="D32" s="48">
        <f t="shared" si="1"/>
        <v>2787</v>
      </c>
      <c r="E32" s="48">
        <f t="shared" si="2"/>
        <v>3255</v>
      </c>
      <c r="F32" s="48">
        <f t="shared" si="3"/>
        <v>3699</v>
      </c>
      <c r="G32" s="48">
        <f t="shared" si="4"/>
        <v>4119</v>
      </c>
      <c r="H32" s="3"/>
      <c r="I32" s="3"/>
      <c r="J32" s="3"/>
      <c r="K32" s="3"/>
      <c r="L32" s="3"/>
      <c r="M32" s="3"/>
      <c r="N32" s="3"/>
      <c r="O32" s="3"/>
      <c r="P32" s="4"/>
      <c r="Q32" s="4"/>
      <c r="R32" s="4"/>
      <c r="S32" s="4"/>
      <c r="T32" s="4"/>
      <c r="U32" s="4"/>
      <c r="V32" s="4"/>
    </row>
    <row r="33" spans="1:22" ht="25" customHeight="1">
      <c r="A33" s="2"/>
      <c r="B33" s="49">
        <v>0.95</v>
      </c>
      <c r="C33" s="49">
        <f t="shared" si="0"/>
        <v>2460</v>
      </c>
      <c r="D33" s="49">
        <f t="shared" si="1"/>
        <v>2979</v>
      </c>
      <c r="E33" s="49">
        <f t="shared" si="2"/>
        <v>3472.5</v>
      </c>
      <c r="F33" s="49">
        <f t="shared" si="3"/>
        <v>3940.5</v>
      </c>
      <c r="G33" s="49">
        <f t="shared" si="4"/>
        <v>4383</v>
      </c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</row>
    <row r="34" spans="1:22" ht="25" customHeight="1">
      <c r="A34" s="2"/>
      <c r="B34" s="48">
        <v>1</v>
      </c>
      <c r="C34" s="48">
        <f t="shared" si="0"/>
        <v>2625</v>
      </c>
      <c r="D34" s="48">
        <f t="shared" si="1"/>
        <v>3171</v>
      </c>
      <c r="E34" s="48">
        <f t="shared" si="2"/>
        <v>3690</v>
      </c>
      <c r="F34" s="48">
        <f t="shared" si="3"/>
        <v>4182</v>
      </c>
      <c r="G34" s="48">
        <f t="shared" si="4"/>
        <v>4647</v>
      </c>
      <c r="H34" s="3"/>
      <c r="I34" s="3"/>
      <c r="J34" s="3"/>
      <c r="K34" s="3"/>
      <c r="L34" s="3"/>
      <c r="M34" s="3"/>
      <c r="N34" s="3"/>
      <c r="O34" s="3"/>
      <c r="P34" s="4"/>
      <c r="Q34" s="4"/>
      <c r="R34" s="4"/>
      <c r="S34" s="4"/>
      <c r="T34" s="4"/>
      <c r="U34" s="4"/>
      <c r="V34" s="4"/>
    </row>
    <row r="35" spans="1:22" ht="22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4"/>
      <c r="R35" s="4"/>
      <c r="S35" s="4"/>
      <c r="T35" s="4"/>
      <c r="U35" s="4"/>
      <c r="V35" s="4"/>
    </row>
    <row r="36" spans="1:22" ht="22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4"/>
      <c r="R36" s="4"/>
      <c r="S36" s="4"/>
      <c r="T36" s="4"/>
      <c r="U36" s="4"/>
      <c r="V36" s="4"/>
    </row>
    <row r="37" spans="1:22" ht="22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4"/>
      <c r="S37" s="4"/>
      <c r="T37" s="4"/>
      <c r="U37" s="4"/>
      <c r="V37" s="4"/>
    </row>
    <row r="38" spans="1:22" ht="22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4"/>
      <c r="S38" s="4"/>
      <c r="T38" s="4"/>
      <c r="U38" s="4"/>
      <c r="V38" s="4"/>
    </row>
    <row r="39" spans="1:22" ht="22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4"/>
      <c r="R39" s="4"/>
      <c r="S39" s="4"/>
      <c r="T39" s="4"/>
      <c r="U39" s="4"/>
      <c r="V39" s="4"/>
    </row>
    <row r="40" spans="1:22" ht="22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4"/>
      <c r="S40" s="4"/>
      <c r="T40" s="4"/>
      <c r="U40" s="4"/>
      <c r="V40" s="4"/>
    </row>
    <row r="41" spans="1:22" ht="32.15" customHeight="1">
      <c r="A41" s="2"/>
      <c r="B41" s="1" t="str">
        <f>VLOOKUP("label.hscSweep",Locale!$A$2:$D$78,4,FALSE)</f>
        <v>HSC 扫描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69"/>
      <c r="Q41" s="69"/>
      <c r="R41" s="69"/>
      <c r="S41" s="69"/>
      <c r="T41" s="69"/>
      <c r="U41" s="69"/>
      <c r="V41" s="69"/>
    </row>
    <row r="42" spans="1:22" ht="22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</row>
    <row r="43" spans="1:22" ht="22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44.15" customHeight="1">
      <c r="B44" s="41" t="str">
        <f>VLOOKUP("label.curve",Locale!$A$2:$D$78,4,FALSE)</f>
        <v>曲线</v>
      </c>
      <c r="C44" s="40" t="s">
        <v>46</v>
      </c>
      <c r="D44" s="40" t="s">
        <v>47</v>
      </c>
      <c r="E44" s="40" t="s">
        <v>48</v>
      </c>
      <c r="F44" s="40" t="s">
        <v>23</v>
      </c>
      <c r="G44" s="41" t="str">
        <f>VLOOKUP("label.firstKnee",Locale!$A$2:$D$78,4,FALSE)</f>
        <v>第一拐点</v>
      </c>
      <c r="H44" s="41" t="str">
        <f>VLOOKUP("label.bump2Multiplier",Locale!$A$2:$D$78,4,FALSE)</f>
        <v>bump2 倍率</v>
      </c>
      <c r="I44" s="40" t="s">
        <v>26</v>
      </c>
      <c r="J44" s="40" t="s">
        <v>50</v>
      </c>
      <c r="K44" s="41" t="str">
        <f>VLOOKUP("label.secondKnee",Locale!$A$2:$D$78,4,FALSE)</f>
        <v>第二拐点</v>
      </c>
      <c r="L44" s="41" t="str">
        <f>VLOOKUP("label.totalHsCoefficient",Locale!$A$2:$D$78,4,FALSE)</f>
        <v>总 HS 系数</v>
      </c>
      <c r="M44" s="40" t="str">
        <f>VLOOKUP("label.rebound",Locale!$A$2:$D$78,4,FALSE)</f>
        <v>回弹</v>
      </c>
      <c r="N44" s="40" t="str">
        <f>VLOOKUP("label.reboundKnee",Locale!$A$2:$D$78,4,FALSE)</f>
        <v>回弹拐点</v>
      </c>
      <c r="O44" s="41" t="str">
        <f>VLOOKUP("label.hsrMultiplier",Locale!$A$2:$D$78,4,FALSE)</f>
        <v>HSR 倍率</v>
      </c>
      <c r="P44" s="40" t="s">
        <v>30</v>
      </c>
      <c r="Q44" s="41" t="str">
        <f>VLOOKUP("label.lscRange",Locale!$A$2:$D$78,4,FALSE)</f>
        <v>LSC 区间</v>
      </c>
      <c r="R44" s="41" t="str">
        <f>VLOOKUP("label.hscRange",Locale!$A$2:$D$78,4,FALSE)</f>
        <v>HSC 区间</v>
      </c>
      <c r="S44" s="41" t="str">
        <f>VLOOKUP("label.lsrRange",Locale!$A$2:$D$78,4,FALSE)</f>
        <v>LSR 区间</v>
      </c>
      <c r="T44" s="41" t="str">
        <f>VLOOKUP("label.lscRangePosition",Locale!$A$2:$D$78,4,FALSE)</f>
        <v>LSC 区间位置</v>
      </c>
      <c r="U44" s="41" t="str">
        <f>VLOOKUP("label.hscRangePosition",Locale!$A$2:$D$78,4,FALSE)</f>
        <v>HSC 区间位置</v>
      </c>
      <c r="V44" s="41" t="str">
        <f>VLOOKUP("label.lsrRangePosition",Locale!$A$2:$D$78,4,FALSE)</f>
        <v>LSR 区间位置</v>
      </c>
    </row>
    <row r="45" spans="1:22" ht="25" customHeight="1">
      <c r="B45" s="43" t="str">
        <f>"C "&amp;D45</f>
        <v>C -20</v>
      </c>
      <c r="C45" s="43">
        <f>'HSC Sweep'!$C$6</f>
        <v>-8</v>
      </c>
      <c r="D45" s="43">
        <f>Parameters!D8</f>
        <v>-20</v>
      </c>
      <c r="E45" s="43">
        <f>Parameters!D16</f>
        <v>-40</v>
      </c>
      <c r="F45" s="43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3400</v>
      </c>
      <c r="G45" s="43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0.1</v>
      </c>
      <c r="H45" s="43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0.93333333333333335</v>
      </c>
      <c r="I45" s="43">
        <f>F45*H45</f>
        <v>3173.3333333333335</v>
      </c>
      <c r="J45" s="43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100</v>
      </c>
      <c r="K45" s="43">
        <f>IF('HSC Sweep'!$C$4="Type-B",Parameters!$L$14,INDEX(Parameters!$D$14:$H$14,1,R45)+(INDEX(Parameters!$D$14:$H$14,1,R45+1)-INDEX(Parameters!$D$14:$H$14,1,R45))*U45)</f>
        <v>0.44</v>
      </c>
      <c r="L45" s="43">
        <f>I45+J45</f>
        <v>3273.3333333333335</v>
      </c>
      <c r="M45" s="43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1800</v>
      </c>
      <c r="N45" s="43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0.23</v>
      </c>
      <c r="O45" s="43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0.94</v>
      </c>
      <c r="P45" s="43">
        <f>M45*O45</f>
        <v>1692</v>
      </c>
      <c r="Q45" s="43">
        <f>MIN(4,MAX(1,INT((1+C45/Parameters!$D$23)*4)+1))</f>
        <v>3</v>
      </c>
      <c r="R45" s="43">
        <f>MIN(4,MAX(1,INT((1+D45/Parameters!$D$24)*4)+1))</f>
        <v>1</v>
      </c>
      <c r="S45" s="43">
        <f>MIN(4,MAX(1,INT((1+E45/Parameters!$D$26)*4)+1))</f>
        <v>1</v>
      </c>
      <c r="T45" s="43">
        <f>MAX(0,MIN(1,(1+C45/Parameters!$D$23)*4-(Q45-1)))</f>
        <v>0.66666666666666696</v>
      </c>
      <c r="U45" s="43">
        <f>MAX(0,MIN(1,(1+D45/Parameters!$D$24)*4-(R45-1)))</f>
        <v>0</v>
      </c>
      <c r="V45" s="43">
        <f>MAX(0,MIN(1,(1+E45/Parameters!$D$26)*4-(S45-1)))</f>
        <v>0</v>
      </c>
    </row>
    <row r="46" spans="1:22" ht="25" customHeight="1">
      <c r="B46" s="45" t="str">
        <f>"C "&amp;D46</f>
        <v>C -15</v>
      </c>
      <c r="C46" s="45">
        <f>'HSC Sweep'!$C$6</f>
        <v>-8</v>
      </c>
      <c r="D46" s="45">
        <f>Parameters!E8</f>
        <v>-15</v>
      </c>
      <c r="E46" s="45">
        <f>Parameters!E16</f>
        <v>-30</v>
      </c>
      <c r="F46" s="45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3400</v>
      </c>
      <c r="G46" s="45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0.1</v>
      </c>
      <c r="H46" s="45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0.93333333333333335</v>
      </c>
      <c r="I46" s="45">
        <f>F46*H46</f>
        <v>3173.3333333333335</v>
      </c>
      <c r="J46" s="45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800</v>
      </c>
      <c r="K46" s="45">
        <f>IF('HSC Sweep'!$C$4="Type-B",Parameters!$L$14,INDEX(Parameters!$D$14:$H$14,1,R46)+(INDEX(Parameters!$D$14:$H$14,1,R46+1)-INDEX(Parameters!$D$14:$H$14,1,R46))*U46)</f>
        <v>0.44500000000000001</v>
      </c>
      <c r="L46" s="45">
        <f>I46+J46</f>
        <v>3973.3333333333335</v>
      </c>
      <c r="M46" s="45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2300</v>
      </c>
      <c r="N46" s="45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0.255</v>
      </c>
      <c r="O46" s="45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0.90999999999999992</v>
      </c>
      <c r="P46" s="45">
        <f>M46*O46</f>
        <v>2093</v>
      </c>
      <c r="Q46" s="45">
        <f>MIN(4,MAX(1,INT((1+C46/Parameters!$D$23)*4)+1))</f>
        <v>3</v>
      </c>
      <c r="R46" s="45">
        <f>MIN(4,MAX(1,INT((1+D46/Parameters!$D$24)*4)+1))</f>
        <v>2</v>
      </c>
      <c r="S46" s="45">
        <f>MIN(4,MAX(1,INT((1+E46/Parameters!$D$26)*4)+1))</f>
        <v>2</v>
      </c>
      <c r="T46" s="45">
        <f>MAX(0,MIN(1,(1+C46/Parameters!$D$23)*4-(Q46-1)))</f>
        <v>0.66666666666666696</v>
      </c>
      <c r="U46" s="45">
        <f>MAX(0,MIN(1,(1+D46/Parameters!$D$24)*4-(R46-1)))</f>
        <v>0</v>
      </c>
      <c r="V46" s="45">
        <f>MAX(0,MIN(1,(1+E46/Parameters!$D$26)*4-(S46-1)))</f>
        <v>0</v>
      </c>
    </row>
    <row r="47" spans="1:22" ht="25" customHeight="1">
      <c r="B47" s="43" t="str">
        <f>"C "&amp;D47</f>
        <v>C -10</v>
      </c>
      <c r="C47" s="43">
        <f>'HSC Sweep'!$C$6</f>
        <v>-8</v>
      </c>
      <c r="D47" s="43">
        <f>Parameters!F8</f>
        <v>-10</v>
      </c>
      <c r="E47" s="43">
        <f>Parameters!F16</f>
        <v>-20</v>
      </c>
      <c r="F47" s="43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3400</v>
      </c>
      <c r="G47" s="43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0.1</v>
      </c>
      <c r="H47" s="43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0.93333333333333335</v>
      </c>
      <c r="I47" s="43">
        <f>F47*H47</f>
        <v>3173.3333333333335</v>
      </c>
      <c r="J47" s="43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1500</v>
      </c>
      <c r="K47" s="43">
        <f>IF('HSC Sweep'!$C$4="Type-B",Parameters!$L$14,INDEX(Parameters!$D$14:$H$14,1,R47)+(INDEX(Parameters!$D$14:$H$14,1,R47+1)-INDEX(Parameters!$D$14:$H$14,1,R47))*U47)</f>
        <v>0.45</v>
      </c>
      <c r="L47" s="43">
        <f>I47+J47</f>
        <v>4673.3333333333339</v>
      </c>
      <c r="M47" s="43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2800</v>
      </c>
      <c r="N47" s="43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0.28000000000000003</v>
      </c>
      <c r="O47" s="43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0.88</v>
      </c>
      <c r="P47" s="43">
        <f>M47*O47</f>
        <v>2464</v>
      </c>
      <c r="Q47" s="43">
        <f>MIN(4,MAX(1,INT((1+C47/Parameters!$D$23)*4)+1))</f>
        <v>3</v>
      </c>
      <c r="R47" s="43">
        <f>MIN(4,MAX(1,INT((1+D47/Parameters!$D$24)*4)+1))</f>
        <v>3</v>
      </c>
      <c r="S47" s="43">
        <f>MIN(4,MAX(1,INT((1+E47/Parameters!$D$26)*4)+1))</f>
        <v>3</v>
      </c>
      <c r="T47" s="43">
        <f>MAX(0,MIN(1,(1+C47/Parameters!$D$23)*4-(Q47-1)))</f>
        <v>0.66666666666666696</v>
      </c>
      <c r="U47" s="43">
        <f>MAX(0,MIN(1,(1+D47/Parameters!$D$24)*4-(R47-1)))</f>
        <v>0</v>
      </c>
      <c r="V47" s="43">
        <f>MAX(0,MIN(1,(1+E47/Parameters!$D$26)*4-(S47-1)))</f>
        <v>0</v>
      </c>
    </row>
    <row r="48" spans="1:22" ht="25" customHeight="1">
      <c r="B48" s="45" t="str">
        <f>"C "&amp;D48</f>
        <v>C -5</v>
      </c>
      <c r="C48" s="45">
        <f>'HSC Sweep'!$C$6</f>
        <v>-8</v>
      </c>
      <c r="D48" s="45">
        <f>Parameters!G8</f>
        <v>-5</v>
      </c>
      <c r="E48" s="45">
        <f>Parameters!G16</f>
        <v>-10</v>
      </c>
      <c r="F48" s="45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3400</v>
      </c>
      <c r="G48" s="45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0.1</v>
      </c>
      <c r="H48" s="45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0.93333333333333335</v>
      </c>
      <c r="I48" s="45">
        <f>F48*H48</f>
        <v>3173.3333333333335</v>
      </c>
      <c r="J48" s="45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2200</v>
      </c>
      <c r="K48" s="45">
        <f>IF('HSC Sweep'!$C$4="Type-B",Parameters!$L$14,INDEX(Parameters!$D$14:$H$14,1,R48)+(INDEX(Parameters!$D$14:$H$14,1,R48+1)-INDEX(Parameters!$D$14:$H$14,1,R48))*U48)</f>
        <v>0.45500000000000002</v>
      </c>
      <c r="L48" s="45">
        <f>I48+J48</f>
        <v>5373.3333333333339</v>
      </c>
      <c r="M48" s="45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3300</v>
      </c>
      <c r="N48" s="45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0.30500000000000005</v>
      </c>
      <c r="O48" s="45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0.85</v>
      </c>
      <c r="P48" s="45">
        <f>M48*O48</f>
        <v>2805</v>
      </c>
      <c r="Q48" s="45">
        <f>MIN(4,MAX(1,INT((1+C48/Parameters!$D$23)*4)+1))</f>
        <v>3</v>
      </c>
      <c r="R48" s="45">
        <f>MIN(4,MAX(1,INT((1+D48/Parameters!$D$24)*4)+1))</f>
        <v>4</v>
      </c>
      <c r="S48" s="45">
        <f>MIN(4,MAX(1,INT((1+E48/Parameters!$D$26)*4)+1))</f>
        <v>4</v>
      </c>
      <c r="T48" s="45">
        <f>MAX(0,MIN(1,(1+C48/Parameters!$D$23)*4-(Q48-1)))</f>
        <v>0.66666666666666696</v>
      </c>
      <c r="U48" s="45">
        <f>MAX(0,MIN(1,(1+D48/Parameters!$D$24)*4-(R48-1)))</f>
        <v>0</v>
      </c>
      <c r="V48" s="45">
        <f>MAX(0,MIN(1,(1+E48/Parameters!$D$26)*4-(S48-1)))</f>
        <v>0</v>
      </c>
    </row>
    <row r="49" spans="2:22" ht="25" customHeight="1">
      <c r="B49" s="43" t="str">
        <f>"C "&amp;D49</f>
        <v>C 0</v>
      </c>
      <c r="C49" s="43">
        <f>'HSC Sweep'!$C$6</f>
        <v>-8</v>
      </c>
      <c r="D49" s="43">
        <f>Parameters!H8</f>
        <v>0</v>
      </c>
      <c r="E49" s="43">
        <f>Parameters!H16</f>
        <v>0</v>
      </c>
      <c r="F49" s="43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3400</v>
      </c>
      <c r="G49" s="43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0.1</v>
      </c>
      <c r="H49" s="43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0.93333333333333335</v>
      </c>
      <c r="I49" s="43">
        <f>F49*H49</f>
        <v>3173.3333333333335</v>
      </c>
      <c r="J49" s="43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2900</v>
      </c>
      <c r="K49" s="43">
        <f>IF('HSC Sweep'!$C$4="Type-B",Parameters!$L$14,INDEX(Parameters!$D$14:$H$14,1,R49)+(INDEX(Parameters!$D$14:$H$14,1,R49+1)-INDEX(Parameters!$D$14:$H$14,1,R49))*U49)</f>
        <v>0.46</v>
      </c>
      <c r="L49" s="43">
        <f>I49+J49</f>
        <v>6073.3333333333339</v>
      </c>
      <c r="M49" s="43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3800</v>
      </c>
      <c r="N49" s="43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0.33</v>
      </c>
      <c r="O49" s="43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0.82</v>
      </c>
      <c r="P49" s="43">
        <f>M49*O49</f>
        <v>3116</v>
      </c>
      <c r="Q49" s="43">
        <f>MIN(4,MAX(1,INT((1+C49/Parameters!$D$23)*4)+1))</f>
        <v>3</v>
      </c>
      <c r="R49" s="43">
        <f>MIN(4,MAX(1,INT((1+D49/Parameters!$D$24)*4)+1))</f>
        <v>4</v>
      </c>
      <c r="S49" s="43">
        <f>MIN(4,MAX(1,INT((1+E49/Parameters!$D$26)*4)+1))</f>
        <v>4</v>
      </c>
      <c r="T49" s="43">
        <f>MAX(0,MIN(1,(1+C49/Parameters!$D$23)*4-(Q49-1)))</f>
        <v>0.66666666666666696</v>
      </c>
      <c r="U49" s="43">
        <f>MAX(0,MIN(1,(1+D49/Parameters!$D$24)*4-(R49-1)))</f>
        <v>1</v>
      </c>
      <c r="V49" s="43">
        <f>MAX(0,MIN(1,(1+E49/Parameters!$D$26)*4-(S49-1)))</f>
        <v>1</v>
      </c>
    </row>
    <row r="50" spans="2:22" ht="22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2:22" ht="22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2:22" ht="22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2:22" ht="30" customHeight="1">
      <c r="B53" s="50" t="str">
        <f>VLOOKUP("label.shaftVelocityMps",Locale!$A$2:$D$78,4,FALSE)</f>
        <v>轴速 (m/s)</v>
      </c>
      <c r="C53" s="51" t="str">
        <f>B45</f>
        <v>C -20</v>
      </c>
      <c r="D53" s="51" t="str">
        <f>B46</f>
        <v>C -15</v>
      </c>
      <c r="E53" s="51" t="str">
        <f>B47</f>
        <v>C -10</v>
      </c>
      <c r="F53" s="51" t="str">
        <f>B48</f>
        <v>C -5</v>
      </c>
      <c r="G53" s="51" t="str">
        <f>B49</f>
        <v>C 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2:22" ht="25" customHeight="1">
      <c r="B54" s="52">
        <v>0</v>
      </c>
      <c r="C54" s="52">
        <f t="shared" ref="C54:C74" si="5">$F$45*MIN($B54,$G$45)+$I$45*MAX(0,$B54-$G$45)+$J$45*MAX(0,$B54-$K$45)</f>
        <v>0</v>
      </c>
      <c r="D54" s="52">
        <f t="shared" ref="D54:D74" si="6">$F$46*MIN($B54,$G$46)+$I$46*MAX(0,$B54-$G$46)+$J$46*MAX(0,$B54-$K$46)</f>
        <v>0</v>
      </c>
      <c r="E54" s="52">
        <f t="shared" ref="E54:E74" si="7">$F$47*MIN($B54,$G$47)+$I$47*MAX(0,$B54-$G$47)+$J$47*MAX(0,$B54-$K$47)</f>
        <v>0</v>
      </c>
      <c r="F54" s="52">
        <f t="shared" ref="F54:F74" si="8">$F$48*MIN($B54,$G$48)+$I$48*MAX(0,$B54-$G$48)+$J$48*MAX(0,$B54-$K$48)</f>
        <v>0</v>
      </c>
      <c r="G54" s="52">
        <f t="shared" ref="G54:G74" si="9">$F$49*MIN($B54,$G$49)+$I$49*MAX(0,$B54-$G$49)+$J$49*MAX(0,$B54-$K$49)</f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2:22" ht="25" customHeight="1">
      <c r="B55" s="53">
        <v>0.05</v>
      </c>
      <c r="C55" s="53">
        <f t="shared" si="5"/>
        <v>170</v>
      </c>
      <c r="D55" s="53">
        <f t="shared" si="6"/>
        <v>170</v>
      </c>
      <c r="E55" s="53">
        <f t="shared" si="7"/>
        <v>170</v>
      </c>
      <c r="F55" s="53">
        <f t="shared" si="8"/>
        <v>170</v>
      </c>
      <c r="G55" s="53">
        <f t="shared" si="9"/>
        <v>170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2:22" ht="25" customHeight="1">
      <c r="B56" s="52">
        <v>0.1</v>
      </c>
      <c r="C56" s="52">
        <f t="shared" si="5"/>
        <v>340</v>
      </c>
      <c r="D56" s="52">
        <f t="shared" si="6"/>
        <v>340</v>
      </c>
      <c r="E56" s="52">
        <f t="shared" si="7"/>
        <v>340</v>
      </c>
      <c r="F56" s="52">
        <f t="shared" si="8"/>
        <v>340</v>
      </c>
      <c r="G56" s="52">
        <f t="shared" si="9"/>
        <v>340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2:22" ht="25" customHeight="1">
      <c r="B57" s="53">
        <v>0.15</v>
      </c>
      <c r="C57" s="53">
        <f t="shared" si="5"/>
        <v>498.66666666666663</v>
      </c>
      <c r="D57" s="53">
        <f t="shared" si="6"/>
        <v>498.66666666666663</v>
      </c>
      <c r="E57" s="53">
        <f t="shared" si="7"/>
        <v>498.66666666666663</v>
      </c>
      <c r="F57" s="53">
        <f t="shared" si="8"/>
        <v>498.66666666666663</v>
      </c>
      <c r="G57" s="53">
        <f t="shared" si="9"/>
        <v>498.66666666666663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2:22" ht="25" customHeight="1">
      <c r="B58" s="52">
        <v>0.2</v>
      </c>
      <c r="C58" s="52">
        <f t="shared" si="5"/>
        <v>657.33333333333337</v>
      </c>
      <c r="D58" s="52">
        <f t="shared" si="6"/>
        <v>657.33333333333337</v>
      </c>
      <c r="E58" s="52">
        <f t="shared" si="7"/>
        <v>657.33333333333337</v>
      </c>
      <c r="F58" s="52">
        <f t="shared" si="8"/>
        <v>657.33333333333337</v>
      </c>
      <c r="G58" s="52">
        <f t="shared" si="9"/>
        <v>657.33333333333337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2:22" ht="25" customHeight="1">
      <c r="B59" s="53">
        <v>0.25</v>
      </c>
      <c r="C59" s="53">
        <f t="shared" si="5"/>
        <v>816</v>
      </c>
      <c r="D59" s="53">
        <f t="shared" si="6"/>
        <v>816</v>
      </c>
      <c r="E59" s="53">
        <f t="shared" si="7"/>
        <v>816</v>
      </c>
      <c r="F59" s="53">
        <f t="shared" si="8"/>
        <v>816</v>
      </c>
      <c r="G59" s="53">
        <f t="shared" si="9"/>
        <v>816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2:22" ht="25" customHeight="1">
      <c r="B60" s="52">
        <v>0.3</v>
      </c>
      <c r="C60" s="52">
        <f t="shared" si="5"/>
        <v>974.66666666666663</v>
      </c>
      <c r="D60" s="52">
        <f t="shared" si="6"/>
        <v>974.66666666666663</v>
      </c>
      <c r="E60" s="52">
        <f t="shared" si="7"/>
        <v>974.66666666666663</v>
      </c>
      <c r="F60" s="52">
        <f t="shared" si="8"/>
        <v>974.66666666666663</v>
      </c>
      <c r="G60" s="52">
        <f t="shared" si="9"/>
        <v>974.66666666666663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2:22" ht="25" customHeight="1">
      <c r="B61" s="53">
        <v>0.35</v>
      </c>
      <c r="C61" s="53">
        <f t="shared" si="5"/>
        <v>1133.3333333333333</v>
      </c>
      <c r="D61" s="53">
        <f t="shared" si="6"/>
        <v>1133.3333333333333</v>
      </c>
      <c r="E61" s="53">
        <f t="shared" si="7"/>
        <v>1133.3333333333333</v>
      </c>
      <c r="F61" s="53">
        <f t="shared" si="8"/>
        <v>1133.3333333333333</v>
      </c>
      <c r="G61" s="53">
        <f t="shared" si="9"/>
        <v>1133.3333333333333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2:22" ht="25" customHeight="1">
      <c r="B62" s="52">
        <v>0.4</v>
      </c>
      <c r="C62" s="52">
        <f t="shared" si="5"/>
        <v>1292.0000000000002</v>
      </c>
      <c r="D62" s="52">
        <f t="shared" si="6"/>
        <v>1292.0000000000002</v>
      </c>
      <c r="E62" s="52">
        <f t="shared" si="7"/>
        <v>1292.0000000000002</v>
      </c>
      <c r="F62" s="52">
        <f t="shared" si="8"/>
        <v>1292.0000000000002</v>
      </c>
      <c r="G62" s="52">
        <f t="shared" si="9"/>
        <v>1292.0000000000002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2:22" ht="25" customHeight="1">
      <c r="B63" s="53">
        <v>0.45</v>
      </c>
      <c r="C63" s="53">
        <f t="shared" si="5"/>
        <v>1451.6666666666667</v>
      </c>
      <c r="D63" s="53">
        <f t="shared" si="6"/>
        <v>1454.6666666666667</v>
      </c>
      <c r="E63" s="53">
        <f t="shared" si="7"/>
        <v>1450.6666666666667</v>
      </c>
      <c r="F63" s="53">
        <f t="shared" si="8"/>
        <v>1450.6666666666667</v>
      </c>
      <c r="G63" s="53">
        <f t="shared" si="9"/>
        <v>1450.6666666666667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2:22" ht="25" customHeight="1">
      <c r="B64" s="52">
        <v>0.5</v>
      </c>
      <c r="C64" s="52">
        <f t="shared" si="5"/>
        <v>1615.3333333333335</v>
      </c>
      <c r="D64" s="52">
        <f t="shared" si="6"/>
        <v>1653.3333333333335</v>
      </c>
      <c r="E64" s="52">
        <f t="shared" si="7"/>
        <v>1684.3333333333335</v>
      </c>
      <c r="F64" s="52">
        <f t="shared" si="8"/>
        <v>1708.3333333333335</v>
      </c>
      <c r="G64" s="52">
        <f t="shared" si="9"/>
        <v>1725.3333333333335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2:22" ht="25" customHeight="1">
      <c r="B65" s="53">
        <v>0.55000000000000004</v>
      </c>
      <c r="C65" s="53">
        <f t="shared" si="5"/>
        <v>1779.0000000000002</v>
      </c>
      <c r="D65" s="53">
        <f t="shared" si="6"/>
        <v>1852.0000000000002</v>
      </c>
      <c r="E65" s="53">
        <f t="shared" si="7"/>
        <v>1918.0000000000002</v>
      </c>
      <c r="F65" s="53">
        <f t="shared" si="8"/>
        <v>1977.0000000000002</v>
      </c>
      <c r="G65" s="53">
        <f t="shared" si="9"/>
        <v>2029.0000000000002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2:22" ht="25" customHeight="1">
      <c r="B66" s="52">
        <v>0.6</v>
      </c>
      <c r="C66" s="52">
        <f t="shared" si="5"/>
        <v>1942.6666666666667</v>
      </c>
      <c r="D66" s="52">
        <f t="shared" si="6"/>
        <v>2050.6666666666665</v>
      </c>
      <c r="E66" s="52">
        <f t="shared" si="7"/>
        <v>2151.6666666666665</v>
      </c>
      <c r="F66" s="52">
        <f t="shared" si="8"/>
        <v>2245.6666666666665</v>
      </c>
      <c r="G66" s="52">
        <f t="shared" si="9"/>
        <v>2332.6666666666665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2:22" ht="25" customHeight="1">
      <c r="B67" s="53">
        <v>0.65</v>
      </c>
      <c r="C67" s="53">
        <f t="shared" si="5"/>
        <v>2106.3333333333335</v>
      </c>
      <c r="D67" s="53">
        <f t="shared" si="6"/>
        <v>2249.3333333333335</v>
      </c>
      <c r="E67" s="53">
        <f t="shared" si="7"/>
        <v>2385.3333333333335</v>
      </c>
      <c r="F67" s="53">
        <f t="shared" si="8"/>
        <v>2514.3333333333335</v>
      </c>
      <c r="G67" s="53">
        <f t="shared" si="9"/>
        <v>2636.3333333333335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2:22" ht="25" customHeight="1">
      <c r="B68" s="52">
        <v>0.7</v>
      </c>
      <c r="C68" s="52">
        <f t="shared" si="5"/>
        <v>2270</v>
      </c>
      <c r="D68" s="52">
        <f t="shared" si="6"/>
        <v>2448</v>
      </c>
      <c r="E68" s="52">
        <f t="shared" si="7"/>
        <v>2619</v>
      </c>
      <c r="F68" s="52">
        <f t="shared" si="8"/>
        <v>2783</v>
      </c>
      <c r="G68" s="52">
        <f t="shared" si="9"/>
        <v>2940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2:22" ht="25" customHeight="1">
      <c r="B69" s="53">
        <v>0.75</v>
      </c>
      <c r="C69" s="53">
        <f t="shared" si="5"/>
        <v>2433.666666666667</v>
      </c>
      <c r="D69" s="53">
        <f t="shared" si="6"/>
        <v>2646.666666666667</v>
      </c>
      <c r="E69" s="53">
        <f t="shared" si="7"/>
        <v>2852.666666666667</v>
      </c>
      <c r="F69" s="53">
        <f t="shared" si="8"/>
        <v>3051.666666666667</v>
      </c>
      <c r="G69" s="53">
        <f t="shared" si="9"/>
        <v>3243.666666666667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2:22" ht="25" customHeight="1">
      <c r="B70" s="52">
        <v>0.8</v>
      </c>
      <c r="C70" s="52">
        <f t="shared" si="5"/>
        <v>2597.3333333333335</v>
      </c>
      <c r="D70" s="52">
        <f t="shared" si="6"/>
        <v>2845.3333333333335</v>
      </c>
      <c r="E70" s="52">
        <f t="shared" si="7"/>
        <v>3086.3333333333335</v>
      </c>
      <c r="F70" s="52">
        <f t="shared" si="8"/>
        <v>3320.3333333333335</v>
      </c>
      <c r="G70" s="52">
        <f t="shared" si="9"/>
        <v>3547.3333333333335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2:22" ht="25" customHeight="1">
      <c r="B71" s="53">
        <v>0.85</v>
      </c>
      <c r="C71" s="53">
        <f t="shared" si="5"/>
        <v>2761</v>
      </c>
      <c r="D71" s="53">
        <f t="shared" si="6"/>
        <v>3044</v>
      </c>
      <c r="E71" s="53">
        <f t="shared" si="7"/>
        <v>3320</v>
      </c>
      <c r="F71" s="53">
        <f t="shared" si="8"/>
        <v>3589</v>
      </c>
      <c r="G71" s="53">
        <f t="shared" si="9"/>
        <v>3851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2:22" ht="25" customHeight="1">
      <c r="B72" s="52">
        <v>0.9</v>
      </c>
      <c r="C72" s="52">
        <f t="shared" si="5"/>
        <v>2924.666666666667</v>
      </c>
      <c r="D72" s="52">
        <f t="shared" si="6"/>
        <v>3242.666666666667</v>
      </c>
      <c r="E72" s="52">
        <f t="shared" si="7"/>
        <v>3553.666666666667</v>
      </c>
      <c r="F72" s="52">
        <f t="shared" si="8"/>
        <v>3857.666666666667</v>
      </c>
      <c r="G72" s="52">
        <f t="shared" si="9"/>
        <v>4154.666666666667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2:22" ht="25" customHeight="1">
      <c r="B73" s="53">
        <v>0.95</v>
      </c>
      <c r="C73" s="53">
        <f t="shared" si="5"/>
        <v>3088.3333333333335</v>
      </c>
      <c r="D73" s="53">
        <f t="shared" si="6"/>
        <v>3441.3333333333335</v>
      </c>
      <c r="E73" s="53">
        <f t="shared" si="7"/>
        <v>3787.3333333333335</v>
      </c>
      <c r="F73" s="53">
        <f t="shared" si="8"/>
        <v>4126.333333333333</v>
      </c>
      <c r="G73" s="53">
        <f t="shared" si="9"/>
        <v>4458.333333333333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2:22" ht="25" customHeight="1">
      <c r="B74" s="52">
        <v>1</v>
      </c>
      <c r="C74" s="52">
        <f t="shared" si="5"/>
        <v>3252</v>
      </c>
      <c r="D74" s="52">
        <f t="shared" si="6"/>
        <v>3640</v>
      </c>
      <c r="E74" s="52">
        <f t="shared" si="7"/>
        <v>4021</v>
      </c>
      <c r="F74" s="52">
        <f t="shared" si="8"/>
        <v>4395</v>
      </c>
      <c r="G74" s="52">
        <f t="shared" si="9"/>
        <v>4762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2:22" ht="22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2:22" ht="22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2:22" ht="22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2:22" ht="22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2:22" ht="22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2:22" ht="22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2:22" ht="32.15" customHeight="1">
      <c r="B81" s="69" t="str">
        <f>VLOOKUP("label.lsrSweep",Locale!$A$2:$D$78,4,FALSE)</f>
        <v>LSR 扫描</v>
      </c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</row>
    <row r="82" spans="2:22" ht="22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2:22" ht="22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2:22" ht="44.15" customHeight="1">
      <c r="B84" s="41" t="str">
        <f>VLOOKUP("label.curve",Locale!$A$2:$D$78,4,FALSE)</f>
        <v>曲线</v>
      </c>
      <c r="C84" s="40" t="s">
        <v>46</v>
      </c>
      <c r="D84" s="40" t="s">
        <v>47</v>
      </c>
      <c r="E84" s="40" t="s">
        <v>48</v>
      </c>
      <c r="F84" s="40" t="s">
        <v>23</v>
      </c>
      <c r="G84" s="41" t="str">
        <f>VLOOKUP("label.firstKnee",Locale!$A$2:$D$78,4,FALSE)</f>
        <v>第一拐点</v>
      </c>
      <c r="H84" s="41" t="str">
        <f>VLOOKUP("label.bump2Multiplier",Locale!$A$2:$D$78,4,FALSE)</f>
        <v>bump2 倍率</v>
      </c>
      <c r="I84" s="40" t="s">
        <v>26</v>
      </c>
      <c r="J84" s="40" t="s">
        <v>50</v>
      </c>
      <c r="K84" s="41" t="str">
        <f>VLOOKUP("label.secondKnee",Locale!$A$2:$D$78,4,FALSE)</f>
        <v>第二拐点</v>
      </c>
      <c r="L84" s="41" t="str">
        <f>VLOOKUP("label.totalHsCoefficient",Locale!$A$2:$D$78,4,FALSE)</f>
        <v>总 HS 系数</v>
      </c>
      <c r="M84" s="40" t="str">
        <f>VLOOKUP("label.rebound",Locale!$A$2:$D$78,4,FALSE)</f>
        <v>回弹</v>
      </c>
      <c r="N84" s="40" t="str">
        <f>VLOOKUP("label.reboundKnee",Locale!$A$2:$D$78,4,FALSE)</f>
        <v>回弹拐点</v>
      </c>
      <c r="O84" s="41" t="str">
        <f>VLOOKUP("label.hsrMultiplier",Locale!$A$2:$D$78,4,FALSE)</f>
        <v>HSR 倍率</v>
      </c>
      <c r="P84" s="40" t="s">
        <v>30</v>
      </c>
      <c r="Q84" s="41" t="str">
        <f>VLOOKUP("label.lscRange",Locale!$A$2:$D$78,4,FALSE)</f>
        <v>LSC 区间</v>
      </c>
      <c r="R84" s="41" t="str">
        <f>VLOOKUP("label.hscRange",Locale!$A$2:$D$78,4,FALSE)</f>
        <v>HSC 区间</v>
      </c>
      <c r="S84" s="41" t="str">
        <f>VLOOKUP("label.lsrRange",Locale!$A$2:$D$78,4,FALSE)</f>
        <v>LSR 区间</v>
      </c>
      <c r="T84" s="41" t="str">
        <f>VLOOKUP("label.lscRangePosition",Locale!$A$2:$D$78,4,FALSE)</f>
        <v>LSC 区间位置</v>
      </c>
      <c r="U84" s="41" t="str">
        <f>VLOOKUP("label.hscRangePosition",Locale!$A$2:$D$78,4,FALSE)</f>
        <v>HSC 区间位置</v>
      </c>
      <c r="V84" s="41" t="str">
        <f>VLOOKUP("label.lsrRangePosition",Locale!$A$2:$D$78,4,FALSE)</f>
        <v>LSR 区间位置</v>
      </c>
    </row>
    <row r="85" spans="2:22" ht="25" customHeight="1">
      <c r="B85" s="43" t="str">
        <f>"R "&amp;E85</f>
        <v>R -40</v>
      </c>
      <c r="C85" s="43">
        <f>Parameters!D7</f>
        <v>-24</v>
      </c>
      <c r="D85" s="43">
        <f>Parameters!D8</f>
        <v>-20</v>
      </c>
      <c r="E85" s="43">
        <f>Parameters!D16</f>
        <v>-40</v>
      </c>
      <c r="F85" s="43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1800</v>
      </c>
      <c r="G85" s="43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0.1</v>
      </c>
      <c r="H85" s="43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1</v>
      </c>
      <c r="I85" s="43">
        <f>F85*H85</f>
        <v>1800</v>
      </c>
      <c r="J85" s="43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100</v>
      </c>
      <c r="K85" s="43">
        <f>IF('LSR Sweep'!$C$4="Type-B",Parameters!$L$14,INDEX(Parameters!$D$14:$H$14,1,R85)+(INDEX(Parameters!$D$14:$H$14,1,R85+1)-INDEX(Parameters!$D$14:$H$14,1,R85))*U85)</f>
        <v>0.44</v>
      </c>
      <c r="L85" s="43">
        <f>I85+J85</f>
        <v>1900</v>
      </c>
      <c r="M85" s="43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1800</v>
      </c>
      <c r="N85" s="43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0.23</v>
      </c>
      <c r="O85" s="43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0.94</v>
      </c>
      <c r="P85" s="43">
        <f>M85*O85</f>
        <v>1692</v>
      </c>
      <c r="Q85" s="43">
        <f>MIN(4,MAX(1,INT((1+C85/Parameters!$D$23)*4)+1))</f>
        <v>1</v>
      </c>
      <c r="R85" s="43">
        <f>MIN(4,MAX(1,INT((1+D85/Parameters!$D$24)*4)+1))</f>
        <v>1</v>
      </c>
      <c r="S85" s="43">
        <f>MIN(4,MAX(1,INT((1+E85/Parameters!$D$26)*4)+1))</f>
        <v>1</v>
      </c>
      <c r="T85" s="43">
        <f>MAX(0,MIN(1,(1+C85/Parameters!$D$23)*4-(Q85-1)))</f>
        <v>0</v>
      </c>
      <c r="U85" s="43">
        <f>MAX(0,MIN(1,(1+D85/Parameters!$D$24)*4-(R85-1)))</f>
        <v>0</v>
      </c>
      <c r="V85" s="43">
        <f>MAX(0,MIN(1,(1+E85/Parameters!$D$26)*4-(S85-1)))</f>
        <v>0</v>
      </c>
    </row>
    <row r="86" spans="2:22" ht="25" customHeight="1">
      <c r="B86" s="45" t="str">
        <f>"R "&amp;E86</f>
        <v>R -30</v>
      </c>
      <c r="C86" s="45">
        <f>Parameters!E7</f>
        <v>-18</v>
      </c>
      <c r="D86" s="45">
        <f>Parameters!E8</f>
        <v>-15</v>
      </c>
      <c r="E86" s="45">
        <f>Parameters!E16</f>
        <v>-30</v>
      </c>
      <c r="F86" s="45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2400</v>
      </c>
      <c r="G86" s="45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0.1</v>
      </c>
      <c r="H86" s="45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0.97499999999999998</v>
      </c>
      <c r="I86" s="45">
        <f>F86*H86</f>
        <v>2340</v>
      </c>
      <c r="J86" s="45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800</v>
      </c>
      <c r="K86" s="45">
        <f>IF('LSR Sweep'!$C$4="Type-B",Parameters!$L$14,INDEX(Parameters!$D$14:$H$14,1,R86)+(INDEX(Parameters!$D$14:$H$14,1,R86+1)-INDEX(Parameters!$D$14:$H$14,1,R86))*U86)</f>
        <v>0.44500000000000001</v>
      </c>
      <c r="L86" s="45">
        <f>I86+J86</f>
        <v>3140</v>
      </c>
      <c r="M86" s="45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2300</v>
      </c>
      <c r="N86" s="45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0.255</v>
      </c>
      <c r="O86" s="45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0.90999999999999992</v>
      </c>
      <c r="P86" s="45">
        <f>M86*O86</f>
        <v>2093</v>
      </c>
      <c r="Q86" s="45">
        <f>MIN(4,MAX(1,INT((1+C86/Parameters!$D$23)*4)+1))</f>
        <v>2</v>
      </c>
      <c r="R86" s="45">
        <f>MIN(4,MAX(1,INT((1+D86/Parameters!$D$24)*4)+1))</f>
        <v>2</v>
      </c>
      <c r="S86" s="45">
        <f>MIN(4,MAX(1,INT((1+E86/Parameters!$D$26)*4)+1))</f>
        <v>2</v>
      </c>
      <c r="T86" s="45">
        <f>MAX(0,MIN(1,(1+C86/Parameters!$D$23)*4-(Q86-1)))</f>
        <v>0</v>
      </c>
      <c r="U86" s="45">
        <f>MAX(0,MIN(1,(1+D86/Parameters!$D$24)*4-(R86-1)))</f>
        <v>0</v>
      </c>
      <c r="V86" s="45">
        <f>MAX(0,MIN(1,(1+E86/Parameters!$D$26)*4-(S86-1)))</f>
        <v>0</v>
      </c>
    </row>
    <row r="87" spans="2:22" ht="25" customHeight="1">
      <c r="B87" s="43" t="str">
        <f>"R "&amp;E87</f>
        <v>R -20</v>
      </c>
      <c r="C87" s="43">
        <f>Parameters!F7</f>
        <v>-12</v>
      </c>
      <c r="D87" s="43">
        <f>Parameters!F8</f>
        <v>-10</v>
      </c>
      <c r="E87" s="43">
        <f>Parameters!F16</f>
        <v>-20</v>
      </c>
      <c r="F87" s="43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3000</v>
      </c>
      <c r="G87" s="43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0.1</v>
      </c>
      <c r="H87" s="43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0.95</v>
      </c>
      <c r="I87" s="43">
        <f>F87*H87</f>
        <v>2850</v>
      </c>
      <c r="J87" s="43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1500</v>
      </c>
      <c r="K87" s="43">
        <f>IF('LSR Sweep'!$C$4="Type-B",Parameters!$L$14,INDEX(Parameters!$D$14:$H$14,1,R87)+(INDEX(Parameters!$D$14:$H$14,1,R87+1)-INDEX(Parameters!$D$14:$H$14,1,R87))*U87)</f>
        <v>0.45</v>
      </c>
      <c r="L87" s="43">
        <f>I87+J87</f>
        <v>4350</v>
      </c>
      <c r="M87" s="43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2800</v>
      </c>
      <c r="N87" s="43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0.28000000000000003</v>
      </c>
      <c r="O87" s="43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0.88</v>
      </c>
      <c r="P87" s="43">
        <f>M87*O87</f>
        <v>2464</v>
      </c>
      <c r="Q87" s="43">
        <f>MIN(4,MAX(1,INT((1+C87/Parameters!$D$23)*4)+1))</f>
        <v>3</v>
      </c>
      <c r="R87" s="43">
        <f>MIN(4,MAX(1,INT((1+D87/Parameters!$D$24)*4)+1))</f>
        <v>3</v>
      </c>
      <c r="S87" s="43">
        <f>MIN(4,MAX(1,INT((1+E87/Parameters!$D$26)*4)+1))</f>
        <v>3</v>
      </c>
      <c r="T87" s="43">
        <f>MAX(0,MIN(1,(1+C87/Parameters!$D$23)*4-(Q87-1)))</f>
        <v>0</v>
      </c>
      <c r="U87" s="43">
        <f>MAX(0,MIN(1,(1+D87/Parameters!$D$24)*4-(R87-1)))</f>
        <v>0</v>
      </c>
      <c r="V87" s="43">
        <f>MAX(0,MIN(1,(1+E87/Parameters!$D$26)*4-(S87-1)))</f>
        <v>0</v>
      </c>
    </row>
    <row r="88" spans="2:22" ht="25" customHeight="1">
      <c r="B88" s="45" t="str">
        <f>"R "&amp;E88</f>
        <v>R -10</v>
      </c>
      <c r="C88" s="45">
        <f>Parameters!G7</f>
        <v>-6</v>
      </c>
      <c r="D88" s="45">
        <f>Parameters!G8</f>
        <v>-5</v>
      </c>
      <c r="E88" s="45">
        <f>Parameters!G16</f>
        <v>-10</v>
      </c>
      <c r="F88" s="45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3600</v>
      </c>
      <c r="G88" s="45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0.1</v>
      </c>
      <c r="H88" s="45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0.92500000000000004</v>
      </c>
      <c r="I88" s="45">
        <f>F88*H88</f>
        <v>3330</v>
      </c>
      <c r="J88" s="45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2200</v>
      </c>
      <c r="K88" s="45">
        <f>IF('LSR Sweep'!$C$4="Type-B",Parameters!$L$14,INDEX(Parameters!$D$14:$H$14,1,R88)+(INDEX(Parameters!$D$14:$H$14,1,R88+1)-INDEX(Parameters!$D$14:$H$14,1,R88))*U88)</f>
        <v>0.45500000000000002</v>
      </c>
      <c r="L88" s="45">
        <f>I88+J88</f>
        <v>5530</v>
      </c>
      <c r="M88" s="45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3300</v>
      </c>
      <c r="N88" s="45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0.30500000000000005</v>
      </c>
      <c r="O88" s="45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0.85</v>
      </c>
      <c r="P88" s="45">
        <f>M88*O88</f>
        <v>2805</v>
      </c>
      <c r="Q88" s="45">
        <f>MIN(4,MAX(1,INT((1+C88/Parameters!$D$23)*4)+1))</f>
        <v>4</v>
      </c>
      <c r="R88" s="45">
        <f>MIN(4,MAX(1,INT((1+D88/Parameters!$D$24)*4)+1))</f>
        <v>4</v>
      </c>
      <c r="S88" s="45">
        <f>MIN(4,MAX(1,INT((1+E88/Parameters!$D$26)*4)+1))</f>
        <v>4</v>
      </c>
      <c r="T88" s="45">
        <f>MAX(0,MIN(1,(1+C88/Parameters!$D$23)*4-(Q88-1)))</f>
        <v>0</v>
      </c>
      <c r="U88" s="45">
        <f>MAX(0,MIN(1,(1+D88/Parameters!$D$24)*4-(R88-1)))</f>
        <v>0</v>
      </c>
      <c r="V88" s="45">
        <f>MAX(0,MIN(1,(1+E88/Parameters!$D$26)*4-(S88-1)))</f>
        <v>0</v>
      </c>
    </row>
    <row r="89" spans="2:22" ht="25" customHeight="1">
      <c r="B89" s="43" t="str">
        <f>"R "&amp;E89</f>
        <v>R 0</v>
      </c>
      <c r="C89" s="43">
        <f>Parameters!H7</f>
        <v>0</v>
      </c>
      <c r="D89" s="43">
        <f>Parameters!H8</f>
        <v>0</v>
      </c>
      <c r="E89" s="43">
        <f>Parameters!H16</f>
        <v>0</v>
      </c>
      <c r="F89" s="43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4200</v>
      </c>
      <c r="G89" s="43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0.1</v>
      </c>
      <c r="H89" s="43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0.9</v>
      </c>
      <c r="I89" s="43">
        <f>F89*H89</f>
        <v>3780</v>
      </c>
      <c r="J89" s="43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2900</v>
      </c>
      <c r="K89" s="43">
        <f>IF('LSR Sweep'!$C$4="Type-B",Parameters!$L$14,INDEX(Parameters!$D$14:$H$14,1,R89)+(INDEX(Parameters!$D$14:$H$14,1,R89+1)-INDEX(Parameters!$D$14:$H$14,1,R89))*U89)</f>
        <v>0.46</v>
      </c>
      <c r="L89" s="43">
        <f>I89+J89</f>
        <v>6680</v>
      </c>
      <c r="M89" s="43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3800</v>
      </c>
      <c r="N89" s="43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0.33</v>
      </c>
      <c r="O89" s="43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0.82</v>
      </c>
      <c r="P89" s="43">
        <f>M89*O89</f>
        <v>3116</v>
      </c>
      <c r="Q89" s="43">
        <f>MIN(4,MAX(1,INT((1+C89/Parameters!$D$23)*4)+1))</f>
        <v>4</v>
      </c>
      <c r="R89" s="43">
        <f>MIN(4,MAX(1,INT((1+D89/Parameters!$D$24)*4)+1))</f>
        <v>4</v>
      </c>
      <c r="S89" s="43">
        <f>MIN(4,MAX(1,INT((1+E89/Parameters!$D$26)*4)+1))</f>
        <v>4</v>
      </c>
      <c r="T89" s="43">
        <f>MAX(0,MIN(1,(1+C89/Parameters!$D$23)*4-(Q89-1)))</f>
        <v>1</v>
      </c>
      <c r="U89" s="43">
        <f>MAX(0,MIN(1,(1+D89/Parameters!$D$24)*4-(R89-1)))</f>
        <v>1</v>
      </c>
      <c r="V89" s="43">
        <f>MAX(0,MIN(1,(1+E89/Parameters!$D$26)*4-(S89-1)))</f>
        <v>1</v>
      </c>
    </row>
    <row r="90" spans="2:22" ht="22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2:22" ht="22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2:22" ht="22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2:22" ht="30" customHeight="1">
      <c r="B93" s="50" t="str">
        <f>VLOOKUP("label.shaftVelocityMps",Locale!$A$2:$D$78,4,FALSE)</f>
        <v>轴速 (m/s)</v>
      </c>
      <c r="C93" s="51" t="str">
        <f>B85</f>
        <v>R -40</v>
      </c>
      <c r="D93" s="51" t="str">
        <f>B86</f>
        <v>R -30</v>
      </c>
      <c r="E93" s="51" t="str">
        <f>B87</f>
        <v>R -20</v>
      </c>
      <c r="F93" s="51" t="str">
        <f>B88</f>
        <v>R -10</v>
      </c>
      <c r="G93" s="51" t="str">
        <f>B89</f>
        <v>R 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2:22" ht="25" customHeight="1">
      <c r="B94" s="52">
        <v>0</v>
      </c>
      <c r="C94" s="52">
        <f t="shared" ref="C94:C114" si="10">$M$85*MIN($B94,$N$85)+$P$85*MAX(0,$B94-$N$85)</f>
        <v>0</v>
      </c>
      <c r="D94" s="52">
        <f t="shared" ref="D94:D114" si="11">$M$86*MIN($B94,$N$86)+$P$86*MAX(0,$B94-$N$86)</f>
        <v>0</v>
      </c>
      <c r="E94" s="52">
        <f t="shared" ref="E94:E114" si="12">$M$87*MIN($B94,$N$87)+$P$87*MAX(0,$B94-$N$87)</f>
        <v>0</v>
      </c>
      <c r="F94" s="52">
        <f t="shared" ref="F94:F114" si="13">$M$88*MIN($B94,$N$88)+$P$88*MAX(0,$B94-$N$88)</f>
        <v>0</v>
      </c>
      <c r="G94" s="52">
        <f t="shared" ref="G94:G114" si="14">$M$89*MIN($B94,$N$89)+$P$89*MAX(0,$B94-$N$89)</f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2:22" ht="25" customHeight="1">
      <c r="B95" s="53">
        <v>0.05</v>
      </c>
      <c r="C95" s="53">
        <f t="shared" si="10"/>
        <v>90</v>
      </c>
      <c r="D95" s="53">
        <f t="shared" si="11"/>
        <v>115</v>
      </c>
      <c r="E95" s="53">
        <f t="shared" si="12"/>
        <v>140</v>
      </c>
      <c r="F95" s="53">
        <f t="shared" si="13"/>
        <v>165</v>
      </c>
      <c r="G95" s="53">
        <f t="shared" si="14"/>
        <v>190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2:22" ht="25" customHeight="1">
      <c r="B96" s="52">
        <v>0.1</v>
      </c>
      <c r="C96" s="52">
        <f t="shared" si="10"/>
        <v>180</v>
      </c>
      <c r="D96" s="52">
        <f t="shared" si="11"/>
        <v>230</v>
      </c>
      <c r="E96" s="52">
        <f t="shared" si="12"/>
        <v>280</v>
      </c>
      <c r="F96" s="52">
        <f t="shared" si="13"/>
        <v>330</v>
      </c>
      <c r="G96" s="52">
        <f t="shared" si="14"/>
        <v>380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2:22" ht="25" customHeight="1">
      <c r="B97" s="53">
        <v>0.15</v>
      </c>
      <c r="C97" s="53">
        <f t="shared" si="10"/>
        <v>270</v>
      </c>
      <c r="D97" s="53">
        <f t="shared" si="11"/>
        <v>345</v>
      </c>
      <c r="E97" s="53">
        <f t="shared" si="12"/>
        <v>420</v>
      </c>
      <c r="F97" s="53">
        <f t="shared" si="13"/>
        <v>495</v>
      </c>
      <c r="G97" s="53">
        <f t="shared" si="14"/>
        <v>570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2:22" ht="25" customHeight="1">
      <c r="B98" s="52">
        <v>0.2</v>
      </c>
      <c r="C98" s="52">
        <f t="shared" si="10"/>
        <v>360</v>
      </c>
      <c r="D98" s="52">
        <f t="shared" si="11"/>
        <v>460</v>
      </c>
      <c r="E98" s="52">
        <f t="shared" si="12"/>
        <v>560</v>
      </c>
      <c r="F98" s="52">
        <f t="shared" si="13"/>
        <v>660</v>
      </c>
      <c r="G98" s="52">
        <f t="shared" si="14"/>
        <v>760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2:22" ht="25" customHeight="1">
      <c r="B99" s="53">
        <v>0.25</v>
      </c>
      <c r="C99" s="53">
        <f t="shared" si="10"/>
        <v>447.84</v>
      </c>
      <c r="D99" s="53">
        <f t="shared" si="11"/>
        <v>575</v>
      </c>
      <c r="E99" s="53">
        <f t="shared" si="12"/>
        <v>700</v>
      </c>
      <c r="F99" s="53">
        <f t="shared" si="13"/>
        <v>825</v>
      </c>
      <c r="G99" s="53">
        <f t="shared" si="14"/>
        <v>950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2:22" ht="25" customHeight="1">
      <c r="B100" s="52">
        <v>0.3</v>
      </c>
      <c r="C100" s="52">
        <f t="shared" si="10"/>
        <v>532.43999999999994</v>
      </c>
      <c r="D100" s="52">
        <f t="shared" si="11"/>
        <v>680.68499999999995</v>
      </c>
      <c r="E100" s="52">
        <f t="shared" si="12"/>
        <v>833.28</v>
      </c>
      <c r="F100" s="52">
        <f t="shared" si="13"/>
        <v>990</v>
      </c>
      <c r="G100" s="52">
        <f t="shared" si="14"/>
        <v>1140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2:22" ht="25" customHeight="1">
      <c r="B101" s="53">
        <v>0.35</v>
      </c>
      <c r="C101" s="53">
        <f t="shared" si="10"/>
        <v>617.04</v>
      </c>
      <c r="D101" s="53">
        <f t="shared" si="11"/>
        <v>785.33499999999992</v>
      </c>
      <c r="E101" s="53">
        <f t="shared" si="12"/>
        <v>956.48</v>
      </c>
      <c r="F101" s="53">
        <f t="shared" si="13"/>
        <v>1132.7249999999999</v>
      </c>
      <c r="G101" s="53">
        <f t="shared" si="14"/>
        <v>1316.32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2:22" ht="25" customHeight="1">
      <c r="B102" s="52">
        <v>0.4</v>
      </c>
      <c r="C102" s="52">
        <f t="shared" si="10"/>
        <v>701.6400000000001</v>
      </c>
      <c r="D102" s="52">
        <f t="shared" si="11"/>
        <v>889.98500000000001</v>
      </c>
      <c r="E102" s="52">
        <f t="shared" si="12"/>
        <v>1079.68</v>
      </c>
      <c r="F102" s="52">
        <f t="shared" si="13"/>
        <v>1272.9749999999999</v>
      </c>
      <c r="G102" s="52">
        <f t="shared" si="14"/>
        <v>1472.1200000000001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2:22" ht="25" customHeight="1">
      <c r="B103" s="53">
        <v>0.45</v>
      </c>
      <c r="C103" s="53">
        <f t="shared" si="10"/>
        <v>786.24</v>
      </c>
      <c r="D103" s="53">
        <f t="shared" si="11"/>
        <v>994.63499999999999</v>
      </c>
      <c r="E103" s="53">
        <f t="shared" si="12"/>
        <v>1202.8800000000001</v>
      </c>
      <c r="F103" s="53">
        <f t="shared" si="13"/>
        <v>1413.2249999999999</v>
      </c>
      <c r="G103" s="53">
        <f t="shared" si="14"/>
        <v>1627.92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2:22" ht="25" customHeight="1">
      <c r="B104" s="52">
        <v>0.5</v>
      </c>
      <c r="C104" s="52">
        <f t="shared" si="10"/>
        <v>870.84</v>
      </c>
      <c r="D104" s="52">
        <f t="shared" si="11"/>
        <v>1099.2849999999999</v>
      </c>
      <c r="E104" s="52">
        <f t="shared" si="12"/>
        <v>1326.08</v>
      </c>
      <c r="F104" s="52">
        <f t="shared" si="13"/>
        <v>1553.4749999999999</v>
      </c>
      <c r="G104" s="52">
        <f t="shared" si="14"/>
        <v>1783.7199999999998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2:22" ht="25" customHeight="1">
      <c r="B105" s="53">
        <v>0.55000000000000004</v>
      </c>
      <c r="C105" s="53">
        <f t="shared" si="10"/>
        <v>955.44</v>
      </c>
      <c r="D105" s="53">
        <f t="shared" si="11"/>
        <v>1203.9349999999999</v>
      </c>
      <c r="E105" s="53">
        <f t="shared" si="12"/>
        <v>1449.2800000000002</v>
      </c>
      <c r="F105" s="53">
        <f t="shared" si="13"/>
        <v>1693.7250000000001</v>
      </c>
      <c r="G105" s="53">
        <f t="shared" si="14"/>
        <v>1939.52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2:22" ht="25" customHeight="1">
      <c r="B106" s="52">
        <v>0.6</v>
      </c>
      <c r="C106" s="52">
        <f t="shared" si="10"/>
        <v>1040.04</v>
      </c>
      <c r="D106" s="52">
        <f t="shared" si="11"/>
        <v>1308.585</v>
      </c>
      <c r="E106" s="52">
        <f t="shared" si="12"/>
        <v>1572.48</v>
      </c>
      <c r="F106" s="52">
        <f t="shared" si="13"/>
        <v>1833.9749999999999</v>
      </c>
      <c r="G106" s="52">
        <f t="shared" si="14"/>
        <v>2095.3199999999997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2:22" ht="25" customHeight="1">
      <c r="B107" s="53">
        <v>0.65</v>
      </c>
      <c r="C107" s="53">
        <f t="shared" si="10"/>
        <v>1124.6400000000001</v>
      </c>
      <c r="D107" s="53">
        <f t="shared" si="11"/>
        <v>1413.2350000000001</v>
      </c>
      <c r="E107" s="53">
        <f t="shared" si="12"/>
        <v>1695.68</v>
      </c>
      <c r="F107" s="53">
        <f t="shared" si="13"/>
        <v>1974.2249999999999</v>
      </c>
      <c r="G107" s="53">
        <f t="shared" si="14"/>
        <v>2251.12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2:22" ht="25" customHeight="1">
      <c r="B108" s="52">
        <v>0.7</v>
      </c>
      <c r="C108" s="52">
        <f t="shared" si="10"/>
        <v>1209.24</v>
      </c>
      <c r="D108" s="52">
        <f t="shared" si="11"/>
        <v>1517.8849999999998</v>
      </c>
      <c r="E108" s="52">
        <f t="shared" si="12"/>
        <v>1818.88</v>
      </c>
      <c r="F108" s="52">
        <f t="shared" si="13"/>
        <v>2114.4749999999999</v>
      </c>
      <c r="G108" s="52">
        <f t="shared" si="14"/>
        <v>2406.92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2:22" ht="25" customHeight="1">
      <c r="B109" s="53">
        <v>0.75</v>
      </c>
      <c r="C109" s="53">
        <f t="shared" si="10"/>
        <v>1293.8400000000001</v>
      </c>
      <c r="D109" s="53">
        <f t="shared" si="11"/>
        <v>1622.5350000000001</v>
      </c>
      <c r="E109" s="53">
        <f t="shared" si="12"/>
        <v>1942.08</v>
      </c>
      <c r="F109" s="53">
        <f t="shared" si="13"/>
        <v>2254.7249999999999</v>
      </c>
      <c r="G109" s="53">
        <f t="shared" si="14"/>
        <v>2562.7200000000003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2:22" ht="25" customHeight="1">
      <c r="B110" s="52">
        <v>0.8</v>
      </c>
      <c r="C110" s="52">
        <f t="shared" si="10"/>
        <v>1378.44</v>
      </c>
      <c r="D110" s="52">
        <f t="shared" si="11"/>
        <v>1727.1850000000002</v>
      </c>
      <c r="E110" s="52">
        <f t="shared" si="12"/>
        <v>2065.2800000000002</v>
      </c>
      <c r="F110" s="52">
        <f t="shared" si="13"/>
        <v>2394.9749999999999</v>
      </c>
      <c r="G110" s="52">
        <f t="shared" si="14"/>
        <v>2718.52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2:22" ht="25" customHeight="1">
      <c r="B111" s="53">
        <v>0.85</v>
      </c>
      <c r="C111" s="53">
        <f t="shared" si="10"/>
        <v>1463.04</v>
      </c>
      <c r="D111" s="53">
        <f t="shared" si="11"/>
        <v>1831.835</v>
      </c>
      <c r="E111" s="53">
        <f t="shared" si="12"/>
        <v>2188.48</v>
      </c>
      <c r="F111" s="53">
        <f t="shared" si="13"/>
        <v>2535.2249999999999</v>
      </c>
      <c r="G111" s="53">
        <f t="shared" si="14"/>
        <v>2874.32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2:22" ht="25" customHeight="1">
      <c r="B112" s="52">
        <v>0.9</v>
      </c>
      <c r="C112" s="52">
        <f t="shared" si="10"/>
        <v>1547.64</v>
      </c>
      <c r="D112" s="52">
        <f t="shared" si="11"/>
        <v>1936.4850000000001</v>
      </c>
      <c r="E112" s="52">
        <f t="shared" si="12"/>
        <v>2311.6800000000003</v>
      </c>
      <c r="F112" s="52">
        <f t="shared" si="13"/>
        <v>2675.4749999999999</v>
      </c>
      <c r="G112" s="52">
        <f t="shared" si="14"/>
        <v>3030.12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2:22" ht="25" customHeight="1">
      <c r="B113" s="53">
        <v>0.95</v>
      </c>
      <c r="C113" s="53">
        <f t="shared" si="10"/>
        <v>1632.24</v>
      </c>
      <c r="D113" s="53">
        <f t="shared" si="11"/>
        <v>2041.135</v>
      </c>
      <c r="E113" s="53">
        <f t="shared" si="12"/>
        <v>2434.88</v>
      </c>
      <c r="F113" s="53">
        <f t="shared" si="13"/>
        <v>2815.7249999999999</v>
      </c>
      <c r="G113" s="53">
        <f t="shared" si="14"/>
        <v>3185.9199999999996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2:22" ht="25" customHeight="1">
      <c r="B114" s="52">
        <v>1</v>
      </c>
      <c r="C114" s="52">
        <f t="shared" si="10"/>
        <v>1716.84</v>
      </c>
      <c r="D114" s="52">
        <f t="shared" si="11"/>
        <v>2145.7849999999999</v>
      </c>
      <c r="E114" s="52">
        <f t="shared" si="12"/>
        <v>2558.08</v>
      </c>
      <c r="F114" s="52">
        <f t="shared" si="13"/>
        <v>2955.9749999999999</v>
      </c>
      <c r="G114" s="52">
        <f t="shared" si="14"/>
        <v>3341.72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2:22" ht="22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2:22" ht="22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2:22" ht="22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2:22" ht="22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2:22" ht="22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2:22" ht="22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2:22" ht="32.15" customHeight="1">
      <c r="B121" s="69" t="str">
        <f>VLOOKUP("label.fullSweep",Locale!$A$2:$D$78,4,FALSE)</f>
        <v>全范围扫描</v>
      </c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</row>
    <row r="122" spans="2:22" ht="22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2:22" ht="22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2:22" ht="44.15" customHeight="1">
      <c r="B124" s="41" t="str">
        <f>VLOOKUP("label.curve",Locale!$A$2:$D$78,4,FALSE)</f>
        <v>曲线</v>
      </c>
      <c r="C124" s="40" t="s">
        <v>46</v>
      </c>
      <c r="D124" s="40" t="s">
        <v>47</v>
      </c>
      <c r="E124" s="40" t="s">
        <v>48</v>
      </c>
      <c r="F124" s="40" t="s">
        <v>23</v>
      </c>
      <c r="G124" s="41" t="str">
        <f>VLOOKUP("label.firstKnee",Locale!$A$2:$D$78,4,FALSE)</f>
        <v>第一拐点</v>
      </c>
      <c r="H124" s="41" t="str">
        <f>VLOOKUP("label.bump2Multiplier",Locale!$A$2:$D$78,4,FALSE)</f>
        <v>bump2 倍率</v>
      </c>
      <c r="I124" s="40" t="s">
        <v>26</v>
      </c>
      <c r="J124" s="40" t="s">
        <v>50</v>
      </c>
      <c r="K124" s="41" t="str">
        <f>VLOOKUP("label.secondKnee",Locale!$A$2:$D$78,4,FALSE)</f>
        <v>第二拐点</v>
      </c>
      <c r="L124" s="41" t="str">
        <f>VLOOKUP("label.totalHsCoefficient",Locale!$A$2:$D$78,4,FALSE)</f>
        <v>总 HS 系数</v>
      </c>
      <c r="M124" s="40" t="str">
        <f>VLOOKUP("label.rebound",Locale!$A$2:$D$78,4,FALSE)</f>
        <v>回弹</v>
      </c>
      <c r="N124" s="40" t="str">
        <f>VLOOKUP("label.reboundKnee",Locale!$A$2:$D$78,4,FALSE)</f>
        <v>回弹拐点</v>
      </c>
      <c r="O124" s="41" t="str">
        <f>VLOOKUP("label.hsrMultiplier",Locale!$A$2:$D$78,4,FALSE)</f>
        <v>HSR 倍率</v>
      </c>
      <c r="P124" s="40" t="s">
        <v>30</v>
      </c>
      <c r="Q124" s="41" t="str">
        <f>VLOOKUP("label.lscRange",Locale!$A$2:$D$78,4,FALSE)</f>
        <v>LSC 区间</v>
      </c>
      <c r="R124" s="41" t="str">
        <f>VLOOKUP("label.hscRange",Locale!$A$2:$D$78,4,FALSE)</f>
        <v>HSC 区间</v>
      </c>
      <c r="S124" s="41" t="str">
        <f>VLOOKUP("label.lsrRange",Locale!$A$2:$D$78,4,FALSE)</f>
        <v>LSR 区间</v>
      </c>
      <c r="T124" s="41" t="str">
        <f>VLOOKUP("label.lscRangePosition",Locale!$A$2:$D$78,4,FALSE)</f>
        <v>LSC 区间位置</v>
      </c>
      <c r="U124" s="41" t="str">
        <f>VLOOKUP("label.hscRangePosition",Locale!$A$2:$D$78,4,FALSE)</f>
        <v>HSC 区间位置</v>
      </c>
      <c r="V124" s="41" t="str">
        <f>VLOOKUP("label.lsrRangePosition",Locale!$A$2:$D$78,4,FALSE)</f>
        <v>LSR 区间位置</v>
      </c>
    </row>
    <row r="125" spans="2:22" ht="25" customHeight="1">
      <c r="B125" s="43" t="str">
        <f>"c "&amp;C125&amp;" / C "&amp;D125</f>
        <v>c -24 / C -20</v>
      </c>
      <c r="C125" s="43">
        <f>Parameters!D7</f>
        <v>-24</v>
      </c>
      <c r="D125" s="43">
        <f>Parameters!D8</f>
        <v>-20</v>
      </c>
      <c r="E125" s="43">
        <f>Parameters!D16</f>
        <v>-40</v>
      </c>
      <c r="F125" s="43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1800</v>
      </c>
      <c r="G125" s="43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0.1</v>
      </c>
      <c r="H125" s="43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1</v>
      </c>
      <c r="I125" s="43">
        <f>F125*H125</f>
        <v>1800</v>
      </c>
      <c r="J125" s="43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100</v>
      </c>
      <c r="K125" s="43">
        <f>IF('Full Sweep'!$C$4="Type-B",Parameters!$L$14,INDEX(Parameters!$D$14:$H$14,1,R125)+(INDEX(Parameters!$D$14:$H$14,1,R125+1)-INDEX(Parameters!$D$14:$H$14,1,R125))*U125)</f>
        <v>0.44</v>
      </c>
      <c r="L125" s="43">
        <f>I125+J125</f>
        <v>1900</v>
      </c>
      <c r="M125" s="43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1800</v>
      </c>
      <c r="N125" s="43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0.23</v>
      </c>
      <c r="O125" s="43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0.94</v>
      </c>
      <c r="P125" s="43">
        <f>M125*O125</f>
        <v>1692</v>
      </c>
      <c r="Q125" s="43">
        <f>MIN(4,MAX(1,INT((1+C125/Parameters!$D$23)*4)+1))</f>
        <v>1</v>
      </c>
      <c r="R125" s="43">
        <f>MIN(4,MAX(1,INT((1+D125/Parameters!$D$24)*4)+1))</f>
        <v>1</v>
      </c>
      <c r="S125" s="43">
        <f>MIN(4,MAX(1,INT((1+E125/Parameters!$D$26)*4)+1))</f>
        <v>1</v>
      </c>
      <c r="T125" s="43">
        <f>MAX(0,MIN(1,(1+C125/Parameters!$D$23)*4-(Q125-1)))</f>
        <v>0</v>
      </c>
      <c r="U125" s="43">
        <f>MAX(0,MIN(1,(1+D125/Parameters!$D$24)*4-(R125-1)))</f>
        <v>0</v>
      </c>
      <c r="V125" s="43">
        <f>MAX(0,MIN(1,(1+E125/Parameters!$D$26)*4-(S125-1)))</f>
        <v>0</v>
      </c>
    </row>
    <row r="126" spans="2:22" ht="25" customHeight="1">
      <c r="B126" s="45" t="str">
        <f>"c "&amp;C126&amp;" / C "&amp;D126</f>
        <v>c -18 / C -15</v>
      </c>
      <c r="C126" s="45">
        <f>Parameters!E7</f>
        <v>-18</v>
      </c>
      <c r="D126" s="45">
        <f>Parameters!E8</f>
        <v>-15</v>
      </c>
      <c r="E126" s="45">
        <f>Parameters!E16</f>
        <v>-30</v>
      </c>
      <c r="F126" s="45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2400</v>
      </c>
      <c r="G126" s="45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0.1</v>
      </c>
      <c r="H126" s="45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0.97499999999999998</v>
      </c>
      <c r="I126" s="45">
        <f>F126*H126</f>
        <v>2340</v>
      </c>
      <c r="J126" s="45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800</v>
      </c>
      <c r="K126" s="45">
        <f>IF('Full Sweep'!$C$4="Type-B",Parameters!$L$14,INDEX(Parameters!$D$14:$H$14,1,R126)+(INDEX(Parameters!$D$14:$H$14,1,R126+1)-INDEX(Parameters!$D$14:$H$14,1,R126))*U126)</f>
        <v>0.44500000000000001</v>
      </c>
      <c r="L126" s="45">
        <f>I126+J126</f>
        <v>3140</v>
      </c>
      <c r="M126" s="45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2300</v>
      </c>
      <c r="N126" s="45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0.255</v>
      </c>
      <c r="O126" s="45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0.90999999999999992</v>
      </c>
      <c r="P126" s="45">
        <f>M126*O126</f>
        <v>2093</v>
      </c>
      <c r="Q126" s="45">
        <f>MIN(4,MAX(1,INT((1+C126/Parameters!$D$23)*4)+1))</f>
        <v>2</v>
      </c>
      <c r="R126" s="45">
        <f>MIN(4,MAX(1,INT((1+D126/Parameters!$D$24)*4)+1))</f>
        <v>2</v>
      </c>
      <c r="S126" s="45">
        <f>MIN(4,MAX(1,INT((1+E126/Parameters!$D$26)*4)+1))</f>
        <v>2</v>
      </c>
      <c r="T126" s="45">
        <f>MAX(0,MIN(1,(1+C126/Parameters!$D$23)*4-(Q126-1)))</f>
        <v>0</v>
      </c>
      <c r="U126" s="45">
        <f>MAX(0,MIN(1,(1+D126/Parameters!$D$24)*4-(R126-1)))</f>
        <v>0</v>
      </c>
      <c r="V126" s="45">
        <f>MAX(0,MIN(1,(1+E126/Parameters!$D$26)*4-(S126-1)))</f>
        <v>0</v>
      </c>
    </row>
    <row r="127" spans="2:22" ht="25" customHeight="1">
      <c r="B127" s="43" t="str">
        <f>"c "&amp;C127&amp;" / C "&amp;D127</f>
        <v>c -12 / C -10</v>
      </c>
      <c r="C127" s="43">
        <f>Parameters!F7</f>
        <v>-12</v>
      </c>
      <c r="D127" s="43">
        <f>Parameters!F8</f>
        <v>-10</v>
      </c>
      <c r="E127" s="43">
        <f>Parameters!F16</f>
        <v>-20</v>
      </c>
      <c r="F127" s="43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3000</v>
      </c>
      <c r="G127" s="43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0.1</v>
      </c>
      <c r="H127" s="43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0.95</v>
      </c>
      <c r="I127" s="43">
        <f>F127*H127</f>
        <v>2850</v>
      </c>
      <c r="J127" s="43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1500</v>
      </c>
      <c r="K127" s="43">
        <f>IF('Full Sweep'!$C$4="Type-B",Parameters!$L$14,INDEX(Parameters!$D$14:$H$14,1,R127)+(INDEX(Parameters!$D$14:$H$14,1,R127+1)-INDEX(Parameters!$D$14:$H$14,1,R127))*U127)</f>
        <v>0.45</v>
      </c>
      <c r="L127" s="43">
        <f>I127+J127</f>
        <v>4350</v>
      </c>
      <c r="M127" s="43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2800</v>
      </c>
      <c r="N127" s="43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0.28000000000000003</v>
      </c>
      <c r="O127" s="43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0.88</v>
      </c>
      <c r="P127" s="43">
        <f>M127*O127</f>
        <v>2464</v>
      </c>
      <c r="Q127" s="43">
        <f>MIN(4,MAX(1,INT((1+C127/Parameters!$D$23)*4)+1))</f>
        <v>3</v>
      </c>
      <c r="R127" s="43">
        <f>MIN(4,MAX(1,INT((1+D127/Parameters!$D$24)*4)+1))</f>
        <v>3</v>
      </c>
      <c r="S127" s="43">
        <f>MIN(4,MAX(1,INT((1+E127/Parameters!$D$26)*4)+1))</f>
        <v>3</v>
      </c>
      <c r="T127" s="43">
        <f>MAX(0,MIN(1,(1+C127/Parameters!$D$23)*4-(Q127-1)))</f>
        <v>0</v>
      </c>
      <c r="U127" s="43">
        <f>MAX(0,MIN(1,(1+D127/Parameters!$D$24)*4-(R127-1)))</f>
        <v>0</v>
      </c>
      <c r="V127" s="43">
        <f>MAX(0,MIN(1,(1+E127/Parameters!$D$26)*4-(S127-1)))</f>
        <v>0</v>
      </c>
    </row>
    <row r="128" spans="2:22" ht="25" customHeight="1">
      <c r="B128" s="45" t="str">
        <f>"c "&amp;C128&amp;" / C "&amp;D128</f>
        <v>c -6 / C -5</v>
      </c>
      <c r="C128" s="45">
        <f>Parameters!G7</f>
        <v>-6</v>
      </c>
      <c r="D128" s="45">
        <f>Parameters!G8</f>
        <v>-5</v>
      </c>
      <c r="E128" s="45">
        <f>Parameters!G16</f>
        <v>-10</v>
      </c>
      <c r="F128" s="45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3600</v>
      </c>
      <c r="G128" s="45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0.1</v>
      </c>
      <c r="H128" s="45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0.92500000000000004</v>
      </c>
      <c r="I128" s="45">
        <f>F128*H128</f>
        <v>3330</v>
      </c>
      <c r="J128" s="45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2200</v>
      </c>
      <c r="K128" s="45">
        <f>IF('Full Sweep'!$C$4="Type-B",Parameters!$L$14,INDEX(Parameters!$D$14:$H$14,1,R128)+(INDEX(Parameters!$D$14:$H$14,1,R128+1)-INDEX(Parameters!$D$14:$H$14,1,R128))*U128)</f>
        <v>0.45500000000000002</v>
      </c>
      <c r="L128" s="45">
        <f>I128+J128</f>
        <v>5530</v>
      </c>
      <c r="M128" s="45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3300</v>
      </c>
      <c r="N128" s="45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0.30500000000000005</v>
      </c>
      <c r="O128" s="45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0.85</v>
      </c>
      <c r="P128" s="45">
        <f>M128*O128</f>
        <v>2805</v>
      </c>
      <c r="Q128" s="45">
        <f>MIN(4,MAX(1,INT((1+C128/Parameters!$D$23)*4)+1))</f>
        <v>4</v>
      </c>
      <c r="R128" s="45">
        <f>MIN(4,MAX(1,INT((1+D128/Parameters!$D$24)*4)+1))</f>
        <v>4</v>
      </c>
      <c r="S128" s="45">
        <f>MIN(4,MAX(1,INT((1+E128/Parameters!$D$26)*4)+1))</f>
        <v>4</v>
      </c>
      <c r="T128" s="45">
        <f>MAX(0,MIN(1,(1+C128/Parameters!$D$23)*4-(Q128-1)))</f>
        <v>0</v>
      </c>
      <c r="U128" s="45">
        <f>MAX(0,MIN(1,(1+D128/Parameters!$D$24)*4-(R128-1)))</f>
        <v>0</v>
      </c>
      <c r="V128" s="45">
        <f>MAX(0,MIN(1,(1+E128/Parameters!$D$26)*4-(S128-1)))</f>
        <v>0</v>
      </c>
    </row>
    <row r="129" spans="2:22" ht="25" customHeight="1">
      <c r="B129" s="43" t="str">
        <f>"c "&amp;C129&amp;" / C "&amp;D129</f>
        <v>c 0 / C 0</v>
      </c>
      <c r="C129" s="43">
        <f>Parameters!H7</f>
        <v>0</v>
      </c>
      <c r="D129" s="43">
        <f>Parameters!H8</f>
        <v>0</v>
      </c>
      <c r="E129" s="43">
        <f>Parameters!H16</f>
        <v>0</v>
      </c>
      <c r="F129" s="43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4200</v>
      </c>
      <c r="G129" s="43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0.1</v>
      </c>
      <c r="H129" s="43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0.9</v>
      </c>
      <c r="I129" s="43">
        <f>F129*H129</f>
        <v>3780</v>
      </c>
      <c r="J129" s="43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2900</v>
      </c>
      <c r="K129" s="43">
        <f>IF('Full Sweep'!$C$4="Type-B",Parameters!$L$14,INDEX(Parameters!$D$14:$H$14,1,R129)+(INDEX(Parameters!$D$14:$H$14,1,R129+1)-INDEX(Parameters!$D$14:$H$14,1,R129))*U129)</f>
        <v>0.46</v>
      </c>
      <c r="L129" s="43">
        <f>I129+J129</f>
        <v>6680</v>
      </c>
      <c r="M129" s="43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3800</v>
      </c>
      <c r="N129" s="43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0.33</v>
      </c>
      <c r="O129" s="43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0.82</v>
      </c>
      <c r="P129" s="43">
        <f>M129*O129</f>
        <v>3116</v>
      </c>
      <c r="Q129" s="43">
        <f>MIN(4,MAX(1,INT((1+C129/Parameters!$D$23)*4)+1))</f>
        <v>4</v>
      </c>
      <c r="R129" s="43">
        <f>MIN(4,MAX(1,INT((1+D129/Parameters!$D$24)*4)+1))</f>
        <v>4</v>
      </c>
      <c r="S129" s="43">
        <f>MIN(4,MAX(1,INT((1+E129/Parameters!$D$26)*4)+1))</f>
        <v>4</v>
      </c>
      <c r="T129" s="43">
        <f>MAX(0,MIN(1,(1+C129/Parameters!$D$23)*4-(Q129-1)))</f>
        <v>1</v>
      </c>
      <c r="U129" s="43">
        <f>MAX(0,MIN(1,(1+D129/Parameters!$D$24)*4-(R129-1)))</f>
        <v>1</v>
      </c>
      <c r="V129" s="43">
        <f>MAX(0,MIN(1,(1+E129/Parameters!$D$26)*4-(S129-1)))</f>
        <v>1</v>
      </c>
    </row>
    <row r="130" spans="2:22" ht="22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2:22" ht="22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2:22" ht="22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2:22" ht="30" customHeight="1">
      <c r="B133" s="50" t="str">
        <f>VLOOKUP("label.shaftVelocityMps",Locale!$A$2:$D$78,4,FALSE)</f>
        <v>轴速 (m/s)</v>
      </c>
      <c r="C133" s="51" t="str">
        <f>B125</f>
        <v>c -24 / C -20</v>
      </c>
      <c r="D133" s="51" t="str">
        <f>B126</f>
        <v>c -18 / C -15</v>
      </c>
      <c r="E133" s="51" t="str">
        <f>B127</f>
        <v>c -12 / C -10</v>
      </c>
      <c r="F133" s="51" t="str">
        <f>B128</f>
        <v>c -6 / C -5</v>
      </c>
      <c r="G133" s="51" t="str">
        <f>B129</f>
        <v>c 0 / C 0</v>
      </c>
      <c r="H133" s="51" t="str">
        <f>"R "&amp;E125</f>
        <v>R -40</v>
      </c>
      <c r="I133" s="51" t="str">
        <f>"R "&amp;E126</f>
        <v>R -30</v>
      </c>
      <c r="J133" s="51" t="str">
        <f>"R "&amp;E127</f>
        <v>R -20</v>
      </c>
      <c r="K133" s="51" t="str">
        <f>"R "&amp;E128</f>
        <v>R -10</v>
      </c>
      <c r="L133" s="51" t="str">
        <f>"R "&amp;E129</f>
        <v>R 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2:22" ht="25" customHeight="1">
      <c r="B134" s="52">
        <v>0</v>
      </c>
      <c r="C134" s="52">
        <f t="shared" ref="C134:C154" si="15">$F$125*MIN($B134,$G$125)+$I$125*MAX(0,$B134-$G$125)+$J$125*MAX(0,$B134-$K$125)</f>
        <v>0</v>
      </c>
      <c r="D134" s="52">
        <f t="shared" ref="D134:D154" si="16">$F$126*MIN($B134,$G$126)+$I$126*MAX(0,$B134-$G$126)+$J$126*MAX(0,$B134-$K$126)</f>
        <v>0</v>
      </c>
      <c r="E134" s="52">
        <f t="shared" ref="E134:E154" si="17">$F$127*MIN($B134,$G$127)+$I$127*MAX(0,$B134-$G$127)+$J$127*MAX(0,$B134-$K$127)</f>
        <v>0</v>
      </c>
      <c r="F134" s="52">
        <f t="shared" ref="F134:F154" si="18">$F$128*MIN($B134,$G$128)+$I$128*MAX(0,$B134-$G$128)+$J$128*MAX(0,$B134-$K$128)</f>
        <v>0</v>
      </c>
      <c r="G134" s="52">
        <f t="shared" ref="G134:G154" si="19">$F$129*MIN($B134,$G$129)+$I$129*MAX(0,$B134-$G$129)+$J$129*MAX(0,$B134-$K$129)</f>
        <v>0</v>
      </c>
      <c r="H134" s="52">
        <f t="shared" ref="H134:H154" si="20">-($M$125*MIN($B134,$N$125)+$P$125*MAX(0,$B134-$N$125))</f>
        <v>0</v>
      </c>
      <c r="I134" s="52">
        <f t="shared" ref="I134:I154" si="21">-($M$126*MIN($B134,$N$126)+$P$126*MAX(0,$B134-$N$126))</f>
        <v>0</v>
      </c>
      <c r="J134" s="52">
        <f t="shared" ref="J134:J154" si="22">-($M$127*MIN($B134,$N$127)+$P$127*MAX(0,$B134-$N$127))</f>
        <v>0</v>
      </c>
      <c r="K134" s="52">
        <f t="shared" ref="K134:K154" si="23">-($M$128*MIN($B134,$N$128)+$P$128*MAX(0,$B134-$N$128))</f>
        <v>0</v>
      </c>
      <c r="L134" s="52">
        <f t="shared" ref="L134:L154" si="24">-($M$129*MIN($B134,$N$129)+$P$129*MAX(0,$B134-$N$129))</f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2:22" ht="25" customHeight="1">
      <c r="B135" s="53">
        <v>0.05</v>
      </c>
      <c r="C135" s="53">
        <f t="shared" si="15"/>
        <v>90</v>
      </c>
      <c r="D135" s="53">
        <f t="shared" si="16"/>
        <v>120</v>
      </c>
      <c r="E135" s="53">
        <f t="shared" si="17"/>
        <v>150</v>
      </c>
      <c r="F135" s="53">
        <f t="shared" si="18"/>
        <v>180</v>
      </c>
      <c r="G135" s="53">
        <f t="shared" si="19"/>
        <v>210</v>
      </c>
      <c r="H135" s="53">
        <f t="shared" si="20"/>
        <v>-90</v>
      </c>
      <c r="I135" s="53">
        <f t="shared" si="21"/>
        <v>-115</v>
      </c>
      <c r="J135" s="53">
        <f t="shared" si="22"/>
        <v>-140</v>
      </c>
      <c r="K135" s="53">
        <f t="shared" si="23"/>
        <v>-165</v>
      </c>
      <c r="L135" s="53">
        <f t="shared" si="24"/>
        <v>-190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2:22" ht="25" customHeight="1">
      <c r="B136" s="52">
        <v>0.1</v>
      </c>
      <c r="C136" s="52">
        <f t="shared" si="15"/>
        <v>180</v>
      </c>
      <c r="D136" s="52">
        <f t="shared" si="16"/>
        <v>240</v>
      </c>
      <c r="E136" s="52">
        <f t="shared" si="17"/>
        <v>300</v>
      </c>
      <c r="F136" s="52">
        <f t="shared" si="18"/>
        <v>360</v>
      </c>
      <c r="G136" s="52">
        <f t="shared" si="19"/>
        <v>420</v>
      </c>
      <c r="H136" s="52">
        <f t="shared" si="20"/>
        <v>-180</v>
      </c>
      <c r="I136" s="52">
        <f t="shared" si="21"/>
        <v>-230</v>
      </c>
      <c r="J136" s="52">
        <f t="shared" si="22"/>
        <v>-280</v>
      </c>
      <c r="K136" s="52">
        <f t="shared" si="23"/>
        <v>-330</v>
      </c>
      <c r="L136" s="52">
        <f t="shared" si="24"/>
        <v>-380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2:22" ht="25" customHeight="1">
      <c r="B137" s="53">
        <v>0.15</v>
      </c>
      <c r="C137" s="53">
        <f t="shared" si="15"/>
        <v>270</v>
      </c>
      <c r="D137" s="53">
        <f t="shared" si="16"/>
        <v>357</v>
      </c>
      <c r="E137" s="53">
        <f t="shared" si="17"/>
        <v>442.5</v>
      </c>
      <c r="F137" s="53">
        <f t="shared" si="18"/>
        <v>526.5</v>
      </c>
      <c r="G137" s="53">
        <f t="shared" si="19"/>
        <v>609</v>
      </c>
      <c r="H137" s="53">
        <f t="shared" si="20"/>
        <v>-270</v>
      </c>
      <c r="I137" s="53">
        <f t="shared" si="21"/>
        <v>-345</v>
      </c>
      <c r="J137" s="53">
        <f t="shared" si="22"/>
        <v>-420</v>
      </c>
      <c r="K137" s="53">
        <f t="shared" si="23"/>
        <v>-495</v>
      </c>
      <c r="L137" s="53">
        <f t="shared" si="24"/>
        <v>-570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2:22" ht="25" customHeight="1">
      <c r="B138" s="52">
        <v>0.2</v>
      </c>
      <c r="C138" s="52">
        <f t="shared" si="15"/>
        <v>360</v>
      </c>
      <c r="D138" s="52">
        <f t="shared" si="16"/>
        <v>474</v>
      </c>
      <c r="E138" s="52">
        <f t="shared" si="17"/>
        <v>585</v>
      </c>
      <c r="F138" s="52">
        <f t="shared" si="18"/>
        <v>693</v>
      </c>
      <c r="G138" s="52">
        <f t="shared" si="19"/>
        <v>798</v>
      </c>
      <c r="H138" s="52">
        <f t="shared" si="20"/>
        <v>-360</v>
      </c>
      <c r="I138" s="52">
        <f t="shared" si="21"/>
        <v>-460</v>
      </c>
      <c r="J138" s="52">
        <f t="shared" si="22"/>
        <v>-560</v>
      </c>
      <c r="K138" s="52">
        <f t="shared" si="23"/>
        <v>-660</v>
      </c>
      <c r="L138" s="52">
        <f t="shared" si="24"/>
        <v>-760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2:22" ht="25" customHeight="1">
      <c r="B139" s="53">
        <v>0.25</v>
      </c>
      <c r="C139" s="53">
        <f t="shared" si="15"/>
        <v>450</v>
      </c>
      <c r="D139" s="53">
        <f t="shared" si="16"/>
        <v>591</v>
      </c>
      <c r="E139" s="53">
        <f t="shared" si="17"/>
        <v>727.5</v>
      </c>
      <c r="F139" s="53">
        <f t="shared" si="18"/>
        <v>859.5</v>
      </c>
      <c r="G139" s="53">
        <f t="shared" si="19"/>
        <v>987</v>
      </c>
      <c r="H139" s="53">
        <f t="shared" si="20"/>
        <v>-447.84</v>
      </c>
      <c r="I139" s="53">
        <f t="shared" si="21"/>
        <v>-575</v>
      </c>
      <c r="J139" s="53">
        <f t="shared" si="22"/>
        <v>-700</v>
      </c>
      <c r="K139" s="53">
        <f t="shared" si="23"/>
        <v>-825</v>
      </c>
      <c r="L139" s="53">
        <f t="shared" si="24"/>
        <v>-950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2:22" ht="25" customHeight="1">
      <c r="B140" s="52">
        <v>0.3</v>
      </c>
      <c r="C140" s="52">
        <f t="shared" si="15"/>
        <v>540</v>
      </c>
      <c r="D140" s="52">
        <f t="shared" si="16"/>
        <v>708</v>
      </c>
      <c r="E140" s="52">
        <f t="shared" si="17"/>
        <v>870</v>
      </c>
      <c r="F140" s="52">
        <f t="shared" si="18"/>
        <v>1026</v>
      </c>
      <c r="G140" s="52">
        <f t="shared" si="19"/>
        <v>1176</v>
      </c>
      <c r="H140" s="52">
        <f t="shared" si="20"/>
        <v>-532.43999999999994</v>
      </c>
      <c r="I140" s="52">
        <f t="shared" si="21"/>
        <v>-680.68499999999995</v>
      </c>
      <c r="J140" s="52">
        <f t="shared" si="22"/>
        <v>-833.28</v>
      </c>
      <c r="K140" s="52">
        <f t="shared" si="23"/>
        <v>-990</v>
      </c>
      <c r="L140" s="52">
        <f t="shared" si="24"/>
        <v>-1140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2:22" ht="25" customHeight="1">
      <c r="B141" s="53">
        <v>0.35</v>
      </c>
      <c r="C141" s="53">
        <f t="shared" si="15"/>
        <v>630</v>
      </c>
      <c r="D141" s="53">
        <f t="shared" si="16"/>
        <v>824.99999999999989</v>
      </c>
      <c r="E141" s="53">
        <f t="shared" si="17"/>
        <v>1012.4999999999999</v>
      </c>
      <c r="F141" s="53">
        <f t="shared" si="18"/>
        <v>1192.5</v>
      </c>
      <c r="G141" s="53">
        <f t="shared" si="19"/>
        <v>1365</v>
      </c>
      <c r="H141" s="53">
        <f t="shared" si="20"/>
        <v>-617.04</v>
      </c>
      <c r="I141" s="53">
        <f t="shared" si="21"/>
        <v>-785.33499999999992</v>
      </c>
      <c r="J141" s="53">
        <f t="shared" si="22"/>
        <v>-956.48</v>
      </c>
      <c r="K141" s="53">
        <f t="shared" si="23"/>
        <v>-1132.7249999999999</v>
      </c>
      <c r="L141" s="53">
        <f t="shared" si="24"/>
        <v>-1316.32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2:22" ht="25" customHeight="1">
      <c r="B142" s="52">
        <v>0.4</v>
      </c>
      <c r="C142" s="52">
        <f t="shared" si="15"/>
        <v>720.00000000000011</v>
      </c>
      <c r="D142" s="52">
        <f t="shared" si="16"/>
        <v>942.00000000000011</v>
      </c>
      <c r="E142" s="52">
        <f t="shared" si="17"/>
        <v>1155</v>
      </c>
      <c r="F142" s="52">
        <f t="shared" si="18"/>
        <v>1359</v>
      </c>
      <c r="G142" s="52">
        <f t="shared" si="19"/>
        <v>1554.0000000000002</v>
      </c>
      <c r="H142" s="52">
        <f t="shared" si="20"/>
        <v>-701.6400000000001</v>
      </c>
      <c r="I142" s="52">
        <f t="shared" si="21"/>
        <v>-889.98500000000001</v>
      </c>
      <c r="J142" s="52">
        <f t="shared" si="22"/>
        <v>-1079.68</v>
      </c>
      <c r="K142" s="52">
        <f t="shared" si="23"/>
        <v>-1272.9749999999999</v>
      </c>
      <c r="L142" s="52">
        <f t="shared" si="24"/>
        <v>-1472.1200000000001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2:22" ht="25" customHeight="1">
      <c r="B143" s="53">
        <v>0.45</v>
      </c>
      <c r="C143" s="53">
        <f t="shared" si="15"/>
        <v>811</v>
      </c>
      <c r="D143" s="53">
        <f t="shared" si="16"/>
        <v>1063</v>
      </c>
      <c r="E143" s="53">
        <f t="shared" si="17"/>
        <v>1297.5</v>
      </c>
      <c r="F143" s="53">
        <f t="shared" si="18"/>
        <v>1525.5</v>
      </c>
      <c r="G143" s="53">
        <f t="shared" si="19"/>
        <v>1743</v>
      </c>
      <c r="H143" s="53">
        <f t="shared" si="20"/>
        <v>-786.24</v>
      </c>
      <c r="I143" s="53">
        <f t="shared" si="21"/>
        <v>-994.63499999999999</v>
      </c>
      <c r="J143" s="53">
        <f t="shared" si="22"/>
        <v>-1202.8800000000001</v>
      </c>
      <c r="K143" s="53">
        <f t="shared" si="23"/>
        <v>-1413.2249999999999</v>
      </c>
      <c r="L143" s="53">
        <f t="shared" si="24"/>
        <v>-1627.92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2:22" ht="25" customHeight="1">
      <c r="B144" s="52">
        <v>0.5</v>
      </c>
      <c r="C144" s="52">
        <f t="shared" si="15"/>
        <v>906</v>
      </c>
      <c r="D144" s="52">
        <f t="shared" si="16"/>
        <v>1220</v>
      </c>
      <c r="E144" s="52">
        <f t="shared" si="17"/>
        <v>1515</v>
      </c>
      <c r="F144" s="52">
        <f t="shared" si="18"/>
        <v>1791</v>
      </c>
      <c r="G144" s="52">
        <f t="shared" si="19"/>
        <v>2048</v>
      </c>
      <c r="H144" s="52">
        <f t="shared" si="20"/>
        <v>-870.84</v>
      </c>
      <c r="I144" s="52">
        <f t="shared" si="21"/>
        <v>-1099.2849999999999</v>
      </c>
      <c r="J144" s="52">
        <f t="shared" si="22"/>
        <v>-1326.08</v>
      </c>
      <c r="K144" s="52">
        <f t="shared" si="23"/>
        <v>-1553.4749999999999</v>
      </c>
      <c r="L144" s="52">
        <f t="shared" si="24"/>
        <v>-1783.7199999999998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2:22" ht="25" customHeight="1">
      <c r="B145" s="53">
        <v>0.55000000000000004</v>
      </c>
      <c r="C145" s="53">
        <f t="shared" si="15"/>
        <v>1001.0000000000001</v>
      </c>
      <c r="D145" s="53">
        <f t="shared" si="16"/>
        <v>1377.0000000000002</v>
      </c>
      <c r="E145" s="53">
        <f t="shared" si="17"/>
        <v>1732.5000000000002</v>
      </c>
      <c r="F145" s="53">
        <f t="shared" si="18"/>
        <v>2067.5000000000005</v>
      </c>
      <c r="G145" s="53">
        <f t="shared" si="19"/>
        <v>2382</v>
      </c>
      <c r="H145" s="53">
        <f t="shared" si="20"/>
        <v>-955.44</v>
      </c>
      <c r="I145" s="53">
        <f t="shared" si="21"/>
        <v>-1203.9349999999999</v>
      </c>
      <c r="J145" s="53">
        <f t="shared" si="22"/>
        <v>-1449.2800000000002</v>
      </c>
      <c r="K145" s="53">
        <f t="shared" si="23"/>
        <v>-1693.7250000000001</v>
      </c>
      <c r="L145" s="53">
        <f t="shared" si="24"/>
        <v>-1939.52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2:22" ht="25" customHeight="1">
      <c r="B146" s="52">
        <v>0.6</v>
      </c>
      <c r="C146" s="52">
        <f t="shared" si="15"/>
        <v>1096</v>
      </c>
      <c r="D146" s="52">
        <f t="shared" si="16"/>
        <v>1534</v>
      </c>
      <c r="E146" s="52">
        <f t="shared" si="17"/>
        <v>1950</v>
      </c>
      <c r="F146" s="52">
        <f t="shared" si="18"/>
        <v>2344</v>
      </c>
      <c r="G146" s="52">
        <f t="shared" si="19"/>
        <v>2716</v>
      </c>
      <c r="H146" s="52">
        <f t="shared" si="20"/>
        <v>-1040.04</v>
      </c>
      <c r="I146" s="52">
        <f t="shared" si="21"/>
        <v>-1308.585</v>
      </c>
      <c r="J146" s="52">
        <f t="shared" si="22"/>
        <v>-1572.48</v>
      </c>
      <c r="K146" s="52">
        <f t="shared" si="23"/>
        <v>-1833.9749999999999</v>
      </c>
      <c r="L146" s="52">
        <f t="shared" si="24"/>
        <v>-2095.3199999999997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2:22" ht="25" customHeight="1">
      <c r="B147" s="53">
        <v>0.65</v>
      </c>
      <c r="C147" s="53">
        <f t="shared" si="15"/>
        <v>1191</v>
      </c>
      <c r="D147" s="53">
        <f t="shared" si="16"/>
        <v>1691</v>
      </c>
      <c r="E147" s="53">
        <f t="shared" si="17"/>
        <v>2167.5</v>
      </c>
      <c r="F147" s="53">
        <f t="shared" si="18"/>
        <v>2620.5</v>
      </c>
      <c r="G147" s="53">
        <f t="shared" si="19"/>
        <v>3050</v>
      </c>
      <c r="H147" s="53">
        <f t="shared" si="20"/>
        <v>-1124.6400000000001</v>
      </c>
      <c r="I147" s="53">
        <f t="shared" si="21"/>
        <v>-1413.2350000000001</v>
      </c>
      <c r="J147" s="53">
        <f t="shared" si="22"/>
        <v>-1695.68</v>
      </c>
      <c r="K147" s="53">
        <f t="shared" si="23"/>
        <v>-1974.2249999999999</v>
      </c>
      <c r="L147" s="53">
        <f t="shared" si="24"/>
        <v>-2251.12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2:22" ht="25" customHeight="1">
      <c r="B148" s="52">
        <v>0.7</v>
      </c>
      <c r="C148" s="52">
        <f t="shared" si="15"/>
        <v>1286</v>
      </c>
      <c r="D148" s="52">
        <f t="shared" si="16"/>
        <v>1848</v>
      </c>
      <c r="E148" s="52">
        <f t="shared" si="17"/>
        <v>2385</v>
      </c>
      <c r="F148" s="52">
        <f t="shared" si="18"/>
        <v>2897</v>
      </c>
      <c r="G148" s="52">
        <f t="shared" si="19"/>
        <v>3384</v>
      </c>
      <c r="H148" s="52">
        <f t="shared" si="20"/>
        <v>-1209.24</v>
      </c>
      <c r="I148" s="52">
        <f t="shared" si="21"/>
        <v>-1517.8849999999998</v>
      </c>
      <c r="J148" s="52">
        <f t="shared" si="22"/>
        <v>-1818.88</v>
      </c>
      <c r="K148" s="52">
        <f t="shared" si="23"/>
        <v>-2114.4749999999999</v>
      </c>
      <c r="L148" s="52">
        <f t="shared" si="24"/>
        <v>-2406.92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2:22" ht="25" customHeight="1">
      <c r="B149" s="53">
        <v>0.75</v>
      </c>
      <c r="C149" s="53">
        <f t="shared" si="15"/>
        <v>1381</v>
      </c>
      <c r="D149" s="53">
        <f t="shared" si="16"/>
        <v>2005</v>
      </c>
      <c r="E149" s="53">
        <f t="shared" si="17"/>
        <v>2602.5</v>
      </c>
      <c r="F149" s="53">
        <f t="shared" si="18"/>
        <v>3173.5</v>
      </c>
      <c r="G149" s="53">
        <f t="shared" si="19"/>
        <v>3718</v>
      </c>
      <c r="H149" s="53">
        <f t="shared" si="20"/>
        <v>-1293.8400000000001</v>
      </c>
      <c r="I149" s="53">
        <f t="shared" si="21"/>
        <v>-1622.5350000000001</v>
      </c>
      <c r="J149" s="53">
        <f t="shared" si="22"/>
        <v>-1942.08</v>
      </c>
      <c r="K149" s="53">
        <f t="shared" si="23"/>
        <v>-2254.7249999999999</v>
      </c>
      <c r="L149" s="53">
        <f t="shared" si="24"/>
        <v>-2562.7200000000003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2:22" ht="25" customHeight="1">
      <c r="B150" s="52">
        <v>0.8</v>
      </c>
      <c r="C150" s="52">
        <f t="shared" si="15"/>
        <v>1476.0000000000002</v>
      </c>
      <c r="D150" s="52">
        <f t="shared" si="16"/>
        <v>2162.0000000000005</v>
      </c>
      <c r="E150" s="52">
        <f t="shared" si="17"/>
        <v>2820</v>
      </c>
      <c r="F150" s="52">
        <f t="shared" si="18"/>
        <v>3450</v>
      </c>
      <c r="G150" s="52">
        <f t="shared" si="19"/>
        <v>4052.0000000000005</v>
      </c>
      <c r="H150" s="52">
        <f t="shared" si="20"/>
        <v>-1378.44</v>
      </c>
      <c r="I150" s="52">
        <f t="shared" si="21"/>
        <v>-1727.1850000000002</v>
      </c>
      <c r="J150" s="52">
        <f t="shared" si="22"/>
        <v>-2065.2800000000002</v>
      </c>
      <c r="K150" s="52">
        <f t="shared" si="23"/>
        <v>-2394.9749999999999</v>
      </c>
      <c r="L150" s="52">
        <f t="shared" si="24"/>
        <v>-2718.52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2:22" ht="25" customHeight="1">
      <c r="B151" s="53">
        <v>0.85</v>
      </c>
      <c r="C151" s="53">
        <f t="shared" si="15"/>
        <v>1571</v>
      </c>
      <c r="D151" s="53">
        <f t="shared" si="16"/>
        <v>2319</v>
      </c>
      <c r="E151" s="53">
        <f t="shared" si="17"/>
        <v>3037.5</v>
      </c>
      <c r="F151" s="53">
        <f t="shared" si="18"/>
        <v>3726.5</v>
      </c>
      <c r="G151" s="53">
        <f t="shared" si="19"/>
        <v>4386</v>
      </c>
      <c r="H151" s="53">
        <f t="shared" si="20"/>
        <v>-1463.04</v>
      </c>
      <c r="I151" s="53">
        <f t="shared" si="21"/>
        <v>-1831.835</v>
      </c>
      <c r="J151" s="53">
        <f t="shared" si="22"/>
        <v>-2188.48</v>
      </c>
      <c r="K151" s="53">
        <f t="shared" si="23"/>
        <v>-2535.2249999999999</v>
      </c>
      <c r="L151" s="53">
        <f t="shared" si="24"/>
        <v>-2874.32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2:22" ht="25" customHeight="1">
      <c r="B152" s="52">
        <v>0.9</v>
      </c>
      <c r="C152" s="52">
        <f t="shared" si="15"/>
        <v>1666</v>
      </c>
      <c r="D152" s="52">
        <f t="shared" si="16"/>
        <v>2476</v>
      </c>
      <c r="E152" s="52">
        <f t="shared" si="17"/>
        <v>3255</v>
      </c>
      <c r="F152" s="52">
        <f t="shared" si="18"/>
        <v>4003</v>
      </c>
      <c r="G152" s="52">
        <f t="shared" si="19"/>
        <v>4720</v>
      </c>
      <c r="H152" s="52">
        <f t="shared" si="20"/>
        <v>-1547.64</v>
      </c>
      <c r="I152" s="52">
        <f t="shared" si="21"/>
        <v>-1936.4850000000001</v>
      </c>
      <c r="J152" s="52">
        <f t="shared" si="22"/>
        <v>-2311.6800000000003</v>
      </c>
      <c r="K152" s="52">
        <f t="shared" si="23"/>
        <v>-2675.4749999999999</v>
      </c>
      <c r="L152" s="52">
        <f t="shared" si="24"/>
        <v>-3030.12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2:22" ht="25" customHeight="1">
      <c r="B153" s="53">
        <v>0.95</v>
      </c>
      <c r="C153" s="53">
        <f t="shared" si="15"/>
        <v>1761</v>
      </c>
      <c r="D153" s="53">
        <f t="shared" si="16"/>
        <v>2633</v>
      </c>
      <c r="E153" s="53">
        <f t="shared" si="17"/>
        <v>3472.5</v>
      </c>
      <c r="F153" s="53">
        <f t="shared" si="18"/>
        <v>4279.5</v>
      </c>
      <c r="G153" s="53">
        <f t="shared" si="19"/>
        <v>5054</v>
      </c>
      <c r="H153" s="53">
        <f t="shared" si="20"/>
        <v>-1632.24</v>
      </c>
      <c r="I153" s="53">
        <f t="shared" si="21"/>
        <v>-2041.135</v>
      </c>
      <c r="J153" s="53">
        <f t="shared" si="22"/>
        <v>-2434.88</v>
      </c>
      <c r="K153" s="53">
        <f t="shared" si="23"/>
        <v>-2815.7249999999999</v>
      </c>
      <c r="L153" s="53">
        <f t="shared" si="24"/>
        <v>-3185.9199999999996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2:22" ht="25" customHeight="1">
      <c r="B154" s="52">
        <v>1</v>
      </c>
      <c r="C154" s="52">
        <f t="shared" si="15"/>
        <v>1856</v>
      </c>
      <c r="D154" s="52">
        <f t="shared" si="16"/>
        <v>2790</v>
      </c>
      <c r="E154" s="52">
        <f t="shared" si="17"/>
        <v>3690</v>
      </c>
      <c r="F154" s="52">
        <f t="shared" si="18"/>
        <v>4556</v>
      </c>
      <c r="G154" s="52">
        <f t="shared" si="19"/>
        <v>5388</v>
      </c>
      <c r="H154" s="52">
        <f t="shared" si="20"/>
        <v>-1716.84</v>
      </c>
      <c r="I154" s="52">
        <f t="shared" si="21"/>
        <v>-2145.7849999999999</v>
      </c>
      <c r="J154" s="52">
        <f t="shared" si="22"/>
        <v>-2558.08</v>
      </c>
      <c r="K154" s="52">
        <f t="shared" si="23"/>
        <v>-2955.9749999999999</v>
      </c>
      <c r="L154" s="52">
        <f t="shared" si="24"/>
        <v>-3341.72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2:22" ht="22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2:22" ht="22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2:22" ht="22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61" spans="2:22" ht="32.15" customHeight="1">
      <c r="B161" s="70" t="str">
        <f>VLOOKUP("label.calculator",Locale!$A$2:$D$78,4,FALSE)</f>
        <v>计算器</v>
      </c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</row>
    <row r="164" spans="2:22" ht="44.15" customHeight="1">
      <c r="B164" s="54" t="str">
        <f>VLOOKUP("label.curve",Locale!$A$2:$D$78,4,FALSE)</f>
        <v>曲线</v>
      </c>
      <c r="C164" s="55" t="s">
        <v>46</v>
      </c>
      <c r="D164" s="55" t="s">
        <v>47</v>
      </c>
      <c r="E164" s="55" t="s">
        <v>48</v>
      </c>
      <c r="F164" s="55" t="s">
        <v>23</v>
      </c>
      <c r="G164" s="54" t="str">
        <f>VLOOKUP("label.firstKnee",Locale!$A$2:$D$78,4,FALSE)</f>
        <v>第一拐点</v>
      </c>
      <c r="H164" s="54" t="str">
        <f>VLOOKUP("label.bump2Multiplier",Locale!$A$2:$D$78,4,FALSE)</f>
        <v>bump2 倍率</v>
      </c>
      <c r="I164" s="55" t="s">
        <v>26</v>
      </c>
      <c r="J164" s="55" t="s">
        <v>50</v>
      </c>
      <c r="K164" s="54" t="str">
        <f>VLOOKUP("label.secondKnee",Locale!$A$2:$D$78,4,FALSE)</f>
        <v>第二拐点</v>
      </c>
      <c r="L164" s="54" t="str">
        <f>VLOOKUP("label.totalHsCoefficient",Locale!$A$2:$D$78,4,FALSE)</f>
        <v>总 HS 系数</v>
      </c>
      <c r="M164" s="55" t="str">
        <f>VLOOKUP("label.rebound",Locale!$A$2:$D$78,4,FALSE)</f>
        <v>回弹</v>
      </c>
      <c r="N164" s="55" t="str">
        <f>VLOOKUP("label.reboundKnee",Locale!$A$2:$D$78,4,FALSE)</f>
        <v>回弹拐点</v>
      </c>
      <c r="O164" s="54" t="str">
        <f>VLOOKUP("label.hsrMultiplier",Locale!$A$2:$D$78,4,FALSE)</f>
        <v>HSR 倍率</v>
      </c>
      <c r="P164" s="55" t="s">
        <v>30</v>
      </c>
      <c r="Q164" s="54" t="str">
        <f>VLOOKUP("label.lscRange",Locale!$A$2:$D$78,4,FALSE)</f>
        <v>LSC 区间</v>
      </c>
      <c r="R164" s="54" t="str">
        <f>VLOOKUP("label.hscRange",Locale!$A$2:$D$78,4,FALSE)</f>
        <v>HSC 区间</v>
      </c>
      <c r="S164" s="54" t="str">
        <f>VLOOKUP("label.lsrRange",Locale!$A$2:$D$78,4,FALSE)</f>
        <v>LSR 区间</v>
      </c>
      <c r="T164" s="54" t="str">
        <f>VLOOKUP("label.lscRangePosition",Locale!$A$2:$D$78,4,FALSE)</f>
        <v>LSC 区间位置</v>
      </c>
      <c r="U164" s="54" t="str">
        <f>VLOOKUP("label.hscRangePosition",Locale!$A$2:$D$78,4,FALSE)</f>
        <v>HSC 区间位置</v>
      </c>
      <c r="V164" s="54" t="str">
        <f>VLOOKUP("label.lsrRangePosition",Locale!$A$2:$D$78,4,FALSE)</f>
        <v>LSR 区间位置</v>
      </c>
    </row>
    <row r="165" spans="2:22" ht="25" customHeight="1">
      <c r="B165" s="57"/>
      <c r="C165" s="56">
        <f>Calculator!C7</f>
        <v>-8</v>
      </c>
      <c r="D165" s="56">
        <f>Calculator!C8</f>
        <v>-10</v>
      </c>
      <c r="E165" s="56">
        <f>Calculator!C9</f>
        <v>-24</v>
      </c>
      <c r="F165" s="56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3400</v>
      </c>
      <c r="G165" s="56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0.1</v>
      </c>
      <c r="H165" s="56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0.93333333333333335</v>
      </c>
      <c r="I165" s="56">
        <f>F165*H165</f>
        <v>3173.3333333333335</v>
      </c>
      <c r="J165" s="56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1500</v>
      </c>
      <c r="K165" s="56">
        <f>IF(Calculator!$C$4="Type-B",Parameters!$L$14,INDEX(Parameters!$D$14:$H$14,1,R165)+(INDEX(Parameters!$D$14:$H$14,1,R165+1)-INDEX(Parameters!$D$14:$H$14,1,R165))*U165)</f>
        <v>0.45</v>
      </c>
      <c r="L165" s="56">
        <f>I165+J165</f>
        <v>4673.3333333333339</v>
      </c>
      <c r="M165" s="56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2600</v>
      </c>
      <c r="N165" s="56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0.27</v>
      </c>
      <c r="O165" s="56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0.89200000000000002</v>
      </c>
      <c r="P165" s="56">
        <f>M165*O165</f>
        <v>2319.1999999999998</v>
      </c>
      <c r="Q165" s="56">
        <f>MIN(4,MAX(1,INT((1+C165/Parameters!$D$23)*4)+1))</f>
        <v>3</v>
      </c>
      <c r="R165" s="56">
        <f>MIN(4,MAX(1,INT((1+D165/Calculator!$C$14)*4)+1))</f>
        <v>3</v>
      </c>
      <c r="S165" s="56">
        <f>MIN(4,MAX(1,INT((1+E165/Calculator!$C$15)*4)+1))</f>
        <v>2</v>
      </c>
      <c r="T165" s="56">
        <f>MAX(0,MIN(1,(1+C165/Parameters!$D$23)*4-(Q165-1)))</f>
        <v>0.66666666666666696</v>
      </c>
      <c r="U165" s="56">
        <f>MAX(0,MIN(1,(1+D165/Calculator!$C$14)*4-(R165-1)))</f>
        <v>0</v>
      </c>
      <c r="V165" s="56">
        <f>MAX(0,MIN(1,(1+E165/Calculator!$C$15)*4-(S165-1)))</f>
        <v>0.60000000000000009</v>
      </c>
    </row>
  </sheetData>
  <mergeCells count="5">
    <mergeCell ref="B1:V1"/>
    <mergeCell ref="B41:V41"/>
    <mergeCell ref="B81:V81"/>
    <mergeCell ref="B121:V121"/>
    <mergeCell ref="B161:V161"/>
  </mergeCells>
  <phoneticPr fontId="7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Catalog</vt:lpstr>
      <vt:lpstr>Calculator</vt:lpstr>
      <vt:lpstr>LSC Sweep</vt:lpstr>
      <vt:lpstr>HSC Sweep</vt:lpstr>
      <vt:lpstr>LSR Sweep</vt:lpstr>
      <vt:lpstr>Full Sweep</vt:lpstr>
      <vt:lpstr>Parameters</vt:lpstr>
      <vt:lpstr>Locale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cp:lastPrinted>2026-10-27T06:16:17Z</cp:lastPrinted>
  <dcterms:modified xsi:type="dcterms:W3CDTF">2026-10-28T14:34:35Z</dcterms:modified>
</cp:coreProperties>
</file>