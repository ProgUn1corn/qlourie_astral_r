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79302521-1A9C-4A95-8749-4729A2FFA92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5" i="7" l="1"/>
  <c r="D165" i="7"/>
  <c r="C165" i="7"/>
  <c r="C49" i="7"/>
  <c r="C48" i="7"/>
  <c r="C47" i="7"/>
  <c r="C46" i="7"/>
  <c r="C45" i="7"/>
  <c r="D9" i="7"/>
  <c r="D8" i="7"/>
  <c r="D7" i="7"/>
  <c r="D6" i="7"/>
  <c r="D5" i="7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G16" i="5"/>
  <c r="F16" i="5"/>
  <c r="E16" i="5"/>
  <c r="D16" i="5"/>
  <c r="N14" i="5"/>
  <c r="M14" i="5"/>
  <c r="K14" i="5"/>
  <c r="J14" i="5"/>
  <c r="G14" i="5"/>
  <c r="E14" i="5"/>
  <c r="M13" i="5"/>
  <c r="K13" i="5"/>
  <c r="G13" i="5"/>
  <c r="E13" i="5"/>
  <c r="M12" i="5"/>
  <c r="K12" i="5"/>
  <c r="G12" i="5"/>
  <c r="E12" i="5"/>
  <c r="M11" i="5"/>
  <c r="K11" i="5"/>
  <c r="G11" i="5"/>
  <c r="E11" i="5"/>
  <c r="M10" i="5"/>
  <c r="K10" i="5"/>
  <c r="G10" i="5"/>
  <c r="E10" i="5"/>
  <c r="H8" i="5"/>
  <c r="G8" i="5"/>
  <c r="F8" i="5"/>
  <c r="E8" i="5"/>
  <c r="D8" i="5"/>
  <c r="H7" i="5"/>
  <c r="G7" i="5"/>
  <c r="F7" i="5"/>
  <c r="E7" i="5"/>
  <c r="D7" i="5"/>
  <c r="N6" i="5"/>
  <c r="M6" i="5"/>
  <c r="L6" i="5"/>
  <c r="K6" i="5"/>
  <c r="J6" i="5"/>
  <c r="C15" i="6"/>
  <c r="C14" i="6"/>
  <c r="C13" i="6"/>
  <c r="C18" i="6" s="1"/>
  <c r="F9" i="8"/>
  <c r="E9" i="8"/>
  <c r="F8" i="8"/>
  <c r="E8" i="8"/>
  <c r="F7" i="8"/>
  <c r="E7" i="8"/>
  <c r="S165" i="7" l="1"/>
  <c r="V165" i="7" s="1"/>
  <c r="R165" i="7"/>
  <c r="U165" i="7" s="1"/>
  <c r="Q165" i="7"/>
  <c r="T165" i="7" s="1"/>
  <c r="Q49" i="7"/>
  <c r="T49" i="7" s="1"/>
  <c r="Q48" i="7"/>
  <c r="T48" i="7" s="1"/>
  <c r="Q47" i="7"/>
  <c r="T47" i="7" s="1"/>
  <c r="Q46" i="7"/>
  <c r="T46" i="7" s="1"/>
  <c r="Q45" i="7"/>
  <c r="T45" i="7" s="1"/>
  <c r="R9" i="7"/>
  <c r="U9" i="7" s="1"/>
  <c r="R8" i="7"/>
  <c r="U8" i="7" s="1"/>
  <c r="R7" i="7"/>
  <c r="U7" i="7" s="1"/>
  <c r="R6" i="7"/>
  <c r="U6" i="7" s="1"/>
  <c r="R5" i="7"/>
  <c r="U5" i="7" s="1"/>
  <c r="E49" i="7"/>
  <c r="E129" i="7"/>
  <c r="E89" i="7"/>
  <c r="E9" i="7"/>
  <c r="E48" i="7"/>
  <c r="E128" i="7"/>
  <c r="E8" i="7"/>
  <c r="E88" i="7"/>
  <c r="E7" i="7"/>
  <c r="E127" i="7"/>
  <c r="E47" i="7"/>
  <c r="E87" i="7"/>
  <c r="E46" i="7"/>
  <c r="E86" i="7"/>
  <c r="E126" i="7"/>
  <c r="E6" i="7"/>
  <c r="E125" i="7"/>
  <c r="E45" i="7"/>
  <c r="E5" i="7"/>
  <c r="E85" i="7"/>
  <c r="D129" i="7"/>
  <c r="D49" i="7"/>
  <c r="D89" i="7"/>
  <c r="D128" i="7"/>
  <c r="D48" i="7"/>
  <c r="D88" i="7"/>
  <c r="D47" i="7"/>
  <c r="D87" i="7"/>
  <c r="D127" i="7"/>
  <c r="D126" i="7"/>
  <c r="D46" i="7"/>
  <c r="D86" i="7"/>
  <c r="D125" i="7"/>
  <c r="D85" i="7"/>
  <c r="D45" i="7"/>
  <c r="C129" i="7"/>
  <c r="C89" i="7"/>
  <c r="C9" i="7"/>
  <c r="C128" i="7"/>
  <c r="C88" i="7"/>
  <c r="C8" i="7"/>
  <c r="C87" i="7"/>
  <c r="C7" i="7"/>
  <c r="C127" i="7"/>
  <c r="C86" i="7"/>
  <c r="C6" i="7"/>
  <c r="C126" i="7"/>
  <c r="C85" i="7"/>
  <c r="C125" i="7"/>
  <c r="C5" i="7"/>
  <c r="N16" i="5"/>
  <c r="N7" i="5"/>
  <c r="N8" i="5"/>
  <c r="M16" i="5"/>
  <c r="M8" i="5"/>
  <c r="M7" i="5"/>
  <c r="L16" i="5"/>
  <c r="L8" i="5"/>
  <c r="L7" i="5"/>
  <c r="K8" i="5"/>
  <c r="K16" i="5"/>
  <c r="K7" i="5"/>
  <c r="J8" i="5"/>
  <c r="J16" i="5"/>
  <c r="J7" i="5"/>
  <c r="M165" i="7" l="1"/>
  <c r="N165" i="7"/>
  <c r="I24" i="6" s="1"/>
  <c r="O165" i="7"/>
  <c r="J165" i="7"/>
  <c r="I16" i="6" s="1"/>
  <c r="K165" i="7"/>
  <c r="I23" i="6" s="1"/>
  <c r="F165" i="7"/>
  <c r="G165" i="7"/>
  <c r="I22" i="6" s="1"/>
  <c r="H165" i="7"/>
  <c r="F49" i="7"/>
  <c r="G49" i="7"/>
  <c r="H49" i="7"/>
  <c r="F48" i="7"/>
  <c r="G48" i="7"/>
  <c r="H48" i="7"/>
  <c r="F47" i="7"/>
  <c r="G47" i="7"/>
  <c r="H47" i="7"/>
  <c r="F46" i="7"/>
  <c r="G46" i="7"/>
  <c r="H46" i="7"/>
  <c r="G45" i="7"/>
  <c r="F45" i="7"/>
  <c r="H45" i="7"/>
  <c r="J9" i="7"/>
  <c r="K9" i="7"/>
  <c r="J8" i="7"/>
  <c r="K8" i="7"/>
  <c r="J7" i="7"/>
  <c r="K7" i="7"/>
  <c r="J6" i="7"/>
  <c r="K6" i="7"/>
  <c r="K5" i="7"/>
  <c r="J5" i="7"/>
  <c r="S49" i="7"/>
  <c r="V49" i="7" s="1"/>
  <c r="S129" i="7"/>
  <c r="V129" i="7" s="1"/>
  <c r="L133" i="7"/>
  <c r="S89" i="7"/>
  <c r="V89" i="7" s="1"/>
  <c r="B89" i="7"/>
  <c r="G93" i="7" s="1"/>
  <c r="S9" i="7"/>
  <c r="V9" i="7" s="1"/>
  <c r="S48" i="7"/>
  <c r="V48" i="7" s="1"/>
  <c r="S128" i="7"/>
  <c r="V128" i="7" s="1"/>
  <c r="K133" i="7"/>
  <c r="S8" i="7"/>
  <c r="V8" i="7" s="1"/>
  <c r="S88" i="7"/>
  <c r="V88" i="7" s="1"/>
  <c r="B88" i="7"/>
  <c r="F93" i="7" s="1"/>
  <c r="S7" i="7"/>
  <c r="V7" i="7"/>
  <c r="S127" i="7"/>
  <c r="V127" i="7" s="1"/>
  <c r="J133" i="7"/>
  <c r="S47" i="7"/>
  <c r="V47" i="7" s="1"/>
  <c r="S87" i="7"/>
  <c r="V87" i="7" s="1"/>
  <c r="B87" i="7"/>
  <c r="E93" i="7" s="1"/>
  <c r="S46" i="7"/>
  <c r="V46" i="7" s="1"/>
  <c r="S86" i="7"/>
  <c r="V86" i="7" s="1"/>
  <c r="B86" i="7"/>
  <c r="D93" i="7" s="1"/>
  <c r="S126" i="7"/>
  <c r="V126" i="7" s="1"/>
  <c r="I133" i="7"/>
  <c r="S6" i="7"/>
  <c r="V6" i="7" s="1"/>
  <c r="S125" i="7"/>
  <c r="V125" i="7" s="1"/>
  <c r="H133" i="7"/>
  <c r="S45" i="7"/>
  <c r="V45" i="7" s="1"/>
  <c r="S5" i="7"/>
  <c r="V5" i="7" s="1"/>
  <c r="S85" i="7"/>
  <c r="V85" i="7" s="1"/>
  <c r="B85" i="7"/>
  <c r="C93" i="7" s="1"/>
  <c r="R129" i="7"/>
  <c r="U129" i="7" s="1"/>
  <c r="R49" i="7"/>
  <c r="U49" i="7"/>
  <c r="B49" i="7"/>
  <c r="G53" i="7" s="1"/>
  <c r="R89" i="7"/>
  <c r="U89" i="7" s="1"/>
  <c r="R128" i="7"/>
  <c r="U128" i="7" s="1"/>
  <c r="R48" i="7"/>
  <c r="U48" i="7" s="1"/>
  <c r="B48" i="7"/>
  <c r="F53" i="7" s="1"/>
  <c r="R88" i="7"/>
  <c r="U88" i="7" s="1"/>
  <c r="R47" i="7"/>
  <c r="U47" i="7" s="1"/>
  <c r="B47" i="7"/>
  <c r="E53" i="7" s="1"/>
  <c r="R87" i="7"/>
  <c r="U87" i="7" s="1"/>
  <c r="R127" i="7"/>
  <c r="U127" i="7" s="1"/>
  <c r="R126" i="7"/>
  <c r="U126" i="7" s="1"/>
  <c r="R46" i="7"/>
  <c r="U46" i="7" s="1"/>
  <c r="B46" i="7"/>
  <c r="D53" i="7" s="1"/>
  <c r="R86" i="7"/>
  <c r="U86" i="7" s="1"/>
  <c r="R125" i="7"/>
  <c r="U125" i="7" s="1"/>
  <c r="R85" i="7"/>
  <c r="U85" i="7" s="1"/>
  <c r="R45" i="7"/>
  <c r="U45" i="7" s="1"/>
  <c r="B45" i="7"/>
  <c r="C53" i="7" s="1"/>
  <c r="Q129" i="7"/>
  <c r="T129" i="7" s="1"/>
  <c r="B129" i="7"/>
  <c r="G133" i="7" s="1"/>
  <c r="Q89" i="7"/>
  <c r="T89" i="7" s="1"/>
  <c r="Q9" i="7"/>
  <c r="T9" i="7" s="1"/>
  <c r="B9" i="7"/>
  <c r="G13" i="7" s="1"/>
  <c r="Q128" i="7"/>
  <c r="T128" i="7" s="1"/>
  <c r="B128" i="7"/>
  <c r="F133" i="7" s="1"/>
  <c r="Q88" i="7"/>
  <c r="T88" i="7" s="1"/>
  <c r="B8" i="7"/>
  <c r="F13" i="7" s="1"/>
  <c r="Q8" i="7"/>
  <c r="T8" i="7" s="1"/>
  <c r="Q87" i="7"/>
  <c r="T87" i="7" s="1"/>
  <c r="Q7" i="7"/>
  <c r="T7" i="7" s="1"/>
  <c r="B7" i="7"/>
  <c r="E13" i="7" s="1"/>
  <c r="Q127" i="7"/>
  <c r="T127" i="7" s="1"/>
  <c r="B127" i="7"/>
  <c r="E133" i="7" s="1"/>
  <c r="Q86" i="7"/>
  <c r="T86" i="7" s="1"/>
  <c r="Q6" i="7"/>
  <c r="T6" i="7" s="1"/>
  <c r="B6" i="7"/>
  <c r="D13" i="7" s="1"/>
  <c r="Q126" i="7"/>
  <c r="T126" i="7" s="1"/>
  <c r="B126" i="7"/>
  <c r="D133" i="7" s="1"/>
  <c r="Q85" i="7"/>
  <c r="T85" i="7" s="1"/>
  <c r="Q125" i="7"/>
  <c r="T125" i="7" s="1"/>
  <c r="B125" i="7"/>
  <c r="C133" i="7" s="1"/>
  <c r="Q5" i="7"/>
  <c r="T5" i="7"/>
  <c r="B5" i="7"/>
  <c r="C13" i="7" s="1"/>
  <c r="P165" i="7" l="1"/>
  <c r="I19" i="6"/>
  <c r="I165" i="7"/>
  <c r="I8" i="6" s="1"/>
  <c r="I14" i="6"/>
  <c r="I49" i="7"/>
  <c r="I48" i="7"/>
  <c r="I47" i="7"/>
  <c r="I46" i="7"/>
  <c r="I45" i="7"/>
  <c r="M49" i="7"/>
  <c r="N49" i="7"/>
  <c r="O49" i="7"/>
  <c r="M129" i="7"/>
  <c r="N129" i="7"/>
  <c r="O129" i="7"/>
  <c r="M89" i="7"/>
  <c r="N89" i="7"/>
  <c r="O89" i="7"/>
  <c r="N9" i="7"/>
  <c r="M9" i="7"/>
  <c r="O9" i="7"/>
  <c r="M48" i="7"/>
  <c r="N48" i="7"/>
  <c r="O48" i="7"/>
  <c r="M128" i="7"/>
  <c r="N128" i="7"/>
  <c r="O128" i="7"/>
  <c r="N8" i="7"/>
  <c r="M8" i="7"/>
  <c r="O8" i="7"/>
  <c r="M88" i="7"/>
  <c r="N88" i="7"/>
  <c r="O88" i="7"/>
  <c r="O7" i="7"/>
  <c r="M7" i="7"/>
  <c r="P7" i="7" s="1"/>
  <c r="N7" i="7"/>
  <c r="M127" i="7"/>
  <c r="N127" i="7"/>
  <c r="O127" i="7"/>
  <c r="M47" i="7"/>
  <c r="N47" i="7"/>
  <c r="O47" i="7"/>
  <c r="M87" i="7"/>
  <c r="N87" i="7"/>
  <c r="O87" i="7"/>
  <c r="M46" i="7"/>
  <c r="N46" i="7"/>
  <c r="O46" i="7"/>
  <c r="M86" i="7"/>
  <c r="N86" i="7"/>
  <c r="O86" i="7"/>
  <c r="M126" i="7"/>
  <c r="N126" i="7"/>
  <c r="O126" i="7"/>
  <c r="N6" i="7"/>
  <c r="M6" i="7"/>
  <c r="O6" i="7"/>
  <c r="M125" i="7"/>
  <c r="N125" i="7"/>
  <c r="O125" i="7"/>
  <c r="M45" i="7"/>
  <c r="N45" i="7"/>
  <c r="O45" i="7"/>
  <c r="N5" i="7"/>
  <c r="M5" i="7"/>
  <c r="O5" i="7"/>
  <c r="M85" i="7"/>
  <c r="N85" i="7"/>
  <c r="O85" i="7"/>
  <c r="J129" i="7"/>
  <c r="K129" i="7"/>
  <c r="J49" i="7"/>
  <c r="K49" i="7"/>
  <c r="J89" i="7"/>
  <c r="K89" i="7"/>
  <c r="J128" i="7"/>
  <c r="K128" i="7"/>
  <c r="J48" i="7"/>
  <c r="K48" i="7"/>
  <c r="J88" i="7"/>
  <c r="K88" i="7"/>
  <c r="J47" i="7"/>
  <c r="K47" i="7"/>
  <c r="J87" i="7"/>
  <c r="K87" i="7"/>
  <c r="J127" i="7"/>
  <c r="K127" i="7"/>
  <c r="J126" i="7"/>
  <c r="K126" i="7"/>
  <c r="J46" i="7"/>
  <c r="K46" i="7"/>
  <c r="J86" i="7"/>
  <c r="K86" i="7"/>
  <c r="J125" i="7"/>
  <c r="K125" i="7"/>
  <c r="J85" i="7"/>
  <c r="K85" i="7"/>
  <c r="J45" i="7"/>
  <c r="K45" i="7"/>
  <c r="F129" i="7"/>
  <c r="G129" i="7"/>
  <c r="H129" i="7"/>
  <c r="F89" i="7"/>
  <c r="G89" i="7"/>
  <c r="H89" i="7"/>
  <c r="H9" i="7"/>
  <c r="G9" i="7"/>
  <c r="F9" i="7"/>
  <c r="F128" i="7"/>
  <c r="G128" i="7"/>
  <c r="H128" i="7"/>
  <c r="F88" i="7"/>
  <c r="G88" i="7"/>
  <c r="H88" i="7"/>
  <c r="G8" i="7"/>
  <c r="F8" i="7"/>
  <c r="H8" i="7"/>
  <c r="F87" i="7"/>
  <c r="G87" i="7"/>
  <c r="H87" i="7"/>
  <c r="H7" i="7"/>
  <c r="F7" i="7"/>
  <c r="G7" i="7"/>
  <c r="F127" i="7"/>
  <c r="G127" i="7"/>
  <c r="H127" i="7"/>
  <c r="F86" i="7"/>
  <c r="G86" i="7"/>
  <c r="H86" i="7"/>
  <c r="F6" i="7"/>
  <c r="H6" i="7"/>
  <c r="G6" i="7"/>
  <c r="F126" i="7"/>
  <c r="G126" i="7"/>
  <c r="H126" i="7"/>
  <c r="F85" i="7"/>
  <c r="G85" i="7"/>
  <c r="H85" i="7"/>
  <c r="F125" i="7"/>
  <c r="G125" i="7"/>
  <c r="H125" i="7"/>
  <c r="G5" i="7"/>
  <c r="F5" i="7"/>
  <c r="H5" i="7"/>
  <c r="I85" i="7" l="1"/>
  <c r="L85" i="7" s="1"/>
  <c r="G73" i="7"/>
  <c r="G74" i="7"/>
  <c r="L165" i="7"/>
  <c r="I17" i="6" s="1"/>
  <c r="I15" i="6"/>
  <c r="P129" i="7"/>
  <c r="L140" i="7" s="1"/>
  <c r="L134" i="7"/>
  <c r="L135" i="7"/>
  <c r="L136" i="7"/>
  <c r="L137" i="7"/>
  <c r="L138" i="7"/>
  <c r="L139" i="7"/>
  <c r="P89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P128" i="7"/>
  <c r="K146" i="7" s="1"/>
  <c r="K134" i="7"/>
  <c r="K135" i="7"/>
  <c r="K136" i="7"/>
  <c r="K137" i="7"/>
  <c r="K138" i="7"/>
  <c r="K139" i="7"/>
  <c r="K140" i="7"/>
  <c r="K141" i="7"/>
  <c r="K142" i="7"/>
  <c r="K143" i="7"/>
  <c r="K144" i="7"/>
  <c r="K145" i="7"/>
  <c r="P88" i="7"/>
  <c r="F94" i="7"/>
  <c r="F95" i="7"/>
  <c r="F96" i="7"/>
  <c r="P127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P87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11" i="7"/>
  <c r="E112" i="7"/>
  <c r="E113" i="7"/>
  <c r="E114" i="7"/>
  <c r="P86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P126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P125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P85" i="7"/>
  <c r="C94" i="7"/>
  <c r="C95" i="7"/>
  <c r="C96" i="7"/>
  <c r="C97" i="7"/>
  <c r="C98" i="7"/>
  <c r="C114" i="7"/>
  <c r="I129" i="7"/>
  <c r="I9" i="7"/>
  <c r="L9" i="7" s="1"/>
  <c r="G15" i="7"/>
  <c r="G16" i="7"/>
  <c r="G17" i="7"/>
  <c r="G18" i="7"/>
  <c r="G19" i="7"/>
  <c r="G21" i="7"/>
  <c r="G23" i="7"/>
  <c r="G24" i="7"/>
  <c r="G26" i="7"/>
  <c r="G27" i="7"/>
  <c r="G29" i="7"/>
  <c r="G30" i="7"/>
  <c r="G31" i="7"/>
  <c r="G32" i="7"/>
  <c r="G33" i="7"/>
  <c r="G34" i="7"/>
  <c r="G14" i="7"/>
  <c r="G20" i="7"/>
  <c r="G22" i="7"/>
  <c r="G25" i="7"/>
  <c r="G28" i="7"/>
  <c r="I128" i="7"/>
  <c r="L128" i="7" s="1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I8" i="7"/>
  <c r="F14" i="7"/>
  <c r="F16" i="7"/>
  <c r="F18" i="7"/>
  <c r="F19" i="7"/>
  <c r="F20" i="7"/>
  <c r="F22" i="7"/>
  <c r="F23" i="7"/>
  <c r="F24" i="7"/>
  <c r="F25" i="7"/>
  <c r="F28" i="7"/>
  <c r="F30" i="7"/>
  <c r="F31" i="7"/>
  <c r="F15" i="7"/>
  <c r="F17" i="7"/>
  <c r="I7" i="7"/>
  <c r="E14" i="7"/>
  <c r="E17" i="7"/>
  <c r="E18" i="7"/>
  <c r="E19" i="7"/>
  <c r="E20" i="7"/>
  <c r="E21" i="7"/>
  <c r="E25" i="7"/>
  <c r="E26" i="7"/>
  <c r="E27" i="7"/>
  <c r="E28" i="7"/>
  <c r="E29" i="7"/>
  <c r="E32" i="7"/>
  <c r="E33" i="7"/>
  <c r="I127" i="7"/>
  <c r="L127" i="7" s="1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I6" i="7"/>
  <c r="D20" i="7"/>
  <c r="D25" i="7"/>
  <c r="D17" i="7"/>
  <c r="D14" i="7"/>
  <c r="D15" i="7"/>
  <c r="D16" i="7"/>
  <c r="D18" i="7"/>
  <c r="D19" i="7"/>
  <c r="D21" i="7"/>
  <c r="D22" i="7"/>
  <c r="D23" i="7"/>
  <c r="D24" i="7"/>
  <c r="D26" i="7"/>
  <c r="D27" i="7"/>
  <c r="D28" i="7"/>
  <c r="D29" i="7"/>
  <c r="D30" i="7"/>
  <c r="D31" i="7"/>
  <c r="I126" i="7"/>
  <c r="D134" i="7"/>
  <c r="D135" i="7"/>
  <c r="D136" i="7"/>
  <c r="D137" i="7"/>
  <c r="D138" i="7"/>
  <c r="D139" i="7"/>
  <c r="D140" i="7"/>
  <c r="D141" i="7"/>
  <c r="D142" i="7"/>
  <c r="I125" i="7"/>
  <c r="C134" i="7"/>
  <c r="C135" i="7"/>
  <c r="C136" i="7"/>
  <c r="C137" i="7"/>
  <c r="I5" i="7"/>
  <c r="P45" i="7"/>
  <c r="P5" i="7"/>
  <c r="I89" i="7"/>
  <c r="L89" i="7" s="1"/>
  <c r="I88" i="7"/>
  <c r="L88" i="7" s="1"/>
  <c r="I86" i="7"/>
  <c r="L86" i="7" s="1"/>
  <c r="L46" i="7"/>
  <c r="L45" i="7"/>
  <c r="P49" i="7"/>
  <c r="P9" i="7"/>
  <c r="P48" i="7"/>
  <c r="P47" i="7"/>
  <c r="P46" i="7"/>
  <c r="P6" i="7"/>
  <c r="I87" i="7"/>
  <c r="L87" i="7" s="1"/>
  <c r="L49" i="7"/>
  <c r="L48" i="7"/>
  <c r="L47" i="7"/>
  <c r="P8" i="7"/>
  <c r="I20" i="6"/>
  <c r="I10" i="6"/>
  <c r="G64" i="7"/>
  <c r="G62" i="7"/>
  <c r="G61" i="7"/>
  <c r="G60" i="7"/>
  <c r="G59" i="7"/>
  <c r="G58" i="7"/>
  <c r="G63" i="7"/>
  <c r="G56" i="7"/>
  <c r="G57" i="7"/>
  <c r="G54" i="7"/>
  <c r="G55" i="7"/>
  <c r="G65" i="7"/>
  <c r="G66" i="7"/>
  <c r="G67" i="7"/>
  <c r="G68" i="7"/>
  <c r="G69" i="7"/>
  <c r="G70" i="7"/>
  <c r="G71" i="7"/>
  <c r="G72" i="7"/>
  <c r="F57" i="7"/>
  <c r="F68" i="7"/>
  <c r="F67" i="7"/>
  <c r="F66" i="7"/>
  <c r="F65" i="7"/>
  <c r="F64" i="7"/>
  <c r="F63" i="7"/>
  <c r="F62" i="7"/>
  <c r="F60" i="7"/>
  <c r="F59" i="7"/>
  <c r="F55" i="7"/>
  <c r="F61" i="7"/>
  <c r="F54" i="7"/>
  <c r="F58" i="7"/>
  <c r="F56" i="7"/>
  <c r="F69" i="7"/>
  <c r="F70" i="7"/>
  <c r="F71" i="7"/>
  <c r="F72" i="7"/>
  <c r="F73" i="7"/>
  <c r="F74" i="7"/>
  <c r="E69" i="7"/>
  <c r="E67" i="7"/>
  <c r="E65" i="7"/>
  <c r="E56" i="7"/>
  <c r="E62" i="7"/>
  <c r="E73" i="7"/>
  <c r="E71" i="7"/>
  <c r="E54" i="7"/>
  <c r="E55" i="7"/>
  <c r="E57" i="7"/>
  <c r="E58" i="7"/>
  <c r="E59" i="7"/>
  <c r="E60" i="7"/>
  <c r="E61" i="7"/>
  <c r="E63" i="7"/>
  <c r="E64" i="7"/>
  <c r="E66" i="7"/>
  <c r="E68" i="7"/>
  <c r="E70" i="7"/>
  <c r="E72" i="7"/>
  <c r="E74" i="7"/>
  <c r="D55" i="7"/>
  <c r="D56" i="7"/>
  <c r="D58" i="7"/>
  <c r="D60" i="7"/>
  <c r="D62" i="7"/>
  <c r="D64" i="7"/>
  <c r="D69" i="7"/>
  <c r="D71" i="7"/>
  <c r="D73" i="7"/>
  <c r="D67" i="7"/>
  <c r="D54" i="7"/>
  <c r="D57" i="7"/>
  <c r="D59" i="7"/>
  <c r="D61" i="7"/>
  <c r="D63" i="7"/>
  <c r="D65" i="7"/>
  <c r="D66" i="7"/>
  <c r="D68" i="7"/>
  <c r="D70" i="7"/>
  <c r="D72" i="7"/>
  <c r="D74" i="7"/>
  <c r="C71" i="7"/>
  <c r="C69" i="7"/>
  <c r="C67" i="7"/>
  <c r="C65" i="7"/>
  <c r="C63" i="7"/>
  <c r="C61" i="7"/>
  <c r="C59" i="7"/>
  <c r="C57" i="7"/>
  <c r="C54" i="7"/>
  <c r="C73" i="7"/>
  <c r="C55" i="7"/>
  <c r="C56" i="7"/>
  <c r="C58" i="7"/>
  <c r="C60" i="7"/>
  <c r="C62" i="7"/>
  <c r="C64" i="7"/>
  <c r="C66" i="7"/>
  <c r="C68" i="7"/>
  <c r="C70" i="7"/>
  <c r="C72" i="7"/>
  <c r="C74" i="7"/>
  <c r="H154" i="7" l="1"/>
  <c r="H146" i="7"/>
  <c r="H147" i="7"/>
  <c r="H148" i="7"/>
  <c r="H149" i="7"/>
  <c r="H150" i="7"/>
  <c r="H151" i="7"/>
  <c r="H152" i="7"/>
  <c r="H153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G134" i="7"/>
  <c r="G135" i="7"/>
  <c r="G136" i="7"/>
  <c r="G137" i="7"/>
  <c r="G138" i="7"/>
  <c r="G139" i="7"/>
  <c r="G140" i="7"/>
  <c r="G141" i="7"/>
  <c r="G142" i="7"/>
  <c r="G143" i="7"/>
  <c r="G144" i="7"/>
  <c r="L125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G107" i="7"/>
  <c r="G108" i="7"/>
  <c r="G109" i="7"/>
  <c r="G110" i="7"/>
  <c r="G111" i="7"/>
  <c r="G112" i="7"/>
  <c r="L141" i="7"/>
  <c r="L146" i="7"/>
  <c r="L147" i="7"/>
  <c r="L148" i="7"/>
  <c r="L149" i="7"/>
  <c r="L150" i="7"/>
  <c r="L151" i="7"/>
  <c r="L152" i="7"/>
  <c r="L153" i="7"/>
  <c r="L154" i="7"/>
  <c r="G113" i="7"/>
  <c r="G114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C112" i="7"/>
  <c r="C113" i="7"/>
  <c r="L126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L142" i="7"/>
  <c r="L143" i="7"/>
  <c r="L144" i="7"/>
  <c r="L145" i="7"/>
  <c r="K147" i="7"/>
  <c r="K148" i="7"/>
  <c r="K149" i="7"/>
  <c r="K150" i="7"/>
  <c r="K151" i="7"/>
  <c r="K152" i="7"/>
  <c r="K153" i="7"/>
  <c r="K154" i="7"/>
  <c r="J153" i="7"/>
  <c r="J154" i="7"/>
  <c r="E108" i="7"/>
  <c r="E109" i="7"/>
  <c r="E110" i="7"/>
  <c r="L129" i="7"/>
  <c r="G145" i="7"/>
  <c r="G146" i="7"/>
  <c r="G147" i="7"/>
  <c r="G148" i="7"/>
  <c r="G149" i="7"/>
  <c r="G150" i="7"/>
  <c r="G151" i="7"/>
  <c r="G152" i="7"/>
  <c r="G153" i="7"/>
  <c r="G154" i="7"/>
  <c r="E34" i="7"/>
  <c r="E22" i="7"/>
  <c r="E23" i="7"/>
  <c r="E24" i="7"/>
  <c r="E30" i="7"/>
  <c r="E31" i="7"/>
  <c r="L8" i="7"/>
  <c r="F21" i="7"/>
  <c r="F26" i="7"/>
  <c r="F27" i="7"/>
  <c r="F29" i="7"/>
  <c r="F32" i="7"/>
  <c r="F33" i="7"/>
  <c r="F34" i="7"/>
  <c r="L7" i="7"/>
  <c r="E15" i="7"/>
  <c r="E16" i="7"/>
  <c r="L6" i="7"/>
  <c r="D32" i="7"/>
  <c r="D33" i="7"/>
  <c r="D34" i="7"/>
  <c r="L5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</calcChain>
</file>

<file path=xl/sharedStrings.xml><?xml version="1.0" encoding="utf-8"?>
<sst xmlns="http://schemas.openxmlformats.org/spreadsheetml/2006/main" count="226" uniqueCount="96">
  <si>
    <t>规格</t>
  </si>
  <si>
    <t>活塞行程</t>
  </si>
  <si>
    <t>RA</t>
  </si>
  <si>
    <t>阻尼调节</t>
  </si>
  <si>
    <t>低速压缩 · c</t>
  </si>
  <si>
    <t>高速压缩 · C</t>
  </si>
  <si>
    <t>回弹 · R</t>
  </si>
  <si>
    <t>HBS</t>
  </si>
  <si>
    <t>HRS</t>
  </si>
  <si>
    <t>LRS</t>
  </si>
  <si>
    <t>DSV</t>
  </si>
  <si>
    <t>Valving</t>
  </si>
  <si>
    <t>避震器型号</t>
  </si>
  <si>
    <t>当前输入 · 阻尼力大小</t>
  </si>
  <si>
    <t>LSC · c</t>
  </si>
  <si>
    <t>HSC · C</t>
  </si>
  <si>
    <t>压缩力 (N)</t>
  </si>
  <si>
    <t>LSR · R</t>
  </si>
  <si>
    <t>轴速 (m/s)</t>
  </si>
  <si>
    <t>回弹力 (N)</t>
  </si>
  <si>
    <t>c 总格数</t>
  </si>
  <si>
    <t>当前曲线参数</t>
  </si>
  <si>
    <t>C 总格数</t>
  </si>
  <si>
    <t>bump1</t>
  </si>
  <si>
    <t>N·s/m</t>
  </si>
  <si>
    <t>R 总格数</t>
  </si>
  <si>
    <t>bump2</t>
  </si>
  <si>
    <t>HSbump · 高速增量</t>
  </si>
  <si>
    <t>总高速系数</t>
  </si>
  <si>
    <t>输入检查</t>
  </si>
  <si>
    <t>rebound</t>
  </si>
  <si>
    <t>HSrebound</t>
  </si>
  <si>
    <t>第一 knee</t>
  </si>
  <si>
    <t>m/s</t>
  </si>
  <si>
    <t>第二 knee</t>
  </si>
  <si>
    <t>Rebound knee</t>
  </si>
  <si>
    <t>黄色单元格为手动输入。</t>
  </si>
  <si>
    <t>固定 HSC</t>
  </si>
  <si>
    <t>固定 LSC</t>
  </si>
  <si>
    <t>Type-A</t>
  </si>
  <si>
    <t>Type-B</t>
  </si>
  <si>
    <t>调节位置</t>
  </si>
  <si>
    <t>比例</t>
  </si>
  <si>
    <t>格</t>
  </si>
  <si>
    <t>bump2 / bump1</t>
  </si>
  <si>
    <t>倍率</t>
  </si>
  <si>
    <t>HSrebound / rebound</t>
  </si>
  <si>
    <t>Adjusters · 调节格数</t>
  </si>
  <si>
    <t>0 为最硬，负数为退出格数。</t>
  </si>
  <si>
    <t>连续分段理论曲线，仅基础阻尼。</t>
  </si>
  <si>
    <t>LSC Sweep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</si>
  <si>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</si>
  <si>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</si>
  <si>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</si>
  <si>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</si>
  <si>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</si>
  <si>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</si>
  <si>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</si>
  <si>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</si>
  <si>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</si>
  <si>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</si>
  <si>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</si>
  <si>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</si>
  <si>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</si>
  <si>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</si>
  <si>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</t>
  </si>
  <si>
    <t>LSR Sweep</t>
  </si>
  <si>
    <t>Full Sweep</t>
  </si>
  <si>
    <t>Calculator</t>
  </si>
  <si>
    <t>CTM Racing · RAx8 · Damper Catalog</t>
  </si>
  <si>
    <t>RA68</t>
  </si>
  <si>
    <t>RA88</t>
  </si>
  <si>
    <t>前 215 / 后 190 mm</t>
  </si>
  <si>
    <t>3-Way</t>
  </si>
  <si>
    <t>3+2-Way</t>
  </si>
  <si>
    <t>Rallycross</t>
  </si>
  <si>
    <t>固定</t>
  </si>
  <si>
    <t>可调 · 16 clicks</t>
  </si>
  <si>
    <t>预留</t>
  </si>
  <si>
    <t>有</t>
  </si>
  <si>
    <t>CTM Racing · RAx8 · Damping Calculator</t>
  </si>
  <si>
    <t>CTM Racing · RAx8 · LSC Sweep</t>
  </si>
  <si>
    <t>CTM Racing · RAx8 · HSC Sweep</t>
  </si>
  <si>
    <t>CTM Racing · RAx8 · LSR Sweep</t>
  </si>
  <si>
    <t>CTM Racing · RAx8 · Full Sweep</t>
  </si>
  <si>
    <t>CTM Racing · RAx8 · Valving Parameters</t>
  </si>
  <si>
    <t>LSR · R（RA88）</t>
  </si>
  <si>
    <t>LSC · 全系列</t>
  </si>
  <si>
    <t>Sweep 使用 RA88 调节格数。</t>
  </si>
  <si>
    <t>HSC · RA88</t>
  </si>
  <si>
    <t>LSR · RA68</t>
  </si>
  <si>
    <t>LSR · RA88</t>
  </si>
  <si>
    <t>HSC · RA68</t>
  </si>
  <si>
    <t>RA88</t>
    <phoneticPr fontId="75" type="noConversion"/>
  </si>
  <si>
    <t>Type-A</t>
    <phoneticPr fontId="75" type="noConversion"/>
  </si>
  <si>
    <t>Rally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</si>
</sst>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76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b/>
      <sz val="12"/>
      <color rgb="FFFFFFFF"/>
      <name val="微软雅黑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9"/>
      <name val="宋体"/>
      <family val="3"/>
      <charset val="134"/>
    </font>
  </fonts>
  <fills count="7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6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3">
    <xf numFmtId="0" fontId="0" fillId="0" border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</cellStyleXfs>
  <cellXfs count="98">
    <xf numFmtId="0" fontId="0" fillId="0" borderId="0" xfId="0"/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7" fillId="2" borderId="1" xfId="1" applyFont="1">
      <alignment vertical="center"/>
    </xf>
    <xf numFmtId="0" fontId="7" fillId="3" borderId="1" xfId="1" applyFont="1" applyFill="1" applyAlignment="1">
      <alignment horizontal="center" vertical="center"/>
    </xf>
    <xf numFmtId="0" fontId="11" fillId="4" borderId="3" xfId="1" applyFont="1" applyFill="1" applyBorder="1" applyAlignment="1">
      <alignment horizontal="center" vertical="center"/>
    </xf>
    <xf numFmtId="0" fontId="11" fillId="4" borderId="4" xfId="1" applyFont="1" applyFill="1" applyBorder="1" applyAlignment="1">
      <alignment horizontal="center" vertical="center"/>
    </xf>
    <xf numFmtId="0" fontId="9" fillId="5" borderId="2" xfId="1" applyFont="1" applyFill="1" applyBorder="1">
      <alignment vertical="center"/>
    </xf>
    <xf numFmtId="0" fontId="9" fillId="2" borderId="2" xfId="1" applyFont="1" applyBorder="1">
      <alignment vertical="center"/>
    </xf>
    <xf numFmtId="0" fontId="7" fillId="2" borderId="2" xfId="1" applyFont="1" applyBorder="1" applyAlignment="1">
      <alignment horizontal="center" vertical="center"/>
    </xf>
    <xf numFmtId="177" fontId="7" fillId="5" borderId="2" xfId="1" applyNumberFormat="1" applyFont="1" applyFill="1" applyBorder="1" applyAlignment="1">
      <alignment horizontal="center" vertical="center"/>
    </xf>
    <xf numFmtId="178" fontId="7" fillId="5" borderId="2" xfId="1" applyNumberFormat="1" applyFont="1" applyFill="1" applyBorder="1" applyAlignment="1">
      <alignment horizontal="center" vertical="center"/>
    </xf>
    <xf numFmtId="178" fontId="7" fillId="2" borderId="2" xfId="1" applyNumberFormat="1" applyFont="1" applyBorder="1" applyAlignment="1">
      <alignment horizontal="center" vertical="center"/>
    </xf>
    <xf numFmtId="0" fontId="7" fillId="3" borderId="1" xfId="1" applyFont="1" applyFill="1">
      <alignment vertical="center"/>
    </xf>
    <xf numFmtId="0" fontId="13" fillId="5" borderId="2" xfId="1" applyFont="1" applyFill="1" applyBorder="1">
      <alignment vertical="center"/>
    </xf>
    <xf numFmtId="0" fontId="7" fillId="5" borderId="5" xfId="1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left" vertical="center"/>
    </xf>
    <xf numFmtId="0" fontId="15" fillId="7" borderId="7" xfId="0" applyFont="1" applyFill="1" applyBorder="1" applyAlignment="1">
      <alignment horizontal="left" vertical="center"/>
    </xf>
    <xf numFmtId="49" fontId="16" fillId="8" borderId="8" xfId="0" applyNumberFormat="1" applyFont="1" applyFill="1" applyBorder="1" applyAlignment="1">
      <alignment horizontal="left" vertical="center"/>
    </xf>
    <xf numFmtId="0" fontId="17" fillId="9" borderId="9" xfId="0" applyFont="1" applyFill="1" applyBorder="1" applyAlignment="1">
      <alignment horizontal="left" vertical="center"/>
    </xf>
    <xf numFmtId="0" fontId="20" fillId="12" borderId="12" xfId="0" applyFont="1" applyFill="1" applyBorder="1" applyAlignment="1">
      <alignment horizontal="left" vertical="center"/>
    </xf>
    <xf numFmtId="1" fontId="21" fillId="13" borderId="13" xfId="0" applyNumberFormat="1" applyFont="1" applyFill="1" applyBorder="1" applyAlignment="1">
      <alignment horizontal="right" vertical="center"/>
    </xf>
    <xf numFmtId="2" fontId="26" fillId="18" borderId="18" xfId="0" applyNumberFormat="1" applyFont="1" applyFill="1" applyBorder="1" applyAlignment="1">
      <alignment horizontal="right" vertical="center"/>
    </xf>
    <xf numFmtId="0" fontId="27" fillId="19" borderId="19" xfId="0" applyFont="1" applyFill="1" applyBorder="1" applyAlignment="1">
      <alignment horizontal="right" vertical="center"/>
    </xf>
    <xf numFmtId="0" fontId="28" fillId="20" borderId="20" xfId="0" applyFont="1" applyFill="1" applyBorder="1" applyAlignment="1">
      <alignment horizontal="left" vertical="center"/>
    </xf>
    <xf numFmtId="0" fontId="29" fillId="21" borderId="21" xfId="0" applyFont="1" applyFill="1" applyBorder="1" applyAlignment="1">
      <alignment horizontal="right" vertical="center"/>
    </xf>
    <xf numFmtId="2" fontId="32" fillId="24" borderId="24" xfId="0" applyNumberFormat="1" applyFont="1" applyFill="1" applyBorder="1" applyAlignment="1">
      <alignment horizontal="right" vertical="center"/>
    </xf>
    <xf numFmtId="2" fontId="34" fillId="26" borderId="26" xfId="0" applyNumberFormat="1" applyFont="1" applyFill="1" applyBorder="1" applyAlignment="1">
      <alignment horizontal="right" vertical="center"/>
    </xf>
    <xf numFmtId="0" fontId="36" fillId="28" borderId="28" xfId="0" applyFont="1" applyFill="1" applyBorder="1" applyAlignment="1">
      <alignment horizontal="right" vertical="center"/>
    </xf>
    <xf numFmtId="176" fontId="37" fillId="29" borderId="29" xfId="0" applyNumberFormat="1" applyFont="1" applyFill="1" applyBorder="1" applyAlignment="1">
      <alignment horizontal="right" vertical="center"/>
    </xf>
    <xf numFmtId="176" fontId="38" fillId="30" borderId="30" xfId="0" applyNumberFormat="1" applyFont="1" applyFill="1" applyBorder="1" applyAlignment="1">
      <alignment horizontal="right" vertical="center"/>
    </xf>
    <xf numFmtId="0" fontId="43" fillId="35" borderId="35" xfId="0" applyFont="1" applyFill="1" applyBorder="1" applyAlignment="1">
      <alignment horizontal="center" vertical="center" wrapText="1"/>
    </xf>
    <xf numFmtId="9" fontId="44" fillId="36" borderId="36" xfId="0" applyNumberFormat="1" applyFont="1" applyFill="1" applyBorder="1" applyAlignment="1">
      <alignment horizontal="center" vertical="center" wrapText="1"/>
    </xf>
    <xf numFmtId="0" fontId="45" fillId="37" borderId="37" xfId="0" applyFont="1" applyFill="1" applyBorder="1" applyAlignment="1">
      <alignment horizontal="center" vertical="center" wrapText="1"/>
    </xf>
    <xf numFmtId="0" fontId="53" fillId="45" borderId="45" xfId="0" applyFont="1" applyFill="1" applyBorder="1" applyAlignment="1">
      <alignment horizontal="left" vertical="center"/>
    </xf>
    <xf numFmtId="0" fontId="54" fillId="46" borderId="46" xfId="0" applyFont="1" applyFill="1" applyBorder="1" applyAlignment="1">
      <alignment horizontal="center" vertical="center" wrapText="1"/>
    </xf>
    <xf numFmtId="0" fontId="55" fillId="47" borderId="47" xfId="0" applyFont="1" applyFill="1" applyBorder="1" applyAlignment="1">
      <alignment horizontal="center" vertical="center" wrapText="1"/>
    </xf>
    <xf numFmtId="0" fontId="56" fillId="48" borderId="48" xfId="0" applyFont="1" applyFill="1" applyBorder="1" applyAlignment="1">
      <alignment horizontal="center" vertical="center" wrapText="1"/>
    </xf>
    <xf numFmtId="0" fontId="57" fillId="49" borderId="49" xfId="0" applyFont="1" applyFill="1" applyBorder="1" applyAlignment="1">
      <alignment horizontal="center" vertical="center" wrapText="1"/>
    </xf>
    <xf numFmtId="0" fontId="58" fillId="50" borderId="50" xfId="0" applyFont="1" applyFill="1" applyBorder="1" applyAlignment="1">
      <alignment horizontal="right" vertical="center"/>
    </xf>
    <xf numFmtId="0" fontId="59" fillId="51" borderId="51" xfId="0" applyFont="1" applyFill="1" applyBorder="1" applyAlignment="1">
      <alignment horizontal="right" vertical="center"/>
    </xf>
    <xf numFmtId="0" fontId="60" fillId="52" borderId="52" xfId="0" applyFont="1" applyFill="1" applyBorder="1" applyAlignment="1">
      <alignment horizontal="right" vertical="center"/>
    </xf>
    <xf numFmtId="0" fontId="61" fillId="53" borderId="53" xfId="0" applyFont="1" applyFill="1" applyBorder="1" applyAlignment="1">
      <alignment horizontal="right" vertical="center"/>
    </xf>
    <xf numFmtId="0" fontId="62" fillId="54" borderId="54" xfId="0" applyFont="1" applyFill="1" applyBorder="1" applyAlignment="1">
      <alignment horizontal="center" vertical="center" wrapText="1"/>
    </xf>
    <xf numFmtId="0" fontId="63" fillId="55" borderId="55" xfId="0" applyFont="1" applyFill="1" applyBorder="1" applyAlignment="1">
      <alignment horizontal="center" vertical="center" wrapText="1"/>
    </xf>
    <xf numFmtId="2" fontId="64" fillId="56" borderId="56" xfId="0" applyNumberFormat="1" applyFont="1" applyFill="1" applyBorder="1" applyAlignment="1">
      <alignment horizontal="right" vertical="center"/>
    </xf>
    <xf numFmtId="2" fontId="65" fillId="57" borderId="57" xfId="0" applyNumberFormat="1" applyFont="1" applyFill="1" applyBorder="1" applyAlignment="1">
      <alignment horizontal="right" vertical="center"/>
    </xf>
    <xf numFmtId="0" fontId="66" fillId="58" borderId="58" xfId="0" applyFont="1" applyFill="1" applyBorder="1" applyAlignment="1">
      <alignment horizontal="center" vertical="center" wrapText="1"/>
    </xf>
    <xf numFmtId="0" fontId="67" fillId="59" borderId="59" xfId="0" applyFont="1" applyFill="1" applyBorder="1" applyAlignment="1">
      <alignment horizontal="center" vertical="center" wrapText="1"/>
    </xf>
    <xf numFmtId="2" fontId="68" fillId="60" borderId="60" xfId="0" applyNumberFormat="1" applyFont="1" applyFill="1" applyBorder="1" applyAlignment="1">
      <alignment horizontal="right" vertical="center"/>
    </xf>
    <xf numFmtId="2" fontId="69" fillId="61" borderId="61" xfId="0" applyNumberFormat="1" applyFont="1" applyFill="1" applyBorder="1" applyAlignment="1">
      <alignment horizontal="right" vertical="center"/>
    </xf>
    <xf numFmtId="0" fontId="71" fillId="63" borderId="63" xfId="0" applyFont="1" applyFill="1" applyBorder="1" applyAlignment="1">
      <alignment horizontal="center" vertical="center" wrapText="1"/>
    </xf>
    <xf numFmtId="0" fontId="72" fillId="64" borderId="64" xfId="0" applyFont="1" applyFill="1" applyBorder="1" applyAlignment="1">
      <alignment horizontal="center" vertical="center" wrapText="1"/>
    </xf>
    <xf numFmtId="0" fontId="73" fillId="65" borderId="65" xfId="0" applyFont="1" applyFill="1" applyBorder="1" applyAlignment="1">
      <alignment horizontal="right" vertical="center"/>
    </xf>
    <xf numFmtId="0" fontId="74" fillId="66" borderId="66" xfId="0" applyFont="1" applyFill="1" applyBorder="1" applyAlignment="1">
      <alignment vertical="center"/>
    </xf>
    <xf numFmtId="1" fontId="16" fillId="67" borderId="2" xfId="0" applyNumberFormat="1" applyFont="1" applyFill="1" applyBorder="1" applyAlignment="1">
      <alignment horizontal="right" vertical="center"/>
    </xf>
    <xf numFmtId="1" fontId="1" fillId="68" borderId="2" xfId="0" applyNumberFormat="1" applyFont="1" applyFill="1" applyBorder="1" applyAlignment="1">
      <alignment horizontal="right" vertical="center"/>
    </xf>
    <xf numFmtId="176" fontId="16" fillId="67" borderId="2" xfId="0" applyNumberFormat="1" applyFont="1" applyFill="1" applyBorder="1" applyAlignment="1">
      <alignment horizontal="right" vertical="center"/>
    </xf>
    <xf numFmtId="176" fontId="1" fillId="69" borderId="2" xfId="0" applyNumberFormat="1" applyFont="1" applyFill="1" applyBorder="1" applyAlignment="1">
      <alignment horizontal="right" vertical="center"/>
    </xf>
    <xf numFmtId="176" fontId="1" fillId="68" borderId="2" xfId="0" applyNumberFormat="1" applyFont="1" applyFill="1" applyBorder="1" applyAlignment="1">
      <alignment horizontal="right" vertical="center"/>
    </xf>
    <xf numFmtId="1" fontId="1" fillId="69" borderId="2" xfId="0" applyNumberFormat="1" applyFont="1" applyFill="1" applyBorder="1" applyAlignment="1">
      <alignment horizontal="right" vertical="center"/>
    </xf>
    <xf numFmtId="178" fontId="1" fillId="5" borderId="2" xfId="2" applyNumberForma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2" fillId="2" borderId="1" xfId="1" applyFont="1" applyFill="1" applyBorder="1">
      <alignment vertical="center"/>
    </xf>
    <xf numFmtId="0" fontId="2" fillId="2" borderId="1" xfId="1" applyFont="1" applyFill="1" applyBorder="1">
      <alignment vertical="center"/>
    </xf>
    <xf numFmtId="0" fontId="8" fillId="2" borderId="1" xfId="1" applyFont="1" applyFill="1" applyBorder="1">
      <alignment vertical="center"/>
    </xf>
    <xf numFmtId="0" fontId="10" fillId="3" borderId="1" xfId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8" fillId="10" borderId="10" xfId="0" applyFont="1" applyFill="1" applyBorder="1" applyAlignment="1">
      <alignment horizontal="left" vertical="center" wrapText="1"/>
    </xf>
    <xf numFmtId="0" fontId="19" fillId="11" borderId="11" xfId="0" applyFont="1" applyFill="1" applyBorder="1" applyAlignment="1">
      <alignment horizontal="left" vertical="center" wrapText="1"/>
    </xf>
    <xf numFmtId="0" fontId="22" fillId="14" borderId="14" xfId="0" applyFont="1" applyFill="1" applyBorder="1" applyAlignment="1">
      <alignment horizontal="left" vertical="center"/>
    </xf>
    <xf numFmtId="0" fontId="23" fillId="15" borderId="15" xfId="0" applyFont="1" applyFill="1" applyBorder="1" applyAlignment="1">
      <alignment horizontal="left" vertical="center"/>
    </xf>
    <xf numFmtId="2" fontId="24" fillId="16" borderId="16" xfId="0" applyNumberFormat="1" applyFont="1" applyFill="1" applyBorder="1" applyAlignment="1">
      <alignment horizontal="right" vertical="center"/>
    </xf>
    <xf numFmtId="2" fontId="25" fillId="17" borderId="17" xfId="0" applyNumberFormat="1" applyFont="1" applyFill="1" applyBorder="1" applyAlignment="1">
      <alignment horizontal="right" vertical="center"/>
    </xf>
    <xf numFmtId="0" fontId="30" fillId="22" borderId="22" xfId="0" applyFont="1" applyFill="1" applyBorder="1" applyAlignment="1">
      <alignment horizontal="left" vertical="center"/>
    </xf>
    <xf numFmtId="0" fontId="31" fillId="23" borderId="23" xfId="0" applyFont="1" applyFill="1" applyBorder="1" applyAlignment="1">
      <alignment vertical="center"/>
    </xf>
    <xf numFmtId="0" fontId="33" fillId="25" borderId="25" xfId="0" applyFont="1" applyFill="1" applyBorder="1" applyAlignment="1">
      <alignment vertical="center"/>
    </xf>
    <xf numFmtId="0" fontId="35" fillId="27" borderId="27" xfId="0" applyFont="1" applyFill="1" applyBorder="1" applyAlignment="1">
      <alignment horizontal="left" vertical="center"/>
    </xf>
    <xf numFmtId="0" fontId="39" fillId="31" borderId="31" xfId="0" applyFont="1" applyFill="1" applyBorder="1" applyAlignment="1">
      <alignment horizontal="left" vertical="center"/>
    </xf>
    <xf numFmtId="0" fontId="40" fillId="32" borderId="32" xfId="0" applyFont="1" applyFill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41" fillId="33" borderId="33" xfId="0" applyFont="1" applyFill="1" applyBorder="1" applyAlignment="1">
      <alignment horizontal="left" vertical="center"/>
    </xf>
    <xf numFmtId="0" fontId="42" fillId="34" borderId="34" xfId="0" applyFont="1" applyFill="1" applyBorder="1" applyAlignment="1">
      <alignment horizontal="left" vertical="center"/>
    </xf>
    <xf numFmtId="0" fontId="46" fillId="38" borderId="38" xfId="0" applyFont="1" applyFill="1" applyBorder="1" applyAlignment="1">
      <alignment horizontal="left" vertical="center"/>
    </xf>
    <xf numFmtId="0" fontId="47" fillId="39" borderId="39" xfId="0" applyFont="1" applyFill="1" applyBorder="1" applyAlignment="1">
      <alignment horizontal="left" vertical="center"/>
    </xf>
    <xf numFmtId="0" fontId="48" fillId="40" borderId="40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49" fillId="41" borderId="41" xfId="0" applyFont="1" applyFill="1" applyBorder="1" applyAlignment="1">
      <alignment horizontal="left" vertical="center"/>
    </xf>
    <xf numFmtId="0" fontId="50" fillId="42" borderId="42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51" fillId="43" borderId="43" xfId="0" applyFont="1" applyFill="1" applyBorder="1" applyAlignment="1">
      <alignment horizontal="left" vertical="center" wrapText="1"/>
    </xf>
    <xf numFmtId="0" fontId="52" fillId="44" borderId="44" xfId="0" applyFont="1" applyFill="1" applyBorder="1" applyAlignment="1">
      <alignment horizontal="left" vertical="center" wrapText="1"/>
    </xf>
    <xf numFmtId="0" fontId="70" fillId="62" borderId="62" xfId="0" applyFont="1" applyFill="1" applyBorder="1" applyAlignment="1">
      <alignment horizontal="left" vertical="center" wrapText="1"/>
    </xf>
    <xf numFmtId="0" fontId="9" fillId="3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-16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229</c:v>
                </c:pt>
                <c:pt idx="2">
                  <c:v>458</c:v>
                </c:pt>
                <c:pt idx="3">
                  <c:v>687</c:v>
                </c:pt>
                <c:pt idx="4">
                  <c:v>916</c:v>
                </c:pt>
                <c:pt idx="5">
                  <c:v>1145</c:v>
                </c:pt>
                <c:pt idx="6">
                  <c:v>1374</c:v>
                </c:pt>
                <c:pt idx="7">
                  <c:v>1603</c:v>
                </c:pt>
                <c:pt idx="8">
                  <c:v>1832</c:v>
                </c:pt>
                <c:pt idx="9">
                  <c:v>2061</c:v>
                </c:pt>
                <c:pt idx="10">
                  <c:v>2290</c:v>
                </c:pt>
                <c:pt idx="11">
                  <c:v>2789</c:v>
                </c:pt>
                <c:pt idx="12">
                  <c:v>3288</c:v>
                </c:pt>
                <c:pt idx="13">
                  <c:v>3787</c:v>
                </c:pt>
                <c:pt idx="14">
                  <c:v>4286</c:v>
                </c:pt>
                <c:pt idx="15">
                  <c:v>4785</c:v>
                </c:pt>
                <c:pt idx="16">
                  <c:v>5284</c:v>
                </c:pt>
                <c:pt idx="17">
                  <c:v>5783</c:v>
                </c:pt>
                <c:pt idx="18">
                  <c:v>6282</c:v>
                </c:pt>
                <c:pt idx="19">
                  <c:v>6781</c:v>
                </c:pt>
                <c:pt idx="20">
                  <c:v>7280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277</c:v>
                </c:pt>
                <c:pt idx="2">
                  <c:v>554</c:v>
                </c:pt>
                <c:pt idx="3">
                  <c:v>831</c:v>
                </c:pt>
                <c:pt idx="4">
                  <c:v>1108</c:v>
                </c:pt>
                <c:pt idx="5">
                  <c:v>1385</c:v>
                </c:pt>
                <c:pt idx="6">
                  <c:v>1662</c:v>
                </c:pt>
                <c:pt idx="7">
                  <c:v>1938.9999999999998</c:v>
                </c:pt>
                <c:pt idx="8">
                  <c:v>2216</c:v>
                </c:pt>
                <c:pt idx="9">
                  <c:v>2493</c:v>
                </c:pt>
                <c:pt idx="10">
                  <c:v>2770</c:v>
                </c:pt>
                <c:pt idx="11">
                  <c:v>3317</c:v>
                </c:pt>
                <c:pt idx="12">
                  <c:v>3864</c:v>
                </c:pt>
                <c:pt idx="13">
                  <c:v>4411</c:v>
                </c:pt>
                <c:pt idx="14">
                  <c:v>4958</c:v>
                </c:pt>
                <c:pt idx="15">
                  <c:v>5505</c:v>
                </c:pt>
                <c:pt idx="16">
                  <c:v>6052</c:v>
                </c:pt>
                <c:pt idx="17">
                  <c:v>6599</c:v>
                </c:pt>
                <c:pt idx="18">
                  <c:v>7146</c:v>
                </c:pt>
                <c:pt idx="19">
                  <c:v>7693</c:v>
                </c:pt>
                <c:pt idx="20">
                  <c:v>8240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-8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325</c:v>
                </c:pt>
                <c:pt idx="2">
                  <c:v>650</c:v>
                </c:pt>
                <c:pt idx="3">
                  <c:v>975</c:v>
                </c:pt>
                <c:pt idx="4">
                  <c:v>1300</c:v>
                </c:pt>
                <c:pt idx="5">
                  <c:v>1625</c:v>
                </c:pt>
                <c:pt idx="6">
                  <c:v>1950</c:v>
                </c:pt>
                <c:pt idx="7">
                  <c:v>2275</c:v>
                </c:pt>
                <c:pt idx="8">
                  <c:v>2600</c:v>
                </c:pt>
                <c:pt idx="9">
                  <c:v>2925</c:v>
                </c:pt>
                <c:pt idx="10">
                  <c:v>3250</c:v>
                </c:pt>
                <c:pt idx="11">
                  <c:v>3845.0000000000009</c:v>
                </c:pt>
                <c:pt idx="12">
                  <c:v>4440</c:v>
                </c:pt>
                <c:pt idx="13">
                  <c:v>5035</c:v>
                </c:pt>
                <c:pt idx="14">
                  <c:v>5630</c:v>
                </c:pt>
                <c:pt idx="15">
                  <c:v>6225</c:v>
                </c:pt>
                <c:pt idx="16">
                  <c:v>6820</c:v>
                </c:pt>
                <c:pt idx="17">
                  <c:v>7415</c:v>
                </c:pt>
                <c:pt idx="18">
                  <c:v>8010</c:v>
                </c:pt>
                <c:pt idx="19">
                  <c:v>8605</c:v>
                </c:pt>
                <c:pt idx="20">
                  <c:v>9200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-4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373</c:v>
                </c:pt>
                <c:pt idx="2">
                  <c:v>746</c:v>
                </c:pt>
                <c:pt idx="3">
                  <c:v>1119</c:v>
                </c:pt>
                <c:pt idx="4">
                  <c:v>1492</c:v>
                </c:pt>
                <c:pt idx="5">
                  <c:v>1865</c:v>
                </c:pt>
                <c:pt idx="6">
                  <c:v>2238</c:v>
                </c:pt>
                <c:pt idx="7">
                  <c:v>2611</c:v>
                </c:pt>
                <c:pt idx="8">
                  <c:v>2984</c:v>
                </c:pt>
                <c:pt idx="9">
                  <c:v>3357</c:v>
                </c:pt>
                <c:pt idx="10">
                  <c:v>3730</c:v>
                </c:pt>
                <c:pt idx="11">
                  <c:v>4373</c:v>
                </c:pt>
                <c:pt idx="12">
                  <c:v>5016</c:v>
                </c:pt>
                <c:pt idx="13">
                  <c:v>5659</c:v>
                </c:pt>
                <c:pt idx="14">
                  <c:v>6302</c:v>
                </c:pt>
                <c:pt idx="15">
                  <c:v>6945</c:v>
                </c:pt>
                <c:pt idx="16">
                  <c:v>7588</c:v>
                </c:pt>
                <c:pt idx="17">
                  <c:v>8231</c:v>
                </c:pt>
                <c:pt idx="18">
                  <c:v>8874</c:v>
                </c:pt>
                <c:pt idx="19">
                  <c:v>9517</c:v>
                </c:pt>
                <c:pt idx="20">
                  <c:v>10160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421</c:v>
                </c:pt>
                <c:pt idx="2">
                  <c:v>842</c:v>
                </c:pt>
                <c:pt idx="3">
                  <c:v>1263</c:v>
                </c:pt>
                <c:pt idx="4">
                  <c:v>1684</c:v>
                </c:pt>
                <c:pt idx="5">
                  <c:v>2105</c:v>
                </c:pt>
                <c:pt idx="6">
                  <c:v>2526</c:v>
                </c:pt>
                <c:pt idx="7">
                  <c:v>2947</c:v>
                </c:pt>
                <c:pt idx="8">
                  <c:v>3368</c:v>
                </c:pt>
                <c:pt idx="9">
                  <c:v>3789</c:v>
                </c:pt>
                <c:pt idx="10">
                  <c:v>4210</c:v>
                </c:pt>
                <c:pt idx="11">
                  <c:v>4901</c:v>
                </c:pt>
                <c:pt idx="12">
                  <c:v>5592</c:v>
                </c:pt>
                <c:pt idx="13">
                  <c:v>6283</c:v>
                </c:pt>
                <c:pt idx="14">
                  <c:v>6974</c:v>
                </c:pt>
                <c:pt idx="15">
                  <c:v>7665</c:v>
                </c:pt>
                <c:pt idx="16">
                  <c:v>8356</c:v>
                </c:pt>
                <c:pt idx="17">
                  <c:v>9047</c:v>
                </c:pt>
                <c:pt idx="18">
                  <c:v>9738</c:v>
                </c:pt>
                <c:pt idx="19">
                  <c:v>10429</c:v>
                </c:pt>
                <c:pt idx="20">
                  <c:v>11120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325</c:v>
                </c:pt>
                <c:pt idx="2">
                  <c:v>650</c:v>
                </c:pt>
                <c:pt idx="3">
                  <c:v>975</c:v>
                </c:pt>
                <c:pt idx="4">
                  <c:v>1300</c:v>
                </c:pt>
                <c:pt idx="5">
                  <c:v>1625</c:v>
                </c:pt>
                <c:pt idx="6">
                  <c:v>1950</c:v>
                </c:pt>
                <c:pt idx="7">
                  <c:v>2275</c:v>
                </c:pt>
                <c:pt idx="8">
                  <c:v>2600</c:v>
                </c:pt>
                <c:pt idx="9">
                  <c:v>2925</c:v>
                </c:pt>
                <c:pt idx="10">
                  <c:v>3250</c:v>
                </c:pt>
                <c:pt idx="11">
                  <c:v>3755.0000000000005</c:v>
                </c:pt>
                <c:pt idx="12">
                  <c:v>4260</c:v>
                </c:pt>
                <c:pt idx="13">
                  <c:v>4765</c:v>
                </c:pt>
                <c:pt idx="14">
                  <c:v>5270</c:v>
                </c:pt>
                <c:pt idx="15">
                  <c:v>5775</c:v>
                </c:pt>
                <c:pt idx="16">
                  <c:v>6280</c:v>
                </c:pt>
                <c:pt idx="17">
                  <c:v>6785</c:v>
                </c:pt>
                <c:pt idx="18">
                  <c:v>7290</c:v>
                </c:pt>
                <c:pt idx="19">
                  <c:v>7795</c:v>
                </c:pt>
                <c:pt idx="20">
                  <c:v>8300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325</c:v>
                </c:pt>
                <c:pt idx="2">
                  <c:v>650</c:v>
                </c:pt>
                <c:pt idx="3">
                  <c:v>975</c:v>
                </c:pt>
                <c:pt idx="4">
                  <c:v>1300</c:v>
                </c:pt>
                <c:pt idx="5">
                  <c:v>1625</c:v>
                </c:pt>
                <c:pt idx="6">
                  <c:v>1950</c:v>
                </c:pt>
                <c:pt idx="7">
                  <c:v>2275</c:v>
                </c:pt>
                <c:pt idx="8">
                  <c:v>2600</c:v>
                </c:pt>
                <c:pt idx="9">
                  <c:v>2925</c:v>
                </c:pt>
                <c:pt idx="10">
                  <c:v>3250</c:v>
                </c:pt>
                <c:pt idx="11">
                  <c:v>3800.0000000000005</c:v>
                </c:pt>
                <c:pt idx="12">
                  <c:v>4350</c:v>
                </c:pt>
                <c:pt idx="13">
                  <c:v>4900</c:v>
                </c:pt>
                <c:pt idx="14">
                  <c:v>5450</c:v>
                </c:pt>
                <c:pt idx="15">
                  <c:v>6000</c:v>
                </c:pt>
                <c:pt idx="16">
                  <c:v>6550</c:v>
                </c:pt>
                <c:pt idx="17">
                  <c:v>7100</c:v>
                </c:pt>
                <c:pt idx="18">
                  <c:v>7650</c:v>
                </c:pt>
                <c:pt idx="19">
                  <c:v>8200</c:v>
                </c:pt>
                <c:pt idx="20">
                  <c:v>8750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325</c:v>
                </c:pt>
                <c:pt idx="2">
                  <c:v>650</c:v>
                </c:pt>
                <c:pt idx="3">
                  <c:v>975</c:v>
                </c:pt>
                <c:pt idx="4">
                  <c:v>1300</c:v>
                </c:pt>
                <c:pt idx="5">
                  <c:v>1625</c:v>
                </c:pt>
                <c:pt idx="6">
                  <c:v>1950</c:v>
                </c:pt>
                <c:pt idx="7">
                  <c:v>2275</c:v>
                </c:pt>
                <c:pt idx="8">
                  <c:v>2600</c:v>
                </c:pt>
                <c:pt idx="9">
                  <c:v>2925</c:v>
                </c:pt>
                <c:pt idx="10">
                  <c:v>3250</c:v>
                </c:pt>
                <c:pt idx="11">
                  <c:v>3845.0000000000009</c:v>
                </c:pt>
                <c:pt idx="12">
                  <c:v>4440</c:v>
                </c:pt>
                <c:pt idx="13">
                  <c:v>5035</c:v>
                </c:pt>
                <c:pt idx="14">
                  <c:v>5630</c:v>
                </c:pt>
                <c:pt idx="15">
                  <c:v>6225</c:v>
                </c:pt>
                <c:pt idx="16">
                  <c:v>6820</c:v>
                </c:pt>
                <c:pt idx="17">
                  <c:v>7415</c:v>
                </c:pt>
                <c:pt idx="18">
                  <c:v>8010</c:v>
                </c:pt>
                <c:pt idx="19">
                  <c:v>8605</c:v>
                </c:pt>
                <c:pt idx="20">
                  <c:v>9200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325</c:v>
                </c:pt>
                <c:pt idx="2">
                  <c:v>650</c:v>
                </c:pt>
                <c:pt idx="3">
                  <c:v>975</c:v>
                </c:pt>
                <c:pt idx="4">
                  <c:v>1300</c:v>
                </c:pt>
                <c:pt idx="5">
                  <c:v>1625</c:v>
                </c:pt>
                <c:pt idx="6">
                  <c:v>1950</c:v>
                </c:pt>
                <c:pt idx="7">
                  <c:v>2275</c:v>
                </c:pt>
                <c:pt idx="8">
                  <c:v>2600</c:v>
                </c:pt>
                <c:pt idx="9">
                  <c:v>2925</c:v>
                </c:pt>
                <c:pt idx="10">
                  <c:v>3250</c:v>
                </c:pt>
                <c:pt idx="11">
                  <c:v>3890.0000000000009</c:v>
                </c:pt>
                <c:pt idx="12">
                  <c:v>4530</c:v>
                </c:pt>
                <c:pt idx="13">
                  <c:v>5170</c:v>
                </c:pt>
                <c:pt idx="14">
                  <c:v>5810</c:v>
                </c:pt>
                <c:pt idx="15">
                  <c:v>6450</c:v>
                </c:pt>
                <c:pt idx="16">
                  <c:v>7090</c:v>
                </c:pt>
                <c:pt idx="17">
                  <c:v>7730</c:v>
                </c:pt>
                <c:pt idx="18">
                  <c:v>8370</c:v>
                </c:pt>
                <c:pt idx="19">
                  <c:v>9010</c:v>
                </c:pt>
                <c:pt idx="20">
                  <c:v>9650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325</c:v>
                </c:pt>
                <c:pt idx="2">
                  <c:v>650</c:v>
                </c:pt>
                <c:pt idx="3">
                  <c:v>975</c:v>
                </c:pt>
                <c:pt idx="4">
                  <c:v>1300</c:v>
                </c:pt>
                <c:pt idx="5">
                  <c:v>1625</c:v>
                </c:pt>
                <c:pt idx="6">
                  <c:v>1950</c:v>
                </c:pt>
                <c:pt idx="7">
                  <c:v>2275</c:v>
                </c:pt>
                <c:pt idx="8">
                  <c:v>2600</c:v>
                </c:pt>
                <c:pt idx="9">
                  <c:v>2925</c:v>
                </c:pt>
                <c:pt idx="10">
                  <c:v>3250</c:v>
                </c:pt>
                <c:pt idx="11">
                  <c:v>3935.0000000000009</c:v>
                </c:pt>
                <c:pt idx="12">
                  <c:v>4620</c:v>
                </c:pt>
                <c:pt idx="13">
                  <c:v>5305</c:v>
                </c:pt>
                <c:pt idx="14">
                  <c:v>5990</c:v>
                </c:pt>
                <c:pt idx="15">
                  <c:v>6675</c:v>
                </c:pt>
                <c:pt idx="16">
                  <c:v>7360</c:v>
                </c:pt>
                <c:pt idx="17">
                  <c:v>8045</c:v>
                </c:pt>
                <c:pt idx="18">
                  <c:v>8730</c:v>
                </c:pt>
                <c:pt idx="19">
                  <c:v>9415</c:v>
                </c:pt>
                <c:pt idx="20">
                  <c:v>10100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-48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229</c:v>
                </c:pt>
                <c:pt idx="2">
                  <c:v>458</c:v>
                </c:pt>
                <c:pt idx="3">
                  <c:v>687</c:v>
                </c:pt>
                <c:pt idx="4">
                  <c:v>916</c:v>
                </c:pt>
                <c:pt idx="5">
                  <c:v>1145</c:v>
                </c:pt>
                <c:pt idx="6">
                  <c:v>1374</c:v>
                </c:pt>
                <c:pt idx="7">
                  <c:v>1603</c:v>
                </c:pt>
                <c:pt idx="8">
                  <c:v>1832</c:v>
                </c:pt>
                <c:pt idx="9">
                  <c:v>2061</c:v>
                </c:pt>
                <c:pt idx="10">
                  <c:v>2290</c:v>
                </c:pt>
                <c:pt idx="11">
                  <c:v>2519</c:v>
                </c:pt>
                <c:pt idx="12">
                  <c:v>2748</c:v>
                </c:pt>
                <c:pt idx="13">
                  <c:v>2977</c:v>
                </c:pt>
                <c:pt idx="14">
                  <c:v>3206</c:v>
                </c:pt>
                <c:pt idx="15">
                  <c:v>3435</c:v>
                </c:pt>
                <c:pt idx="16">
                  <c:v>3664</c:v>
                </c:pt>
                <c:pt idx="17">
                  <c:v>3893</c:v>
                </c:pt>
                <c:pt idx="18">
                  <c:v>4122</c:v>
                </c:pt>
                <c:pt idx="19">
                  <c:v>4351</c:v>
                </c:pt>
                <c:pt idx="20">
                  <c:v>4580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-36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277</c:v>
                </c:pt>
                <c:pt idx="2">
                  <c:v>554</c:v>
                </c:pt>
                <c:pt idx="3">
                  <c:v>831</c:v>
                </c:pt>
                <c:pt idx="4">
                  <c:v>1108</c:v>
                </c:pt>
                <c:pt idx="5">
                  <c:v>1385</c:v>
                </c:pt>
                <c:pt idx="6">
                  <c:v>1662</c:v>
                </c:pt>
                <c:pt idx="7">
                  <c:v>1938.9999999999998</c:v>
                </c:pt>
                <c:pt idx="8">
                  <c:v>2216</c:v>
                </c:pt>
                <c:pt idx="9">
                  <c:v>2493</c:v>
                </c:pt>
                <c:pt idx="10">
                  <c:v>2770</c:v>
                </c:pt>
                <c:pt idx="11">
                  <c:v>3047</c:v>
                </c:pt>
                <c:pt idx="12">
                  <c:v>3324</c:v>
                </c:pt>
                <c:pt idx="13">
                  <c:v>3601</c:v>
                </c:pt>
                <c:pt idx="14">
                  <c:v>3878</c:v>
                </c:pt>
                <c:pt idx="15">
                  <c:v>4155</c:v>
                </c:pt>
                <c:pt idx="16">
                  <c:v>4432</c:v>
                </c:pt>
                <c:pt idx="17">
                  <c:v>4709</c:v>
                </c:pt>
                <c:pt idx="18">
                  <c:v>4986</c:v>
                </c:pt>
                <c:pt idx="19">
                  <c:v>5263</c:v>
                </c:pt>
                <c:pt idx="20">
                  <c:v>5540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-24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325</c:v>
                </c:pt>
                <c:pt idx="2">
                  <c:v>650</c:v>
                </c:pt>
                <c:pt idx="3">
                  <c:v>975</c:v>
                </c:pt>
                <c:pt idx="4">
                  <c:v>1300</c:v>
                </c:pt>
                <c:pt idx="5">
                  <c:v>1625</c:v>
                </c:pt>
                <c:pt idx="6">
                  <c:v>1950</c:v>
                </c:pt>
                <c:pt idx="7">
                  <c:v>2275</c:v>
                </c:pt>
                <c:pt idx="8">
                  <c:v>2600</c:v>
                </c:pt>
                <c:pt idx="9">
                  <c:v>2925</c:v>
                </c:pt>
                <c:pt idx="10">
                  <c:v>3250</c:v>
                </c:pt>
                <c:pt idx="11">
                  <c:v>3575.0000000000005</c:v>
                </c:pt>
                <c:pt idx="12">
                  <c:v>3900</c:v>
                </c:pt>
                <c:pt idx="13">
                  <c:v>4225</c:v>
                </c:pt>
                <c:pt idx="14">
                  <c:v>4550</c:v>
                </c:pt>
                <c:pt idx="15">
                  <c:v>4875</c:v>
                </c:pt>
                <c:pt idx="16">
                  <c:v>5200</c:v>
                </c:pt>
                <c:pt idx="17">
                  <c:v>5525</c:v>
                </c:pt>
                <c:pt idx="18">
                  <c:v>5850</c:v>
                </c:pt>
                <c:pt idx="19">
                  <c:v>6175</c:v>
                </c:pt>
                <c:pt idx="20">
                  <c:v>6500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-12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373</c:v>
                </c:pt>
                <c:pt idx="2">
                  <c:v>746</c:v>
                </c:pt>
                <c:pt idx="3">
                  <c:v>1119</c:v>
                </c:pt>
                <c:pt idx="4">
                  <c:v>1492</c:v>
                </c:pt>
                <c:pt idx="5">
                  <c:v>1865</c:v>
                </c:pt>
                <c:pt idx="6">
                  <c:v>2238</c:v>
                </c:pt>
                <c:pt idx="7">
                  <c:v>2611</c:v>
                </c:pt>
                <c:pt idx="8">
                  <c:v>2984</c:v>
                </c:pt>
                <c:pt idx="9">
                  <c:v>3357</c:v>
                </c:pt>
                <c:pt idx="10">
                  <c:v>3730</c:v>
                </c:pt>
                <c:pt idx="11">
                  <c:v>4103</c:v>
                </c:pt>
                <c:pt idx="12">
                  <c:v>4476</c:v>
                </c:pt>
                <c:pt idx="13">
                  <c:v>4849</c:v>
                </c:pt>
                <c:pt idx="14">
                  <c:v>5222</c:v>
                </c:pt>
                <c:pt idx="15">
                  <c:v>5595</c:v>
                </c:pt>
                <c:pt idx="16">
                  <c:v>5968</c:v>
                </c:pt>
                <c:pt idx="17">
                  <c:v>6341</c:v>
                </c:pt>
                <c:pt idx="18">
                  <c:v>6714</c:v>
                </c:pt>
                <c:pt idx="19">
                  <c:v>7087</c:v>
                </c:pt>
                <c:pt idx="20">
                  <c:v>7460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421</c:v>
                </c:pt>
                <c:pt idx="2">
                  <c:v>842</c:v>
                </c:pt>
                <c:pt idx="3">
                  <c:v>1263</c:v>
                </c:pt>
                <c:pt idx="4">
                  <c:v>1684</c:v>
                </c:pt>
                <c:pt idx="5">
                  <c:v>2105</c:v>
                </c:pt>
                <c:pt idx="6">
                  <c:v>2526</c:v>
                </c:pt>
                <c:pt idx="7">
                  <c:v>2947</c:v>
                </c:pt>
                <c:pt idx="8">
                  <c:v>3368</c:v>
                </c:pt>
                <c:pt idx="9">
                  <c:v>3789</c:v>
                </c:pt>
                <c:pt idx="10">
                  <c:v>4210</c:v>
                </c:pt>
                <c:pt idx="11">
                  <c:v>4631</c:v>
                </c:pt>
                <c:pt idx="12">
                  <c:v>5052</c:v>
                </c:pt>
                <c:pt idx="13">
                  <c:v>5473</c:v>
                </c:pt>
                <c:pt idx="14">
                  <c:v>5894</c:v>
                </c:pt>
                <c:pt idx="15">
                  <c:v>6315</c:v>
                </c:pt>
                <c:pt idx="16">
                  <c:v>6736</c:v>
                </c:pt>
                <c:pt idx="17">
                  <c:v>7157</c:v>
                </c:pt>
                <c:pt idx="18">
                  <c:v>7578</c:v>
                </c:pt>
                <c:pt idx="19">
                  <c:v>7999</c:v>
                </c:pt>
                <c:pt idx="20">
                  <c:v>8420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-16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229</c:v>
                </c:pt>
                <c:pt idx="2">
                  <c:v>458</c:v>
                </c:pt>
                <c:pt idx="3">
                  <c:v>687</c:v>
                </c:pt>
                <c:pt idx="4">
                  <c:v>916</c:v>
                </c:pt>
                <c:pt idx="5">
                  <c:v>1145</c:v>
                </c:pt>
                <c:pt idx="6">
                  <c:v>1374</c:v>
                </c:pt>
                <c:pt idx="7">
                  <c:v>1603</c:v>
                </c:pt>
                <c:pt idx="8">
                  <c:v>1832</c:v>
                </c:pt>
                <c:pt idx="9">
                  <c:v>2061</c:v>
                </c:pt>
                <c:pt idx="10">
                  <c:v>2290</c:v>
                </c:pt>
                <c:pt idx="11">
                  <c:v>2699</c:v>
                </c:pt>
                <c:pt idx="12">
                  <c:v>3108</c:v>
                </c:pt>
                <c:pt idx="13">
                  <c:v>3517</c:v>
                </c:pt>
                <c:pt idx="14">
                  <c:v>3926</c:v>
                </c:pt>
                <c:pt idx="15">
                  <c:v>4335</c:v>
                </c:pt>
                <c:pt idx="16">
                  <c:v>4744</c:v>
                </c:pt>
                <c:pt idx="17">
                  <c:v>5153</c:v>
                </c:pt>
                <c:pt idx="18">
                  <c:v>5562</c:v>
                </c:pt>
                <c:pt idx="19">
                  <c:v>5971</c:v>
                </c:pt>
                <c:pt idx="20">
                  <c:v>6380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-12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277</c:v>
                </c:pt>
                <c:pt idx="2">
                  <c:v>554</c:v>
                </c:pt>
                <c:pt idx="3">
                  <c:v>831</c:v>
                </c:pt>
                <c:pt idx="4">
                  <c:v>1108</c:v>
                </c:pt>
                <c:pt idx="5">
                  <c:v>1385</c:v>
                </c:pt>
                <c:pt idx="6">
                  <c:v>1662</c:v>
                </c:pt>
                <c:pt idx="7">
                  <c:v>1938.9999999999998</c:v>
                </c:pt>
                <c:pt idx="8">
                  <c:v>2216</c:v>
                </c:pt>
                <c:pt idx="9">
                  <c:v>2493</c:v>
                </c:pt>
                <c:pt idx="10">
                  <c:v>2770</c:v>
                </c:pt>
                <c:pt idx="11">
                  <c:v>3272</c:v>
                </c:pt>
                <c:pt idx="12">
                  <c:v>3774</c:v>
                </c:pt>
                <c:pt idx="13">
                  <c:v>4276</c:v>
                </c:pt>
                <c:pt idx="14">
                  <c:v>4778</c:v>
                </c:pt>
                <c:pt idx="15">
                  <c:v>5280</c:v>
                </c:pt>
                <c:pt idx="16">
                  <c:v>5782</c:v>
                </c:pt>
                <c:pt idx="17">
                  <c:v>6284</c:v>
                </c:pt>
                <c:pt idx="18">
                  <c:v>6786</c:v>
                </c:pt>
                <c:pt idx="19">
                  <c:v>7288</c:v>
                </c:pt>
                <c:pt idx="20">
                  <c:v>7790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-8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325</c:v>
                </c:pt>
                <c:pt idx="2">
                  <c:v>650</c:v>
                </c:pt>
                <c:pt idx="3">
                  <c:v>975</c:v>
                </c:pt>
                <c:pt idx="4">
                  <c:v>1300</c:v>
                </c:pt>
                <c:pt idx="5">
                  <c:v>1625</c:v>
                </c:pt>
                <c:pt idx="6">
                  <c:v>1950</c:v>
                </c:pt>
                <c:pt idx="7">
                  <c:v>2275</c:v>
                </c:pt>
                <c:pt idx="8">
                  <c:v>2600</c:v>
                </c:pt>
                <c:pt idx="9">
                  <c:v>2925</c:v>
                </c:pt>
                <c:pt idx="10">
                  <c:v>3250</c:v>
                </c:pt>
                <c:pt idx="11">
                  <c:v>3845.0000000000009</c:v>
                </c:pt>
                <c:pt idx="12">
                  <c:v>4440</c:v>
                </c:pt>
                <c:pt idx="13">
                  <c:v>5035</c:v>
                </c:pt>
                <c:pt idx="14">
                  <c:v>5630</c:v>
                </c:pt>
                <c:pt idx="15">
                  <c:v>6225</c:v>
                </c:pt>
                <c:pt idx="16">
                  <c:v>6820</c:v>
                </c:pt>
                <c:pt idx="17">
                  <c:v>7415</c:v>
                </c:pt>
                <c:pt idx="18">
                  <c:v>8010</c:v>
                </c:pt>
                <c:pt idx="19">
                  <c:v>8605</c:v>
                </c:pt>
                <c:pt idx="20">
                  <c:v>9200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-4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373</c:v>
                </c:pt>
                <c:pt idx="2">
                  <c:v>746</c:v>
                </c:pt>
                <c:pt idx="3">
                  <c:v>1119</c:v>
                </c:pt>
                <c:pt idx="4">
                  <c:v>1492</c:v>
                </c:pt>
                <c:pt idx="5">
                  <c:v>1865</c:v>
                </c:pt>
                <c:pt idx="6">
                  <c:v>2238</c:v>
                </c:pt>
                <c:pt idx="7">
                  <c:v>2611</c:v>
                </c:pt>
                <c:pt idx="8">
                  <c:v>2984</c:v>
                </c:pt>
                <c:pt idx="9">
                  <c:v>3357</c:v>
                </c:pt>
                <c:pt idx="10">
                  <c:v>3730</c:v>
                </c:pt>
                <c:pt idx="11">
                  <c:v>4418</c:v>
                </c:pt>
                <c:pt idx="12">
                  <c:v>5106</c:v>
                </c:pt>
                <c:pt idx="13">
                  <c:v>5794</c:v>
                </c:pt>
                <c:pt idx="14">
                  <c:v>6482</c:v>
                </c:pt>
                <c:pt idx="15">
                  <c:v>7170</c:v>
                </c:pt>
                <c:pt idx="16">
                  <c:v>7858</c:v>
                </c:pt>
                <c:pt idx="17">
                  <c:v>8546</c:v>
                </c:pt>
                <c:pt idx="18">
                  <c:v>9234</c:v>
                </c:pt>
                <c:pt idx="19">
                  <c:v>9922</c:v>
                </c:pt>
                <c:pt idx="20">
                  <c:v>10610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421</c:v>
                </c:pt>
                <c:pt idx="2">
                  <c:v>842</c:v>
                </c:pt>
                <c:pt idx="3">
                  <c:v>1263</c:v>
                </c:pt>
                <c:pt idx="4">
                  <c:v>1684</c:v>
                </c:pt>
                <c:pt idx="5">
                  <c:v>2105</c:v>
                </c:pt>
                <c:pt idx="6">
                  <c:v>2526</c:v>
                </c:pt>
                <c:pt idx="7">
                  <c:v>2947</c:v>
                </c:pt>
                <c:pt idx="8">
                  <c:v>3368</c:v>
                </c:pt>
                <c:pt idx="9">
                  <c:v>3789</c:v>
                </c:pt>
                <c:pt idx="10">
                  <c:v>4210</c:v>
                </c:pt>
                <c:pt idx="11">
                  <c:v>4991</c:v>
                </c:pt>
                <c:pt idx="12">
                  <c:v>5772</c:v>
                </c:pt>
                <c:pt idx="13">
                  <c:v>6553</c:v>
                </c:pt>
                <c:pt idx="14">
                  <c:v>7334</c:v>
                </c:pt>
                <c:pt idx="15">
                  <c:v>8115</c:v>
                </c:pt>
                <c:pt idx="16">
                  <c:v>8896</c:v>
                </c:pt>
                <c:pt idx="17">
                  <c:v>9677</c:v>
                </c:pt>
                <c:pt idx="18">
                  <c:v>10458</c:v>
                </c:pt>
                <c:pt idx="19">
                  <c:v>11239</c:v>
                </c:pt>
                <c:pt idx="20">
                  <c:v>12020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-48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-229</c:v>
                </c:pt>
                <c:pt idx="2">
                  <c:v>-458</c:v>
                </c:pt>
                <c:pt idx="3">
                  <c:v>-687</c:v>
                </c:pt>
                <c:pt idx="4">
                  <c:v>-916</c:v>
                </c:pt>
                <c:pt idx="5">
                  <c:v>-1145</c:v>
                </c:pt>
                <c:pt idx="6">
                  <c:v>-1374</c:v>
                </c:pt>
                <c:pt idx="7">
                  <c:v>-1603</c:v>
                </c:pt>
                <c:pt idx="8">
                  <c:v>-1832</c:v>
                </c:pt>
                <c:pt idx="9">
                  <c:v>-2061</c:v>
                </c:pt>
                <c:pt idx="10">
                  <c:v>-2290</c:v>
                </c:pt>
                <c:pt idx="11">
                  <c:v>-2519</c:v>
                </c:pt>
                <c:pt idx="12">
                  <c:v>-2748</c:v>
                </c:pt>
                <c:pt idx="13">
                  <c:v>-2977</c:v>
                </c:pt>
                <c:pt idx="14">
                  <c:v>-3206</c:v>
                </c:pt>
                <c:pt idx="15">
                  <c:v>-3435</c:v>
                </c:pt>
                <c:pt idx="16">
                  <c:v>-3664</c:v>
                </c:pt>
                <c:pt idx="17">
                  <c:v>-3893</c:v>
                </c:pt>
                <c:pt idx="18">
                  <c:v>-4122</c:v>
                </c:pt>
                <c:pt idx="19">
                  <c:v>-4351</c:v>
                </c:pt>
                <c:pt idx="20">
                  <c:v>-4580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-36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-277</c:v>
                </c:pt>
                <c:pt idx="2">
                  <c:v>-554</c:v>
                </c:pt>
                <c:pt idx="3">
                  <c:v>-831</c:v>
                </c:pt>
                <c:pt idx="4">
                  <c:v>-1108</c:v>
                </c:pt>
                <c:pt idx="5">
                  <c:v>-1385</c:v>
                </c:pt>
                <c:pt idx="6">
                  <c:v>-1662</c:v>
                </c:pt>
                <c:pt idx="7">
                  <c:v>-1938.9999999999998</c:v>
                </c:pt>
                <c:pt idx="8">
                  <c:v>-2216</c:v>
                </c:pt>
                <c:pt idx="9">
                  <c:v>-2493</c:v>
                </c:pt>
                <c:pt idx="10">
                  <c:v>-2770</c:v>
                </c:pt>
                <c:pt idx="11">
                  <c:v>-3047</c:v>
                </c:pt>
                <c:pt idx="12">
                  <c:v>-3324</c:v>
                </c:pt>
                <c:pt idx="13">
                  <c:v>-3601</c:v>
                </c:pt>
                <c:pt idx="14">
                  <c:v>-3878</c:v>
                </c:pt>
                <c:pt idx="15">
                  <c:v>-4155</c:v>
                </c:pt>
                <c:pt idx="16">
                  <c:v>-4432</c:v>
                </c:pt>
                <c:pt idx="17">
                  <c:v>-4709</c:v>
                </c:pt>
                <c:pt idx="18">
                  <c:v>-4986</c:v>
                </c:pt>
                <c:pt idx="19">
                  <c:v>-5263</c:v>
                </c:pt>
                <c:pt idx="20">
                  <c:v>-5540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-24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-325</c:v>
                </c:pt>
                <c:pt idx="2">
                  <c:v>-650</c:v>
                </c:pt>
                <c:pt idx="3">
                  <c:v>-975</c:v>
                </c:pt>
                <c:pt idx="4">
                  <c:v>-1300</c:v>
                </c:pt>
                <c:pt idx="5">
                  <c:v>-1625</c:v>
                </c:pt>
                <c:pt idx="6">
                  <c:v>-1950</c:v>
                </c:pt>
                <c:pt idx="7">
                  <c:v>-2275</c:v>
                </c:pt>
                <c:pt idx="8">
                  <c:v>-2600</c:v>
                </c:pt>
                <c:pt idx="9">
                  <c:v>-2925</c:v>
                </c:pt>
                <c:pt idx="10">
                  <c:v>-3250</c:v>
                </c:pt>
                <c:pt idx="11">
                  <c:v>-3575.0000000000005</c:v>
                </c:pt>
                <c:pt idx="12">
                  <c:v>-3900</c:v>
                </c:pt>
                <c:pt idx="13">
                  <c:v>-4225</c:v>
                </c:pt>
                <c:pt idx="14">
                  <c:v>-4550</c:v>
                </c:pt>
                <c:pt idx="15">
                  <c:v>-4875</c:v>
                </c:pt>
                <c:pt idx="16">
                  <c:v>-5200</c:v>
                </c:pt>
                <c:pt idx="17">
                  <c:v>-5525</c:v>
                </c:pt>
                <c:pt idx="18">
                  <c:v>-5850</c:v>
                </c:pt>
                <c:pt idx="19">
                  <c:v>-6175</c:v>
                </c:pt>
                <c:pt idx="20">
                  <c:v>-6500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-12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-373</c:v>
                </c:pt>
                <c:pt idx="2">
                  <c:v>-746</c:v>
                </c:pt>
                <c:pt idx="3">
                  <c:v>-1119</c:v>
                </c:pt>
                <c:pt idx="4">
                  <c:v>-1492</c:v>
                </c:pt>
                <c:pt idx="5">
                  <c:v>-1865</c:v>
                </c:pt>
                <c:pt idx="6">
                  <c:v>-2238</c:v>
                </c:pt>
                <c:pt idx="7">
                  <c:v>-2611</c:v>
                </c:pt>
                <c:pt idx="8">
                  <c:v>-2984</c:v>
                </c:pt>
                <c:pt idx="9">
                  <c:v>-3357</c:v>
                </c:pt>
                <c:pt idx="10">
                  <c:v>-3730</c:v>
                </c:pt>
                <c:pt idx="11">
                  <c:v>-4103</c:v>
                </c:pt>
                <c:pt idx="12">
                  <c:v>-4476</c:v>
                </c:pt>
                <c:pt idx="13">
                  <c:v>-4849</c:v>
                </c:pt>
                <c:pt idx="14">
                  <c:v>-5222</c:v>
                </c:pt>
                <c:pt idx="15">
                  <c:v>-5595</c:v>
                </c:pt>
                <c:pt idx="16">
                  <c:v>-5968</c:v>
                </c:pt>
                <c:pt idx="17">
                  <c:v>-6341</c:v>
                </c:pt>
                <c:pt idx="18">
                  <c:v>-6714</c:v>
                </c:pt>
                <c:pt idx="19">
                  <c:v>-7087</c:v>
                </c:pt>
                <c:pt idx="20">
                  <c:v>-7460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-421</c:v>
                </c:pt>
                <c:pt idx="2">
                  <c:v>-842</c:v>
                </c:pt>
                <c:pt idx="3">
                  <c:v>-1263</c:v>
                </c:pt>
                <c:pt idx="4">
                  <c:v>-1684</c:v>
                </c:pt>
                <c:pt idx="5">
                  <c:v>-2105</c:v>
                </c:pt>
                <c:pt idx="6">
                  <c:v>-2526</c:v>
                </c:pt>
                <c:pt idx="7">
                  <c:v>-2947</c:v>
                </c:pt>
                <c:pt idx="8">
                  <c:v>-3368</c:v>
                </c:pt>
                <c:pt idx="9">
                  <c:v>-3789</c:v>
                </c:pt>
                <c:pt idx="10">
                  <c:v>-4210</c:v>
                </c:pt>
                <c:pt idx="11">
                  <c:v>-4631</c:v>
                </c:pt>
                <c:pt idx="12">
                  <c:v>-5052</c:v>
                </c:pt>
                <c:pt idx="13">
                  <c:v>-5473</c:v>
                </c:pt>
                <c:pt idx="14">
                  <c:v>-5894</c:v>
                </c:pt>
                <c:pt idx="15">
                  <c:v>-6315</c:v>
                </c:pt>
                <c:pt idx="16">
                  <c:v>-6736</c:v>
                </c:pt>
                <c:pt idx="17">
                  <c:v>-7157</c:v>
                </c:pt>
                <c:pt idx="18">
                  <c:v>-7578</c:v>
                </c:pt>
                <c:pt idx="19">
                  <c:v>-7999</c:v>
                </c:pt>
                <c:pt idx="20">
                  <c:v>-8420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H21"/>
  <sheetViews>
    <sheetView showGridLines="0" tabSelected="1" workbookViewId="0">
      <selection activeCell="E10" sqref="E10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" customHeight="1">
      <c r="A2" s="6"/>
      <c r="B2" s="67" t="s">
        <v>69</v>
      </c>
      <c r="C2" s="68"/>
      <c r="D2" s="68"/>
      <c r="E2" s="68"/>
      <c r="F2" s="68"/>
      <c r="G2" s="68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16"/>
      <c r="C4" s="6"/>
      <c r="D4" s="8" t="s">
        <v>0</v>
      </c>
      <c r="E4" s="9" t="s">
        <v>70</v>
      </c>
      <c r="F4" s="9" t="s">
        <v>71</v>
      </c>
      <c r="H4" s="6"/>
    </row>
    <row r="5" spans="1:8" ht="31" customHeight="1">
      <c r="A5" s="6"/>
      <c r="B5" s="16"/>
      <c r="C5" s="6"/>
      <c r="D5" s="17" t="s">
        <v>1</v>
      </c>
      <c r="E5" s="65" t="s">
        <v>72</v>
      </c>
      <c r="F5" s="13">
        <v>280</v>
      </c>
      <c r="H5" s="6"/>
    </row>
    <row r="6" spans="1:8" ht="31" customHeight="1">
      <c r="A6" s="6"/>
      <c r="B6" s="69" t="s">
        <v>2</v>
      </c>
      <c r="C6" s="6"/>
      <c r="D6" s="11" t="s">
        <v>3</v>
      </c>
      <c r="E6" s="12" t="s">
        <v>73</v>
      </c>
      <c r="F6" s="12" t="s">
        <v>74</v>
      </c>
      <c r="H6" s="6"/>
    </row>
    <row r="7" spans="1:8" ht="31" customHeight="1">
      <c r="A7" s="6"/>
      <c r="B7" s="69"/>
      <c r="C7" s="6"/>
      <c r="D7" s="10" t="s">
        <v>4</v>
      </c>
      <c r="E7" s="14">
        <f>Parameters!D23</f>
        <v>16</v>
      </c>
      <c r="F7" s="14">
        <f>Parameters!D23</f>
        <v>16</v>
      </c>
      <c r="H7" s="6"/>
    </row>
    <row r="8" spans="1:8" ht="31" customHeight="1">
      <c r="A8" s="6"/>
      <c r="B8" s="96" t="s">
        <v>95</v>
      </c>
      <c r="C8" s="6"/>
      <c r="D8" s="11" t="s">
        <v>5</v>
      </c>
      <c r="E8" s="15">
        <f>Parameters!D27</f>
        <v>10</v>
      </c>
      <c r="F8" s="15">
        <f>Parameters!D24</f>
        <v>20</v>
      </c>
      <c r="H8" s="6"/>
    </row>
    <row r="9" spans="1:8" ht="31" customHeight="1">
      <c r="A9" s="6"/>
      <c r="B9" s="97" t="s">
        <v>75</v>
      </c>
      <c r="C9" s="6"/>
      <c r="D9" s="10" t="s">
        <v>6</v>
      </c>
      <c r="E9" s="14">
        <f>Parameters!D25</f>
        <v>48</v>
      </c>
      <c r="F9" s="14">
        <f>Parameters!D26</f>
        <v>48</v>
      </c>
      <c r="H9" s="6"/>
    </row>
    <row r="10" spans="1:8" ht="31" customHeight="1">
      <c r="A10" s="6"/>
      <c r="B10" s="7"/>
      <c r="C10" s="6"/>
      <c r="D10" s="11" t="s">
        <v>7</v>
      </c>
      <c r="E10" s="12" t="s">
        <v>76</v>
      </c>
      <c r="F10" s="12" t="s">
        <v>77</v>
      </c>
      <c r="H10" s="6"/>
    </row>
    <row r="11" spans="1:8" ht="31" customHeight="1">
      <c r="A11" s="6"/>
      <c r="B11" s="7"/>
      <c r="C11" s="6"/>
      <c r="D11" s="10" t="s">
        <v>8</v>
      </c>
      <c r="E11" s="64" t="s">
        <v>76</v>
      </c>
      <c r="F11" s="14" t="s">
        <v>77</v>
      </c>
      <c r="H11" s="6"/>
    </row>
    <row r="12" spans="1:8" ht="31" customHeight="1">
      <c r="A12" s="6"/>
      <c r="B12" s="7"/>
      <c r="C12" s="6"/>
      <c r="D12" s="11" t="s">
        <v>9</v>
      </c>
      <c r="E12" s="12" t="s">
        <v>78</v>
      </c>
      <c r="F12" s="12" t="s">
        <v>79</v>
      </c>
      <c r="H12" s="6"/>
    </row>
    <row r="13" spans="1:8" ht="31" customHeight="1">
      <c r="A13" s="6"/>
      <c r="B13" s="7"/>
      <c r="C13" s="6"/>
      <c r="D13" s="10" t="s">
        <v>10</v>
      </c>
      <c r="E13" s="18"/>
      <c r="F13" s="18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66"/>
      <c r="E15" s="66"/>
      <c r="F15" s="66"/>
      <c r="G15" s="66"/>
      <c r="H15" s="6"/>
    </row>
    <row r="16" spans="1:8" ht="22" customHeight="1">
      <c r="A16" s="6"/>
      <c r="B16" s="6"/>
      <c r="C16" s="6"/>
      <c r="D16" s="66"/>
      <c r="E16" s="66"/>
      <c r="F16" s="66"/>
      <c r="G16" s="66"/>
      <c r="H16" s="6"/>
    </row>
    <row r="17" spans="1:8" ht="22" customHeight="1">
      <c r="A17" s="6"/>
      <c r="B17" s="6"/>
      <c r="C17" s="6"/>
      <c r="D17" s="2"/>
      <c r="E17" s="1"/>
      <c r="F17" s="66"/>
      <c r="G17" s="66"/>
      <c r="H17" s="6"/>
    </row>
    <row r="18" spans="1:8" ht="25" customHeight="1">
      <c r="A18" s="6"/>
      <c r="B18" s="6"/>
      <c r="C18" s="6"/>
      <c r="D18" s="6"/>
      <c r="E18" s="6"/>
      <c r="F18" s="6"/>
      <c r="G18" s="6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5">
    <mergeCell ref="D17:G17"/>
    <mergeCell ref="B2:G2"/>
    <mergeCell ref="B6:B7"/>
    <mergeCell ref="D15:G15"/>
    <mergeCell ref="D16:G16"/>
  </mergeCells>
  <phoneticPr fontId="7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workbookViewId="0"/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2" t="s">
        <v>80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9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0" t="s">
        <v>11</v>
      </c>
      <c r="C4" s="21" t="s">
        <v>94</v>
      </c>
      <c r="D4" s="1"/>
      <c r="E4" s="70"/>
      <c r="F4" s="70"/>
      <c r="G4" s="70"/>
      <c r="H4" s="70"/>
      <c r="I4" s="70"/>
      <c r="J4" s="70"/>
      <c r="K4" s="70"/>
      <c r="L4" s="70"/>
      <c r="M4" s="70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2" customHeight="1">
      <c r="A6" s="1"/>
      <c r="B6" s="22" t="s">
        <v>12</v>
      </c>
      <c r="C6" s="21" t="s">
        <v>93</v>
      </c>
      <c r="D6" s="1"/>
      <c r="E6" s="1"/>
      <c r="F6" s="71" t="s">
        <v>13</v>
      </c>
      <c r="G6" s="72"/>
      <c r="H6" s="72"/>
      <c r="I6" s="72"/>
      <c r="J6" s="72"/>
      <c r="K6" s="1"/>
      <c r="L6" s="1"/>
      <c r="M6" s="1"/>
      <c r="N6" s="1"/>
      <c r="O6" s="1"/>
    </row>
    <row r="7" spans="1:15" ht="28" customHeight="1">
      <c r="A7" s="1"/>
      <c r="B7" s="23" t="s">
        <v>14</v>
      </c>
      <c r="C7" s="24">
        <v>-8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8" customHeight="1">
      <c r="A8" s="1"/>
      <c r="B8" s="20" t="s">
        <v>15</v>
      </c>
      <c r="C8" s="24">
        <v>-10</v>
      </c>
      <c r="D8" s="1"/>
      <c r="E8" s="1"/>
      <c r="F8" s="73" t="s">
        <v>16</v>
      </c>
      <c r="G8" s="74"/>
      <c r="H8" s="74"/>
      <c r="I8" s="75">
        <f>IF(C18="OK",Samples!F165*MIN(C10,Samples!G165)+Samples!I165*MAX(0,C10-Samples!G165)+Samples!J165*MAX(0,C10-Samples!K165),"检查输入")</f>
        <v>3250</v>
      </c>
      <c r="J8" s="76"/>
      <c r="K8" s="1"/>
      <c r="L8" s="1"/>
      <c r="M8" s="1"/>
      <c r="N8" s="1"/>
      <c r="O8" s="1"/>
    </row>
    <row r="9" spans="1:15" ht="28" customHeight="1">
      <c r="A9" s="1"/>
      <c r="B9" s="23" t="s">
        <v>17</v>
      </c>
      <c r="C9" s="24">
        <v>-24</v>
      </c>
      <c r="D9" s="1"/>
      <c r="E9" s="1"/>
      <c r="F9" s="1"/>
      <c r="G9" s="1"/>
      <c r="H9" s="1"/>
      <c r="I9" s="5"/>
      <c r="J9" s="5"/>
      <c r="K9" s="1"/>
      <c r="L9" s="1"/>
      <c r="M9" s="1"/>
      <c r="N9" s="1"/>
      <c r="O9" s="1"/>
    </row>
    <row r="10" spans="1:15" ht="28" customHeight="1">
      <c r="A10" s="1"/>
      <c r="B10" s="22" t="s">
        <v>18</v>
      </c>
      <c r="C10" s="25">
        <v>1</v>
      </c>
      <c r="D10" s="1"/>
      <c r="E10" s="1"/>
      <c r="F10" s="73" t="s">
        <v>19</v>
      </c>
      <c r="G10" s="74"/>
      <c r="H10" s="74"/>
      <c r="I10" s="75">
        <f>IF(C18="OK",Samples!M165*MIN(C10,Samples!N165)+Samples!P165*MAX(0,C10-Samples!N165),"检查输入")</f>
        <v>3250</v>
      </c>
      <c r="J10" s="76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32" customHeight="1">
      <c r="A13" s="1"/>
      <c r="B13" s="22" t="s">
        <v>20</v>
      </c>
      <c r="C13" s="26">
        <f>Parameters!D23</f>
        <v>16</v>
      </c>
      <c r="D13" s="1"/>
      <c r="E13" s="1"/>
      <c r="F13" s="71" t="s">
        <v>21</v>
      </c>
      <c r="G13" s="72"/>
      <c r="H13" s="72"/>
      <c r="I13" s="72"/>
      <c r="J13" s="72"/>
      <c r="K13" s="1"/>
      <c r="L13" s="1"/>
      <c r="M13" s="1"/>
      <c r="N13" s="1"/>
      <c r="O13" s="1"/>
    </row>
    <row r="14" spans="1:15" ht="28" customHeight="1">
      <c r="A14" s="1"/>
      <c r="B14" s="27" t="s">
        <v>22</v>
      </c>
      <c r="C14" s="28">
        <f>IF(C6="RA68",Parameters!D27,Parameters!D24)</f>
        <v>20</v>
      </c>
      <c r="D14" s="1"/>
      <c r="E14" s="1"/>
      <c r="F14" s="77" t="s">
        <v>23</v>
      </c>
      <c r="G14" s="78"/>
      <c r="H14" s="78"/>
      <c r="I14" s="29">
        <f>Samples!F165</f>
        <v>3250</v>
      </c>
      <c r="J14" s="20" t="s">
        <v>24</v>
      </c>
      <c r="K14" s="1"/>
      <c r="L14" s="1"/>
      <c r="M14" s="1"/>
      <c r="N14" s="1"/>
      <c r="O14" s="1"/>
    </row>
    <row r="15" spans="1:15" ht="28" customHeight="1">
      <c r="A15" s="1"/>
      <c r="B15" s="22" t="s">
        <v>25</v>
      </c>
      <c r="C15" s="26">
        <f>IF(C6="RA88",Parameters!D26,Parameters!D25)</f>
        <v>48</v>
      </c>
      <c r="D15" s="1"/>
      <c r="E15" s="1"/>
      <c r="F15" s="74" t="s">
        <v>26</v>
      </c>
      <c r="G15" s="79"/>
      <c r="H15" s="79"/>
      <c r="I15" s="30">
        <f>Samples!I165</f>
        <v>3250</v>
      </c>
      <c r="J15" s="23" t="s">
        <v>24</v>
      </c>
      <c r="K15" s="1"/>
      <c r="L15" s="1"/>
      <c r="M15" s="1"/>
      <c r="N15" s="1"/>
      <c r="O15" s="1"/>
    </row>
    <row r="16" spans="1:15" ht="28" customHeight="1">
      <c r="A16" s="1"/>
      <c r="B16" s="1"/>
      <c r="C16" s="1"/>
      <c r="D16" s="1"/>
      <c r="E16" s="1"/>
      <c r="F16" s="80" t="s">
        <v>27</v>
      </c>
      <c r="G16" s="78"/>
      <c r="H16" s="78"/>
      <c r="I16" s="29">
        <f>Samples!J165</f>
        <v>2700</v>
      </c>
      <c r="J16" s="20" t="s">
        <v>24</v>
      </c>
      <c r="K16" s="1"/>
      <c r="L16" s="1"/>
      <c r="M16" s="1"/>
      <c r="N16" s="1"/>
      <c r="O16" s="1"/>
    </row>
    <row r="17" spans="1:15" ht="28" customHeight="1">
      <c r="A17" s="1"/>
      <c r="B17" s="1"/>
      <c r="C17" s="1"/>
      <c r="D17" s="1"/>
      <c r="E17" s="1"/>
      <c r="F17" s="73" t="s">
        <v>28</v>
      </c>
      <c r="G17" s="79"/>
      <c r="H17" s="79"/>
      <c r="I17" s="30">
        <f>Samples!L165</f>
        <v>5950</v>
      </c>
      <c r="J17" s="23" t="s">
        <v>24</v>
      </c>
      <c r="K17" s="1"/>
      <c r="L17" s="1"/>
      <c r="M17" s="1"/>
      <c r="N17" s="1"/>
      <c r="O17" s="1"/>
    </row>
    <row r="18" spans="1:15" ht="28" customHeight="1">
      <c r="A18" s="1"/>
      <c r="B18" s="22" t="s">
        <v>29</v>
      </c>
      <c r="C18" s="31" t="str">
        <f>IF(AND(OR(C4="Type-A",C4="Type-B"),OR(C6="RA68",C6="RA88"),COUNT(C7:C10)=4,C7&gt;=-C13,C7&lt;=0,C8&gt;=-C14,C8&lt;=0,C9&gt;=-C15,C9&lt;=0,C10&gt;=0,INT(C7)=C7,INT(C8)=C8,INT(C9)=C9),"OK","检查输入")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8" customHeight="1">
      <c r="A19" s="1"/>
      <c r="B19" s="1"/>
      <c r="C19" s="1"/>
      <c r="D19" s="1"/>
      <c r="E19" s="1"/>
      <c r="F19" s="77" t="s">
        <v>30</v>
      </c>
      <c r="G19" s="78"/>
      <c r="H19" s="78"/>
      <c r="I19" s="29">
        <f>Samples!M165</f>
        <v>3250</v>
      </c>
      <c r="J19" s="20" t="s">
        <v>24</v>
      </c>
      <c r="K19" s="1"/>
      <c r="L19" s="1"/>
      <c r="M19" s="1"/>
      <c r="N19" s="1"/>
      <c r="O19" s="1"/>
    </row>
    <row r="20" spans="1:15" ht="28" customHeight="1">
      <c r="A20" s="1"/>
      <c r="B20" s="1"/>
      <c r="C20" s="1"/>
      <c r="D20" s="1"/>
      <c r="E20" s="1"/>
      <c r="F20" s="74" t="s">
        <v>31</v>
      </c>
      <c r="G20" s="79"/>
      <c r="H20" s="79"/>
      <c r="I20" s="30">
        <f>Samples!P165</f>
        <v>3250</v>
      </c>
      <c r="J20" s="23" t="s">
        <v>24</v>
      </c>
      <c r="K20" s="1"/>
      <c r="L20" s="1"/>
      <c r="M20" s="1"/>
      <c r="N20" s="1"/>
      <c r="O20" s="1"/>
    </row>
    <row r="21" spans="1:15" ht="28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8" customHeight="1">
      <c r="A22" s="1"/>
      <c r="B22" s="1"/>
      <c r="C22" s="1"/>
      <c r="D22" s="1"/>
      <c r="E22" s="1"/>
      <c r="F22" s="80" t="s">
        <v>32</v>
      </c>
      <c r="G22" s="78"/>
      <c r="H22" s="78"/>
      <c r="I22" s="32">
        <f>Samples!G165</f>
        <v>1</v>
      </c>
      <c r="J22" s="20" t="s">
        <v>33</v>
      </c>
      <c r="K22" s="1"/>
      <c r="L22" s="1"/>
      <c r="M22" s="1"/>
      <c r="N22" s="1"/>
      <c r="O22" s="1"/>
    </row>
    <row r="23" spans="1:15" ht="28" customHeight="1">
      <c r="A23" s="1"/>
      <c r="B23" s="1"/>
      <c r="C23" s="1"/>
      <c r="D23" s="1"/>
      <c r="E23" s="1"/>
      <c r="F23" s="73" t="s">
        <v>34</v>
      </c>
      <c r="G23" s="79"/>
      <c r="H23" s="79"/>
      <c r="I23" s="33">
        <f>Samples!K165</f>
        <v>1</v>
      </c>
      <c r="J23" s="23" t="s">
        <v>33</v>
      </c>
      <c r="K23" s="1"/>
      <c r="L23" s="1"/>
      <c r="M23" s="1"/>
      <c r="N23" s="1"/>
      <c r="O23" s="1"/>
    </row>
    <row r="24" spans="1:15" ht="28" customHeight="1">
      <c r="A24" s="1"/>
      <c r="B24" s="1"/>
      <c r="C24" s="1"/>
      <c r="D24" s="1"/>
      <c r="E24" s="1"/>
      <c r="F24" s="77" t="s">
        <v>35</v>
      </c>
      <c r="G24" s="78"/>
      <c r="H24" s="78"/>
      <c r="I24" s="32">
        <f>Samples!N165</f>
        <v>1</v>
      </c>
      <c r="J24" s="20" t="s">
        <v>33</v>
      </c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81" t="s">
        <v>36</v>
      </c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75" type="noConversion"/>
  <dataValidations count="5">
    <dataValidation type="list" sqref="C4" xr:uid="{00000000-0002-0000-0100-000000000000}">
      <formula1>"Type-A,Type-B"</formula1>
    </dataValidation>
    <dataValidation type="list" sqref="C6" xr:uid="{00000000-0002-0000-0100-000001000000}">
      <formula1>"RA68,RA88"</formula1>
    </dataValidation>
    <dataValidation type="whole" sqref="C7" xr:uid="{00000000-0002-0000-0100-000002000000}">
      <formula1>-24</formula1>
      <formula2>0</formula2>
    </dataValidation>
    <dataValidation type="whole" sqref="C8:C9" xr:uid="{00000000-0002-0000-0100-000003000000}">
      <formula1>-C14</formula1>
      <formula2>0</formula2>
    </dataValidation>
    <dataValidation type="decimal" operator="greaterThanOrEqual" sqref="C10" xr:uid="{00000000-0002-0000-0100-000004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workbookViewId="0"/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2" t="s">
        <v>81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9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0" t="s">
        <v>11</v>
      </c>
      <c r="C4" s="21" t="s">
        <v>39</v>
      </c>
      <c r="D4" s="1"/>
      <c r="E4" s="70"/>
      <c r="F4" s="70"/>
      <c r="G4" s="70"/>
      <c r="H4" s="70"/>
      <c r="I4" s="70"/>
      <c r="J4" s="70"/>
      <c r="K4" s="70"/>
      <c r="L4" s="70"/>
      <c r="M4" s="70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2" t="s">
        <v>37</v>
      </c>
      <c r="C6" s="24">
        <v>-10</v>
      </c>
      <c r="D6" s="1"/>
      <c r="E6" s="2"/>
      <c r="F6" s="2"/>
      <c r="G6" s="2"/>
      <c r="H6" s="2"/>
      <c r="I6" s="2"/>
      <c r="J6" s="2"/>
      <c r="K6" s="2"/>
      <c r="L6" s="2"/>
      <c r="M6" s="2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5" type="noConversion"/>
  <dataValidations count="2">
    <dataValidation type="list" sqref="C4" xr:uid="{00000000-0002-0000-0200-000000000000}">
      <formula1>"Type-A,Type-B"</formula1>
    </dataValidation>
    <dataValidation type="whole" sqref="C6" xr:uid="{00000000-0002-0000-02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workbookViewId="0"/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2" t="s">
        <v>82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9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0" t="s">
        <v>11</v>
      </c>
      <c r="C4" s="21" t="s">
        <v>39</v>
      </c>
      <c r="D4" s="1"/>
      <c r="E4" s="70"/>
      <c r="F4" s="70"/>
      <c r="G4" s="70"/>
      <c r="H4" s="70"/>
      <c r="I4" s="70"/>
      <c r="J4" s="70"/>
      <c r="K4" s="70"/>
      <c r="L4" s="70"/>
      <c r="M4" s="70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2" t="s">
        <v>38</v>
      </c>
      <c r="C6" s="24">
        <v>-8</v>
      </c>
      <c r="D6" s="1"/>
      <c r="E6" s="2"/>
      <c r="F6" s="2"/>
      <c r="G6" s="2"/>
      <c r="H6" s="2"/>
      <c r="I6" s="2"/>
      <c r="J6" s="2"/>
      <c r="K6" s="2"/>
      <c r="L6" s="2"/>
      <c r="M6" s="2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75" type="noConversion"/>
  <dataValidations count="2">
    <dataValidation type="list" sqref="C4" xr:uid="{00000000-0002-0000-0300-000000000000}">
      <formula1>"Type-A,Type-B"</formula1>
    </dataValidation>
    <dataValidation type="whole" sqref="C6" xr:uid="{00000000-0002-0000-03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475E"/>
  </sheetPr>
  <dimension ref="A1:O42"/>
  <sheetViews>
    <sheetView showGridLines="0" workbookViewId="0"/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2" t="s">
        <v>83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9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0" t="s">
        <v>11</v>
      </c>
      <c r="C4" s="21" t="s">
        <v>39</v>
      </c>
      <c r="D4" s="1"/>
      <c r="E4" s="70"/>
      <c r="F4" s="70"/>
      <c r="G4" s="70"/>
      <c r="H4" s="70"/>
      <c r="I4" s="70"/>
      <c r="J4" s="70"/>
      <c r="K4" s="70"/>
      <c r="L4" s="70"/>
      <c r="M4" s="70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5" type="noConversion"/>
  <dataValidations count="1">
    <dataValidation type="list" sqref="C4" xr:uid="{00000000-0002-0000-04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workbookViewId="0"/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2" t="s">
        <v>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9"/>
      <c r="O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8" customHeight="1">
      <c r="A4" s="1"/>
      <c r="B4" s="20" t="s">
        <v>11</v>
      </c>
      <c r="C4" s="21" t="s">
        <v>39</v>
      </c>
      <c r="D4" s="1"/>
      <c r="E4" s="70"/>
      <c r="F4" s="70"/>
      <c r="G4" s="70"/>
      <c r="H4" s="70"/>
      <c r="I4" s="70"/>
      <c r="J4" s="70"/>
      <c r="K4" s="70"/>
      <c r="L4" s="70"/>
      <c r="M4" s="70"/>
      <c r="N4" s="1"/>
      <c r="O4" s="1"/>
    </row>
    <row r="5" spans="1:15" ht="14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" customHeight="1">
      <c r="A6" s="1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1"/>
      <c r="O6" s="1"/>
    </row>
    <row r="7" spans="1:15" ht="23.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.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.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.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.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.1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.1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.1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.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1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.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.1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.1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.1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.1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.1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.1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.1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.1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.1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.1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.1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.1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.1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.1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.1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.1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.1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.1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1"/>
      <c r="O41" s="1"/>
    </row>
    <row r="42" spans="1:15" ht="23.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75" type="noConversion"/>
  <dataValidations count="1">
    <dataValidation type="list" sqref="C4" xr:uid="{00000000-0002-0000-05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49A32"/>
  </sheetPr>
  <dimension ref="A1:O41"/>
  <sheetViews>
    <sheetView showGridLines="0" workbookViewId="0">
      <pane ySplit="6" topLeftCell="A7" activePane="bottomLeft" state="frozen"/>
      <selection pane="bottomLeft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2" t="s">
        <v>85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"/>
    </row>
    <row r="3" spans="1:15" ht="24" customHeight="1">
      <c r="A3" s="1"/>
      <c r="B3" s="84" t="s">
        <v>36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1"/>
    </row>
    <row r="4" spans="1:15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32" customHeight="1">
      <c r="A5" s="1"/>
      <c r="B5" s="1"/>
      <c r="C5" s="1"/>
      <c r="D5" s="72" t="s">
        <v>39</v>
      </c>
      <c r="E5" s="72"/>
      <c r="F5" s="72"/>
      <c r="G5" s="72"/>
      <c r="H5" s="72"/>
      <c r="I5" s="1"/>
      <c r="J5" s="72" t="s">
        <v>40</v>
      </c>
      <c r="K5" s="72"/>
      <c r="L5" s="72"/>
      <c r="M5" s="72"/>
      <c r="N5" s="72"/>
      <c r="O5" s="1"/>
    </row>
    <row r="6" spans="1:15" ht="30" customHeight="1">
      <c r="A6" s="1"/>
      <c r="B6" s="34" t="s">
        <v>41</v>
      </c>
      <c r="C6" s="34" t="s">
        <v>42</v>
      </c>
      <c r="D6" s="35">
        <v>0</v>
      </c>
      <c r="E6" s="35">
        <v>0.25</v>
      </c>
      <c r="F6" s="35">
        <v>0.5</v>
      </c>
      <c r="G6" s="35">
        <v>0.75</v>
      </c>
      <c r="H6" s="35">
        <v>1</v>
      </c>
      <c r="I6" s="2"/>
      <c r="J6" s="35">
        <f>D6</f>
        <v>0</v>
      </c>
      <c r="K6" s="35">
        <f>E6</f>
        <v>0.25</v>
      </c>
      <c r="L6" s="35">
        <f>F6</f>
        <v>0.5</v>
      </c>
      <c r="M6" s="35">
        <f>G6</f>
        <v>0.75</v>
      </c>
      <c r="N6" s="35">
        <f>H6</f>
        <v>1</v>
      </c>
      <c r="O6" s="1"/>
    </row>
    <row r="7" spans="1:15" ht="29" customHeight="1">
      <c r="A7" s="1"/>
      <c r="B7" s="20" t="s">
        <v>14</v>
      </c>
      <c r="C7" s="22" t="s">
        <v>43</v>
      </c>
      <c r="D7" s="26">
        <f>(D$6-1)*$D$23</f>
        <v>-16</v>
      </c>
      <c r="E7" s="26">
        <f>(E$6-1)*$D$23</f>
        <v>-12</v>
      </c>
      <c r="F7" s="26">
        <f>(F$6-1)*$D$23</f>
        <v>-8</v>
      </c>
      <c r="G7" s="26">
        <f>(G$6-1)*$D$23</f>
        <v>-4</v>
      </c>
      <c r="H7" s="26">
        <f>(H$6-1)*$D$23</f>
        <v>0</v>
      </c>
      <c r="I7" s="1"/>
      <c r="J7" s="26">
        <f>(J$6-1)*$D$23</f>
        <v>-16</v>
      </c>
      <c r="K7" s="26">
        <f>(K$6-1)*$D$23</f>
        <v>-12</v>
      </c>
      <c r="L7" s="26">
        <f>(L$6-1)*$D$23</f>
        <v>-8</v>
      </c>
      <c r="M7" s="26">
        <f>(M$6-1)*$D$23</f>
        <v>-4</v>
      </c>
      <c r="N7" s="26">
        <f>(N$6-1)*$D$23</f>
        <v>0</v>
      </c>
      <c r="O7" s="1"/>
    </row>
    <row r="8" spans="1:15" ht="29" customHeight="1">
      <c r="A8" s="1"/>
      <c r="B8" s="23" t="s">
        <v>15</v>
      </c>
      <c r="C8" s="27" t="s">
        <v>43</v>
      </c>
      <c r="D8" s="28">
        <f>(D$6-1)*$D$24</f>
        <v>-20</v>
      </c>
      <c r="E8" s="28">
        <f>(E$6-1)*$D$24</f>
        <v>-15</v>
      </c>
      <c r="F8" s="28">
        <f>(F$6-1)*$D$24</f>
        <v>-10</v>
      </c>
      <c r="G8" s="28">
        <f>(G$6-1)*$D$24</f>
        <v>-5</v>
      </c>
      <c r="H8" s="28">
        <f>(H$6-1)*$D$24</f>
        <v>0</v>
      </c>
      <c r="I8" s="1"/>
      <c r="J8" s="28">
        <f>(J$6-1)*$D$24</f>
        <v>-20</v>
      </c>
      <c r="K8" s="28">
        <f>(K$6-1)*$D$24</f>
        <v>-15</v>
      </c>
      <c r="L8" s="28">
        <f>(L$6-1)*$D$24</f>
        <v>-10</v>
      </c>
      <c r="M8" s="28">
        <f>(M$6-1)*$D$24</f>
        <v>-5</v>
      </c>
      <c r="N8" s="28">
        <f>(N$6-1)*$D$24</f>
        <v>0</v>
      </c>
      <c r="O8" s="1"/>
    </row>
    <row r="9" spans="1:15" ht="12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9" customHeight="1">
      <c r="A10" s="1"/>
      <c r="B10" s="20" t="s">
        <v>23</v>
      </c>
      <c r="C10" s="20" t="s">
        <v>24</v>
      </c>
      <c r="D10" s="58">
        <v>2290</v>
      </c>
      <c r="E10" s="59">
        <f>(D10+F10)/2</f>
        <v>2770</v>
      </c>
      <c r="F10" s="58">
        <v>3250</v>
      </c>
      <c r="G10" s="59">
        <f>(F10+H10)/2</f>
        <v>3730</v>
      </c>
      <c r="H10" s="58">
        <v>4210</v>
      </c>
      <c r="I10" s="1"/>
      <c r="J10" s="58">
        <v>2290</v>
      </c>
      <c r="K10" s="59">
        <f>(J10+L10)/2</f>
        <v>2770</v>
      </c>
      <c r="L10" s="58">
        <v>3250</v>
      </c>
      <c r="M10" s="59">
        <f>(L10+N10)/2</f>
        <v>3730</v>
      </c>
      <c r="N10" s="58">
        <v>4210</v>
      </c>
      <c r="O10" s="1"/>
    </row>
    <row r="11" spans="1:15" ht="29" customHeight="1">
      <c r="A11" s="1"/>
      <c r="B11" s="27" t="s">
        <v>32</v>
      </c>
      <c r="C11" s="23" t="s">
        <v>33</v>
      </c>
      <c r="D11" s="60">
        <v>1</v>
      </c>
      <c r="E11" s="61">
        <f>(D11+F11)/2</f>
        <v>1</v>
      </c>
      <c r="F11" s="60">
        <v>1</v>
      </c>
      <c r="G11" s="61">
        <f>(F11+H11)/2</f>
        <v>1</v>
      </c>
      <c r="H11" s="60">
        <v>1</v>
      </c>
      <c r="I11" s="1"/>
      <c r="J11" s="60">
        <v>1</v>
      </c>
      <c r="K11" s="61">
        <f>(J11+L11)/2</f>
        <v>1</v>
      </c>
      <c r="L11" s="60">
        <v>1</v>
      </c>
      <c r="M11" s="61">
        <f>(L11+N11)/2</f>
        <v>1</v>
      </c>
      <c r="N11" s="60">
        <v>1</v>
      </c>
      <c r="O11" s="1"/>
    </row>
    <row r="12" spans="1:15" ht="29" customHeight="1">
      <c r="A12" s="1"/>
      <c r="B12" s="20" t="s">
        <v>44</v>
      </c>
      <c r="C12" s="22" t="s">
        <v>45</v>
      </c>
      <c r="D12" s="60">
        <v>1</v>
      </c>
      <c r="E12" s="62">
        <f>(D12+F12)/2</f>
        <v>1</v>
      </c>
      <c r="F12" s="60">
        <v>1</v>
      </c>
      <c r="G12" s="62">
        <f>(F12+H12)/2</f>
        <v>1</v>
      </c>
      <c r="H12" s="60">
        <v>1</v>
      </c>
      <c r="I12" s="1"/>
      <c r="J12" s="60">
        <v>1</v>
      </c>
      <c r="K12" s="62">
        <f>(J12+L12)/2</f>
        <v>1</v>
      </c>
      <c r="L12" s="60">
        <v>1</v>
      </c>
      <c r="M12" s="62">
        <f>(L12+N12)/2</f>
        <v>1</v>
      </c>
      <c r="N12" s="60">
        <v>1</v>
      </c>
      <c r="O12" s="1"/>
    </row>
    <row r="13" spans="1:15" ht="29" customHeight="1">
      <c r="A13" s="1"/>
      <c r="B13" s="27" t="s">
        <v>27</v>
      </c>
      <c r="C13" s="23" t="s">
        <v>24</v>
      </c>
      <c r="D13" s="58">
        <v>1800</v>
      </c>
      <c r="E13" s="63">
        <f>(D13+F13)/2</f>
        <v>2250</v>
      </c>
      <c r="F13" s="58">
        <v>2700</v>
      </c>
      <c r="G13" s="63">
        <f>(F13+H13)/2</f>
        <v>3150</v>
      </c>
      <c r="H13" s="58">
        <v>3600</v>
      </c>
      <c r="I13" s="1"/>
      <c r="J13" s="58">
        <v>1800</v>
      </c>
      <c r="K13" s="63">
        <f>(J13+L13)/2</f>
        <v>2250</v>
      </c>
      <c r="L13" s="58">
        <v>2700</v>
      </c>
      <c r="M13" s="63">
        <f>(L13+N13)/2</f>
        <v>3150</v>
      </c>
      <c r="N13" s="58">
        <v>3600</v>
      </c>
      <c r="O13" s="1"/>
    </row>
    <row r="14" spans="1:15" ht="29" customHeight="1">
      <c r="A14" s="1"/>
      <c r="B14" s="22" t="s">
        <v>34</v>
      </c>
      <c r="C14" s="20" t="s">
        <v>33</v>
      </c>
      <c r="D14" s="60">
        <v>1</v>
      </c>
      <c r="E14" s="62">
        <f>(D14+F14)/2</f>
        <v>1</v>
      </c>
      <c r="F14" s="60">
        <v>1</v>
      </c>
      <c r="G14" s="62">
        <f>(F14+H14)/2</f>
        <v>1</v>
      </c>
      <c r="H14" s="60">
        <v>1</v>
      </c>
      <c r="I14" s="1"/>
      <c r="J14" s="62">
        <f>$L$14</f>
        <v>1</v>
      </c>
      <c r="K14" s="62">
        <f>$L$14</f>
        <v>1</v>
      </c>
      <c r="L14" s="60">
        <v>1</v>
      </c>
      <c r="M14" s="62">
        <f>$L$14</f>
        <v>1</v>
      </c>
      <c r="N14" s="62">
        <f>$L$14</f>
        <v>1</v>
      </c>
      <c r="O14" s="1"/>
    </row>
    <row r="15" spans="1:15" ht="12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customHeight="1">
      <c r="A16" s="1"/>
      <c r="B16" s="36" t="s">
        <v>86</v>
      </c>
      <c r="C16" s="34" t="s">
        <v>43</v>
      </c>
      <c r="D16" s="36">
        <f>(D$6-1)*$D$26</f>
        <v>-48</v>
      </c>
      <c r="E16" s="36">
        <f>(E$6-1)*$D$26</f>
        <v>-36</v>
      </c>
      <c r="F16" s="36">
        <f>(F$6-1)*$D$26</f>
        <v>-24</v>
      </c>
      <c r="G16" s="36">
        <f>(G$6-1)*$D$26</f>
        <v>-12</v>
      </c>
      <c r="H16" s="36">
        <f>(H$6-1)*$D$26</f>
        <v>0</v>
      </c>
      <c r="I16" s="1"/>
      <c r="J16" s="36">
        <f>(J$6-1)*$D$26</f>
        <v>-48</v>
      </c>
      <c r="K16" s="36">
        <f>(K$6-1)*$D$26</f>
        <v>-36</v>
      </c>
      <c r="L16" s="36">
        <f>(L$6-1)*$D$26</f>
        <v>-24</v>
      </c>
      <c r="M16" s="36">
        <f>(M$6-1)*$D$26</f>
        <v>-12</v>
      </c>
      <c r="N16" s="36">
        <f>(N$6-1)*$D$26</f>
        <v>0</v>
      </c>
      <c r="O16" s="1"/>
    </row>
    <row r="17" spans="1:15" ht="29" customHeight="1">
      <c r="A17" s="1"/>
      <c r="B17" s="20" t="s">
        <v>30</v>
      </c>
      <c r="C17" s="20" t="s">
        <v>24</v>
      </c>
      <c r="D17" s="58">
        <v>2290</v>
      </c>
      <c r="E17" s="63">
        <f>(D17+F17)/2</f>
        <v>2770</v>
      </c>
      <c r="F17" s="58">
        <v>3250</v>
      </c>
      <c r="G17" s="63">
        <f>(F17+H17)/2</f>
        <v>3730</v>
      </c>
      <c r="H17" s="58">
        <v>4210</v>
      </c>
      <c r="I17" s="1"/>
      <c r="J17" s="58">
        <v>2290</v>
      </c>
      <c r="K17" s="63">
        <f>(J17+L17)/2</f>
        <v>2770</v>
      </c>
      <c r="L17" s="58">
        <v>3250</v>
      </c>
      <c r="M17" s="63">
        <f>(L17+N17)/2</f>
        <v>3730</v>
      </c>
      <c r="N17" s="58">
        <v>4210</v>
      </c>
      <c r="O17" s="1"/>
    </row>
    <row r="18" spans="1:15" ht="29" customHeight="1">
      <c r="A18" s="1"/>
      <c r="B18" s="23" t="s">
        <v>35</v>
      </c>
      <c r="C18" s="23" t="s">
        <v>33</v>
      </c>
      <c r="D18" s="60">
        <v>1</v>
      </c>
      <c r="E18" s="62">
        <f>(D18+F18)/2</f>
        <v>1</v>
      </c>
      <c r="F18" s="60">
        <v>1</v>
      </c>
      <c r="G18" s="62">
        <f>(F18+H18)/2</f>
        <v>1</v>
      </c>
      <c r="H18" s="60">
        <v>1</v>
      </c>
      <c r="I18" s="1"/>
      <c r="J18" s="60">
        <v>1</v>
      </c>
      <c r="K18" s="62">
        <f>(J18+L18)/2</f>
        <v>1</v>
      </c>
      <c r="L18" s="60">
        <v>1</v>
      </c>
      <c r="M18" s="62">
        <f>(L18+N18)/2</f>
        <v>1</v>
      </c>
      <c r="N18" s="60">
        <v>1</v>
      </c>
      <c r="O18" s="1"/>
    </row>
    <row r="19" spans="1:15" ht="29" customHeight="1">
      <c r="A19" s="1"/>
      <c r="B19" s="20" t="s">
        <v>46</v>
      </c>
      <c r="C19" s="22" t="s">
        <v>45</v>
      </c>
      <c r="D19" s="60">
        <v>1</v>
      </c>
      <c r="E19" s="61">
        <f>(D19+F19)/2</f>
        <v>1</v>
      </c>
      <c r="F19" s="60">
        <v>1</v>
      </c>
      <c r="G19" s="61">
        <f>(F19+H19)/2</f>
        <v>1</v>
      </c>
      <c r="H19" s="60">
        <v>1</v>
      </c>
      <c r="I19" s="1"/>
      <c r="J19" s="60">
        <v>1</v>
      </c>
      <c r="K19" s="61">
        <f>(J19+L19)/2</f>
        <v>1</v>
      </c>
      <c r="L19" s="60">
        <v>1</v>
      </c>
      <c r="M19" s="61">
        <f>(L19+N19)/2</f>
        <v>1</v>
      </c>
      <c r="N19" s="60">
        <v>1</v>
      </c>
      <c r="O19" s="1"/>
    </row>
    <row r="20" spans="1:15" ht="12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2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32" customHeight="1">
      <c r="A22" s="1"/>
      <c r="B22" s="71" t="s">
        <v>47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1"/>
    </row>
    <row r="23" spans="1:15" ht="29" customHeight="1">
      <c r="A23" s="1"/>
      <c r="B23" s="80" t="s">
        <v>87</v>
      </c>
      <c r="C23" s="78"/>
      <c r="D23" s="26">
        <v>16</v>
      </c>
      <c r="E23" s="1"/>
      <c r="F23" s="86" t="s">
        <v>88</v>
      </c>
      <c r="G23" s="87"/>
      <c r="H23" s="87"/>
      <c r="I23" s="87"/>
      <c r="J23" s="87"/>
      <c r="K23" s="87"/>
      <c r="L23" s="87"/>
      <c r="M23" s="87"/>
      <c r="N23" s="87"/>
      <c r="O23" s="1"/>
    </row>
    <row r="24" spans="1:15" ht="29" customHeight="1">
      <c r="A24" s="1"/>
      <c r="B24" s="73" t="s">
        <v>89</v>
      </c>
      <c r="C24" s="79"/>
      <c r="D24" s="28">
        <v>20</v>
      </c>
      <c r="E24" s="1"/>
      <c r="F24" s="87"/>
      <c r="G24" s="87"/>
      <c r="H24" s="87"/>
      <c r="I24" s="87"/>
      <c r="J24" s="87"/>
      <c r="K24" s="87"/>
      <c r="L24" s="87"/>
      <c r="M24" s="87"/>
      <c r="N24" s="87"/>
      <c r="O24" s="1"/>
    </row>
    <row r="25" spans="1:15" ht="29" customHeight="1">
      <c r="A25" s="1"/>
      <c r="B25" s="80" t="s">
        <v>90</v>
      </c>
      <c r="C25" s="78"/>
      <c r="D25" s="26">
        <v>48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9" customHeight="1">
      <c r="A26" s="1"/>
      <c r="B26" s="74" t="s">
        <v>91</v>
      </c>
      <c r="C26" s="79"/>
      <c r="D26" s="28">
        <v>48</v>
      </c>
      <c r="E26" s="1"/>
      <c r="F26" s="88" t="s">
        <v>48</v>
      </c>
      <c r="G26" s="85"/>
      <c r="H26" s="85"/>
      <c r="I26" s="85"/>
      <c r="J26" s="85"/>
      <c r="K26" s="85"/>
      <c r="L26" s="85"/>
      <c r="M26" s="85"/>
      <c r="N26" s="85"/>
      <c r="O26" s="1"/>
    </row>
    <row r="27" spans="1:15" ht="29" customHeight="1">
      <c r="A27" s="1"/>
      <c r="B27" s="73" t="s">
        <v>92</v>
      </c>
      <c r="C27" s="79"/>
      <c r="D27" s="28">
        <v>10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4" customHeight="1">
      <c r="A28" s="1"/>
      <c r="B28" s="90" t="s">
        <v>49</v>
      </c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1"/>
    </row>
    <row r="29" spans="1:15" ht="23.15" customHeight="1">
      <c r="A29" s="1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1"/>
    </row>
    <row r="30" spans="1:15" ht="31" customHeight="1">
      <c r="A30" s="1"/>
      <c r="B30" s="92"/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1"/>
    </row>
    <row r="31" spans="1:15" ht="23.15" customHeight="1">
      <c r="A31" s="1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1"/>
    </row>
    <row r="32" spans="1:15" ht="23.15" customHeight="1">
      <c r="A32" s="1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1"/>
    </row>
    <row r="33" spans="1:15" ht="23.15" customHeight="1">
      <c r="A33" s="1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1"/>
    </row>
    <row r="34" spans="1:15" ht="23.15" customHeight="1">
      <c r="A34" s="1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1"/>
    </row>
    <row r="35" spans="1:15" ht="23.15" customHeight="1">
      <c r="A35" s="1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1"/>
    </row>
    <row r="36" spans="1:15" ht="23.1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.1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.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.1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.1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.1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20">
    <mergeCell ref="B33:N33"/>
    <mergeCell ref="B34:N34"/>
    <mergeCell ref="B35:N35"/>
    <mergeCell ref="B28:N28"/>
    <mergeCell ref="B29:N29"/>
    <mergeCell ref="B30:N30"/>
    <mergeCell ref="B31:N31"/>
    <mergeCell ref="B32:N32"/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</mergeCells>
  <phoneticPr fontId="7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3A0AC"/>
  </sheetPr>
  <dimension ref="A1:V165"/>
  <sheetViews>
    <sheetView showGridLines="0" workbookViewId="0">
      <pane ySplit="4" topLeftCell="A5" activePane="bottomLeft" state="frozen"/>
      <selection pane="bottomLeft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1"/>
      <c r="B1" s="93" t="s">
        <v>50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4"/>
      <c r="Q1" s="94"/>
      <c r="R1" s="94"/>
      <c r="S1" s="94"/>
      <c r="T1" s="94"/>
      <c r="U1" s="94"/>
      <c r="V1" s="94"/>
    </row>
    <row r="2" spans="1:22" ht="22" customHeight="1">
      <c r="A2" s="1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1"/>
      <c r="B4" s="38" t="s">
        <v>51</v>
      </c>
      <c r="C4" s="39" t="s">
        <v>52</v>
      </c>
      <c r="D4" s="39" t="s">
        <v>53</v>
      </c>
      <c r="E4" s="39" t="s">
        <v>54</v>
      </c>
      <c r="F4" s="39" t="s">
        <v>23</v>
      </c>
      <c r="G4" s="38" t="s">
        <v>32</v>
      </c>
      <c r="H4" s="38" t="s">
        <v>55</v>
      </c>
      <c r="I4" s="39" t="s">
        <v>26</v>
      </c>
      <c r="J4" s="39" t="s">
        <v>56</v>
      </c>
      <c r="K4" s="38" t="s">
        <v>34</v>
      </c>
      <c r="L4" s="38" t="s">
        <v>57</v>
      </c>
      <c r="M4" s="39" t="s">
        <v>30</v>
      </c>
      <c r="N4" s="39" t="s">
        <v>35</v>
      </c>
      <c r="O4" s="38" t="s">
        <v>58</v>
      </c>
      <c r="P4" s="40" t="s">
        <v>31</v>
      </c>
      <c r="Q4" s="41" t="s">
        <v>59</v>
      </c>
      <c r="R4" s="41" t="s">
        <v>60</v>
      </c>
      <c r="S4" s="41" t="s">
        <v>61</v>
      </c>
      <c r="T4" s="41" t="s">
        <v>62</v>
      </c>
      <c r="U4" s="41" t="s">
        <v>63</v>
      </c>
      <c r="V4" s="41" t="s">
        <v>64</v>
      </c>
    </row>
    <row r="5" spans="1:22" ht="25" customHeight="1">
      <c r="A5" s="1"/>
      <c r="B5" s="42" t="str">
        <f>"c "&amp;C5</f>
        <v>c -16</v>
      </c>
      <c r="C5" s="42">
        <f>Parameters!D7</f>
        <v>-16</v>
      </c>
      <c r="D5" s="42">
        <f>'LSC Sweep'!$C$6</f>
        <v>-10</v>
      </c>
      <c r="E5" s="42">
        <f>Parameters!D16</f>
        <v>-48</v>
      </c>
      <c r="F5" s="42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2290</v>
      </c>
      <c r="G5" s="42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1</v>
      </c>
      <c r="H5" s="42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42">
        <f>F5*H5</f>
        <v>2290</v>
      </c>
      <c r="J5" s="42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2700</v>
      </c>
      <c r="K5" s="42">
        <f>IF('LSC Sweep'!$C$4="Type-B",Parameters!$L$14,INDEX(Parameters!$D$14:$H$14,1,R5)+(INDEX(Parameters!$D$14:$H$14,1,R5+1)-INDEX(Parameters!$D$14:$H$14,1,R5))*U5)</f>
        <v>1</v>
      </c>
      <c r="L5" s="42">
        <f>I5+J5</f>
        <v>4990</v>
      </c>
      <c r="M5" s="42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2290</v>
      </c>
      <c r="N5" s="42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1</v>
      </c>
      <c r="O5" s="42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1</v>
      </c>
      <c r="P5" s="43">
        <f>M5*O5</f>
        <v>2290</v>
      </c>
      <c r="Q5" s="43">
        <f>MIN(4,MAX(1,INT((1+C5/Parameters!$D$23)*4)+1))</f>
        <v>1</v>
      </c>
      <c r="R5" s="43">
        <f>MIN(4,MAX(1,INT((1+D5/Parameters!$D$24)*4)+1))</f>
        <v>3</v>
      </c>
      <c r="S5" s="43">
        <f>MIN(4,MAX(1,INT((1+E5/Parameters!$D$26)*4)+1))</f>
        <v>1</v>
      </c>
      <c r="T5" s="43">
        <f>MAX(0,MIN(1,(1+C5/Parameters!$D$23)*4-(Q5-1)))</f>
        <v>0</v>
      </c>
      <c r="U5" s="43">
        <f>MAX(0,MIN(1,(1+D5/Parameters!$D$24)*4-(R5-1)))</f>
        <v>0</v>
      </c>
      <c r="V5" s="43">
        <f>MAX(0,MIN(1,(1+E5/Parameters!$D$26)*4-(S5-1)))</f>
        <v>0</v>
      </c>
    </row>
    <row r="6" spans="1:22" ht="25" customHeight="1">
      <c r="A6" s="1"/>
      <c r="B6" s="44" t="str">
        <f>"c "&amp;C6</f>
        <v>c -12</v>
      </c>
      <c r="C6" s="44">
        <f>Parameters!E7</f>
        <v>-12</v>
      </c>
      <c r="D6" s="44">
        <f>'LSC Sweep'!$C$6</f>
        <v>-10</v>
      </c>
      <c r="E6" s="44">
        <f>Parameters!E16</f>
        <v>-36</v>
      </c>
      <c r="F6" s="44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2770</v>
      </c>
      <c r="G6" s="44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1</v>
      </c>
      <c r="H6" s="44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1</v>
      </c>
      <c r="I6" s="44">
        <f>F6*H6</f>
        <v>2770</v>
      </c>
      <c r="J6" s="44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2700</v>
      </c>
      <c r="K6" s="44">
        <f>IF('LSC Sweep'!$C$4="Type-B",Parameters!$L$14,INDEX(Parameters!$D$14:$H$14,1,R6)+(INDEX(Parameters!$D$14:$H$14,1,R6+1)-INDEX(Parameters!$D$14:$H$14,1,R6))*U6)</f>
        <v>1</v>
      </c>
      <c r="L6" s="44">
        <f>I6+J6</f>
        <v>5470</v>
      </c>
      <c r="M6" s="44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2770</v>
      </c>
      <c r="N6" s="44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1</v>
      </c>
      <c r="O6" s="44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1</v>
      </c>
      <c r="P6" s="45">
        <f>M6*O6</f>
        <v>2770</v>
      </c>
      <c r="Q6" s="45">
        <f>MIN(4,MAX(1,INT((1+C6/Parameters!$D$23)*4)+1))</f>
        <v>2</v>
      </c>
      <c r="R6" s="45">
        <f>MIN(4,MAX(1,INT((1+D6/Parameters!$D$24)*4)+1))</f>
        <v>3</v>
      </c>
      <c r="S6" s="45">
        <f>MIN(4,MAX(1,INT((1+E6/Parameters!$D$26)*4)+1))</f>
        <v>2</v>
      </c>
      <c r="T6" s="45">
        <f>MAX(0,MIN(1,(1+C6/Parameters!$D$23)*4-(Q6-1)))</f>
        <v>0</v>
      </c>
      <c r="U6" s="45">
        <f>MAX(0,MIN(1,(1+D6/Parameters!$D$24)*4-(R6-1)))</f>
        <v>0</v>
      </c>
      <c r="V6" s="45">
        <f>MAX(0,MIN(1,(1+E6/Parameters!$D$26)*4-(S6-1)))</f>
        <v>0</v>
      </c>
    </row>
    <row r="7" spans="1:22" ht="25" customHeight="1">
      <c r="A7" s="1"/>
      <c r="B7" s="42" t="str">
        <f>"c "&amp;C7</f>
        <v>c -8</v>
      </c>
      <c r="C7" s="42">
        <f>Parameters!F7</f>
        <v>-8</v>
      </c>
      <c r="D7" s="42">
        <f>'LSC Sweep'!$C$6</f>
        <v>-10</v>
      </c>
      <c r="E7" s="42">
        <f>Parameters!F16</f>
        <v>-24</v>
      </c>
      <c r="F7" s="42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3250</v>
      </c>
      <c r="G7" s="42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1</v>
      </c>
      <c r="H7" s="42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1</v>
      </c>
      <c r="I7" s="42">
        <f>F7*H7</f>
        <v>3250</v>
      </c>
      <c r="J7" s="42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2700</v>
      </c>
      <c r="K7" s="42">
        <f>IF('LSC Sweep'!$C$4="Type-B",Parameters!$L$14,INDEX(Parameters!$D$14:$H$14,1,R7)+(INDEX(Parameters!$D$14:$H$14,1,R7+1)-INDEX(Parameters!$D$14:$H$14,1,R7))*U7)</f>
        <v>1</v>
      </c>
      <c r="L7" s="42">
        <f>I7+J7</f>
        <v>5950</v>
      </c>
      <c r="M7" s="42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3250</v>
      </c>
      <c r="N7" s="42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1</v>
      </c>
      <c r="O7" s="42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1</v>
      </c>
      <c r="P7" s="43">
        <f>M7*O7</f>
        <v>3250</v>
      </c>
      <c r="Q7" s="43">
        <f>MIN(4,MAX(1,INT((1+C7/Parameters!$D$23)*4)+1))</f>
        <v>3</v>
      </c>
      <c r="R7" s="43">
        <f>MIN(4,MAX(1,INT((1+D7/Parameters!$D$24)*4)+1))</f>
        <v>3</v>
      </c>
      <c r="S7" s="43">
        <f>MIN(4,MAX(1,INT((1+E7/Parameters!$D$26)*4)+1))</f>
        <v>3</v>
      </c>
      <c r="T7" s="43">
        <f>MAX(0,MIN(1,(1+C7/Parameters!$D$23)*4-(Q7-1)))</f>
        <v>0</v>
      </c>
      <c r="U7" s="43">
        <f>MAX(0,MIN(1,(1+D7/Parameters!$D$24)*4-(R7-1)))</f>
        <v>0</v>
      </c>
      <c r="V7" s="43">
        <f>MAX(0,MIN(1,(1+E7/Parameters!$D$26)*4-(S7-1)))</f>
        <v>0</v>
      </c>
    </row>
    <row r="8" spans="1:22" ht="25" customHeight="1">
      <c r="A8" s="1"/>
      <c r="B8" s="44" t="str">
        <f>"c "&amp;C8</f>
        <v>c -4</v>
      </c>
      <c r="C8" s="44">
        <f>Parameters!G7</f>
        <v>-4</v>
      </c>
      <c r="D8" s="44">
        <f>'LSC Sweep'!$C$6</f>
        <v>-10</v>
      </c>
      <c r="E8" s="44">
        <f>Parameters!G16</f>
        <v>-12</v>
      </c>
      <c r="F8" s="44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3730</v>
      </c>
      <c r="G8" s="44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1</v>
      </c>
      <c r="H8" s="44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1</v>
      </c>
      <c r="I8" s="44">
        <f>F8*H8</f>
        <v>3730</v>
      </c>
      <c r="J8" s="44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2700</v>
      </c>
      <c r="K8" s="44">
        <f>IF('LSC Sweep'!$C$4="Type-B",Parameters!$L$14,INDEX(Parameters!$D$14:$H$14,1,R8)+(INDEX(Parameters!$D$14:$H$14,1,R8+1)-INDEX(Parameters!$D$14:$H$14,1,R8))*U8)</f>
        <v>1</v>
      </c>
      <c r="L8" s="44">
        <f>I8+J8</f>
        <v>6430</v>
      </c>
      <c r="M8" s="44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3730</v>
      </c>
      <c r="N8" s="44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1</v>
      </c>
      <c r="O8" s="44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1</v>
      </c>
      <c r="P8" s="45">
        <f>M8*O8</f>
        <v>3730</v>
      </c>
      <c r="Q8" s="45">
        <f>MIN(4,MAX(1,INT((1+C8/Parameters!$D$23)*4)+1))</f>
        <v>4</v>
      </c>
      <c r="R8" s="45">
        <f>MIN(4,MAX(1,INT((1+D8/Parameters!$D$24)*4)+1))</f>
        <v>3</v>
      </c>
      <c r="S8" s="45">
        <f>MIN(4,MAX(1,INT((1+E8/Parameters!$D$26)*4)+1))</f>
        <v>4</v>
      </c>
      <c r="T8" s="45">
        <f>MAX(0,MIN(1,(1+C8/Parameters!$D$23)*4-(Q8-1)))</f>
        <v>0</v>
      </c>
      <c r="U8" s="45">
        <f>MAX(0,MIN(1,(1+D8/Parameters!$D$24)*4-(R8-1)))</f>
        <v>0</v>
      </c>
      <c r="V8" s="45">
        <f>MAX(0,MIN(1,(1+E8/Parameters!$D$26)*4-(S8-1)))</f>
        <v>0</v>
      </c>
    </row>
    <row r="9" spans="1:22" ht="25" customHeight="1">
      <c r="A9" s="1"/>
      <c r="B9" s="42" t="str">
        <f>"c "&amp;C9</f>
        <v>c 0</v>
      </c>
      <c r="C9" s="42">
        <f>Parameters!H7</f>
        <v>0</v>
      </c>
      <c r="D9" s="42">
        <f>'LSC Sweep'!$C$6</f>
        <v>-10</v>
      </c>
      <c r="E9" s="42">
        <f>Parameters!H16</f>
        <v>0</v>
      </c>
      <c r="F9" s="42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4210</v>
      </c>
      <c r="G9" s="42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1</v>
      </c>
      <c r="H9" s="42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1</v>
      </c>
      <c r="I9" s="42">
        <f>F9*H9</f>
        <v>4210</v>
      </c>
      <c r="J9" s="42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2700</v>
      </c>
      <c r="K9" s="42">
        <f>IF('LSC Sweep'!$C$4="Type-B",Parameters!$L$14,INDEX(Parameters!$D$14:$H$14,1,R9)+(INDEX(Parameters!$D$14:$H$14,1,R9+1)-INDEX(Parameters!$D$14:$H$14,1,R9))*U9)</f>
        <v>1</v>
      </c>
      <c r="L9" s="42">
        <f>I9+J9</f>
        <v>6910</v>
      </c>
      <c r="M9" s="42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4210</v>
      </c>
      <c r="N9" s="42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1</v>
      </c>
      <c r="O9" s="42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1</v>
      </c>
      <c r="P9" s="43">
        <f>M9*O9</f>
        <v>4210</v>
      </c>
      <c r="Q9" s="43">
        <f>MIN(4,MAX(1,INT((1+C9/Parameters!$D$23)*4)+1))</f>
        <v>4</v>
      </c>
      <c r="R9" s="43">
        <f>MIN(4,MAX(1,INT((1+D9/Parameters!$D$24)*4)+1))</f>
        <v>3</v>
      </c>
      <c r="S9" s="43">
        <f>MIN(4,MAX(1,INT((1+E9/Parameters!$D$26)*4)+1))</f>
        <v>4</v>
      </c>
      <c r="T9" s="43">
        <f>MAX(0,MIN(1,(1+C9/Parameters!$D$23)*4-(Q9-1)))</f>
        <v>1</v>
      </c>
      <c r="U9" s="43">
        <f>MAX(0,MIN(1,(1+D9/Parameters!$D$24)*4-(R9-1)))</f>
        <v>0</v>
      </c>
      <c r="V9" s="43">
        <f>MAX(0,MIN(1,(1+E9/Parameters!$D$26)*4-(S9-1)))</f>
        <v>1</v>
      </c>
    </row>
    <row r="10" spans="1:22" ht="22" customHeight="1">
      <c r="A10" s="1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1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1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1"/>
      <c r="B13" s="46" t="s">
        <v>18</v>
      </c>
      <c r="C13" s="47" t="str">
        <f>B5</f>
        <v>c -16</v>
      </c>
      <c r="D13" s="47" t="str">
        <f>B6</f>
        <v>c -12</v>
      </c>
      <c r="E13" s="47" t="str">
        <f>B7</f>
        <v>c -8</v>
      </c>
      <c r="F13" s="47" t="str">
        <f>B8</f>
        <v>c -4</v>
      </c>
      <c r="G13" s="47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1"/>
      <c r="B14" s="48">
        <v>0</v>
      </c>
      <c r="C14" s="48">
        <f t="shared" ref="C14:C34" si="0">$F$5*MIN($B14,$G$5)+$I$5*MAX(0,$B14-$G$5)+$J$5*MAX(0,$B14-$K$5)</f>
        <v>0</v>
      </c>
      <c r="D14" s="48">
        <f t="shared" ref="D14:D34" si="1">$F$6*MIN($B14,$G$6)+$I$6*MAX(0,$B14-$G$6)+$J$6*MAX(0,$B14-$K$6)</f>
        <v>0</v>
      </c>
      <c r="E14" s="48">
        <f t="shared" ref="E14:E34" si="2">$F$7*MIN($B14,$G$7)+$I$7*MAX(0,$B14-$G$7)+$J$7*MAX(0,$B14-$K$7)</f>
        <v>0</v>
      </c>
      <c r="F14" s="48">
        <f t="shared" ref="F14:F34" si="3">$F$8*MIN($B14,$G$8)+$I$8*MAX(0,$B14-$G$8)+$J$8*MAX(0,$B14-$K$8)</f>
        <v>0</v>
      </c>
      <c r="G14" s="48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1"/>
      <c r="B15" s="49">
        <v>0.1</v>
      </c>
      <c r="C15" s="49">
        <f t="shared" si="0"/>
        <v>229</v>
      </c>
      <c r="D15" s="49">
        <f t="shared" si="1"/>
        <v>277</v>
      </c>
      <c r="E15" s="49">
        <f t="shared" si="2"/>
        <v>325</v>
      </c>
      <c r="F15" s="49">
        <f t="shared" si="3"/>
        <v>373</v>
      </c>
      <c r="G15" s="49">
        <f t="shared" si="4"/>
        <v>421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1"/>
      <c r="B16" s="48">
        <v>0.2</v>
      </c>
      <c r="C16" s="48">
        <f t="shared" si="0"/>
        <v>458</v>
      </c>
      <c r="D16" s="48">
        <f t="shared" si="1"/>
        <v>554</v>
      </c>
      <c r="E16" s="48">
        <f t="shared" si="2"/>
        <v>650</v>
      </c>
      <c r="F16" s="48">
        <f t="shared" si="3"/>
        <v>746</v>
      </c>
      <c r="G16" s="48">
        <f t="shared" si="4"/>
        <v>842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1"/>
      <c r="B17" s="49">
        <v>0.3</v>
      </c>
      <c r="C17" s="49">
        <f t="shared" si="0"/>
        <v>687</v>
      </c>
      <c r="D17" s="49">
        <f t="shared" si="1"/>
        <v>831</v>
      </c>
      <c r="E17" s="49">
        <f t="shared" si="2"/>
        <v>975</v>
      </c>
      <c r="F17" s="49">
        <f t="shared" si="3"/>
        <v>1119</v>
      </c>
      <c r="G17" s="49">
        <f t="shared" si="4"/>
        <v>1263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1"/>
      <c r="B18" s="48">
        <v>0.4</v>
      </c>
      <c r="C18" s="48">
        <f t="shared" si="0"/>
        <v>916</v>
      </c>
      <c r="D18" s="48">
        <f t="shared" si="1"/>
        <v>1108</v>
      </c>
      <c r="E18" s="48">
        <f t="shared" si="2"/>
        <v>1300</v>
      </c>
      <c r="F18" s="48">
        <f t="shared" si="3"/>
        <v>1492</v>
      </c>
      <c r="G18" s="48">
        <f t="shared" si="4"/>
        <v>1684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1"/>
      <c r="B19" s="49">
        <v>0.5</v>
      </c>
      <c r="C19" s="49">
        <f t="shared" si="0"/>
        <v>1145</v>
      </c>
      <c r="D19" s="49">
        <f t="shared" si="1"/>
        <v>1385</v>
      </c>
      <c r="E19" s="49">
        <f t="shared" si="2"/>
        <v>1625</v>
      </c>
      <c r="F19" s="49">
        <f t="shared" si="3"/>
        <v>1865</v>
      </c>
      <c r="G19" s="49">
        <f t="shared" si="4"/>
        <v>2105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1"/>
      <c r="B20" s="48">
        <v>0.6</v>
      </c>
      <c r="C20" s="48">
        <f t="shared" si="0"/>
        <v>1374</v>
      </c>
      <c r="D20" s="48">
        <f t="shared" si="1"/>
        <v>1662</v>
      </c>
      <c r="E20" s="48">
        <f t="shared" si="2"/>
        <v>1950</v>
      </c>
      <c r="F20" s="48">
        <f t="shared" si="3"/>
        <v>2238</v>
      </c>
      <c r="G20" s="48">
        <f t="shared" si="4"/>
        <v>2526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1"/>
      <c r="B21" s="49">
        <v>0.7</v>
      </c>
      <c r="C21" s="49">
        <f t="shared" si="0"/>
        <v>1603</v>
      </c>
      <c r="D21" s="49">
        <f t="shared" si="1"/>
        <v>1938.9999999999998</v>
      </c>
      <c r="E21" s="49">
        <f t="shared" si="2"/>
        <v>2275</v>
      </c>
      <c r="F21" s="49">
        <f t="shared" si="3"/>
        <v>2611</v>
      </c>
      <c r="G21" s="49">
        <f t="shared" si="4"/>
        <v>2947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1"/>
      <c r="B22" s="48">
        <v>0.8</v>
      </c>
      <c r="C22" s="48">
        <f t="shared" si="0"/>
        <v>1832</v>
      </c>
      <c r="D22" s="48">
        <f t="shared" si="1"/>
        <v>2216</v>
      </c>
      <c r="E22" s="48">
        <f t="shared" si="2"/>
        <v>2600</v>
      </c>
      <c r="F22" s="48">
        <f t="shared" si="3"/>
        <v>2984</v>
      </c>
      <c r="G22" s="48">
        <f t="shared" si="4"/>
        <v>3368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1"/>
      <c r="B23" s="49">
        <v>0.9</v>
      </c>
      <c r="C23" s="49">
        <f t="shared" si="0"/>
        <v>2061</v>
      </c>
      <c r="D23" s="49">
        <f t="shared" si="1"/>
        <v>2493</v>
      </c>
      <c r="E23" s="49">
        <f t="shared" si="2"/>
        <v>2925</v>
      </c>
      <c r="F23" s="49">
        <f t="shared" si="3"/>
        <v>3357</v>
      </c>
      <c r="G23" s="49">
        <f t="shared" si="4"/>
        <v>3789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1"/>
      <c r="B24" s="48">
        <v>1</v>
      </c>
      <c r="C24" s="48">
        <f t="shared" si="0"/>
        <v>2290</v>
      </c>
      <c r="D24" s="48">
        <f t="shared" si="1"/>
        <v>2770</v>
      </c>
      <c r="E24" s="48">
        <f t="shared" si="2"/>
        <v>3250</v>
      </c>
      <c r="F24" s="48">
        <f t="shared" si="3"/>
        <v>3730</v>
      </c>
      <c r="G24" s="48">
        <f t="shared" si="4"/>
        <v>4210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1"/>
      <c r="B25" s="49">
        <v>1.1000000000000001</v>
      </c>
      <c r="C25" s="49">
        <f t="shared" si="0"/>
        <v>2789</v>
      </c>
      <c r="D25" s="49">
        <f t="shared" si="1"/>
        <v>3317</v>
      </c>
      <c r="E25" s="49">
        <f t="shared" si="2"/>
        <v>3845.0000000000009</v>
      </c>
      <c r="F25" s="49">
        <f t="shared" si="3"/>
        <v>4373</v>
      </c>
      <c r="G25" s="49">
        <f t="shared" si="4"/>
        <v>4901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1"/>
      <c r="B26" s="48">
        <v>1.2</v>
      </c>
      <c r="C26" s="48">
        <f t="shared" si="0"/>
        <v>3288</v>
      </c>
      <c r="D26" s="48">
        <f t="shared" si="1"/>
        <v>3864</v>
      </c>
      <c r="E26" s="48">
        <f t="shared" si="2"/>
        <v>4440</v>
      </c>
      <c r="F26" s="48">
        <f t="shared" si="3"/>
        <v>5016</v>
      </c>
      <c r="G26" s="48">
        <f t="shared" si="4"/>
        <v>5592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1"/>
      <c r="B27" s="49">
        <v>1.3</v>
      </c>
      <c r="C27" s="49">
        <f t="shared" si="0"/>
        <v>3787</v>
      </c>
      <c r="D27" s="49">
        <f t="shared" si="1"/>
        <v>4411</v>
      </c>
      <c r="E27" s="49">
        <f t="shared" si="2"/>
        <v>5035</v>
      </c>
      <c r="F27" s="49">
        <f t="shared" si="3"/>
        <v>5659</v>
      </c>
      <c r="G27" s="49">
        <f t="shared" si="4"/>
        <v>6283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1"/>
      <c r="B28" s="48">
        <v>1.4</v>
      </c>
      <c r="C28" s="48">
        <f t="shared" si="0"/>
        <v>4286</v>
      </c>
      <c r="D28" s="48">
        <f t="shared" si="1"/>
        <v>4958</v>
      </c>
      <c r="E28" s="48">
        <f t="shared" si="2"/>
        <v>5630</v>
      </c>
      <c r="F28" s="48">
        <f t="shared" si="3"/>
        <v>6302</v>
      </c>
      <c r="G28" s="48">
        <f t="shared" si="4"/>
        <v>6974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1"/>
      <c r="B29" s="49">
        <v>1.5</v>
      </c>
      <c r="C29" s="49">
        <f t="shared" si="0"/>
        <v>4785</v>
      </c>
      <c r="D29" s="49">
        <f t="shared" si="1"/>
        <v>5505</v>
      </c>
      <c r="E29" s="49">
        <f t="shared" si="2"/>
        <v>6225</v>
      </c>
      <c r="F29" s="49">
        <f t="shared" si="3"/>
        <v>6945</v>
      </c>
      <c r="G29" s="49">
        <f t="shared" si="4"/>
        <v>7665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1"/>
      <c r="B30" s="48">
        <v>1.6</v>
      </c>
      <c r="C30" s="48">
        <f t="shared" si="0"/>
        <v>5284</v>
      </c>
      <c r="D30" s="48">
        <f t="shared" si="1"/>
        <v>6052</v>
      </c>
      <c r="E30" s="48">
        <f t="shared" si="2"/>
        <v>6820</v>
      </c>
      <c r="F30" s="48">
        <f t="shared" si="3"/>
        <v>7588</v>
      </c>
      <c r="G30" s="48">
        <f t="shared" si="4"/>
        <v>8356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1"/>
      <c r="B31" s="49">
        <v>1.7</v>
      </c>
      <c r="C31" s="49">
        <f t="shared" si="0"/>
        <v>5783</v>
      </c>
      <c r="D31" s="49">
        <f t="shared" si="1"/>
        <v>6599</v>
      </c>
      <c r="E31" s="49">
        <f t="shared" si="2"/>
        <v>7415</v>
      </c>
      <c r="F31" s="49">
        <f t="shared" si="3"/>
        <v>8231</v>
      </c>
      <c r="G31" s="49">
        <f t="shared" si="4"/>
        <v>9047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1"/>
      <c r="B32" s="48">
        <v>1.8</v>
      </c>
      <c r="C32" s="48">
        <f t="shared" si="0"/>
        <v>6282</v>
      </c>
      <c r="D32" s="48">
        <f t="shared" si="1"/>
        <v>7146</v>
      </c>
      <c r="E32" s="48">
        <f t="shared" si="2"/>
        <v>8010</v>
      </c>
      <c r="F32" s="48">
        <f t="shared" si="3"/>
        <v>8874</v>
      </c>
      <c r="G32" s="48">
        <f t="shared" si="4"/>
        <v>9738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1"/>
      <c r="B33" s="49">
        <v>1.9</v>
      </c>
      <c r="C33" s="49">
        <f t="shared" si="0"/>
        <v>6781</v>
      </c>
      <c r="D33" s="49">
        <f t="shared" si="1"/>
        <v>7693</v>
      </c>
      <c r="E33" s="49">
        <f t="shared" si="2"/>
        <v>8605</v>
      </c>
      <c r="F33" s="49">
        <f t="shared" si="3"/>
        <v>9517</v>
      </c>
      <c r="G33" s="49">
        <f t="shared" si="4"/>
        <v>10429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1"/>
      <c r="B34" s="48">
        <v>2</v>
      </c>
      <c r="C34" s="48">
        <f t="shared" si="0"/>
        <v>7280</v>
      </c>
      <c r="D34" s="48">
        <f t="shared" si="1"/>
        <v>8240</v>
      </c>
      <c r="E34" s="48">
        <f t="shared" si="2"/>
        <v>9200</v>
      </c>
      <c r="F34" s="48">
        <f t="shared" si="3"/>
        <v>10160</v>
      </c>
      <c r="G34" s="48">
        <f t="shared" si="4"/>
        <v>11120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1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1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1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1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1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1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1"/>
      <c r="B41" s="93" t="s">
        <v>65</v>
      </c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4"/>
      <c r="Q41" s="94"/>
      <c r="R41" s="94"/>
      <c r="S41" s="94"/>
      <c r="T41" s="94"/>
      <c r="U41" s="94"/>
      <c r="V41" s="94"/>
    </row>
    <row r="42" spans="1:22" ht="22" customHeight="1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41" t="s">
        <v>51</v>
      </c>
      <c r="C44" s="40" t="s">
        <v>52</v>
      </c>
      <c r="D44" s="40" t="s">
        <v>53</v>
      </c>
      <c r="E44" s="40" t="s">
        <v>54</v>
      </c>
      <c r="F44" s="40" t="s">
        <v>23</v>
      </c>
      <c r="G44" s="41" t="s">
        <v>32</v>
      </c>
      <c r="H44" s="41" t="s">
        <v>55</v>
      </c>
      <c r="I44" s="40" t="s">
        <v>26</v>
      </c>
      <c r="J44" s="40" t="s">
        <v>56</v>
      </c>
      <c r="K44" s="41" t="s">
        <v>34</v>
      </c>
      <c r="L44" s="41" t="s">
        <v>57</v>
      </c>
      <c r="M44" s="40" t="s">
        <v>30</v>
      </c>
      <c r="N44" s="40" t="s">
        <v>35</v>
      </c>
      <c r="O44" s="41" t="s">
        <v>58</v>
      </c>
      <c r="P44" s="40" t="s">
        <v>31</v>
      </c>
      <c r="Q44" s="41" t="s">
        <v>59</v>
      </c>
      <c r="R44" s="41" t="s">
        <v>60</v>
      </c>
      <c r="S44" s="41" t="s">
        <v>61</v>
      </c>
      <c r="T44" s="41" t="s">
        <v>62</v>
      </c>
      <c r="U44" s="41" t="s">
        <v>63</v>
      </c>
      <c r="V44" s="41" t="s">
        <v>64</v>
      </c>
    </row>
    <row r="45" spans="1:22" ht="25" customHeight="1">
      <c r="B45" s="43" t="str">
        <f>"C "&amp;D45</f>
        <v>C -20</v>
      </c>
      <c r="C45" s="43">
        <f>'HSC Sweep'!$C$6</f>
        <v>-8</v>
      </c>
      <c r="D45" s="43">
        <f>Parameters!D8</f>
        <v>-20</v>
      </c>
      <c r="E45" s="43">
        <f>Parameters!D16</f>
        <v>-48</v>
      </c>
      <c r="F45" s="43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3250</v>
      </c>
      <c r="G45" s="43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1</v>
      </c>
      <c r="H45" s="43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1</v>
      </c>
      <c r="I45" s="43">
        <f>F45*H45</f>
        <v>3250</v>
      </c>
      <c r="J45" s="43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1800</v>
      </c>
      <c r="K45" s="43">
        <f>IF('HSC Sweep'!$C$4="Type-B",Parameters!$L$14,INDEX(Parameters!$D$14:$H$14,1,R45)+(INDEX(Parameters!$D$14:$H$14,1,R45+1)-INDEX(Parameters!$D$14:$H$14,1,R45))*U45)</f>
        <v>1</v>
      </c>
      <c r="L45" s="43">
        <f>I45+J45</f>
        <v>5050</v>
      </c>
      <c r="M45" s="43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2290</v>
      </c>
      <c r="N45" s="43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1</v>
      </c>
      <c r="O45" s="43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1</v>
      </c>
      <c r="P45" s="43">
        <f>M45*O45</f>
        <v>2290</v>
      </c>
      <c r="Q45" s="43">
        <f>MIN(4,MAX(1,INT((1+C45/Parameters!$D$23)*4)+1))</f>
        <v>3</v>
      </c>
      <c r="R45" s="43">
        <f>MIN(4,MAX(1,INT((1+D45/Parameters!$D$24)*4)+1))</f>
        <v>1</v>
      </c>
      <c r="S45" s="43">
        <f>MIN(4,MAX(1,INT((1+E45/Parameters!$D$26)*4)+1))</f>
        <v>1</v>
      </c>
      <c r="T45" s="43">
        <f>MAX(0,MIN(1,(1+C45/Parameters!$D$23)*4-(Q45-1)))</f>
        <v>0</v>
      </c>
      <c r="U45" s="43">
        <f>MAX(0,MIN(1,(1+D45/Parameters!$D$24)*4-(R45-1)))</f>
        <v>0</v>
      </c>
      <c r="V45" s="43">
        <f>MAX(0,MIN(1,(1+E45/Parameters!$D$26)*4-(S45-1)))</f>
        <v>0</v>
      </c>
    </row>
    <row r="46" spans="1:22" ht="25" customHeight="1">
      <c r="B46" s="45" t="str">
        <f>"C "&amp;D46</f>
        <v>C -15</v>
      </c>
      <c r="C46" s="45">
        <f>'HSC Sweep'!$C$6</f>
        <v>-8</v>
      </c>
      <c r="D46" s="45">
        <f>Parameters!E8</f>
        <v>-15</v>
      </c>
      <c r="E46" s="45">
        <f>Parameters!E16</f>
        <v>-36</v>
      </c>
      <c r="F46" s="45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3250</v>
      </c>
      <c r="G46" s="45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1</v>
      </c>
      <c r="H46" s="45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1</v>
      </c>
      <c r="I46" s="45">
        <f>F46*H46</f>
        <v>3250</v>
      </c>
      <c r="J46" s="45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2250</v>
      </c>
      <c r="K46" s="45">
        <f>IF('HSC Sweep'!$C$4="Type-B",Parameters!$L$14,INDEX(Parameters!$D$14:$H$14,1,R46)+(INDEX(Parameters!$D$14:$H$14,1,R46+1)-INDEX(Parameters!$D$14:$H$14,1,R46))*U46)</f>
        <v>1</v>
      </c>
      <c r="L46" s="45">
        <f>I46+J46</f>
        <v>5500</v>
      </c>
      <c r="M46" s="45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2770</v>
      </c>
      <c r="N46" s="45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1</v>
      </c>
      <c r="O46" s="45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1</v>
      </c>
      <c r="P46" s="45">
        <f>M46*O46</f>
        <v>2770</v>
      </c>
      <c r="Q46" s="45">
        <f>MIN(4,MAX(1,INT((1+C46/Parameters!$D$23)*4)+1))</f>
        <v>3</v>
      </c>
      <c r="R46" s="45">
        <f>MIN(4,MAX(1,INT((1+D46/Parameters!$D$24)*4)+1))</f>
        <v>2</v>
      </c>
      <c r="S46" s="45">
        <f>MIN(4,MAX(1,INT((1+E46/Parameters!$D$26)*4)+1))</f>
        <v>2</v>
      </c>
      <c r="T46" s="45">
        <f>MAX(0,MIN(1,(1+C46/Parameters!$D$23)*4-(Q46-1)))</f>
        <v>0</v>
      </c>
      <c r="U46" s="45">
        <f>MAX(0,MIN(1,(1+D46/Parameters!$D$24)*4-(R46-1)))</f>
        <v>0</v>
      </c>
      <c r="V46" s="45">
        <f>MAX(0,MIN(1,(1+E46/Parameters!$D$26)*4-(S46-1)))</f>
        <v>0</v>
      </c>
    </row>
    <row r="47" spans="1:22" ht="25" customHeight="1">
      <c r="B47" s="43" t="str">
        <f>"C "&amp;D47</f>
        <v>C -10</v>
      </c>
      <c r="C47" s="43">
        <f>'HSC Sweep'!$C$6</f>
        <v>-8</v>
      </c>
      <c r="D47" s="43">
        <f>Parameters!F8</f>
        <v>-10</v>
      </c>
      <c r="E47" s="43">
        <f>Parameters!F16</f>
        <v>-24</v>
      </c>
      <c r="F47" s="43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3250</v>
      </c>
      <c r="G47" s="43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1</v>
      </c>
      <c r="H47" s="43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1</v>
      </c>
      <c r="I47" s="43">
        <f>F47*H47</f>
        <v>3250</v>
      </c>
      <c r="J47" s="43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2700</v>
      </c>
      <c r="K47" s="43">
        <f>IF('HSC Sweep'!$C$4="Type-B",Parameters!$L$14,INDEX(Parameters!$D$14:$H$14,1,R47)+(INDEX(Parameters!$D$14:$H$14,1,R47+1)-INDEX(Parameters!$D$14:$H$14,1,R47))*U47)</f>
        <v>1</v>
      </c>
      <c r="L47" s="43">
        <f>I47+J47</f>
        <v>5950</v>
      </c>
      <c r="M47" s="43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3250</v>
      </c>
      <c r="N47" s="43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1</v>
      </c>
      <c r="O47" s="43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1</v>
      </c>
      <c r="P47" s="43">
        <f>M47*O47</f>
        <v>3250</v>
      </c>
      <c r="Q47" s="43">
        <f>MIN(4,MAX(1,INT((1+C47/Parameters!$D$23)*4)+1))</f>
        <v>3</v>
      </c>
      <c r="R47" s="43">
        <f>MIN(4,MAX(1,INT((1+D47/Parameters!$D$24)*4)+1))</f>
        <v>3</v>
      </c>
      <c r="S47" s="43">
        <f>MIN(4,MAX(1,INT((1+E47/Parameters!$D$26)*4)+1))</f>
        <v>3</v>
      </c>
      <c r="T47" s="43">
        <f>MAX(0,MIN(1,(1+C47/Parameters!$D$23)*4-(Q47-1)))</f>
        <v>0</v>
      </c>
      <c r="U47" s="43">
        <f>MAX(0,MIN(1,(1+D47/Parameters!$D$24)*4-(R47-1)))</f>
        <v>0</v>
      </c>
      <c r="V47" s="43">
        <f>MAX(0,MIN(1,(1+E47/Parameters!$D$26)*4-(S47-1)))</f>
        <v>0</v>
      </c>
    </row>
    <row r="48" spans="1:22" ht="25" customHeight="1">
      <c r="B48" s="45" t="str">
        <f>"C "&amp;D48</f>
        <v>C -5</v>
      </c>
      <c r="C48" s="45">
        <f>'HSC Sweep'!$C$6</f>
        <v>-8</v>
      </c>
      <c r="D48" s="45">
        <f>Parameters!G8</f>
        <v>-5</v>
      </c>
      <c r="E48" s="45">
        <f>Parameters!G16</f>
        <v>-12</v>
      </c>
      <c r="F48" s="45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3250</v>
      </c>
      <c r="G48" s="45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1</v>
      </c>
      <c r="H48" s="45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1</v>
      </c>
      <c r="I48" s="45">
        <f>F48*H48</f>
        <v>3250</v>
      </c>
      <c r="J48" s="45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3150</v>
      </c>
      <c r="K48" s="45">
        <f>IF('HSC Sweep'!$C$4="Type-B",Parameters!$L$14,INDEX(Parameters!$D$14:$H$14,1,R48)+(INDEX(Parameters!$D$14:$H$14,1,R48+1)-INDEX(Parameters!$D$14:$H$14,1,R48))*U48)</f>
        <v>1</v>
      </c>
      <c r="L48" s="45">
        <f>I48+J48</f>
        <v>6400</v>
      </c>
      <c r="M48" s="45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3730</v>
      </c>
      <c r="N48" s="45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1</v>
      </c>
      <c r="O48" s="45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1</v>
      </c>
      <c r="P48" s="45">
        <f>M48*O48</f>
        <v>3730</v>
      </c>
      <c r="Q48" s="45">
        <f>MIN(4,MAX(1,INT((1+C48/Parameters!$D$23)*4)+1))</f>
        <v>3</v>
      </c>
      <c r="R48" s="45">
        <f>MIN(4,MAX(1,INT((1+D48/Parameters!$D$24)*4)+1))</f>
        <v>4</v>
      </c>
      <c r="S48" s="45">
        <f>MIN(4,MAX(1,INT((1+E48/Parameters!$D$26)*4)+1))</f>
        <v>4</v>
      </c>
      <c r="T48" s="45">
        <f>MAX(0,MIN(1,(1+C48/Parameters!$D$23)*4-(Q48-1)))</f>
        <v>0</v>
      </c>
      <c r="U48" s="45">
        <f>MAX(0,MIN(1,(1+D48/Parameters!$D$24)*4-(R48-1)))</f>
        <v>0</v>
      </c>
      <c r="V48" s="45">
        <f>MAX(0,MIN(1,(1+E48/Parameters!$D$26)*4-(S48-1)))</f>
        <v>0</v>
      </c>
    </row>
    <row r="49" spans="2:22" ht="25" customHeight="1">
      <c r="B49" s="43" t="str">
        <f>"C "&amp;D49</f>
        <v>C 0</v>
      </c>
      <c r="C49" s="43">
        <f>'HSC Sweep'!$C$6</f>
        <v>-8</v>
      </c>
      <c r="D49" s="43">
        <f>Parameters!H8</f>
        <v>0</v>
      </c>
      <c r="E49" s="43">
        <f>Parameters!H16</f>
        <v>0</v>
      </c>
      <c r="F49" s="43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3250</v>
      </c>
      <c r="G49" s="43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1</v>
      </c>
      <c r="H49" s="43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1</v>
      </c>
      <c r="I49" s="43">
        <f>F49*H49</f>
        <v>3250</v>
      </c>
      <c r="J49" s="43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3600</v>
      </c>
      <c r="K49" s="43">
        <f>IF('HSC Sweep'!$C$4="Type-B",Parameters!$L$14,INDEX(Parameters!$D$14:$H$14,1,R49)+(INDEX(Parameters!$D$14:$H$14,1,R49+1)-INDEX(Parameters!$D$14:$H$14,1,R49))*U49)</f>
        <v>1</v>
      </c>
      <c r="L49" s="43">
        <f>I49+J49</f>
        <v>6850</v>
      </c>
      <c r="M49" s="43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4210</v>
      </c>
      <c r="N49" s="43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1</v>
      </c>
      <c r="O49" s="43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1</v>
      </c>
      <c r="P49" s="43">
        <f>M49*O49</f>
        <v>4210</v>
      </c>
      <c r="Q49" s="43">
        <f>MIN(4,MAX(1,INT((1+C49/Parameters!$D$23)*4)+1))</f>
        <v>3</v>
      </c>
      <c r="R49" s="43">
        <f>MIN(4,MAX(1,INT((1+D49/Parameters!$D$24)*4)+1))</f>
        <v>4</v>
      </c>
      <c r="S49" s="43">
        <f>MIN(4,MAX(1,INT((1+E49/Parameters!$D$26)*4)+1))</f>
        <v>4</v>
      </c>
      <c r="T49" s="43">
        <f>MAX(0,MIN(1,(1+C49/Parameters!$D$23)*4-(Q49-1)))</f>
        <v>0</v>
      </c>
      <c r="U49" s="43">
        <f>MAX(0,MIN(1,(1+D49/Parameters!$D$24)*4-(R49-1)))</f>
        <v>1</v>
      </c>
      <c r="V49" s="43">
        <f>MAX(0,MIN(1,(1+E49/Parameters!$D$26)*4-(S49-1)))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0" t="s">
        <v>18</v>
      </c>
      <c r="C53" s="51" t="str">
        <f>B45</f>
        <v>C -20</v>
      </c>
      <c r="D53" s="51" t="str">
        <f>B46</f>
        <v>C -15</v>
      </c>
      <c r="E53" s="51" t="str">
        <f>B47</f>
        <v>C -10</v>
      </c>
      <c r="F53" s="51" t="str">
        <f>B48</f>
        <v>C -5</v>
      </c>
      <c r="G53" s="51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52">
        <v>0</v>
      </c>
      <c r="C54" s="52">
        <f t="shared" ref="C54:C74" si="5">$F$45*MIN($B54,$G$45)+$I$45*MAX(0,$B54-$G$45)+$J$45*MAX(0,$B54-$K$45)</f>
        <v>0</v>
      </c>
      <c r="D54" s="52">
        <f t="shared" ref="D54:D74" si="6">$F$46*MIN($B54,$G$46)+$I$46*MAX(0,$B54-$G$46)+$J$46*MAX(0,$B54-$K$46)</f>
        <v>0</v>
      </c>
      <c r="E54" s="52">
        <f t="shared" ref="E54:E74" si="7">$F$47*MIN($B54,$G$47)+$I$47*MAX(0,$B54-$G$47)+$J$47*MAX(0,$B54-$K$47)</f>
        <v>0</v>
      </c>
      <c r="F54" s="52">
        <f t="shared" ref="F54:F74" si="8">$F$48*MIN($B54,$G$48)+$I$48*MAX(0,$B54-$G$48)+$J$48*MAX(0,$B54-$K$48)</f>
        <v>0</v>
      </c>
      <c r="G54" s="52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53">
        <v>0.1</v>
      </c>
      <c r="C55" s="53">
        <f t="shared" si="5"/>
        <v>325</v>
      </c>
      <c r="D55" s="53">
        <f t="shared" si="6"/>
        <v>325</v>
      </c>
      <c r="E55" s="53">
        <f t="shared" si="7"/>
        <v>325</v>
      </c>
      <c r="F55" s="53">
        <f t="shared" si="8"/>
        <v>325</v>
      </c>
      <c r="G55" s="53">
        <f t="shared" si="9"/>
        <v>325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52">
        <v>0.2</v>
      </c>
      <c r="C56" s="52">
        <f t="shared" si="5"/>
        <v>650</v>
      </c>
      <c r="D56" s="52">
        <f t="shared" si="6"/>
        <v>650</v>
      </c>
      <c r="E56" s="52">
        <f t="shared" si="7"/>
        <v>650</v>
      </c>
      <c r="F56" s="52">
        <f t="shared" si="8"/>
        <v>650</v>
      </c>
      <c r="G56" s="52">
        <f t="shared" si="9"/>
        <v>650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53">
        <v>0.3</v>
      </c>
      <c r="C57" s="53">
        <f t="shared" si="5"/>
        <v>975</v>
      </c>
      <c r="D57" s="53">
        <f t="shared" si="6"/>
        <v>975</v>
      </c>
      <c r="E57" s="53">
        <f t="shared" si="7"/>
        <v>975</v>
      </c>
      <c r="F57" s="53">
        <f t="shared" si="8"/>
        <v>975</v>
      </c>
      <c r="G57" s="53">
        <f t="shared" si="9"/>
        <v>975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52">
        <v>0.4</v>
      </c>
      <c r="C58" s="52">
        <f t="shared" si="5"/>
        <v>1300</v>
      </c>
      <c r="D58" s="52">
        <f t="shared" si="6"/>
        <v>1300</v>
      </c>
      <c r="E58" s="52">
        <f t="shared" si="7"/>
        <v>1300</v>
      </c>
      <c r="F58" s="52">
        <f t="shared" si="8"/>
        <v>1300</v>
      </c>
      <c r="G58" s="52">
        <f t="shared" si="9"/>
        <v>1300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53">
        <v>0.5</v>
      </c>
      <c r="C59" s="53">
        <f t="shared" si="5"/>
        <v>1625</v>
      </c>
      <c r="D59" s="53">
        <f t="shared" si="6"/>
        <v>1625</v>
      </c>
      <c r="E59" s="53">
        <f t="shared" si="7"/>
        <v>1625</v>
      </c>
      <c r="F59" s="53">
        <f t="shared" si="8"/>
        <v>1625</v>
      </c>
      <c r="G59" s="53">
        <f t="shared" si="9"/>
        <v>1625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52">
        <v>0.6</v>
      </c>
      <c r="C60" s="52">
        <f t="shared" si="5"/>
        <v>1950</v>
      </c>
      <c r="D60" s="52">
        <f t="shared" si="6"/>
        <v>1950</v>
      </c>
      <c r="E60" s="52">
        <f t="shared" si="7"/>
        <v>1950</v>
      </c>
      <c r="F60" s="52">
        <f t="shared" si="8"/>
        <v>1950</v>
      </c>
      <c r="G60" s="52">
        <f t="shared" si="9"/>
        <v>1950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53">
        <v>0.7</v>
      </c>
      <c r="C61" s="53">
        <f t="shared" si="5"/>
        <v>2275</v>
      </c>
      <c r="D61" s="53">
        <f t="shared" si="6"/>
        <v>2275</v>
      </c>
      <c r="E61" s="53">
        <f t="shared" si="7"/>
        <v>2275</v>
      </c>
      <c r="F61" s="53">
        <f t="shared" si="8"/>
        <v>2275</v>
      </c>
      <c r="G61" s="53">
        <f t="shared" si="9"/>
        <v>2275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52">
        <v>0.8</v>
      </c>
      <c r="C62" s="52">
        <f t="shared" si="5"/>
        <v>2600</v>
      </c>
      <c r="D62" s="52">
        <f t="shared" si="6"/>
        <v>2600</v>
      </c>
      <c r="E62" s="52">
        <f t="shared" si="7"/>
        <v>2600</v>
      </c>
      <c r="F62" s="52">
        <f t="shared" si="8"/>
        <v>2600</v>
      </c>
      <c r="G62" s="52">
        <f t="shared" si="9"/>
        <v>2600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53">
        <v>0.9</v>
      </c>
      <c r="C63" s="53">
        <f t="shared" si="5"/>
        <v>2925</v>
      </c>
      <c r="D63" s="53">
        <f t="shared" si="6"/>
        <v>2925</v>
      </c>
      <c r="E63" s="53">
        <f t="shared" si="7"/>
        <v>2925</v>
      </c>
      <c r="F63" s="53">
        <f t="shared" si="8"/>
        <v>2925</v>
      </c>
      <c r="G63" s="53">
        <f t="shared" si="9"/>
        <v>2925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52">
        <v>1</v>
      </c>
      <c r="C64" s="52">
        <f t="shared" si="5"/>
        <v>3250</v>
      </c>
      <c r="D64" s="52">
        <f t="shared" si="6"/>
        <v>3250</v>
      </c>
      <c r="E64" s="52">
        <f t="shared" si="7"/>
        <v>3250</v>
      </c>
      <c r="F64" s="52">
        <f t="shared" si="8"/>
        <v>3250</v>
      </c>
      <c r="G64" s="52">
        <f t="shared" si="9"/>
        <v>3250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53">
        <v>1.1000000000000001</v>
      </c>
      <c r="C65" s="53">
        <f t="shared" si="5"/>
        <v>3755.0000000000005</v>
      </c>
      <c r="D65" s="53">
        <f t="shared" si="6"/>
        <v>3800.0000000000005</v>
      </c>
      <c r="E65" s="53">
        <f t="shared" si="7"/>
        <v>3845.0000000000009</v>
      </c>
      <c r="F65" s="53">
        <f t="shared" si="8"/>
        <v>3890.0000000000009</v>
      </c>
      <c r="G65" s="53">
        <f t="shared" si="9"/>
        <v>3935.0000000000009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52">
        <v>1.2</v>
      </c>
      <c r="C66" s="52">
        <f t="shared" si="5"/>
        <v>4260</v>
      </c>
      <c r="D66" s="52">
        <f t="shared" si="6"/>
        <v>4350</v>
      </c>
      <c r="E66" s="52">
        <f t="shared" si="7"/>
        <v>4440</v>
      </c>
      <c r="F66" s="52">
        <f t="shared" si="8"/>
        <v>4530</v>
      </c>
      <c r="G66" s="52">
        <f t="shared" si="9"/>
        <v>4620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53">
        <v>1.3</v>
      </c>
      <c r="C67" s="53">
        <f t="shared" si="5"/>
        <v>4765</v>
      </c>
      <c r="D67" s="53">
        <f t="shared" si="6"/>
        <v>4900</v>
      </c>
      <c r="E67" s="53">
        <f t="shared" si="7"/>
        <v>5035</v>
      </c>
      <c r="F67" s="53">
        <f t="shared" si="8"/>
        <v>5170</v>
      </c>
      <c r="G67" s="53">
        <f t="shared" si="9"/>
        <v>5305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52">
        <v>1.4</v>
      </c>
      <c r="C68" s="52">
        <f t="shared" si="5"/>
        <v>5270</v>
      </c>
      <c r="D68" s="52">
        <f t="shared" si="6"/>
        <v>5450</v>
      </c>
      <c r="E68" s="52">
        <f t="shared" si="7"/>
        <v>5630</v>
      </c>
      <c r="F68" s="52">
        <f t="shared" si="8"/>
        <v>5810</v>
      </c>
      <c r="G68" s="52">
        <f t="shared" si="9"/>
        <v>5990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53">
        <v>1.5</v>
      </c>
      <c r="C69" s="53">
        <f t="shared" si="5"/>
        <v>5775</v>
      </c>
      <c r="D69" s="53">
        <f t="shared" si="6"/>
        <v>6000</v>
      </c>
      <c r="E69" s="53">
        <f t="shared" si="7"/>
        <v>6225</v>
      </c>
      <c r="F69" s="53">
        <f t="shared" si="8"/>
        <v>6450</v>
      </c>
      <c r="G69" s="53">
        <f t="shared" si="9"/>
        <v>6675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52">
        <v>1.6</v>
      </c>
      <c r="C70" s="52">
        <f t="shared" si="5"/>
        <v>6280</v>
      </c>
      <c r="D70" s="52">
        <f t="shared" si="6"/>
        <v>6550</v>
      </c>
      <c r="E70" s="52">
        <f t="shared" si="7"/>
        <v>6820</v>
      </c>
      <c r="F70" s="52">
        <f t="shared" si="8"/>
        <v>7090</v>
      </c>
      <c r="G70" s="52">
        <f t="shared" si="9"/>
        <v>7360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53">
        <v>1.7</v>
      </c>
      <c r="C71" s="53">
        <f t="shared" si="5"/>
        <v>6785</v>
      </c>
      <c r="D71" s="53">
        <f t="shared" si="6"/>
        <v>7100</v>
      </c>
      <c r="E71" s="53">
        <f t="shared" si="7"/>
        <v>7415</v>
      </c>
      <c r="F71" s="53">
        <f t="shared" si="8"/>
        <v>7730</v>
      </c>
      <c r="G71" s="53">
        <f t="shared" si="9"/>
        <v>8045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52">
        <v>1.8</v>
      </c>
      <c r="C72" s="52">
        <f t="shared" si="5"/>
        <v>7290</v>
      </c>
      <c r="D72" s="52">
        <f t="shared" si="6"/>
        <v>7650</v>
      </c>
      <c r="E72" s="52">
        <f t="shared" si="7"/>
        <v>8010</v>
      </c>
      <c r="F72" s="52">
        <f t="shared" si="8"/>
        <v>8370</v>
      </c>
      <c r="G72" s="52">
        <f t="shared" si="9"/>
        <v>8730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53">
        <v>1.9</v>
      </c>
      <c r="C73" s="53">
        <f t="shared" si="5"/>
        <v>7795</v>
      </c>
      <c r="D73" s="53">
        <f t="shared" si="6"/>
        <v>8200</v>
      </c>
      <c r="E73" s="53">
        <f t="shared" si="7"/>
        <v>8605</v>
      </c>
      <c r="F73" s="53">
        <f t="shared" si="8"/>
        <v>9010</v>
      </c>
      <c r="G73" s="53">
        <f t="shared" si="9"/>
        <v>9415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52">
        <v>2</v>
      </c>
      <c r="C74" s="52">
        <f t="shared" si="5"/>
        <v>8300</v>
      </c>
      <c r="D74" s="52">
        <f t="shared" si="6"/>
        <v>8750</v>
      </c>
      <c r="E74" s="52">
        <f t="shared" si="7"/>
        <v>9200</v>
      </c>
      <c r="F74" s="52">
        <f t="shared" si="8"/>
        <v>9650</v>
      </c>
      <c r="G74" s="52">
        <f t="shared" si="9"/>
        <v>10100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94" t="s">
        <v>66</v>
      </c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41" t="s">
        <v>51</v>
      </c>
      <c r="C84" s="40" t="s">
        <v>52</v>
      </c>
      <c r="D84" s="40" t="s">
        <v>53</v>
      </c>
      <c r="E84" s="40" t="s">
        <v>54</v>
      </c>
      <c r="F84" s="40" t="s">
        <v>23</v>
      </c>
      <c r="G84" s="41" t="s">
        <v>32</v>
      </c>
      <c r="H84" s="41" t="s">
        <v>55</v>
      </c>
      <c r="I84" s="40" t="s">
        <v>26</v>
      </c>
      <c r="J84" s="40" t="s">
        <v>56</v>
      </c>
      <c r="K84" s="41" t="s">
        <v>34</v>
      </c>
      <c r="L84" s="41" t="s">
        <v>57</v>
      </c>
      <c r="M84" s="40" t="s">
        <v>30</v>
      </c>
      <c r="N84" s="40" t="s">
        <v>35</v>
      </c>
      <c r="O84" s="41" t="s">
        <v>58</v>
      </c>
      <c r="P84" s="40" t="s">
        <v>31</v>
      </c>
      <c r="Q84" s="41" t="s">
        <v>59</v>
      </c>
      <c r="R84" s="41" t="s">
        <v>60</v>
      </c>
      <c r="S84" s="41" t="s">
        <v>61</v>
      </c>
      <c r="T84" s="41" t="s">
        <v>62</v>
      </c>
      <c r="U84" s="41" t="s">
        <v>63</v>
      </c>
      <c r="V84" s="41" t="s">
        <v>64</v>
      </c>
    </row>
    <row r="85" spans="2:22" ht="25" customHeight="1">
      <c r="B85" s="43" t="str">
        <f>"R "&amp;E85</f>
        <v>R -48</v>
      </c>
      <c r="C85" s="43">
        <f>Parameters!D7</f>
        <v>-16</v>
      </c>
      <c r="D85" s="43">
        <f>Parameters!D8</f>
        <v>-20</v>
      </c>
      <c r="E85" s="43">
        <f>Parameters!D16</f>
        <v>-48</v>
      </c>
      <c r="F85" s="43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2290</v>
      </c>
      <c r="G85" s="43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1</v>
      </c>
      <c r="H85" s="43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43">
        <f>F85*H85</f>
        <v>2290</v>
      </c>
      <c r="J85" s="43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1800</v>
      </c>
      <c r="K85" s="43">
        <f>IF('LSR Sweep'!$C$4="Type-B",Parameters!$L$14,INDEX(Parameters!$D$14:$H$14,1,R85)+(INDEX(Parameters!$D$14:$H$14,1,R85+1)-INDEX(Parameters!$D$14:$H$14,1,R85))*U85)</f>
        <v>1</v>
      </c>
      <c r="L85" s="43">
        <f>I85+J85</f>
        <v>4090</v>
      </c>
      <c r="M85" s="43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2290</v>
      </c>
      <c r="N85" s="43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1</v>
      </c>
      <c r="O85" s="43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1</v>
      </c>
      <c r="P85" s="43">
        <f>M85*O85</f>
        <v>2290</v>
      </c>
      <c r="Q85" s="43">
        <f>MIN(4,MAX(1,INT((1+C85/Parameters!$D$23)*4)+1))</f>
        <v>1</v>
      </c>
      <c r="R85" s="43">
        <f>MIN(4,MAX(1,INT((1+D85/Parameters!$D$24)*4)+1))</f>
        <v>1</v>
      </c>
      <c r="S85" s="43">
        <f>MIN(4,MAX(1,INT((1+E85/Parameters!$D$26)*4)+1))</f>
        <v>1</v>
      </c>
      <c r="T85" s="43">
        <f>MAX(0,MIN(1,(1+C85/Parameters!$D$23)*4-(Q85-1)))</f>
        <v>0</v>
      </c>
      <c r="U85" s="43">
        <f>MAX(0,MIN(1,(1+D85/Parameters!$D$24)*4-(R85-1)))</f>
        <v>0</v>
      </c>
      <c r="V85" s="43">
        <f>MAX(0,MIN(1,(1+E85/Parameters!$D$26)*4-(S85-1)))</f>
        <v>0</v>
      </c>
    </row>
    <row r="86" spans="2:22" ht="25" customHeight="1">
      <c r="B86" s="45" t="str">
        <f>"R "&amp;E86</f>
        <v>R -36</v>
      </c>
      <c r="C86" s="45">
        <f>Parameters!E7</f>
        <v>-12</v>
      </c>
      <c r="D86" s="45">
        <f>Parameters!E8</f>
        <v>-15</v>
      </c>
      <c r="E86" s="45">
        <f>Parameters!E16</f>
        <v>-36</v>
      </c>
      <c r="F86" s="45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2770</v>
      </c>
      <c r="G86" s="45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1</v>
      </c>
      <c r="H86" s="45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1</v>
      </c>
      <c r="I86" s="45">
        <f>F86*H86</f>
        <v>2770</v>
      </c>
      <c r="J86" s="45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2250</v>
      </c>
      <c r="K86" s="45">
        <f>IF('LSR Sweep'!$C$4="Type-B",Parameters!$L$14,INDEX(Parameters!$D$14:$H$14,1,R86)+(INDEX(Parameters!$D$14:$H$14,1,R86+1)-INDEX(Parameters!$D$14:$H$14,1,R86))*U86)</f>
        <v>1</v>
      </c>
      <c r="L86" s="45">
        <f>I86+J86</f>
        <v>5020</v>
      </c>
      <c r="M86" s="45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2770</v>
      </c>
      <c r="N86" s="45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1</v>
      </c>
      <c r="O86" s="45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1</v>
      </c>
      <c r="P86" s="45">
        <f>M86*O86</f>
        <v>2770</v>
      </c>
      <c r="Q86" s="45">
        <f>MIN(4,MAX(1,INT((1+C86/Parameters!$D$23)*4)+1))</f>
        <v>2</v>
      </c>
      <c r="R86" s="45">
        <f>MIN(4,MAX(1,INT((1+D86/Parameters!$D$24)*4)+1))</f>
        <v>2</v>
      </c>
      <c r="S86" s="45">
        <f>MIN(4,MAX(1,INT((1+E86/Parameters!$D$26)*4)+1))</f>
        <v>2</v>
      </c>
      <c r="T86" s="45">
        <f>MAX(0,MIN(1,(1+C86/Parameters!$D$23)*4-(Q86-1)))</f>
        <v>0</v>
      </c>
      <c r="U86" s="45">
        <f>MAX(0,MIN(1,(1+D86/Parameters!$D$24)*4-(R86-1)))</f>
        <v>0</v>
      </c>
      <c r="V86" s="45">
        <f>MAX(0,MIN(1,(1+E86/Parameters!$D$26)*4-(S86-1)))</f>
        <v>0</v>
      </c>
    </row>
    <row r="87" spans="2:22" ht="25" customHeight="1">
      <c r="B87" s="43" t="str">
        <f>"R "&amp;E87</f>
        <v>R -24</v>
      </c>
      <c r="C87" s="43">
        <f>Parameters!F7</f>
        <v>-8</v>
      </c>
      <c r="D87" s="43">
        <f>Parameters!F8</f>
        <v>-10</v>
      </c>
      <c r="E87" s="43">
        <f>Parameters!F16</f>
        <v>-24</v>
      </c>
      <c r="F87" s="43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3250</v>
      </c>
      <c r="G87" s="43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1</v>
      </c>
      <c r="H87" s="43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1</v>
      </c>
      <c r="I87" s="43">
        <f>F87*H87</f>
        <v>3250</v>
      </c>
      <c r="J87" s="43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2700</v>
      </c>
      <c r="K87" s="43">
        <f>IF('LSR Sweep'!$C$4="Type-B",Parameters!$L$14,INDEX(Parameters!$D$14:$H$14,1,R87)+(INDEX(Parameters!$D$14:$H$14,1,R87+1)-INDEX(Parameters!$D$14:$H$14,1,R87))*U87)</f>
        <v>1</v>
      </c>
      <c r="L87" s="43">
        <f>I87+J87</f>
        <v>5950</v>
      </c>
      <c r="M87" s="43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3250</v>
      </c>
      <c r="N87" s="43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1</v>
      </c>
      <c r="O87" s="43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1</v>
      </c>
      <c r="P87" s="43">
        <f>M87*O87</f>
        <v>3250</v>
      </c>
      <c r="Q87" s="43">
        <f>MIN(4,MAX(1,INT((1+C87/Parameters!$D$23)*4)+1))</f>
        <v>3</v>
      </c>
      <c r="R87" s="43">
        <f>MIN(4,MAX(1,INT((1+D87/Parameters!$D$24)*4)+1))</f>
        <v>3</v>
      </c>
      <c r="S87" s="43">
        <f>MIN(4,MAX(1,INT((1+E87/Parameters!$D$26)*4)+1))</f>
        <v>3</v>
      </c>
      <c r="T87" s="43">
        <f>MAX(0,MIN(1,(1+C87/Parameters!$D$23)*4-(Q87-1)))</f>
        <v>0</v>
      </c>
      <c r="U87" s="43">
        <f>MAX(0,MIN(1,(1+D87/Parameters!$D$24)*4-(R87-1)))</f>
        <v>0</v>
      </c>
      <c r="V87" s="43">
        <f>MAX(0,MIN(1,(1+E87/Parameters!$D$26)*4-(S87-1)))</f>
        <v>0</v>
      </c>
    </row>
    <row r="88" spans="2:22" ht="25" customHeight="1">
      <c r="B88" s="45" t="str">
        <f>"R "&amp;E88</f>
        <v>R -12</v>
      </c>
      <c r="C88" s="45">
        <f>Parameters!G7</f>
        <v>-4</v>
      </c>
      <c r="D88" s="45">
        <f>Parameters!G8</f>
        <v>-5</v>
      </c>
      <c r="E88" s="45">
        <f>Parameters!G16</f>
        <v>-12</v>
      </c>
      <c r="F88" s="45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3730</v>
      </c>
      <c r="G88" s="45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1</v>
      </c>
      <c r="H88" s="45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1</v>
      </c>
      <c r="I88" s="45">
        <f>F88*H88</f>
        <v>3730</v>
      </c>
      <c r="J88" s="45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3150</v>
      </c>
      <c r="K88" s="45">
        <f>IF('LSR Sweep'!$C$4="Type-B",Parameters!$L$14,INDEX(Parameters!$D$14:$H$14,1,R88)+(INDEX(Parameters!$D$14:$H$14,1,R88+1)-INDEX(Parameters!$D$14:$H$14,1,R88))*U88)</f>
        <v>1</v>
      </c>
      <c r="L88" s="45">
        <f>I88+J88</f>
        <v>6880</v>
      </c>
      <c r="M88" s="45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3730</v>
      </c>
      <c r="N88" s="45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1</v>
      </c>
      <c r="O88" s="45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1</v>
      </c>
      <c r="P88" s="45">
        <f>M88*O88</f>
        <v>3730</v>
      </c>
      <c r="Q88" s="45">
        <f>MIN(4,MAX(1,INT((1+C88/Parameters!$D$23)*4)+1))</f>
        <v>4</v>
      </c>
      <c r="R88" s="45">
        <f>MIN(4,MAX(1,INT((1+D88/Parameters!$D$24)*4)+1))</f>
        <v>4</v>
      </c>
      <c r="S88" s="45">
        <f>MIN(4,MAX(1,INT((1+E88/Parameters!$D$26)*4)+1))</f>
        <v>4</v>
      </c>
      <c r="T88" s="45">
        <f>MAX(0,MIN(1,(1+C88/Parameters!$D$23)*4-(Q88-1)))</f>
        <v>0</v>
      </c>
      <c r="U88" s="45">
        <f>MAX(0,MIN(1,(1+D88/Parameters!$D$24)*4-(R88-1)))</f>
        <v>0</v>
      </c>
      <c r="V88" s="45">
        <f>MAX(0,MIN(1,(1+E88/Parameters!$D$26)*4-(S88-1)))</f>
        <v>0</v>
      </c>
    </row>
    <row r="89" spans="2:22" ht="25" customHeight="1">
      <c r="B89" s="43" t="str">
        <f>"R "&amp;E89</f>
        <v>R 0</v>
      </c>
      <c r="C89" s="43">
        <f>Parameters!H7</f>
        <v>0</v>
      </c>
      <c r="D89" s="43">
        <f>Parameters!H8</f>
        <v>0</v>
      </c>
      <c r="E89" s="43">
        <f>Parameters!H16</f>
        <v>0</v>
      </c>
      <c r="F89" s="43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4210</v>
      </c>
      <c r="G89" s="43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1</v>
      </c>
      <c r="H89" s="43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1</v>
      </c>
      <c r="I89" s="43">
        <f>F89*H89</f>
        <v>4210</v>
      </c>
      <c r="J89" s="43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3600</v>
      </c>
      <c r="K89" s="43">
        <f>IF('LSR Sweep'!$C$4="Type-B",Parameters!$L$14,INDEX(Parameters!$D$14:$H$14,1,R89)+(INDEX(Parameters!$D$14:$H$14,1,R89+1)-INDEX(Parameters!$D$14:$H$14,1,R89))*U89)</f>
        <v>1</v>
      </c>
      <c r="L89" s="43">
        <f>I89+J89</f>
        <v>7810</v>
      </c>
      <c r="M89" s="43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4210</v>
      </c>
      <c r="N89" s="43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1</v>
      </c>
      <c r="O89" s="43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1</v>
      </c>
      <c r="P89" s="43">
        <f>M89*O89</f>
        <v>4210</v>
      </c>
      <c r="Q89" s="43">
        <f>MIN(4,MAX(1,INT((1+C89/Parameters!$D$23)*4)+1))</f>
        <v>4</v>
      </c>
      <c r="R89" s="43">
        <f>MIN(4,MAX(1,INT((1+D89/Parameters!$D$24)*4)+1))</f>
        <v>4</v>
      </c>
      <c r="S89" s="43">
        <f>MIN(4,MAX(1,INT((1+E89/Parameters!$D$26)*4)+1))</f>
        <v>4</v>
      </c>
      <c r="T89" s="43">
        <f>MAX(0,MIN(1,(1+C89/Parameters!$D$23)*4-(Q89-1)))</f>
        <v>1</v>
      </c>
      <c r="U89" s="43">
        <f>MAX(0,MIN(1,(1+D89/Parameters!$D$24)*4-(R89-1)))</f>
        <v>1</v>
      </c>
      <c r="V89" s="43">
        <f>MAX(0,MIN(1,(1+E89/Parameters!$D$26)*4-(S89-1)))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0" t="s">
        <v>18</v>
      </c>
      <c r="C93" s="51" t="str">
        <f>B85</f>
        <v>R -48</v>
      </c>
      <c r="D93" s="51" t="str">
        <f>B86</f>
        <v>R -36</v>
      </c>
      <c r="E93" s="51" t="str">
        <f>B87</f>
        <v>R -24</v>
      </c>
      <c r="F93" s="51" t="str">
        <f>B88</f>
        <v>R -12</v>
      </c>
      <c r="G93" s="51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52">
        <v>0</v>
      </c>
      <c r="C94" s="52">
        <f t="shared" ref="C94:C114" si="10">$M$85*MIN($B94,$N$85)+$P$85*MAX(0,$B94-$N$85)</f>
        <v>0</v>
      </c>
      <c r="D94" s="52">
        <f t="shared" ref="D94:D114" si="11">$M$86*MIN($B94,$N$86)+$P$86*MAX(0,$B94-$N$86)</f>
        <v>0</v>
      </c>
      <c r="E94" s="52">
        <f t="shared" ref="E94:E114" si="12">$M$87*MIN($B94,$N$87)+$P$87*MAX(0,$B94-$N$87)</f>
        <v>0</v>
      </c>
      <c r="F94" s="52">
        <f t="shared" ref="F94:F114" si="13">$M$88*MIN($B94,$N$88)+$P$88*MAX(0,$B94-$N$88)</f>
        <v>0</v>
      </c>
      <c r="G94" s="52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53">
        <v>0.1</v>
      </c>
      <c r="C95" s="53">
        <f t="shared" si="10"/>
        <v>229</v>
      </c>
      <c r="D95" s="53">
        <f t="shared" si="11"/>
        <v>277</v>
      </c>
      <c r="E95" s="53">
        <f t="shared" si="12"/>
        <v>325</v>
      </c>
      <c r="F95" s="53">
        <f t="shared" si="13"/>
        <v>373</v>
      </c>
      <c r="G95" s="53">
        <f t="shared" si="14"/>
        <v>421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52">
        <v>0.2</v>
      </c>
      <c r="C96" s="52">
        <f t="shared" si="10"/>
        <v>458</v>
      </c>
      <c r="D96" s="52">
        <f t="shared" si="11"/>
        <v>554</v>
      </c>
      <c r="E96" s="52">
        <f t="shared" si="12"/>
        <v>650</v>
      </c>
      <c r="F96" s="52">
        <f t="shared" si="13"/>
        <v>746</v>
      </c>
      <c r="G96" s="52">
        <f t="shared" si="14"/>
        <v>842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53">
        <v>0.3</v>
      </c>
      <c r="C97" s="53">
        <f t="shared" si="10"/>
        <v>687</v>
      </c>
      <c r="D97" s="53">
        <f t="shared" si="11"/>
        <v>831</v>
      </c>
      <c r="E97" s="53">
        <f t="shared" si="12"/>
        <v>975</v>
      </c>
      <c r="F97" s="53">
        <f t="shared" si="13"/>
        <v>1119</v>
      </c>
      <c r="G97" s="53">
        <f t="shared" si="14"/>
        <v>1263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52">
        <v>0.4</v>
      </c>
      <c r="C98" s="52">
        <f t="shared" si="10"/>
        <v>916</v>
      </c>
      <c r="D98" s="52">
        <f t="shared" si="11"/>
        <v>1108</v>
      </c>
      <c r="E98" s="52">
        <f t="shared" si="12"/>
        <v>1300</v>
      </c>
      <c r="F98" s="52">
        <f t="shared" si="13"/>
        <v>1492</v>
      </c>
      <c r="G98" s="52">
        <f t="shared" si="14"/>
        <v>1684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53">
        <v>0.5</v>
      </c>
      <c r="C99" s="53">
        <f t="shared" si="10"/>
        <v>1145</v>
      </c>
      <c r="D99" s="53">
        <f t="shared" si="11"/>
        <v>1385</v>
      </c>
      <c r="E99" s="53">
        <f t="shared" si="12"/>
        <v>1625</v>
      </c>
      <c r="F99" s="53">
        <f t="shared" si="13"/>
        <v>1865</v>
      </c>
      <c r="G99" s="53">
        <f t="shared" si="14"/>
        <v>2105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52">
        <v>0.6</v>
      </c>
      <c r="C100" s="52">
        <f t="shared" si="10"/>
        <v>1374</v>
      </c>
      <c r="D100" s="52">
        <f t="shared" si="11"/>
        <v>1662</v>
      </c>
      <c r="E100" s="52">
        <f t="shared" si="12"/>
        <v>1950</v>
      </c>
      <c r="F100" s="52">
        <f t="shared" si="13"/>
        <v>2238</v>
      </c>
      <c r="G100" s="52">
        <f t="shared" si="14"/>
        <v>2526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53">
        <v>0.7</v>
      </c>
      <c r="C101" s="53">
        <f t="shared" si="10"/>
        <v>1603</v>
      </c>
      <c r="D101" s="53">
        <f t="shared" si="11"/>
        <v>1938.9999999999998</v>
      </c>
      <c r="E101" s="53">
        <f t="shared" si="12"/>
        <v>2275</v>
      </c>
      <c r="F101" s="53">
        <f t="shared" si="13"/>
        <v>2611</v>
      </c>
      <c r="G101" s="53">
        <f t="shared" si="14"/>
        <v>2947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52">
        <v>0.8</v>
      </c>
      <c r="C102" s="52">
        <f t="shared" si="10"/>
        <v>1832</v>
      </c>
      <c r="D102" s="52">
        <f t="shared" si="11"/>
        <v>2216</v>
      </c>
      <c r="E102" s="52">
        <f t="shared" si="12"/>
        <v>2600</v>
      </c>
      <c r="F102" s="52">
        <f t="shared" si="13"/>
        <v>2984</v>
      </c>
      <c r="G102" s="52">
        <f t="shared" si="14"/>
        <v>3368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53">
        <v>0.9</v>
      </c>
      <c r="C103" s="53">
        <f t="shared" si="10"/>
        <v>2061</v>
      </c>
      <c r="D103" s="53">
        <f t="shared" si="11"/>
        <v>2493</v>
      </c>
      <c r="E103" s="53">
        <f t="shared" si="12"/>
        <v>2925</v>
      </c>
      <c r="F103" s="53">
        <f t="shared" si="13"/>
        <v>3357</v>
      </c>
      <c r="G103" s="53">
        <f t="shared" si="14"/>
        <v>3789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52">
        <v>1</v>
      </c>
      <c r="C104" s="52">
        <f t="shared" si="10"/>
        <v>2290</v>
      </c>
      <c r="D104" s="52">
        <f t="shared" si="11"/>
        <v>2770</v>
      </c>
      <c r="E104" s="52">
        <f t="shared" si="12"/>
        <v>3250</v>
      </c>
      <c r="F104" s="52">
        <f t="shared" si="13"/>
        <v>3730</v>
      </c>
      <c r="G104" s="52">
        <f t="shared" si="14"/>
        <v>4210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53">
        <v>1.1000000000000001</v>
      </c>
      <c r="C105" s="53">
        <f t="shared" si="10"/>
        <v>2519</v>
      </c>
      <c r="D105" s="53">
        <f t="shared" si="11"/>
        <v>3047</v>
      </c>
      <c r="E105" s="53">
        <f t="shared" si="12"/>
        <v>3575.0000000000005</v>
      </c>
      <c r="F105" s="53">
        <f t="shared" si="13"/>
        <v>4103</v>
      </c>
      <c r="G105" s="53">
        <f t="shared" si="14"/>
        <v>4631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52">
        <v>1.2</v>
      </c>
      <c r="C106" s="52">
        <f t="shared" si="10"/>
        <v>2748</v>
      </c>
      <c r="D106" s="52">
        <f t="shared" si="11"/>
        <v>3324</v>
      </c>
      <c r="E106" s="52">
        <f t="shared" si="12"/>
        <v>3900</v>
      </c>
      <c r="F106" s="52">
        <f t="shared" si="13"/>
        <v>4476</v>
      </c>
      <c r="G106" s="52">
        <f t="shared" si="14"/>
        <v>5052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53">
        <v>1.3</v>
      </c>
      <c r="C107" s="53">
        <f t="shared" si="10"/>
        <v>2977</v>
      </c>
      <c r="D107" s="53">
        <f t="shared" si="11"/>
        <v>3601</v>
      </c>
      <c r="E107" s="53">
        <f t="shared" si="12"/>
        <v>4225</v>
      </c>
      <c r="F107" s="53">
        <f t="shared" si="13"/>
        <v>4849</v>
      </c>
      <c r="G107" s="53">
        <f t="shared" si="14"/>
        <v>5473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52">
        <v>1.4</v>
      </c>
      <c r="C108" s="52">
        <f t="shared" si="10"/>
        <v>3206</v>
      </c>
      <c r="D108" s="52">
        <f t="shared" si="11"/>
        <v>3878</v>
      </c>
      <c r="E108" s="52">
        <f t="shared" si="12"/>
        <v>4550</v>
      </c>
      <c r="F108" s="52">
        <f t="shared" si="13"/>
        <v>5222</v>
      </c>
      <c r="G108" s="52">
        <f t="shared" si="14"/>
        <v>5894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53">
        <v>1.5</v>
      </c>
      <c r="C109" s="53">
        <f t="shared" si="10"/>
        <v>3435</v>
      </c>
      <c r="D109" s="53">
        <f t="shared" si="11"/>
        <v>4155</v>
      </c>
      <c r="E109" s="53">
        <f t="shared" si="12"/>
        <v>4875</v>
      </c>
      <c r="F109" s="53">
        <f t="shared" si="13"/>
        <v>5595</v>
      </c>
      <c r="G109" s="53">
        <f t="shared" si="14"/>
        <v>6315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52">
        <v>1.6</v>
      </c>
      <c r="C110" s="52">
        <f t="shared" si="10"/>
        <v>3664</v>
      </c>
      <c r="D110" s="52">
        <f t="shared" si="11"/>
        <v>4432</v>
      </c>
      <c r="E110" s="52">
        <f t="shared" si="12"/>
        <v>5200</v>
      </c>
      <c r="F110" s="52">
        <f t="shared" si="13"/>
        <v>5968</v>
      </c>
      <c r="G110" s="52">
        <f t="shared" si="14"/>
        <v>6736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53">
        <v>1.7</v>
      </c>
      <c r="C111" s="53">
        <f t="shared" si="10"/>
        <v>3893</v>
      </c>
      <c r="D111" s="53">
        <f t="shared" si="11"/>
        <v>4709</v>
      </c>
      <c r="E111" s="53">
        <f t="shared" si="12"/>
        <v>5525</v>
      </c>
      <c r="F111" s="53">
        <f t="shared" si="13"/>
        <v>6341</v>
      </c>
      <c r="G111" s="53">
        <f t="shared" si="14"/>
        <v>7157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52">
        <v>1.8</v>
      </c>
      <c r="C112" s="52">
        <f t="shared" si="10"/>
        <v>4122</v>
      </c>
      <c r="D112" s="52">
        <f t="shared" si="11"/>
        <v>4986</v>
      </c>
      <c r="E112" s="52">
        <f t="shared" si="12"/>
        <v>5850</v>
      </c>
      <c r="F112" s="52">
        <f t="shared" si="13"/>
        <v>6714</v>
      </c>
      <c r="G112" s="52">
        <f t="shared" si="14"/>
        <v>7578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53">
        <v>1.9</v>
      </c>
      <c r="C113" s="53">
        <f t="shared" si="10"/>
        <v>4351</v>
      </c>
      <c r="D113" s="53">
        <f t="shared" si="11"/>
        <v>5263</v>
      </c>
      <c r="E113" s="53">
        <f t="shared" si="12"/>
        <v>6175</v>
      </c>
      <c r="F113" s="53">
        <f t="shared" si="13"/>
        <v>7087</v>
      </c>
      <c r="G113" s="53">
        <f t="shared" si="14"/>
        <v>7999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52">
        <v>2</v>
      </c>
      <c r="C114" s="52">
        <f t="shared" si="10"/>
        <v>4580</v>
      </c>
      <c r="D114" s="52">
        <f t="shared" si="11"/>
        <v>5540</v>
      </c>
      <c r="E114" s="52">
        <f t="shared" si="12"/>
        <v>6500</v>
      </c>
      <c r="F114" s="52">
        <f t="shared" si="13"/>
        <v>7460</v>
      </c>
      <c r="G114" s="52">
        <f t="shared" si="14"/>
        <v>8420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94" t="s">
        <v>67</v>
      </c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41" t="s">
        <v>51</v>
      </c>
      <c r="C124" s="40" t="s">
        <v>52</v>
      </c>
      <c r="D124" s="40" t="s">
        <v>53</v>
      </c>
      <c r="E124" s="40" t="s">
        <v>54</v>
      </c>
      <c r="F124" s="40" t="s">
        <v>23</v>
      </c>
      <c r="G124" s="41" t="s">
        <v>32</v>
      </c>
      <c r="H124" s="41" t="s">
        <v>55</v>
      </c>
      <c r="I124" s="40" t="s">
        <v>26</v>
      </c>
      <c r="J124" s="40" t="s">
        <v>56</v>
      </c>
      <c r="K124" s="41" t="s">
        <v>34</v>
      </c>
      <c r="L124" s="41" t="s">
        <v>57</v>
      </c>
      <c r="M124" s="40" t="s">
        <v>30</v>
      </c>
      <c r="N124" s="40" t="s">
        <v>35</v>
      </c>
      <c r="O124" s="41" t="s">
        <v>58</v>
      </c>
      <c r="P124" s="40" t="s">
        <v>31</v>
      </c>
      <c r="Q124" s="41" t="s">
        <v>59</v>
      </c>
      <c r="R124" s="41" t="s">
        <v>60</v>
      </c>
      <c r="S124" s="41" t="s">
        <v>61</v>
      </c>
      <c r="T124" s="41" t="s">
        <v>62</v>
      </c>
      <c r="U124" s="41" t="s">
        <v>63</v>
      </c>
      <c r="V124" s="41" t="s">
        <v>64</v>
      </c>
    </row>
    <row r="125" spans="2:22" ht="25" customHeight="1">
      <c r="B125" s="43" t="str">
        <f>"c "&amp;C125&amp;" / C "&amp;D125</f>
        <v>c -16 / C -20</v>
      </c>
      <c r="C125" s="43">
        <f>Parameters!D7</f>
        <v>-16</v>
      </c>
      <c r="D125" s="43">
        <f>Parameters!D8</f>
        <v>-20</v>
      </c>
      <c r="E125" s="43">
        <f>Parameters!D16</f>
        <v>-48</v>
      </c>
      <c r="F125" s="43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2290</v>
      </c>
      <c r="G125" s="43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1</v>
      </c>
      <c r="H125" s="43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43">
        <f>F125*H125</f>
        <v>2290</v>
      </c>
      <c r="J125" s="43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1800</v>
      </c>
      <c r="K125" s="43">
        <f>IF('Full Sweep'!$C$4="Type-B",Parameters!$L$14,INDEX(Parameters!$D$14:$H$14,1,R125)+(INDEX(Parameters!$D$14:$H$14,1,R125+1)-INDEX(Parameters!$D$14:$H$14,1,R125))*U125)</f>
        <v>1</v>
      </c>
      <c r="L125" s="43">
        <f>I125+J125</f>
        <v>4090</v>
      </c>
      <c r="M125" s="43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2290</v>
      </c>
      <c r="N125" s="43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1</v>
      </c>
      <c r="O125" s="43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1</v>
      </c>
      <c r="P125" s="43">
        <f>M125*O125</f>
        <v>2290</v>
      </c>
      <c r="Q125" s="43">
        <f>MIN(4,MAX(1,INT((1+C125/Parameters!$D$23)*4)+1))</f>
        <v>1</v>
      </c>
      <c r="R125" s="43">
        <f>MIN(4,MAX(1,INT((1+D125/Parameters!$D$24)*4)+1))</f>
        <v>1</v>
      </c>
      <c r="S125" s="43">
        <f>MIN(4,MAX(1,INT((1+E125/Parameters!$D$26)*4)+1))</f>
        <v>1</v>
      </c>
      <c r="T125" s="43">
        <f>MAX(0,MIN(1,(1+C125/Parameters!$D$23)*4-(Q125-1)))</f>
        <v>0</v>
      </c>
      <c r="U125" s="43">
        <f>MAX(0,MIN(1,(1+D125/Parameters!$D$24)*4-(R125-1)))</f>
        <v>0</v>
      </c>
      <c r="V125" s="43">
        <f>MAX(0,MIN(1,(1+E125/Parameters!$D$26)*4-(S125-1)))</f>
        <v>0</v>
      </c>
    </row>
    <row r="126" spans="2:22" ht="25" customHeight="1">
      <c r="B126" s="45" t="str">
        <f>"c "&amp;C126&amp;" / C "&amp;D126</f>
        <v>c -12 / C -15</v>
      </c>
      <c r="C126" s="45">
        <f>Parameters!E7</f>
        <v>-12</v>
      </c>
      <c r="D126" s="45">
        <f>Parameters!E8</f>
        <v>-15</v>
      </c>
      <c r="E126" s="45">
        <f>Parameters!E16</f>
        <v>-36</v>
      </c>
      <c r="F126" s="45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2770</v>
      </c>
      <c r="G126" s="45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1</v>
      </c>
      <c r="H126" s="45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1</v>
      </c>
      <c r="I126" s="45">
        <f>F126*H126</f>
        <v>2770</v>
      </c>
      <c r="J126" s="45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2250</v>
      </c>
      <c r="K126" s="45">
        <f>IF('Full Sweep'!$C$4="Type-B",Parameters!$L$14,INDEX(Parameters!$D$14:$H$14,1,R126)+(INDEX(Parameters!$D$14:$H$14,1,R126+1)-INDEX(Parameters!$D$14:$H$14,1,R126))*U126)</f>
        <v>1</v>
      </c>
      <c r="L126" s="45">
        <f>I126+J126</f>
        <v>5020</v>
      </c>
      <c r="M126" s="45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2770</v>
      </c>
      <c r="N126" s="45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1</v>
      </c>
      <c r="O126" s="45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1</v>
      </c>
      <c r="P126" s="45">
        <f>M126*O126</f>
        <v>2770</v>
      </c>
      <c r="Q126" s="45">
        <f>MIN(4,MAX(1,INT((1+C126/Parameters!$D$23)*4)+1))</f>
        <v>2</v>
      </c>
      <c r="R126" s="45">
        <f>MIN(4,MAX(1,INT((1+D126/Parameters!$D$24)*4)+1))</f>
        <v>2</v>
      </c>
      <c r="S126" s="45">
        <f>MIN(4,MAX(1,INT((1+E126/Parameters!$D$26)*4)+1))</f>
        <v>2</v>
      </c>
      <c r="T126" s="45">
        <f>MAX(0,MIN(1,(1+C126/Parameters!$D$23)*4-(Q126-1)))</f>
        <v>0</v>
      </c>
      <c r="U126" s="45">
        <f>MAX(0,MIN(1,(1+D126/Parameters!$D$24)*4-(R126-1)))</f>
        <v>0</v>
      </c>
      <c r="V126" s="45">
        <f>MAX(0,MIN(1,(1+E126/Parameters!$D$26)*4-(S126-1)))</f>
        <v>0</v>
      </c>
    </row>
    <row r="127" spans="2:22" ht="25" customHeight="1">
      <c r="B127" s="43" t="str">
        <f>"c "&amp;C127&amp;" / C "&amp;D127</f>
        <v>c -8 / C -10</v>
      </c>
      <c r="C127" s="43">
        <f>Parameters!F7</f>
        <v>-8</v>
      </c>
      <c r="D127" s="43">
        <f>Parameters!F8</f>
        <v>-10</v>
      </c>
      <c r="E127" s="43">
        <f>Parameters!F16</f>
        <v>-24</v>
      </c>
      <c r="F127" s="43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3250</v>
      </c>
      <c r="G127" s="43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1</v>
      </c>
      <c r="H127" s="43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1</v>
      </c>
      <c r="I127" s="43">
        <f>F127*H127</f>
        <v>3250</v>
      </c>
      <c r="J127" s="43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2700</v>
      </c>
      <c r="K127" s="43">
        <f>IF('Full Sweep'!$C$4="Type-B",Parameters!$L$14,INDEX(Parameters!$D$14:$H$14,1,R127)+(INDEX(Parameters!$D$14:$H$14,1,R127+1)-INDEX(Parameters!$D$14:$H$14,1,R127))*U127)</f>
        <v>1</v>
      </c>
      <c r="L127" s="43">
        <f>I127+J127</f>
        <v>5950</v>
      </c>
      <c r="M127" s="43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3250</v>
      </c>
      <c r="N127" s="43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1</v>
      </c>
      <c r="O127" s="43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1</v>
      </c>
      <c r="P127" s="43">
        <f>M127*O127</f>
        <v>3250</v>
      </c>
      <c r="Q127" s="43">
        <f>MIN(4,MAX(1,INT((1+C127/Parameters!$D$23)*4)+1))</f>
        <v>3</v>
      </c>
      <c r="R127" s="43">
        <f>MIN(4,MAX(1,INT((1+D127/Parameters!$D$24)*4)+1))</f>
        <v>3</v>
      </c>
      <c r="S127" s="43">
        <f>MIN(4,MAX(1,INT((1+E127/Parameters!$D$26)*4)+1))</f>
        <v>3</v>
      </c>
      <c r="T127" s="43">
        <f>MAX(0,MIN(1,(1+C127/Parameters!$D$23)*4-(Q127-1)))</f>
        <v>0</v>
      </c>
      <c r="U127" s="43">
        <f>MAX(0,MIN(1,(1+D127/Parameters!$D$24)*4-(R127-1)))</f>
        <v>0</v>
      </c>
      <c r="V127" s="43">
        <f>MAX(0,MIN(1,(1+E127/Parameters!$D$26)*4-(S127-1)))</f>
        <v>0</v>
      </c>
    </row>
    <row r="128" spans="2:22" ht="25" customHeight="1">
      <c r="B128" s="45" t="str">
        <f>"c "&amp;C128&amp;" / C "&amp;D128</f>
        <v>c -4 / C -5</v>
      </c>
      <c r="C128" s="45">
        <f>Parameters!G7</f>
        <v>-4</v>
      </c>
      <c r="D128" s="45">
        <f>Parameters!G8</f>
        <v>-5</v>
      </c>
      <c r="E128" s="45">
        <f>Parameters!G16</f>
        <v>-12</v>
      </c>
      <c r="F128" s="45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3730</v>
      </c>
      <c r="G128" s="45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1</v>
      </c>
      <c r="H128" s="45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1</v>
      </c>
      <c r="I128" s="45">
        <f>F128*H128</f>
        <v>3730</v>
      </c>
      <c r="J128" s="45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3150</v>
      </c>
      <c r="K128" s="45">
        <f>IF('Full Sweep'!$C$4="Type-B",Parameters!$L$14,INDEX(Parameters!$D$14:$H$14,1,R128)+(INDEX(Parameters!$D$14:$H$14,1,R128+1)-INDEX(Parameters!$D$14:$H$14,1,R128))*U128)</f>
        <v>1</v>
      </c>
      <c r="L128" s="45">
        <f>I128+J128</f>
        <v>6880</v>
      </c>
      <c r="M128" s="45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3730</v>
      </c>
      <c r="N128" s="45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1</v>
      </c>
      <c r="O128" s="45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1</v>
      </c>
      <c r="P128" s="45">
        <f>M128*O128</f>
        <v>3730</v>
      </c>
      <c r="Q128" s="45">
        <f>MIN(4,MAX(1,INT((1+C128/Parameters!$D$23)*4)+1))</f>
        <v>4</v>
      </c>
      <c r="R128" s="45">
        <f>MIN(4,MAX(1,INT((1+D128/Parameters!$D$24)*4)+1))</f>
        <v>4</v>
      </c>
      <c r="S128" s="45">
        <f>MIN(4,MAX(1,INT((1+E128/Parameters!$D$26)*4)+1))</f>
        <v>4</v>
      </c>
      <c r="T128" s="45">
        <f>MAX(0,MIN(1,(1+C128/Parameters!$D$23)*4-(Q128-1)))</f>
        <v>0</v>
      </c>
      <c r="U128" s="45">
        <f>MAX(0,MIN(1,(1+D128/Parameters!$D$24)*4-(R128-1)))</f>
        <v>0</v>
      </c>
      <c r="V128" s="45">
        <f>MAX(0,MIN(1,(1+E128/Parameters!$D$26)*4-(S128-1)))</f>
        <v>0</v>
      </c>
    </row>
    <row r="129" spans="2:22" ht="25" customHeight="1">
      <c r="B129" s="43" t="str">
        <f>"c "&amp;C129&amp;" / C "&amp;D129</f>
        <v>c 0 / C 0</v>
      </c>
      <c r="C129" s="43">
        <f>Parameters!H7</f>
        <v>0</v>
      </c>
      <c r="D129" s="43">
        <f>Parameters!H8</f>
        <v>0</v>
      </c>
      <c r="E129" s="43">
        <f>Parameters!H16</f>
        <v>0</v>
      </c>
      <c r="F129" s="43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4210</v>
      </c>
      <c r="G129" s="43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1</v>
      </c>
      <c r="H129" s="43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1</v>
      </c>
      <c r="I129" s="43">
        <f>F129*H129</f>
        <v>4210</v>
      </c>
      <c r="J129" s="43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3600</v>
      </c>
      <c r="K129" s="43">
        <f>IF('Full Sweep'!$C$4="Type-B",Parameters!$L$14,INDEX(Parameters!$D$14:$H$14,1,R129)+(INDEX(Parameters!$D$14:$H$14,1,R129+1)-INDEX(Parameters!$D$14:$H$14,1,R129))*U129)</f>
        <v>1</v>
      </c>
      <c r="L129" s="43">
        <f>I129+J129</f>
        <v>7810</v>
      </c>
      <c r="M129" s="43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4210</v>
      </c>
      <c r="N129" s="43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1</v>
      </c>
      <c r="O129" s="43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1</v>
      </c>
      <c r="P129" s="43">
        <f>M129*O129</f>
        <v>4210</v>
      </c>
      <c r="Q129" s="43">
        <f>MIN(4,MAX(1,INT((1+C129/Parameters!$D$23)*4)+1))</f>
        <v>4</v>
      </c>
      <c r="R129" s="43">
        <f>MIN(4,MAX(1,INT((1+D129/Parameters!$D$24)*4)+1))</f>
        <v>4</v>
      </c>
      <c r="S129" s="43">
        <f>MIN(4,MAX(1,INT((1+E129/Parameters!$D$26)*4)+1))</f>
        <v>4</v>
      </c>
      <c r="T129" s="43">
        <f>MAX(0,MIN(1,(1+C129/Parameters!$D$23)*4-(Q129-1)))</f>
        <v>1</v>
      </c>
      <c r="U129" s="43">
        <f>MAX(0,MIN(1,(1+D129/Parameters!$D$24)*4-(R129-1)))</f>
        <v>1</v>
      </c>
      <c r="V129" s="43">
        <f>MAX(0,MIN(1,(1+E129/Parameters!$D$26)*4-(S129-1)))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0" t="s">
        <v>18</v>
      </c>
      <c r="C133" s="51" t="str">
        <f>B125</f>
        <v>c -16 / C -20</v>
      </c>
      <c r="D133" s="51" t="str">
        <f>B126</f>
        <v>c -12 / C -15</v>
      </c>
      <c r="E133" s="51" t="str">
        <f>B127</f>
        <v>c -8 / C -10</v>
      </c>
      <c r="F133" s="51" t="str">
        <f>B128</f>
        <v>c -4 / C -5</v>
      </c>
      <c r="G133" s="51" t="str">
        <f>B129</f>
        <v>c 0 / C 0</v>
      </c>
      <c r="H133" s="51" t="str">
        <f>"R "&amp;E125</f>
        <v>R -48</v>
      </c>
      <c r="I133" s="51" t="str">
        <f>"R "&amp;E126</f>
        <v>R -36</v>
      </c>
      <c r="J133" s="51" t="str">
        <f>"R "&amp;E127</f>
        <v>R -24</v>
      </c>
      <c r="K133" s="51" t="str">
        <f>"R "&amp;E128</f>
        <v>R -12</v>
      </c>
      <c r="L133" s="51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52">
        <v>0</v>
      </c>
      <c r="C134" s="52">
        <f t="shared" ref="C134:C154" si="15">$F$125*MIN($B134,$G$125)+$I$125*MAX(0,$B134-$G$125)+$J$125*MAX(0,$B134-$K$125)</f>
        <v>0</v>
      </c>
      <c r="D134" s="52">
        <f t="shared" ref="D134:D154" si="16">$F$126*MIN($B134,$G$126)+$I$126*MAX(0,$B134-$G$126)+$J$126*MAX(0,$B134-$K$126)</f>
        <v>0</v>
      </c>
      <c r="E134" s="52">
        <f t="shared" ref="E134:E154" si="17">$F$127*MIN($B134,$G$127)+$I$127*MAX(0,$B134-$G$127)+$J$127*MAX(0,$B134-$K$127)</f>
        <v>0</v>
      </c>
      <c r="F134" s="52">
        <f t="shared" ref="F134:F154" si="18">$F$128*MIN($B134,$G$128)+$I$128*MAX(0,$B134-$G$128)+$J$128*MAX(0,$B134-$K$128)</f>
        <v>0</v>
      </c>
      <c r="G134" s="52">
        <f t="shared" ref="G134:G154" si="19">$F$129*MIN($B134,$G$129)+$I$129*MAX(0,$B134-$G$129)+$J$129*MAX(0,$B134-$K$129)</f>
        <v>0</v>
      </c>
      <c r="H134" s="52">
        <f t="shared" ref="H134:H154" si="20">-($M$125*MIN($B134,$N$125)+$P$125*MAX(0,$B134-$N$125))</f>
        <v>0</v>
      </c>
      <c r="I134" s="52">
        <f t="shared" ref="I134:I154" si="21">-($M$126*MIN($B134,$N$126)+$P$126*MAX(0,$B134-$N$126))</f>
        <v>0</v>
      </c>
      <c r="J134" s="52">
        <f t="shared" ref="J134:J154" si="22">-($M$127*MIN($B134,$N$127)+$P$127*MAX(0,$B134-$N$127))</f>
        <v>0</v>
      </c>
      <c r="K134" s="52">
        <f t="shared" ref="K134:K154" si="23">-($M$128*MIN($B134,$N$128)+$P$128*MAX(0,$B134-$N$128))</f>
        <v>0</v>
      </c>
      <c r="L134" s="52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53">
        <v>0.1</v>
      </c>
      <c r="C135" s="53">
        <f t="shared" si="15"/>
        <v>229</v>
      </c>
      <c r="D135" s="53">
        <f t="shared" si="16"/>
        <v>277</v>
      </c>
      <c r="E135" s="53">
        <f t="shared" si="17"/>
        <v>325</v>
      </c>
      <c r="F135" s="53">
        <f t="shared" si="18"/>
        <v>373</v>
      </c>
      <c r="G135" s="53">
        <f t="shared" si="19"/>
        <v>421</v>
      </c>
      <c r="H135" s="53">
        <f t="shared" si="20"/>
        <v>-229</v>
      </c>
      <c r="I135" s="53">
        <f t="shared" si="21"/>
        <v>-277</v>
      </c>
      <c r="J135" s="53">
        <f t="shared" si="22"/>
        <v>-325</v>
      </c>
      <c r="K135" s="53">
        <f t="shared" si="23"/>
        <v>-373</v>
      </c>
      <c r="L135" s="53">
        <f t="shared" si="24"/>
        <v>-421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52">
        <v>0.2</v>
      </c>
      <c r="C136" s="52">
        <f t="shared" si="15"/>
        <v>458</v>
      </c>
      <c r="D136" s="52">
        <f t="shared" si="16"/>
        <v>554</v>
      </c>
      <c r="E136" s="52">
        <f t="shared" si="17"/>
        <v>650</v>
      </c>
      <c r="F136" s="52">
        <f t="shared" si="18"/>
        <v>746</v>
      </c>
      <c r="G136" s="52">
        <f t="shared" si="19"/>
        <v>842</v>
      </c>
      <c r="H136" s="52">
        <f t="shared" si="20"/>
        <v>-458</v>
      </c>
      <c r="I136" s="52">
        <f t="shared" si="21"/>
        <v>-554</v>
      </c>
      <c r="J136" s="52">
        <f t="shared" si="22"/>
        <v>-650</v>
      </c>
      <c r="K136" s="52">
        <f t="shared" si="23"/>
        <v>-746</v>
      </c>
      <c r="L136" s="52">
        <f t="shared" si="24"/>
        <v>-842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53">
        <v>0.3</v>
      </c>
      <c r="C137" s="53">
        <f t="shared" si="15"/>
        <v>687</v>
      </c>
      <c r="D137" s="53">
        <f t="shared" si="16"/>
        <v>831</v>
      </c>
      <c r="E137" s="53">
        <f t="shared" si="17"/>
        <v>975</v>
      </c>
      <c r="F137" s="53">
        <f t="shared" si="18"/>
        <v>1119</v>
      </c>
      <c r="G137" s="53">
        <f t="shared" si="19"/>
        <v>1263</v>
      </c>
      <c r="H137" s="53">
        <f t="shared" si="20"/>
        <v>-687</v>
      </c>
      <c r="I137" s="53">
        <f t="shared" si="21"/>
        <v>-831</v>
      </c>
      <c r="J137" s="53">
        <f t="shared" si="22"/>
        <v>-975</v>
      </c>
      <c r="K137" s="53">
        <f t="shared" si="23"/>
        <v>-1119</v>
      </c>
      <c r="L137" s="53">
        <f t="shared" si="24"/>
        <v>-1263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52">
        <v>0.4</v>
      </c>
      <c r="C138" s="52">
        <f t="shared" si="15"/>
        <v>916</v>
      </c>
      <c r="D138" s="52">
        <f t="shared" si="16"/>
        <v>1108</v>
      </c>
      <c r="E138" s="52">
        <f t="shared" si="17"/>
        <v>1300</v>
      </c>
      <c r="F138" s="52">
        <f t="shared" si="18"/>
        <v>1492</v>
      </c>
      <c r="G138" s="52">
        <f t="shared" si="19"/>
        <v>1684</v>
      </c>
      <c r="H138" s="52">
        <f t="shared" si="20"/>
        <v>-916</v>
      </c>
      <c r="I138" s="52">
        <f t="shared" si="21"/>
        <v>-1108</v>
      </c>
      <c r="J138" s="52">
        <f t="shared" si="22"/>
        <v>-1300</v>
      </c>
      <c r="K138" s="52">
        <f t="shared" si="23"/>
        <v>-1492</v>
      </c>
      <c r="L138" s="52">
        <f t="shared" si="24"/>
        <v>-1684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53">
        <v>0.5</v>
      </c>
      <c r="C139" s="53">
        <f t="shared" si="15"/>
        <v>1145</v>
      </c>
      <c r="D139" s="53">
        <f t="shared" si="16"/>
        <v>1385</v>
      </c>
      <c r="E139" s="53">
        <f t="shared" si="17"/>
        <v>1625</v>
      </c>
      <c r="F139" s="53">
        <f t="shared" si="18"/>
        <v>1865</v>
      </c>
      <c r="G139" s="53">
        <f t="shared" si="19"/>
        <v>2105</v>
      </c>
      <c r="H139" s="53">
        <f t="shared" si="20"/>
        <v>-1145</v>
      </c>
      <c r="I139" s="53">
        <f t="shared" si="21"/>
        <v>-1385</v>
      </c>
      <c r="J139" s="53">
        <f t="shared" si="22"/>
        <v>-1625</v>
      </c>
      <c r="K139" s="53">
        <f t="shared" si="23"/>
        <v>-1865</v>
      </c>
      <c r="L139" s="53">
        <f t="shared" si="24"/>
        <v>-2105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52">
        <v>0.6</v>
      </c>
      <c r="C140" s="52">
        <f t="shared" si="15"/>
        <v>1374</v>
      </c>
      <c r="D140" s="52">
        <f t="shared" si="16"/>
        <v>1662</v>
      </c>
      <c r="E140" s="52">
        <f t="shared" si="17"/>
        <v>1950</v>
      </c>
      <c r="F140" s="52">
        <f t="shared" si="18"/>
        <v>2238</v>
      </c>
      <c r="G140" s="52">
        <f t="shared" si="19"/>
        <v>2526</v>
      </c>
      <c r="H140" s="52">
        <f t="shared" si="20"/>
        <v>-1374</v>
      </c>
      <c r="I140" s="52">
        <f t="shared" si="21"/>
        <v>-1662</v>
      </c>
      <c r="J140" s="52">
        <f t="shared" si="22"/>
        <v>-1950</v>
      </c>
      <c r="K140" s="52">
        <f t="shared" si="23"/>
        <v>-2238</v>
      </c>
      <c r="L140" s="52">
        <f t="shared" si="24"/>
        <v>-2526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53">
        <v>0.7</v>
      </c>
      <c r="C141" s="53">
        <f t="shared" si="15"/>
        <v>1603</v>
      </c>
      <c r="D141" s="53">
        <f t="shared" si="16"/>
        <v>1938.9999999999998</v>
      </c>
      <c r="E141" s="53">
        <f t="shared" si="17"/>
        <v>2275</v>
      </c>
      <c r="F141" s="53">
        <f t="shared" si="18"/>
        <v>2611</v>
      </c>
      <c r="G141" s="53">
        <f t="shared" si="19"/>
        <v>2947</v>
      </c>
      <c r="H141" s="53">
        <f t="shared" si="20"/>
        <v>-1603</v>
      </c>
      <c r="I141" s="53">
        <f t="shared" si="21"/>
        <v>-1938.9999999999998</v>
      </c>
      <c r="J141" s="53">
        <f t="shared" si="22"/>
        <v>-2275</v>
      </c>
      <c r="K141" s="53">
        <f t="shared" si="23"/>
        <v>-2611</v>
      </c>
      <c r="L141" s="53">
        <f t="shared" si="24"/>
        <v>-2947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52">
        <v>0.8</v>
      </c>
      <c r="C142" s="52">
        <f t="shared" si="15"/>
        <v>1832</v>
      </c>
      <c r="D142" s="52">
        <f t="shared" si="16"/>
        <v>2216</v>
      </c>
      <c r="E142" s="52">
        <f t="shared" si="17"/>
        <v>2600</v>
      </c>
      <c r="F142" s="52">
        <f t="shared" si="18"/>
        <v>2984</v>
      </c>
      <c r="G142" s="52">
        <f t="shared" si="19"/>
        <v>3368</v>
      </c>
      <c r="H142" s="52">
        <f t="shared" si="20"/>
        <v>-1832</v>
      </c>
      <c r="I142" s="52">
        <f t="shared" si="21"/>
        <v>-2216</v>
      </c>
      <c r="J142" s="52">
        <f t="shared" si="22"/>
        <v>-2600</v>
      </c>
      <c r="K142" s="52">
        <f t="shared" si="23"/>
        <v>-2984</v>
      </c>
      <c r="L142" s="52">
        <f t="shared" si="24"/>
        <v>-3368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53">
        <v>0.9</v>
      </c>
      <c r="C143" s="53">
        <f t="shared" si="15"/>
        <v>2061</v>
      </c>
      <c r="D143" s="53">
        <f t="shared" si="16"/>
        <v>2493</v>
      </c>
      <c r="E143" s="53">
        <f t="shared" si="17"/>
        <v>2925</v>
      </c>
      <c r="F143" s="53">
        <f t="shared" si="18"/>
        <v>3357</v>
      </c>
      <c r="G143" s="53">
        <f t="shared" si="19"/>
        <v>3789</v>
      </c>
      <c r="H143" s="53">
        <f t="shared" si="20"/>
        <v>-2061</v>
      </c>
      <c r="I143" s="53">
        <f t="shared" si="21"/>
        <v>-2493</v>
      </c>
      <c r="J143" s="53">
        <f t="shared" si="22"/>
        <v>-2925</v>
      </c>
      <c r="K143" s="53">
        <f t="shared" si="23"/>
        <v>-3357</v>
      </c>
      <c r="L143" s="53">
        <f t="shared" si="24"/>
        <v>-3789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52">
        <v>1</v>
      </c>
      <c r="C144" s="52">
        <f t="shared" si="15"/>
        <v>2290</v>
      </c>
      <c r="D144" s="52">
        <f t="shared" si="16"/>
        <v>2770</v>
      </c>
      <c r="E144" s="52">
        <f t="shared" si="17"/>
        <v>3250</v>
      </c>
      <c r="F144" s="52">
        <f t="shared" si="18"/>
        <v>3730</v>
      </c>
      <c r="G144" s="52">
        <f t="shared" si="19"/>
        <v>4210</v>
      </c>
      <c r="H144" s="52">
        <f t="shared" si="20"/>
        <v>-2290</v>
      </c>
      <c r="I144" s="52">
        <f t="shared" si="21"/>
        <v>-2770</v>
      </c>
      <c r="J144" s="52">
        <f t="shared" si="22"/>
        <v>-3250</v>
      </c>
      <c r="K144" s="52">
        <f t="shared" si="23"/>
        <v>-3730</v>
      </c>
      <c r="L144" s="52">
        <f t="shared" si="24"/>
        <v>-4210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53">
        <v>1.1000000000000001</v>
      </c>
      <c r="C145" s="53">
        <f t="shared" si="15"/>
        <v>2699</v>
      </c>
      <c r="D145" s="53">
        <f t="shared" si="16"/>
        <v>3272</v>
      </c>
      <c r="E145" s="53">
        <f t="shared" si="17"/>
        <v>3845.0000000000009</v>
      </c>
      <c r="F145" s="53">
        <f t="shared" si="18"/>
        <v>4418</v>
      </c>
      <c r="G145" s="53">
        <f t="shared" si="19"/>
        <v>4991</v>
      </c>
      <c r="H145" s="53">
        <f t="shared" si="20"/>
        <v>-2519</v>
      </c>
      <c r="I145" s="53">
        <f t="shared" si="21"/>
        <v>-3047</v>
      </c>
      <c r="J145" s="53">
        <f t="shared" si="22"/>
        <v>-3575.0000000000005</v>
      </c>
      <c r="K145" s="53">
        <f t="shared" si="23"/>
        <v>-4103</v>
      </c>
      <c r="L145" s="53">
        <f t="shared" si="24"/>
        <v>-4631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52">
        <v>1.2</v>
      </c>
      <c r="C146" s="52">
        <f t="shared" si="15"/>
        <v>3108</v>
      </c>
      <c r="D146" s="52">
        <f t="shared" si="16"/>
        <v>3774</v>
      </c>
      <c r="E146" s="52">
        <f t="shared" si="17"/>
        <v>4440</v>
      </c>
      <c r="F146" s="52">
        <f t="shared" si="18"/>
        <v>5106</v>
      </c>
      <c r="G146" s="52">
        <f t="shared" si="19"/>
        <v>5772</v>
      </c>
      <c r="H146" s="52">
        <f t="shared" si="20"/>
        <v>-2748</v>
      </c>
      <c r="I146" s="52">
        <f t="shared" si="21"/>
        <v>-3324</v>
      </c>
      <c r="J146" s="52">
        <f t="shared" si="22"/>
        <v>-3900</v>
      </c>
      <c r="K146" s="52">
        <f t="shared" si="23"/>
        <v>-4476</v>
      </c>
      <c r="L146" s="52">
        <f t="shared" si="24"/>
        <v>-5052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53">
        <v>1.3</v>
      </c>
      <c r="C147" s="53">
        <f t="shared" si="15"/>
        <v>3517</v>
      </c>
      <c r="D147" s="53">
        <f t="shared" si="16"/>
        <v>4276</v>
      </c>
      <c r="E147" s="53">
        <f t="shared" si="17"/>
        <v>5035</v>
      </c>
      <c r="F147" s="53">
        <f t="shared" si="18"/>
        <v>5794</v>
      </c>
      <c r="G147" s="53">
        <f t="shared" si="19"/>
        <v>6553</v>
      </c>
      <c r="H147" s="53">
        <f t="shared" si="20"/>
        <v>-2977</v>
      </c>
      <c r="I147" s="53">
        <f t="shared" si="21"/>
        <v>-3601</v>
      </c>
      <c r="J147" s="53">
        <f t="shared" si="22"/>
        <v>-4225</v>
      </c>
      <c r="K147" s="53">
        <f t="shared" si="23"/>
        <v>-4849</v>
      </c>
      <c r="L147" s="53">
        <f t="shared" si="24"/>
        <v>-5473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52">
        <v>1.4</v>
      </c>
      <c r="C148" s="52">
        <f t="shared" si="15"/>
        <v>3926</v>
      </c>
      <c r="D148" s="52">
        <f t="shared" si="16"/>
        <v>4778</v>
      </c>
      <c r="E148" s="52">
        <f t="shared" si="17"/>
        <v>5630</v>
      </c>
      <c r="F148" s="52">
        <f t="shared" si="18"/>
        <v>6482</v>
      </c>
      <c r="G148" s="52">
        <f t="shared" si="19"/>
        <v>7334</v>
      </c>
      <c r="H148" s="52">
        <f t="shared" si="20"/>
        <v>-3206</v>
      </c>
      <c r="I148" s="52">
        <f t="shared" si="21"/>
        <v>-3878</v>
      </c>
      <c r="J148" s="52">
        <f t="shared" si="22"/>
        <v>-4550</v>
      </c>
      <c r="K148" s="52">
        <f t="shared" si="23"/>
        <v>-5222</v>
      </c>
      <c r="L148" s="52">
        <f t="shared" si="24"/>
        <v>-5894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53">
        <v>1.5</v>
      </c>
      <c r="C149" s="53">
        <f t="shared" si="15"/>
        <v>4335</v>
      </c>
      <c r="D149" s="53">
        <f t="shared" si="16"/>
        <v>5280</v>
      </c>
      <c r="E149" s="53">
        <f t="shared" si="17"/>
        <v>6225</v>
      </c>
      <c r="F149" s="53">
        <f t="shared" si="18"/>
        <v>7170</v>
      </c>
      <c r="G149" s="53">
        <f t="shared" si="19"/>
        <v>8115</v>
      </c>
      <c r="H149" s="53">
        <f t="shared" si="20"/>
        <v>-3435</v>
      </c>
      <c r="I149" s="53">
        <f t="shared" si="21"/>
        <v>-4155</v>
      </c>
      <c r="J149" s="53">
        <f t="shared" si="22"/>
        <v>-4875</v>
      </c>
      <c r="K149" s="53">
        <f t="shared" si="23"/>
        <v>-5595</v>
      </c>
      <c r="L149" s="53">
        <f t="shared" si="24"/>
        <v>-6315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52">
        <v>1.6</v>
      </c>
      <c r="C150" s="52">
        <f t="shared" si="15"/>
        <v>4744</v>
      </c>
      <c r="D150" s="52">
        <f t="shared" si="16"/>
        <v>5782</v>
      </c>
      <c r="E150" s="52">
        <f t="shared" si="17"/>
        <v>6820</v>
      </c>
      <c r="F150" s="52">
        <f t="shared" si="18"/>
        <v>7858</v>
      </c>
      <c r="G150" s="52">
        <f t="shared" si="19"/>
        <v>8896</v>
      </c>
      <c r="H150" s="52">
        <f t="shared" si="20"/>
        <v>-3664</v>
      </c>
      <c r="I150" s="52">
        <f t="shared" si="21"/>
        <v>-4432</v>
      </c>
      <c r="J150" s="52">
        <f t="shared" si="22"/>
        <v>-5200</v>
      </c>
      <c r="K150" s="52">
        <f t="shared" si="23"/>
        <v>-5968</v>
      </c>
      <c r="L150" s="52">
        <f t="shared" si="24"/>
        <v>-6736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53">
        <v>1.7</v>
      </c>
      <c r="C151" s="53">
        <f t="shared" si="15"/>
        <v>5153</v>
      </c>
      <c r="D151" s="53">
        <f t="shared" si="16"/>
        <v>6284</v>
      </c>
      <c r="E151" s="53">
        <f t="shared" si="17"/>
        <v>7415</v>
      </c>
      <c r="F151" s="53">
        <f t="shared" si="18"/>
        <v>8546</v>
      </c>
      <c r="G151" s="53">
        <f t="shared" si="19"/>
        <v>9677</v>
      </c>
      <c r="H151" s="53">
        <f t="shared" si="20"/>
        <v>-3893</v>
      </c>
      <c r="I151" s="53">
        <f t="shared" si="21"/>
        <v>-4709</v>
      </c>
      <c r="J151" s="53">
        <f t="shared" si="22"/>
        <v>-5525</v>
      </c>
      <c r="K151" s="53">
        <f t="shared" si="23"/>
        <v>-6341</v>
      </c>
      <c r="L151" s="53">
        <f t="shared" si="24"/>
        <v>-7157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52">
        <v>1.8</v>
      </c>
      <c r="C152" s="52">
        <f t="shared" si="15"/>
        <v>5562</v>
      </c>
      <c r="D152" s="52">
        <f t="shared" si="16"/>
        <v>6786</v>
      </c>
      <c r="E152" s="52">
        <f t="shared" si="17"/>
        <v>8010</v>
      </c>
      <c r="F152" s="52">
        <f t="shared" si="18"/>
        <v>9234</v>
      </c>
      <c r="G152" s="52">
        <f t="shared" si="19"/>
        <v>10458</v>
      </c>
      <c r="H152" s="52">
        <f t="shared" si="20"/>
        <v>-4122</v>
      </c>
      <c r="I152" s="52">
        <f t="shared" si="21"/>
        <v>-4986</v>
      </c>
      <c r="J152" s="52">
        <f t="shared" si="22"/>
        <v>-5850</v>
      </c>
      <c r="K152" s="52">
        <f t="shared" si="23"/>
        <v>-6714</v>
      </c>
      <c r="L152" s="52">
        <f t="shared" si="24"/>
        <v>-7578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53">
        <v>1.9</v>
      </c>
      <c r="C153" s="53">
        <f t="shared" si="15"/>
        <v>5971</v>
      </c>
      <c r="D153" s="53">
        <f t="shared" si="16"/>
        <v>7288</v>
      </c>
      <c r="E153" s="53">
        <f t="shared" si="17"/>
        <v>8605</v>
      </c>
      <c r="F153" s="53">
        <f t="shared" si="18"/>
        <v>9922</v>
      </c>
      <c r="G153" s="53">
        <f t="shared" si="19"/>
        <v>11239</v>
      </c>
      <c r="H153" s="53">
        <f t="shared" si="20"/>
        <v>-4351</v>
      </c>
      <c r="I153" s="53">
        <f t="shared" si="21"/>
        <v>-5263</v>
      </c>
      <c r="J153" s="53">
        <f t="shared" si="22"/>
        <v>-6175</v>
      </c>
      <c r="K153" s="53">
        <f t="shared" si="23"/>
        <v>-7087</v>
      </c>
      <c r="L153" s="53">
        <f t="shared" si="24"/>
        <v>-7999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52">
        <v>2</v>
      </c>
      <c r="C154" s="52">
        <f t="shared" si="15"/>
        <v>6380</v>
      </c>
      <c r="D154" s="52">
        <f t="shared" si="16"/>
        <v>7790</v>
      </c>
      <c r="E154" s="52">
        <f t="shared" si="17"/>
        <v>9200</v>
      </c>
      <c r="F154" s="52">
        <f t="shared" si="18"/>
        <v>10610</v>
      </c>
      <c r="G154" s="52">
        <f t="shared" si="19"/>
        <v>12020</v>
      </c>
      <c r="H154" s="52">
        <f t="shared" si="20"/>
        <v>-4580</v>
      </c>
      <c r="I154" s="52">
        <f t="shared" si="21"/>
        <v>-5540</v>
      </c>
      <c r="J154" s="52">
        <f t="shared" si="22"/>
        <v>-6500</v>
      </c>
      <c r="K154" s="52">
        <f t="shared" si="23"/>
        <v>-7460</v>
      </c>
      <c r="L154" s="52">
        <f t="shared" si="24"/>
        <v>-8420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95" t="s">
        <v>68</v>
      </c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</row>
    <row r="164" spans="2:22" ht="44" customHeight="1">
      <c r="B164" s="54" t="s">
        <v>51</v>
      </c>
      <c r="C164" s="55" t="s">
        <v>52</v>
      </c>
      <c r="D164" s="55" t="s">
        <v>53</v>
      </c>
      <c r="E164" s="55" t="s">
        <v>54</v>
      </c>
      <c r="F164" s="55" t="s">
        <v>23</v>
      </c>
      <c r="G164" s="54" t="s">
        <v>32</v>
      </c>
      <c r="H164" s="54" t="s">
        <v>55</v>
      </c>
      <c r="I164" s="55" t="s">
        <v>26</v>
      </c>
      <c r="J164" s="55" t="s">
        <v>56</v>
      </c>
      <c r="K164" s="54" t="s">
        <v>34</v>
      </c>
      <c r="L164" s="54" t="s">
        <v>57</v>
      </c>
      <c r="M164" s="55" t="s">
        <v>30</v>
      </c>
      <c r="N164" s="55" t="s">
        <v>35</v>
      </c>
      <c r="O164" s="54" t="s">
        <v>58</v>
      </c>
      <c r="P164" s="55" t="s">
        <v>31</v>
      </c>
      <c r="Q164" s="54" t="s">
        <v>59</v>
      </c>
      <c r="R164" s="54" t="s">
        <v>60</v>
      </c>
      <c r="S164" s="54" t="s">
        <v>61</v>
      </c>
      <c r="T164" s="54" t="s">
        <v>62</v>
      </c>
      <c r="U164" s="54" t="s">
        <v>63</v>
      </c>
      <c r="V164" s="54" t="s">
        <v>64</v>
      </c>
    </row>
    <row r="165" spans="2:22" ht="25" customHeight="1">
      <c r="B165" s="57"/>
      <c r="C165" s="56">
        <f>Calculator!C7</f>
        <v>-8</v>
      </c>
      <c r="D165" s="56">
        <f>Calculator!C8</f>
        <v>-10</v>
      </c>
      <c r="E165" s="56">
        <f>Calculator!C9</f>
        <v>-24</v>
      </c>
      <c r="F165" s="56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3250</v>
      </c>
      <c r="G165" s="56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1</v>
      </c>
      <c r="H165" s="56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1</v>
      </c>
      <c r="I165" s="56">
        <f>F165*H165</f>
        <v>3250</v>
      </c>
      <c r="J165" s="56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2700</v>
      </c>
      <c r="K165" s="56">
        <f>IF(Calculator!$C$4="Type-B",Parameters!$L$14,INDEX(Parameters!$D$14:$H$14,1,R165)+(INDEX(Parameters!$D$14:$H$14,1,R165+1)-INDEX(Parameters!$D$14:$H$14,1,R165))*U165)</f>
        <v>1</v>
      </c>
      <c r="L165" s="56">
        <f>I165+J165</f>
        <v>5950</v>
      </c>
      <c r="M165" s="56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3250</v>
      </c>
      <c r="N165" s="56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1</v>
      </c>
      <c r="O165" s="56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1</v>
      </c>
      <c r="P165" s="56">
        <f>M165*O165</f>
        <v>3250</v>
      </c>
      <c r="Q165" s="56">
        <f>MIN(4,MAX(1,INT((1+C165/Parameters!$D$23)*4)+1))</f>
        <v>3</v>
      </c>
      <c r="R165" s="56">
        <f>MIN(4,MAX(1,INT((1+D165/Calculator!$C$14)*4)+1))</f>
        <v>3</v>
      </c>
      <c r="S165" s="56">
        <f>MIN(4,MAX(1,INT((1+E165/Calculator!$C$15)*4)+1))</f>
        <v>3</v>
      </c>
      <c r="T165" s="56">
        <f>MAX(0,MIN(1,(1+C165/Parameters!$D$23)*4-(Q165-1)))</f>
        <v>0</v>
      </c>
      <c r="U165" s="56">
        <f>MAX(0,MIN(1,(1+D165/Calculator!$C$14)*4-(R165-1)))</f>
        <v>0</v>
      </c>
      <c r="V165" s="56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7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2026-10-25T15:56:00Z</dcterms:modified>
</cp:coreProperties>
</file>