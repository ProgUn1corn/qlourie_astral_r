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3_ncr:1_{A8B0D1AB-86EF-4D69-8F78-5A59BE54AB66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Graph" sheetId="1" r:id="rId1"/>
    <sheet name="Parameters" sheetId="2" r:id="rId2"/>
    <sheet name="Sampl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3" l="1"/>
  <c r="C23" i="3"/>
  <c r="D22" i="3"/>
  <c r="C22" i="3"/>
  <c r="D21" i="3"/>
  <c r="C21" i="3"/>
  <c r="D20" i="3"/>
  <c r="C20" i="3"/>
  <c r="D19" i="3"/>
  <c r="C19" i="3"/>
  <c r="D18" i="3"/>
  <c r="C18" i="3"/>
  <c r="D17" i="3"/>
  <c r="C17" i="3"/>
  <c r="D16" i="3"/>
  <c r="C16" i="3"/>
  <c r="D15" i="3"/>
  <c r="C15" i="3"/>
  <c r="D14" i="3"/>
  <c r="C14" i="3"/>
  <c r="D13" i="3"/>
  <c r="C13" i="3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F17" i="2"/>
  <c r="F16" i="2"/>
  <c r="B21" i="1" s="1"/>
  <c r="F10" i="3" l="1"/>
  <c r="G10" i="3" s="1"/>
  <c r="E10" i="3"/>
  <c r="F23" i="3"/>
  <c r="G23" i="3" s="1"/>
  <c r="E23" i="3"/>
  <c r="F22" i="3"/>
  <c r="G22" i="3" s="1"/>
  <c r="E22" i="3"/>
  <c r="F21" i="3"/>
  <c r="G21" i="3" s="1"/>
  <c r="E21" i="3"/>
  <c r="F20" i="3"/>
  <c r="G20" i="3" s="1"/>
  <c r="E20" i="3"/>
  <c r="F19" i="3"/>
  <c r="G19" i="3" s="1"/>
  <c r="E19" i="3"/>
  <c r="F18" i="3"/>
  <c r="G18" i="3" s="1"/>
  <c r="H18" i="3" s="1"/>
  <c r="E18" i="3"/>
  <c r="B37" i="1" s="1"/>
  <c r="F17" i="3"/>
  <c r="G17" i="3" s="1"/>
  <c r="E17" i="3"/>
  <c r="F16" i="3"/>
  <c r="G16" i="3" s="1"/>
  <c r="E16" i="3"/>
  <c r="F15" i="3"/>
  <c r="G15" i="3" s="1"/>
  <c r="E15" i="3"/>
  <c r="F14" i="3"/>
  <c r="G14" i="3" s="1"/>
  <c r="E14" i="3"/>
  <c r="F13" i="3"/>
  <c r="G13" i="3" s="1"/>
  <c r="E13" i="3"/>
  <c r="F12" i="3"/>
  <c r="G12" i="3" s="1"/>
  <c r="H12" i="3" s="1"/>
  <c r="E12" i="3"/>
  <c r="F11" i="3"/>
  <c r="G11" i="3" s="1"/>
  <c r="E11" i="3"/>
  <c r="F9" i="3"/>
  <c r="G9" i="3" s="1"/>
  <c r="E9" i="3"/>
  <c r="F8" i="3"/>
  <c r="G8" i="3" s="1"/>
  <c r="E8" i="3"/>
  <c r="F7" i="3"/>
  <c r="G7" i="3" s="1"/>
  <c r="H7" i="3" s="1"/>
  <c r="E7" i="3"/>
  <c r="F6" i="3"/>
  <c r="G6" i="3" s="1"/>
  <c r="E6" i="3"/>
  <c r="B5" i="1" s="1"/>
  <c r="H20" i="3" l="1"/>
  <c r="H21" i="3"/>
  <c r="H10" i="3"/>
  <c r="H6" i="3"/>
  <c r="H19" i="3"/>
  <c r="H17" i="3"/>
  <c r="H16" i="3"/>
  <c r="H14" i="3"/>
  <c r="H13" i="3"/>
  <c r="H11" i="3"/>
  <c r="H8" i="3"/>
  <c r="H15" i="3"/>
  <c r="H9" i="3"/>
</calcChain>
</file>

<file path=xl/sharedStrings.xml><?xml version="1.0" encoding="utf-8"?>
<sst xmlns="http://schemas.openxmlformats.org/spreadsheetml/2006/main" count="75" uniqueCount="47">
  <si>
    <t>Astral · Differential map</t>
  </si>
  <si>
    <t>Astral · Differential parameters</t>
  </si>
  <si>
    <t>黄色单元格可编辑；表格沿用当前 JBeam 的计算模型。</t>
  </si>
  <si>
    <t>模型基准</t>
  </si>
  <si>
    <t>保留的校核组合</t>
  </si>
  <si>
    <t>参考 ramp 角度</t>
  </si>
  <si>
    <t>°</t>
  </si>
  <si>
    <t>组合</t>
  </si>
  <si>
    <t>角度 (°)</t>
  </si>
  <si>
    <t>单侧 n</t>
  </si>
  <si>
    <t>参考单侧 n</t>
  </si>
  <si>
    <t>n+n</t>
  </si>
  <si>
    <t>原 Q5</t>
  </si>
  <si>
    <t>参考游戏系数</t>
  </si>
  <si>
    <t>系数</t>
  </si>
  <si>
    <t>每单位 n 修正</t>
  </si>
  <si>
    <t>百分比换算倍数</t>
  </si>
  <si>
    <t>倍</t>
  </si>
  <si>
    <t>Ramp 角度</t>
  </si>
  <si>
    <t>摩擦面数量</t>
  </si>
  <si>
    <t>用途</t>
  </si>
  <si>
    <t>Front power</t>
  </si>
  <si>
    <t>Rear power</t>
  </si>
  <si>
    <t>图表的 100% 参考组合</t>
  </si>
  <si>
    <t>前驱动：第一组前 ramp + 第二组 n</t>
  </si>
  <si>
    <t>后驱动：第一组后 ramp + 第二组 n</t>
  </si>
  <si>
    <t>Coast</t>
  </si>
  <si>
    <t>收油：第一组 coast ramp + 第二组 n</t>
  </si>
  <si>
    <t>计算与说明</t>
  </si>
  <si>
    <t>游戏系数 c = tan(参考角度) / tan(ramp 角度) × 参考系数 × [1 + (n − 参考 n) × 修正系数]。</t>
  </si>
  <si>
    <t>角度以度输入，公式内部换算为弧度；n 是单侧数量，4+4 对应 n = 4，不是 8。</t>
  </si>
  <si>
    <t>图表相对值 = 当前组合等效百分比 / 指定参考组合等效百分比；100% 不代表完全锁止。</t>
  </si>
  <si>
    <t>本表计算斜面与摩擦面数量对应的模型系数，不包含 preload，也不是实测锁止扭矩曲线。</t>
  </si>
  <si>
    <t>来源：Astral_differential_F.jbeam、Astral_differential_R.jbeam；Excel 修改不会自动写回车辆。</t>
  </si>
  <si>
    <t>Astral · Differential samples</t>
  </si>
  <si>
    <t>离散 ramp / 摩擦面组合计算。系数 c 直接对应游戏参数；等效百分比沿用原表 ×2 口径。</t>
  </si>
  <si>
    <t>Ramp (°)</t>
  </si>
  <si>
    <t>游戏系数 c</t>
  </si>
  <si>
    <t>模型等效百分比</t>
  </si>
  <si>
    <t>相对参考组合</t>
  </si>
  <si>
    <t>Check Q5</t>
  </si>
  <si>
    <t>Reference Q6</t>
  </si>
  <si>
    <t>相对值以各图注明的参考组合为 100%；完整系数与模型等效百分比见 Samples。</t>
  </si>
  <si>
    <t>锚点 / 原 Q6</t>
  </si>
  <si>
    <t>模型等效百分比 = c × 换算倍数；35°、8+8 的 c = 0.37，对应 74%。</t>
  </si>
  <si>
    <t>前轴收油可用 72° / 80°，但 65° 前驱动 ramp 当前固定配 80°；后轴收油为 80°。</t>
  </si>
  <si>
    <t>FF = 1 + (n − 8) × 0.114；0.114 是 5/44 保留三位小数，8+8 锚点不变。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</si>
</sst>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0"/>
    <numFmt numFmtId="177" formatCode="0.000000"/>
  </numFmts>
  <fonts count="10" x14ac:knownFonts="1">
    <font>
      <sz val="11"/>
      <color theme="1"/>
      <name val="Arial"/>
    </font>
    <font>
      <sz val="11"/>
      <color rgb="FF283C50"/>
      <name val="Arial"/>
    </font>
    <font>
      <b/>
      <sz val="11"/>
      <color rgb="FF283C50"/>
      <name val="Arial"/>
    </font>
    <font>
      <b/>
      <sz val="20"/>
      <color rgb="FF283C50"/>
      <name val="Arial"/>
    </font>
    <font>
      <sz val="10"/>
      <color rgb="FF667B91"/>
      <name val="Arial"/>
    </font>
    <font>
      <b/>
      <sz val="11"/>
      <color rgb="FFFFFFFF"/>
      <name val="Arial"/>
    </font>
    <font>
      <sz val="11"/>
      <color rgb="FF195DB1"/>
      <name val="Arial"/>
    </font>
    <font>
      <sz val="10"/>
      <color rgb="FF283C50"/>
      <name val="Arial"/>
    </font>
    <font>
      <b/>
      <sz val="11"/>
      <color rgb="FF31475E"/>
      <name val="Arial"/>
    </font>
    <font>
      <sz val="9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FF2CC"/>
      </patternFill>
    </fill>
    <fill>
      <patternFill patternType="solid">
        <fgColor rgb="FFE9EEF3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0" xfId="0" applyFont="1" applyFill="1">
      <alignment vertical="center"/>
    </xf>
    <xf numFmtId="0" fontId="5" fillId="3" borderId="0" xfId="0" applyFont="1" applyFill="1">
      <alignment vertical="center"/>
    </xf>
    <xf numFmtId="1" fontId="6" fillId="4" borderId="0" xfId="0" applyNumberFormat="1" applyFont="1" applyFill="1" applyAlignment="1">
      <alignment horizontal="right" vertical="center"/>
    </xf>
    <xf numFmtId="176" fontId="6" fillId="4" borderId="0" xfId="0" applyNumberFormat="1" applyFont="1" applyFill="1" applyAlignment="1">
      <alignment horizontal="right" vertical="center"/>
    </xf>
    <xf numFmtId="0" fontId="2" fillId="5" borderId="0" xfId="0" applyFont="1" applyFill="1">
      <alignment vertical="center"/>
    </xf>
    <xf numFmtId="177" fontId="1" fillId="2" borderId="0" xfId="0" applyNumberFormat="1" applyFont="1" applyFill="1">
      <alignment vertical="center"/>
    </xf>
    <xf numFmtId="10" fontId="1" fillId="2" borderId="0" xfId="0" applyNumberFormat="1" applyFont="1" applyFill="1">
      <alignment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>
      <alignment vertical="center"/>
    </xf>
    <xf numFmtId="0" fontId="1" fillId="2" borderId="0" xfId="0" applyFont="1" applyFill="1">
      <alignment vertical="center"/>
    </xf>
    <xf numFmtId="0" fontId="4" fillId="2" borderId="0" xfId="0" applyFont="1" applyFill="1">
      <alignment vertical="center"/>
    </xf>
    <xf numFmtId="0" fontId="8" fillId="2" borderId="0" xfId="0" applyFont="1" applyFill="1">
      <alignment vertical="center"/>
    </xf>
    <xf numFmtId="0" fontId="7" fillId="2" borderId="0" xfId="0" applyFont="1" applyFill="1">
      <alignment vertical="center"/>
    </xf>
    <xf numFmtId="0" fontId="2" fillId="2" borderId="0" xfId="0" applyFont="1" applyFill="1">
      <alignment vertical="center"/>
    </xf>
    <xf numFmtId="0" fontId="5" fillId="3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125">
                <a:latin typeface="Arial"/>
                <a:ea typeface="Arial"/>
                <a:cs typeface="Arial"/>
              </a:rPr>
              <a:t>Front power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spPr>
            <a:solidFill>
              <a:srgbClr val="3275BD"/>
            </a:solidFill>
          </c:spPr>
          <c:invertIfNegative val="1"/>
          <c:cat>
            <c:strRef>
              <c:f>Samples!$E$6:$E$11</c:f>
              <c:strCache>
                <c:ptCount val="6"/>
                <c:pt idx="0">
                  <c:v>45° / 6+6</c:v>
                </c:pt>
                <c:pt idx="1">
                  <c:v>50° / 6+6</c:v>
                </c:pt>
                <c:pt idx="2">
                  <c:v>45° / 4+4</c:v>
                </c:pt>
                <c:pt idx="3">
                  <c:v>50° / 4+4</c:v>
                </c:pt>
                <c:pt idx="4">
                  <c:v>62° / 6+6</c:v>
                </c:pt>
                <c:pt idx="5">
                  <c:v>62° / 4+4</c:v>
                </c:pt>
              </c:strCache>
            </c:strRef>
          </c:cat>
          <c:val>
            <c:numRef>
              <c:f>Samples!$H$6:$H$11</c:f>
              <c:numCache>
                <c:formatCode>0.00%</c:formatCode>
                <c:ptCount val="6"/>
                <c:pt idx="0">
                  <c:v>1</c:v>
                </c:pt>
                <c:pt idx="1">
                  <c:v>0.8390996311772799</c:v>
                </c:pt>
                <c:pt idx="2">
                  <c:v>0.7046632124352333</c:v>
                </c:pt>
                <c:pt idx="3">
                  <c:v>0.5912826416586014</c:v>
                </c:pt>
                <c:pt idx="4">
                  <c:v>0.5317094316614788</c:v>
                </c:pt>
                <c:pt idx="5">
                  <c:v>0.37467607619668974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9B88-472B-91BB-DB6F89920B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ax val="1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Relative to reference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  <c:majorUnit val="0.2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125">
                <a:latin typeface="Arial"/>
                <a:ea typeface="Arial"/>
                <a:cs typeface="Arial"/>
              </a:rPr>
              <a:t>Rear power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spPr>
            <a:solidFill>
              <a:srgbClr val="303A45"/>
            </a:solidFill>
          </c:spPr>
          <c:invertIfNegative val="1"/>
          <c:cat>
            <c:strRef>
              <c:f>Samples!$E$12:$E$17</c:f>
              <c:strCache>
                <c:ptCount val="6"/>
                <c:pt idx="0">
                  <c:v>38° / 6+6</c:v>
                </c:pt>
                <c:pt idx="1">
                  <c:v>45° / 6+6</c:v>
                </c:pt>
                <c:pt idx="2">
                  <c:v>38° / 4+4</c:v>
                </c:pt>
                <c:pt idx="3">
                  <c:v>50° / 6+6</c:v>
                </c:pt>
                <c:pt idx="4">
                  <c:v>45° / 4+4</c:v>
                </c:pt>
                <c:pt idx="5">
                  <c:v>50° / 4+4</c:v>
                </c:pt>
              </c:strCache>
            </c:strRef>
          </c:cat>
          <c:val>
            <c:numRef>
              <c:f>Samples!$H$12:$H$17</c:f>
              <c:numCache>
                <c:formatCode>0.00%</c:formatCode>
                <c:ptCount val="6"/>
                <c:pt idx="0">
                  <c:v>1</c:v>
                </c:pt>
                <c:pt idx="1">
                  <c:v>0.7812856265067175</c:v>
                </c:pt>
                <c:pt idx="2">
                  <c:v>0.7046632124352333</c:v>
                </c:pt>
                <c:pt idx="3">
                  <c:v>0.6555764810458967</c:v>
                </c:pt>
                <c:pt idx="4">
                  <c:v>0.5505432394036974</c:v>
                </c:pt>
                <c:pt idx="5">
                  <c:v>0.46196062913078734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B31D-4B53-8FE5-A56F5C76E3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ax val="1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Relative to reference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  <c:majorUnit val="0.2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125">
                <a:latin typeface="Arial"/>
                <a:ea typeface="Arial"/>
                <a:cs typeface="Arial"/>
              </a:rPr>
              <a:t>Coast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spPr>
            <a:solidFill>
              <a:srgbClr val="CC4087"/>
            </a:solidFill>
          </c:spPr>
          <c:invertIfNegative val="1"/>
          <c:cat>
            <c:strRef>
              <c:f>Samples!$E$18:$E$21</c:f>
              <c:strCache>
                <c:ptCount val="4"/>
                <c:pt idx="0">
                  <c:v>70° / 6+6</c:v>
                </c:pt>
                <c:pt idx="1">
                  <c:v>70° / 4+4</c:v>
                </c:pt>
                <c:pt idx="2">
                  <c:v>85° / 6+6</c:v>
                </c:pt>
                <c:pt idx="3">
                  <c:v>85° / 4+4</c:v>
                </c:pt>
              </c:strCache>
            </c:strRef>
          </c:cat>
          <c:val>
            <c:numRef>
              <c:f>Samples!$H$18:$H$21</c:f>
              <c:numCache>
                <c:formatCode>0.00%</c:formatCode>
                <c:ptCount val="4"/>
                <c:pt idx="0">
                  <c:v>1</c:v>
                </c:pt>
                <c:pt idx="1">
                  <c:v>0.7046632124352332</c:v>
                </c:pt>
                <c:pt idx="2">
                  <c:v>0.24037312749573927</c:v>
                </c:pt>
                <c:pt idx="3">
                  <c:v>0.1693821002042515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2C35-4C8E-813E-557A33E82F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ax val="1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Relative to reference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  <c:majorUnit val="0.2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0</xdr:rowOff>
    </xdr:from>
    <xdr:to>
      <xdr:col>12</xdr:col>
      <xdr:colOff>0</xdr:colOff>
      <xdr:row>20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21</xdr:row>
      <xdr:rowOff>0</xdr:rowOff>
    </xdr:from>
    <xdr:to>
      <xdr:col>12</xdr:col>
      <xdr:colOff>0</xdr:colOff>
      <xdr:row>36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12</xdr:col>
      <xdr:colOff>0</xdr:colOff>
      <xdr:row>52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L54"/>
  <sheetViews>
    <sheetView showGridLines="0" topLeftCell="A23" zoomScale="71" workbookViewId="0">
      <selection activeCell="N12" sqref="N12"/>
    </sheetView>
  </sheetViews>
  <sheetFormatPr defaultRowHeight="14" x14ac:dyDescent="0.3"/>
  <cols>
    <col min="1" max="1" width="3" customWidth="1"/>
    <col min="2" max="4" width="10.5" customWidth="1"/>
    <col min="5" max="5" width="10.5" style="1" customWidth="1"/>
    <col min="6" max="12" width="10.5" customWidth="1"/>
    <col min="13" max="16" width="12" customWidth="1"/>
    <col min="17" max="17" width="16" customWidth="1"/>
  </cols>
  <sheetData>
    <row r="1" spans="1:12" ht="23" customHeight="1" x14ac:dyDescent="0.3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12" ht="23" customHeight="1" x14ac:dyDescent="0.3">
      <c r="A2" s="2"/>
      <c r="B2" s="10" t="s">
        <v>0</v>
      </c>
      <c r="C2" s="11"/>
      <c r="D2" s="11"/>
      <c r="E2" s="11"/>
      <c r="F2" s="11"/>
      <c r="G2" s="11"/>
      <c r="H2" s="11"/>
      <c r="I2" s="11"/>
      <c r="J2" s="11"/>
      <c r="K2" s="11"/>
      <c r="L2" s="2"/>
    </row>
    <row r="3" spans="1:12" ht="23" customHeight="1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 ht="23" customHeight="1" x14ac:dyDescent="0.3">
      <c r="A4" s="2"/>
      <c r="B4" s="12" t="s">
        <v>42</v>
      </c>
      <c r="C4" s="12"/>
      <c r="D4" s="12"/>
      <c r="E4" s="12"/>
      <c r="F4" s="12"/>
      <c r="G4" s="12"/>
      <c r="H4" s="12"/>
      <c r="I4" s="12"/>
      <c r="J4" s="12"/>
      <c r="K4" s="12"/>
      <c r="L4" s="2"/>
    </row>
    <row r="5" spans="1:12" ht="23" customHeight="1" x14ac:dyDescent="0.3">
      <c r="A5" s="2"/>
      <c r="B5" s="13" t="str">
        <f>"Front power："&amp;Samples!E6&amp;" = 100%"</f>
        <v>Front power：45° / 6+6 = 100%</v>
      </c>
      <c r="C5" s="13"/>
      <c r="D5" s="13"/>
      <c r="E5" s="13"/>
      <c r="F5" s="13"/>
      <c r="G5" s="13"/>
      <c r="H5" s="13"/>
      <c r="I5" s="13"/>
      <c r="J5" s="13"/>
      <c r="K5" s="13"/>
      <c r="L5" s="2"/>
    </row>
    <row r="6" spans="1:12" ht="23" customHeight="1" x14ac:dyDescent="0.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ht="23" customHeight="1" x14ac:dyDescent="0.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ht="23" customHeight="1" x14ac:dyDescent="0.3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ht="23" customHeight="1" x14ac:dyDescent="0.3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ht="23" customHeight="1" x14ac:dyDescent="0.3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ht="23" customHeight="1" x14ac:dyDescent="0.3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ht="23" customHeight="1" x14ac:dyDescent="0.3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ht="23" customHeight="1" x14ac:dyDescent="0.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ht="23" customHeight="1" x14ac:dyDescent="0.3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ht="23" customHeight="1" x14ac:dyDescent="0.3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ht="23" customHeight="1" x14ac:dyDescent="0.3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ht="23" customHeight="1" x14ac:dyDescent="0.3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 ht="23" customHeight="1" x14ac:dyDescent="0.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ht="23" customHeight="1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ht="23" customHeight="1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ht="23" customHeight="1" x14ac:dyDescent="0.3">
      <c r="A21" s="2"/>
      <c r="B21" s="13" t="str">
        <f>"Rear power："&amp;Samples!E12&amp;" = 100%"</f>
        <v>Rear power：38° / 6+6 = 100%</v>
      </c>
      <c r="C21" s="13"/>
      <c r="D21" s="13"/>
      <c r="E21" s="13"/>
      <c r="F21" s="13"/>
      <c r="G21" s="13"/>
      <c r="H21" s="13"/>
      <c r="I21" s="13"/>
      <c r="J21" s="13"/>
      <c r="K21" s="13"/>
      <c r="L21" s="2"/>
    </row>
    <row r="22" spans="1:12" ht="23" customHeight="1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ht="23" customHeight="1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ht="23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ht="23" customHeight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ht="23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ht="23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ht="23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ht="23" customHeigh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ht="23" customHeight="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ht="23" customHeight="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ht="23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ht="23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ht="23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ht="23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ht="23" customHeigh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ht="23" customHeight="1" x14ac:dyDescent="0.3">
      <c r="A37" s="2"/>
      <c r="B37" s="13" t="str">
        <f>"Coast："&amp;Samples!E18&amp;" = 100%"</f>
        <v>Coast：70° / 6+6 = 100%</v>
      </c>
      <c r="C37" s="13"/>
      <c r="D37" s="13"/>
      <c r="E37" s="13"/>
      <c r="F37" s="13"/>
      <c r="G37" s="13"/>
      <c r="H37" s="13"/>
      <c r="I37" s="13"/>
      <c r="J37" s="13"/>
      <c r="K37" s="13"/>
      <c r="L37" s="2"/>
    </row>
    <row r="38" spans="1:12" ht="23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 ht="23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ht="23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ht="23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ht="23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 ht="23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ht="23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ht="23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ht="23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ht="23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 ht="23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ht="23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ht="23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 ht="23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 ht="23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 ht="23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 ht="23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</sheetData>
  <mergeCells count="5">
    <mergeCell ref="B2:K2"/>
    <mergeCell ref="B4:K4"/>
    <mergeCell ref="B5:K5"/>
    <mergeCell ref="B21:K21"/>
    <mergeCell ref="B37:K37"/>
  </mergeCells>
  <phoneticPr fontId="9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49A32"/>
  </sheetPr>
  <dimension ref="A1:L35"/>
  <sheetViews>
    <sheetView showGridLines="0" tabSelected="1" topLeftCell="A2" workbookViewId="0">
      <selection activeCell="C22" sqref="C22"/>
    </sheetView>
  </sheetViews>
  <sheetFormatPr defaultRowHeight="14" x14ac:dyDescent="0.3"/>
  <cols>
    <col min="1" max="1" width="3" customWidth="1"/>
    <col min="2" max="2" width="25" customWidth="1"/>
    <col min="3" max="3" width="12" customWidth="1"/>
    <col min="4" max="4" width="10" customWidth="1"/>
    <col min="5" max="5" width="3" customWidth="1"/>
    <col min="6" max="6" width="20" customWidth="1"/>
    <col min="7" max="8" width="12" customWidth="1"/>
    <col min="9" max="12" width="10.5" customWidth="1"/>
  </cols>
  <sheetData>
    <row r="1" spans="1:12" ht="23" customHeight="1" x14ac:dyDescent="0.3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12" ht="23" customHeight="1" x14ac:dyDescent="0.3">
      <c r="A2" s="2"/>
      <c r="B2" s="10" t="s">
        <v>1</v>
      </c>
      <c r="C2" s="11"/>
      <c r="D2" s="11"/>
      <c r="E2" s="11"/>
      <c r="F2" s="11"/>
      <c r="G2" s="11"/>
      <c r="H2" s="11"/>
      <c r="I2" s="11"/>
      <c r="J2" s="11"/>
      <c r="K2" s="11"/>
      <c r="L2" s="2"/>
    </row>
    <row r="3" spans="1:12" ht="23" customHeight="1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 ht="23" customHeight="1" x14ac:dyDescent="0.3">
      <c r="A4" s="2"/>
      <c r="B4" s="12" t="s">
        <v>2</v>
      </c>
      <c r="C4" s="12"/>
      <c r="D4" s="12"/>
      <c r="E4" s="12"/>
      <c r="F4" s="12"/>
      <c r="G4" s="12"/>
      <c r="H4" s="12"/>
      <c r="I4" s="12"/>
      <c r="J4" s="12"/>
      <c r="K4" s="12"/>
      <c r="L4" s="2"/>
    </row>
    <row r="5" spans="1:12" ht="23" customHeight="1" x14ac:dyDescent="0.3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ht="27" customHeight="1" x14ac:dyDescent="0.3">
      <c r="A6" s="2"/>
      <c r="B6" s="16" t="s">
        <v>3</v>
      </c>
      <c r="C6" s="16"/>
      <c r="D6" s="16"/>
      <c r="E6" s="2"/>
      <c r="F6" s="16" t="s">
        <v>4</v>
      </c>
      <c r="G6" s="16"/>
      <c r="H6" s="16"/>
      <c r="I6" s="2"/>
      <c r="J6" s="2"/>
      <c r="K6" s="2"/>
      <c r="L6" s="2"/>
    </row>
    <row r="7" spans="1:12" ht="23" customHeight="1" x14ac:dyDescent="0.3">
      <c r="A7" s="2"/>
      <c r="B7" s="2" t="s">
        <v>5</v>
      </c>
      <c r="C7" s="4">
        <v>35</v>
      </c>
      <c r="D7" s="2" t="s">
        <v>6</v>
      </c>
      <c r="E7" s="2"/>
      <c r="F7" s="6" t="s">
        <v>7</v>
      </c>
      <c r="G7" s="6" t="s">
        <v>8</v>
      </c>
      <c r="H7" s="6" t="s">
        <v>9</v>
      </c>
      <c r="I7" s="2"/>
      <c r="J7" s="2"/>
      <c r="K7" s="2"/>
      <c r="L7" s="2"/>
    </row>
    <row r="8" spans="1:12" ht="23" customHeight="1" x14ac:dyDescent="0.3">
      <c r="A8" s="2"/>
      <c r="B8" s="2" t="s">
        <v>10</v>
      </c>
      <c r="C8" s="4">
        <v>8</v>
      </c>
      <c r="D8" s="2" t="s">
        <v>11</v>
      </c>
      <c r="E8" s="2"/>
      <c r="F8" s="2" t="s">
        <v>12</v>
      </c>
      <c r="G8" s="4">
        <v>40</v>
      </c>
      <c r="H8" s="4">
        <v>4</v>
      </c>
      <c r="I8" s="2"/>
      <c r="J8" s="2"/>
      <c r="K8" s="2"/>
      <c r="L8" s="2"/>
    </row>
    <row r="9" spans="1:12" ht="23" customHeight="1" x14ac:dyDescent="0.3">
      <c r="A9" s="2"/>
      <c r="B9" s="2" t="s">
        <v>13</v>
      </c>
      <c r="C9" s="5">
        <v>0.37</v>
      </c>
      <c r="D9" s="2" t="s">
        <v>14</v>
      </c>
      <c r="E9" s="2"/>
      <c r="F9" s="2" t="s">
        <v>43</v>
      </c>
      <c r="G9" s="4">
        <v>35</v>
      </c>
      <c r="H9" s="4">
        <v>8</v>
      </c>
      <c r="I9" s="2"/>
      <c r="J9" s="2"/>
      <c r="K9" s="2"/>
      <c r="L9" s="2"/>
    </row>
    <row r="10" spans="1:12" ht="23" customHeight="1" x14ac:dyDescent="0.3">
      <c r="A10" s="2"/>
      <c r="B10" s="2" t="s">
        <v>15</v>
      </c>
      <c r="C10" s="5">
        <v>0.114</v>
      </c>
      <c r="D10" s="2" t="s">
        <v>14</v>
      </c>
      <c r="E10" s="2"/>
      <c r="F10" s="2"/>
      <c r="G10" s="2"/>
      <c r="H10" s="2"/>
      <c r="I10" s="2"/>
      <c r="J10" s="2"/>
      <c r="K10" s="2"/>
      <c r="L10" s="2"/>
    </row>
    <row r="11" spans="1:12" ht="23" customHeight="1" x14ac:dyDescent="0.3">
      <c r="A11" s="2"/>
      <c r="B11" s="2" t="s">
        <v>16</v>
      </c>
      <c r="C11" s="4">
        <v>2</v>
      </c>
      <c r="D11" s="2" t="s">
        <v>17</v>
      </c>
      <c r="E11" s="2"/>
      <c r="F11" s="2"/>
      <c r="G11" s="2"/>
      <c r="H11" s="2"/>
      <c r="I11" s="2"/>
      <c r="J11" s="2"/>
      <c r="K11" s="2"/>
      <c r="L11" s="2"/>
    </row>
    <row r="12" spans="1:12" ht="23" customHeight="1" x14ac:dyDescent="0.3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ht="23" customHeight="1" x14ac:dyDescent="0.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ht="27" customHeight="1" x14ac:dyDescent="0.3">
      <c r="A14" s="2"/>
      <c r="B14" s="16" t="s">
        <v>18</v>
      </c>
      <c r="C14" s="16"/>
      <c r="D14" s="16"/>
      <c r="E14" s="2"/>
      <c r="F14" s="16" t="s">
        <v>19</v>
      </c>
      <c r="G14" s="16"/>
      <c r="H14" s="16"/>
      <c r="I14" s="2"/>
      <c r="J14" s="2"/>
      <c r="K14" s="2"/>
      <c r="L14" s="2"/>
    </row>
    <row r="15" spans="1:12" ht="23" customHeight="1" x14ac:dyDescent="0.3">
      <c r="A15" s="2"/>
      <c r="B15" s="6" t="s">
        <v>20</v>
      </c>
      <c r="C15" s="6" t="s">
        <v>8</v>
      </c>
      <c r="D15" s="6"/>
      <c r="E15" s="2"/>
      <c r="F15" s="6" t="s">
        <v>7</v>
      </c>
      <c r="G15" s="6" t="s">
        <v>9</v>
      </c>
      <c r="H15" s="2"/>
      <c r="I15" s="2"/>
      <c r="J15" s="2"/>
      <c r="K15" s="2"/>
      <c r="L15" s="2"/>
    </row>
    <row r="16" spans="1:12" ht="23" customHeight="1" x14ac:dyDescent="0.3">
      <c r="A16" s="2"/>
      <c r="B16" s="2" t="s">
        <v>21</v>
      </c>
      <c r="C16" s="4">
        <v>45</v>
      </c>
      <c r="D16" s="2"/>
      <c r="E16" s="2"/>
      <c r="F16" s="2" t="str">
        <f>G16&amp;"+"&amp;G16</f>
        <v>4+4</v>
      </c>
      <c r="G16" s="4">
        <v>4</v>
      </c>
      <c r="H16" s="2"/>
      <c r="I16" s="2"/>
      <c r="J16" s="2"/>
      <c r="K16" s="2"/>
      <c r="L16" s="2"/>
    </row>
    <row r="17" spans="1:12" ht="23" customHeight="1" x14ac:dyDescent="0.3">
      <c r="A17" s="2"/>
      <c r="B17" s="2" t="s">
        <v>21</v>
      </c>
      <c r="C17" s="4">
        <v>50</v>
      </c>
      <c r="D17" s="2"/>
      <c r="E17" s="2"/>
      <c r="F17" s="2" t="str">
        <f>G17&amp;"+"&amp;G17</f>
        <v>6+6</v>
      </c>
      <c r="G17" s="4">
        <v>6</v>
      </c>
      <c r="H17" s="2"/>
      <c r="I17" s="2"/>
      <c r="J17" s="2"/>
      <c r="K17" s="2"/>
      <c r="L17" s="2"/>
    </row>
    <row r="18" spans="1:12" ht="23" customHeight="1" x14ac:dyDescent="0.3">
      <c r="A18" s="2"/>
      <c r="B18" s="2" t="s">
        <v>21</v>
      </c>
      <c r="C18" s="4">
        <v>62</v>
      </c>
      <c r="D18" s="2"/>
      <c r="E18" s="2"/>
      <c r="F18" s="2"/>
      <c r="G18" s="2"/>
      <c r="H18" s="2"/>
      <c r="I18" s="2"/>
      <c r="J18" s="2"/>
      <c r="K18" s="2"/>
      <c r="L18" s="2"/>
    </row>
    <row r="19" spans="1:12" ht="23" customHeight="1" x14ac:dyDescent="0.3">
      <c r="A19" s="2"/>
      <c r="B19" s="2" t="s">
        <v>22</v>
      </c>
      <c r="C19" s="4">
        <v>38</v>
      </c>
      <c r="D19" s="2"/>
      <c r="E19" s="2"/>
      <c r="F19" s="15" t="s">
        <v>23</v>
      </c>
      <c r="G19" s="15"/>
      <c r="H19" s="15"/>
      <c r="I19" s="15"/>
      <c r="J19" s="15"/>
      <c r="K19" s="15"/>
      <c r="L19" s="2"/>
    </row>
    <row r="20" spans="1:12" ht="23" customHeight="1" x14ac:dyDescent="0.3">
      <c r="A20" s="2"/>
      <c r="B20" s="2" t="s">
        <v>22</v>
      </c>
      <c r="C20" s="4">
        <v>45</v>
      </c>
      <c r="D20" s="2"/>
      <c r="E20" s="2"/>
      <c r="F20" s="12" t="s">
        <v>24</v>
      </c>
      <c r="G20" s="12"/>
      <c r="H20" s="12"/>
      <c r="I20" s="12"/>
      <c r="J20" s="12"/>
      <c r="K20" s="12"/>
      <c r="L20" s="2"/>
    </row>
    <row r="21" spans="1:12" ht="23" customHeight="1" x14ac:dyDescent="0.3">
      <c r="A21" s="2"/>
      <c r="B21" s="2" t="s">
        <v>22</v>
      </c>
      <c r="C21" s="4">
        <v>50</v>
      </c>
      <c r="D21" s="2"/>
      <c r="E21" s="2"/>
      <c r="F21" s="12" t="s">
        <v>25</v>
      </c>
      <c r="G21" s="12"/>
      <c r="H21" s="12"/>
      <c r="I21" s="12"/>
      <c r="J21" s="12"/>
      <c r="K21" s="12"/>
      <c r="L21" s="2"/>
    </row>
    <row r="22" spans="1:12" ht="23" customHeight="1" x14ac:dyDescent="0.3">
      <c r="A22" s="2"/>
      <c r="B22" s="2" t="s">
        <v>26</v>
      </c>
      <c r="C22" s="4">
        <v>70</v>
      </c>
      <c r="D22" s="2"/>
      <c r="E22" s="2"/>
      <c r="F22" s="12" t="s">
        <v>27</v>
      </c>
      <c r="G22" s="12"/>
      <c r="H22" s="12"/>
      <c r="I22" s="12"/>
      <c r="J22" s="12"/>
      <c r="K22" s="12"/>
      <c r="L22" s="2"/>
    </row>
    <row r="23" spans="1:12" ht="23" customHeight="1" x14ac:dyDescent="0.3">
      <c r="A23" s="2"/>
      <c r="B23" s="2" t="s">
        <v>26</v>
      </c>
      <c r="C23" s="4">
        <v>85</v>
      </c>
      <c r="D23" s="2"/>
      <c r="E23" s="2"/>
      <c r="F23" s="2"/>
      <c r="G23" s="2"/>
      <c r="H23" s="2"/>
      <c r="I23" s="2"/>
      <c r="J23" s="2"/>
      <c r="K23" s="2"/>
      <c r="L23" s="2"/>
    </row>
    <row r="24" spans="1:12" ht="23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ht="27" customHeight="1" x14ac:dyDescent="0.3">
      <c r="A25" s="2"/>
      <c r="B25" s="16" t="s">
        <v>28</v>
      </c>
      <c r="C25" s="16"/>
      <c r="D25" s="16"/>
      <c r="E25" s="16"/>
      <c r="F25" s="16"/>
      <c r="G25" s="16"/>
      <c r="H25" s="16"/>
      <c r="I25" s="16"/>
      <c r="J25" s="16"/>
      <c r="K25" s="16"/>
      <c r="L25" s="2"/>
    </row>
    <row r="26" spans="1:12" ht="23" customHeight="1" x14ac:dyDescent="0.3">
      <c r="A26" s="2"/>
      <c r="B26" s="14" t="s">
        <v>29</v>
      </c>
      <c r="C26" s="14"/>
      <c r="D26" s="14"/>
      <c r="E26" s="14"/>
      <c r="F26" s="14"/>
      <c r="G26" s="14"/>
      <c r="H26" s="14"/>
      <c r="I26" s="14"/>
      <c r="J26" s="14"/>
      <c r="K26" s="14"/>
      <c r="L26" s="2"/>
    </row>
    <row r="27" spans="1:12" ht="23" customHeight="1" x14ac:dyDescent="0.3">
      <c r="A27" s="2"/>
      <c r="B27" s="14" t="s">
        <v>30</v>
      </c>
      <c r="C27" s="14"/>
      <c r="D27" s="14"/>
      <c r="E27" s="14"/>
      <c r="F27" s="14"/>
      <c r="G27" s="14"/>
      <c r="H27" s="14"/>
      <c r="I27" s="14"/>
      <c r="J27" s="14"/>
      <c r="K27" s="14"/>
      <c r="L27" s="2"/>
    </row>
    <row r="28" spans="1:12" ht="23" customHeight="1" x14ac:dyDescent="0.3">
      <c r="A28" s="2"/>
      <c r="B28" s="14" t="s">
        <v>44</v>
      </c>
      <c r="C28" s="14"/>
      <c r="D28" s="14"/>
      <c r="E28" s="14"/>
      <c r="F28" s="14"/>
      <c r="G28" s="14"/>
      <c r="H28" s="14"/>
      <c r="I28" s="14"/>
      <c r="J28" s="14"/>
      <c r="K28" s="14"/>
      <c r="L28" s="2"/>
    </row>
    <row r="29" spans="1:12" ht="23" customHeight="1" x14ac:dyDescent="0.3">
      <c r="A29" s="2"/>
      <c r="B29" s="14" t="s">
        <v>31</v>
      </c>
      <c r="C29" s="14"/>
      <c r="D29" s="14"/>
      <c r="E29" s="14"/>
      <c r="F29" s="14"/>
      <c r="G29" s="14"/>
      <c r="H29" s="14"/>
      <c r="I29" s="14"/>
      <c r="J29" s="14"/>
      <c r="K29" s="14"/>
      <c r="L29" s="2"/>
    </row>
    <row r="30" spans="1:12" ht="23" customHeight="1" x14ac:dyDescent="0.3">
      <c r="A30" s="2"/>
      <c r="B30" s="14" t="inlineStr">
        <is>
          <t>前轴收油可用 70° / 85°，但 62° 前驱动 ramp 当前固定配 85°；后轴收油为 85°。</t>
        </is>
      </c>
      <c r="C30" s="14"/>
      <c r="D30" s="14"/>
      <c r="E30" s="14"/>
      <c r="F30" s="14"/>
      <c r="G30" s="14"/>
      <c r="H30" s="14"/>
      <c r="I30" s="14"/>
      <c r="J30" s="14"/>
      <c r="K30" s="14"/>
      <c r="L30" s="2"/>
    </row>
    <row r="31" spans="1:12" ht="23" customHeight="1" x14ac:dyDescent="0.3">
      <c r="A31" s="2"/>
      <c r="B31" s="14" t="s">
        <v>32</v>
      </c>
      <c r="C31" s="14"/>
      <c r="D31" s="14"/>
      <c r="E31" s="14"/>
      <c r="F31" s="14"/>
      <c r="G31" s="14"/>
      <c r="H31" s="14"/>
      <c r="I31" s="14"/>
      <c r="J31" s="14"/>
      <c r="K31" s="14"/>
      <c r="L31" s="2"/>
    </row>
    <row r="32" spans="1:12" ht="23" customHeight="1" x14ac:dyDescent="0.3">
      <c r="A32" s="2"/>
      <c r="B32" s="12" t="s">
        <v>33</v>
      </c>
      <c r="C32" s="12"/>
      <c r="D32" s="12"/>
      <c r="E32" s="12"/>
      <c r="F32" s="12"/>
      <c r="G32" s="12"/>
      <c r="H32" s="12"/>
      <c r="I32" s="12"/>
      <c r="J32" s="12"/>
      <c r="K32" s="12"/>
      <c r="L32" s="2"/>
    </row>
    <row r="33" spans="1:12" ht="23" customHeight="1" x14ac:dyDescent="0.3">
      <c r="A33" s="2"/>
      <c r="B33" s="12" t="s">
        <v>46</v>
      </c>
      <c r="C33" s="12"/>
      <c r="D33" s="12"/>
      <c r="E33" s="12"/>
      <c r="F33" s="12"/>
      <c r="G33" s="12"/>
      <c r="H33" s="12"/>
      <c r="I33" s="12"/>
      <c r="J33" s="12"/>
      <c r="K33" s="12"/>
      <c r="L33" s="2"/>
    </row>
    <row r="34" spans="1:12" ht="23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ht="23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</sheetData>
  <mergeCells count="19">
    <mergeCell ref="B2:K2"/>
    <mergeCell ref="B4:K4"/>
    <mergeCell ref="B6:D6"/>
    <mergeCell ref="F6:H6"/>
    <mergeCell ref="F14:H14"/>
    <mergeCell ref="B14:D14"/>
    <mergeCell ref="F19:K19"/>
    <mergeCell ref="F20:K20"/>
    <mergeCell ref="F21:K21"/>
    <mergeCell ref="F22:K22"/>
    <mergeCell ref="B25:K25"/>
    <mergeCell ref="B31:K31"/>
    <mergeCell ref="B32:K32"/>
    <mergeCell ref="B33:K33"/>
    <mergeCell ref="B26:K26"/>
    <mergeCell ref="B27:K27"/>
    <mergeCell ref="B28:K28"/>
    <mergeCell ref="B29:K29"/>
    <mergeCell ref="B30:K30"/>
  </mergeCells>
  <phoneticPr fontId="9" type="noConversion"/>
  <dataValidations count="2">
    <dataValidation type="decimal" sqref="C7 G8:G9 C16:C23" xr:uid="{00000000-0002-0000-0100-000000000000}">
      <formula1>1</formula1>
      <formula2>90</formula2>
    </dataValidation>
    <dataValidation type="whole" operator="greaterThan" sqref="C8 H8:H9 G16:G17" xr:uid="{00000000-0002-0000-0100-000003000000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3A0AC"/>
  </sheetPr>
  <dimension ref="A1:J26"/>
  <sheetViews>
    <sheetView showGridLines="0" workbookViewId="0">
      <pane ySplit="5" topLeftCell="A6" activePane="bottomLeft" state="frozen"/>
      <selection pane="bottomLeft"/>
    </sheetView>
  </sheetViews>
  <sheetFormatPr defaultRowHeight="14" x14ac:dyDescent="0.3"/>
  <cols>
    <col min="1" max="1" width="3" customWidth="1"/>
    <col min="2" max="2" width="18" customWidth="1"/>
    <col min="3" max="4" width="11" customWidth="1"/>
    <col min="5" max="5" width="20" customWidth="1"/>
    <col min="6" max="8" width="21" customWidth="1"/>
    <col min="9" max="10" width="10.5" customWidth="1"/>
  </cols>
  <sheetData>
    <row r="1" spans="1:10" ht="23" customHeight="1" x14ac:dyDescent="0.3">
      <c r="A1" s="2"/>
      <c r="B1" s="2"/>
      <c r="C1" s="2"/>
      <c r="D1" s="2"/>
      <c r="E1" s="2"/>
      <c r="F1" s="2"/>
      <c r="G1" s="2"/>
      <c r="H1" s="2"/>
      <c r="I1" s="2"/>
      <c r="J1" s="2"/>
    </row>
    <row r="2" spans="1:10" ht="23" customHeight="1" x14ac:dyDescent="0.3">
      <c r="A2" s="2"/>
      <c r="B2" s="10" t="s">
        <v>34</v>
      </c>
      <c r="C2" s="11"/>
      <c r="D2" s="11"/>
      <c r="E2" s="11"/>
      <c r="F2" s="11"/>
      <c r="G2" s="11"/>
      <c r="H2" s="11"/>
      <c r="I2" s="11"/>
      <c r="J2" s="2"/>
    </row>
    <row r="3" spans="1:10" ht="23" customHeight="1" x14ac:dyDescent="0.3">
      <c r="A3" s="2"/>
      <c r="B3" s="12" t="s">
        <v>35</v>
      </c>
      <c r="C3" s="12"/>
      <c r="D3" s="12"/>
      <c r="E3" s="12"/>
      <c r="F3" s="12"/>
      <c r="G3" s="12"/>
      <c r="H3" s="12"/>
      <c r="I3" s="12"/>
      <c r="J3" s="2"/>
    </row>
    <row r="4" spans="1:10" ht="23" customHeight="1" x14ac:dyDescent="0.3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 ht="23" customHeight="1" x14ac:dyDescent="0.3">
      <c r="A5" s="2"/>
      <c r="B5" s="3" t="s">
        <v>20</v>
      </c>
      <c r="C5" s="3" t="s">
        <v>36</v>
      </c>
      <c r="D5" s="3" t="s">
        <v>9</v>
      </c>
      <c r="E5" s="3" t="s">
        <v>7</v>
      </c>
      <c r="F5" s="3" t="s">
        <v>37</v>
      </c>
      <c r="G5" s="3" t="s">
        <v>38</v>
      </c>
      <c r="H5" s="3" t="s">
        <v>39</v>
      </c>
      <c r="I5" s="2"/>
      <c r="J5" s="2"/>
    </row>
    <row r="6" spans="1:10" ht="23" customHeight="1" x14ac:dyDescent="0.3">
      <c r="A6" s="2"/>
      <c r="B6" s="2" t="s">
        <v>21</v>
      </c>
      <c r="C6" s="9">
        <f>Parameters!C16</f>
        <v>45</v>
      </c>
      <c r="D6" s="9">
        <f>Parameters!G17</f>
        <v>6</v>
      </c>
      <c r="E6" s="2" t="str">
        <f t="shared" ref="E6:E23" si="0">C6&amp;"° / "&amp;D6&amp;"+"&amp;D6</f>
        <v>45° / 6+6</v>
      </c>
      <c r="F6" s="7">
        <f>TAN(Parameters!$C$7*PI()/180)/TAN(C6*PI()/180)*Parameters!$C$9*(1+(D6-Parameters!$C$8)*Parameters!$C$10)</f>
        <v>0.2000072812142215</v>
      </c>
      <c r="G6" s="8">
        <f>F6*Parameters!$C$11</f>
        <v>0.400014562428443</v>
      </c>
      <c r="H6" s="8">
        <f t="shared" ref="H6:H11" si="1">G6/$G$6</f>
        <v>1</v>
      </c>
      <c r="I6" s="2"/>
      <c r="J6" s="2"/>
    </row>
    <row r="7" spans="1:10" ht="23" customHeight="1" x14ac:dyDescent="0.3">
      <c r="A7" s="2"/>
      <c r="B7" s="2" t="s">
        <v>21</v>
      </c>
      <c r="C7" s="9">
        <f>Parameters!C17</f>
        <v>50</v>
      </c>
      <c r="D7" s="9">
        <f>Parameters!G17</f>
        <v>6</v>
      </c>
      <c r="E7" s="2" t="str">
        <f t="shared" si="0"/>
        <v>50° / 6+6</v>
      </c>
      <c r="F7" s="7">
        <f>TAN(Parameters!$C$7*PI()/180)/TAN(C7*PI()/180)*Parameters!$C$9*(1+(D7-Parameters!$C$8)*Parameters!$C$10)</f>
        <v>0.16782603589962378</v>
      </c>
      <c r="G7" s="8">
        <f>F7*Parameters!$C$11</f>
        <v>0.33565207179924755</v>
      </c>
      <c r="H7" s="8">
        <f t="shared" si="1"/>
        <v>0.8390996311772799</v>
      </c>
      <c r="I7" s="2"/>
      <c r="J7" s="2"/>
    </row>
    <row r="8" spans="1:10" ht="23" customHeight="1" x14ac:dyDescent="0.3">
      <c r="A8" s="2"/>
      <c r="B8" s="2" t="s">
        <v>21</v>
      </c>
      <c r="C8" s="9">
        <f>Parameters!C16</f>
        <v>45</v>
      </c>
      <c r="D8" s="9">
        <f>Parameters!G16</f>
        <v>4</v>
      </c>
      <c r="E8" s="2" t="str">
        <f t="shared" si="0"/>
        <v>45° / 4+4</v>
      </c>
      <c r="F8" s="7">
        <f>TAN(Parameters!$C$7*PI()/180)/TAN(C8*PI()/180)*Parameters!$C$9*(1+(D8-Parameters!$C$8)*Parameters!$C$10)</f>
        <v>0.14093777329085042</v>
      </c>
      <c r="G8" s="8">
        <f>F8*Parameters!$C$11</f>
        <v>0.28187554658170083</v>
      </c>
      <c r="H8" s="8">
        <f t="shared" si="1"/>
        <v>0.7046632124352333</v>
      </c>
      <c r="I8" s="2"/>
      <c r="J8" s="2"/>
    </row>
    <row r="9" spans="1:10" ht="23" customHeight="1" x14ac:dyDescent="0.3">
      <c r="A9" s="2"/>
      <c r="B9" s="2" t="s">
        <v>21</v>
      </c>
      <c r="C9" s="9">
        <f>Parameters!C17</f>
        <v>50</v>
      </c>
      <c r="D9" s="9">
        <f>Parameters!G16</f>
        <v>4</v>
      </c>
      <c r="E9" s="2" t="str">
        <f t="shared" si="0"/>
        <v>50° / 4+4</v>
      </c>
      <c r="F9" s="7">
        <f>TAN(Parameters!$C$7*PI()/180)/TAN(C9*PI()/180)*Parameters!$C$9*(1+(D9-Parameters!$C$8)*Parameters!$C$10)</f>
        <v>0.11826083358729966</v>
      </c>
      <c r="G9" s="8">
        <f>F9*Parameters!$C$11</f>
        <v>0.23652166717459933</v>
      </c>
      <c r="H9" s="8">
        <f t="shared" si="1"/>
        <v>0.5912826416586014</v>
      </c>
      <c r="I9" s="2"/>
      <c r="J9" s="2"/>
    </row>
    <row r="10" spans="1:10" ht="23" customHeight="1" x14ac:dyDescent="0.3">
      <c r="A10" s="2"/>
      <c r="B10" s="2" t="s">
        <v>21</v>
      </c>
      <c r="C10" s="9">
        <f>Parameters!C18</f>
        <v>62</v>
      </c>
      <c r="D10" s="9">
        <f>Parameters!G17</f>
        <v>6</v>
      </c>
      <c r="E10" s="2" t="str">
        <f t="shared" si="0"/>
        <v>62° / 6+6</v>
      </c>
      <c r="F10" s="7">
        <f>TAN(Parameters!$C$7*PI()/180)/TAN(C10*PI()/180)*Parameters!$C$9*(1+(D10-Parameters!$C$8)*Parameters!$C$10)</f>
        <v>0.10634575782257129</v>
      </c>
      <c r="G10" s="8">
        <f>F10*Parameters!$C$11</f>
        <v>0.21269151564514258</v>
      </c>
      <c r="H10" s="8">
        <f t="shared" si="1"/>
        <v>0.5317094316614788</v>
      </c>
      <c r="I10" s="2"/>
      <c r="J10" s="2"/>
    </row>
    <row r="11" spans="1:10" ht="23" customHeight="1" x14ac:dyDescent="0.3">
      <c r="A11" s="2"/>
      <c r="B11" s="2" t="s">
        <v>21</v>
      </c>
      <c r="C11" s="9">
        <f>Parameters!C18</f>
        <v>62</v>
      </c>
      <c r="D11" s="9">
        <f>Parameters!G16</f>
        <v>4</v>
      </c>
      <c r="E11" s="2" t="str">
        <f t="shared" si="0"/>
        <v>62° / 4+4</v>
      </c>
      <c r="F11" s="7">
        <f>TAN(Parameters!$C$7*PI()/180)/TAN(C11*PI()/180)*Parameters!$C$9*(1+(D11-Parameters!$C$8)*Parameters!$C$10)</f>
        <v>0.07493794333611241</v>
      </c>
      <c r="G11" s="8">
        <f>F11*Parameters!$C$11</f>
        <v>0.14987588667222482</v>
      </c>
      <c r="H11" s="8">
        <f t="shared" si="1"/>
        <v>0.37467607619668974</v>
      </c>
      <c r="I11" s="2"/>
      <c r="J11" s="2"/>
    </row>
    <row r="12" spans="1:10" ht="23" customHeight="1" x14ac:dyDescent="0.3">
      <c r="A12" s="2"/>
      <c r="B12" s="2" t="s">
        <v>22</v>
      </c>
      <c r="C12" s="9">
        <f>Parameters!C19</f>
        <v>38</v>
      </c>
      <c r="D12" s="9">
        <f>Parameters!G17</f>
        <v>6</v>
      </c>
      <c r="E12" s="2" t="str">
        <f t="shared" si="0"/>
        <v>38° / 6+6</v>
      </c>
      <c r="F12" s="7">
        <f>TAN(Parameters!$C$7*PI()/180)/TAN(C12*PI()/180)*Parameters!$C$9*(1+(D12-Parameters!$C$8)*Parameters!$C$10)</f>
        <v>0.25599764596783076</v>
      </c>
      <c r="G12" s="8">
        <f>F12*Parameters!$C$11</f>
        <v>0.5119952919356615</v>
      </c>
      <c r="H12" s="8">
        <f t="shared" ref="H12:H17" si="2">G12/$G$12</f>
        <v>1</v>
      </c>
      <c r="I12" s="2"/>
      <c r="J12" s="2"/>
    </row>
    <row r="13" spans="1:10" ht="23" customHeight="1" x14ac:dyDescent="0.3">
      <c r="A13" s="2"/>
      <c r="B13" s="2" t="s">
        <v>22</v>
      </c>
      <c r="C13" s="9">
        <f>Parameters!C20</f>
        <v>45</v>
      </c>
      <c r="D13" s="9">
        <f>Parameters!G17</f>
        <v>6</v>
      </c>
      <c r="E13" s="2" t="str">
        <f t="shared" si="0"/>
        <v>45° / 6+6</v>
      </c>
      <c r="F13" s="7">
        <f>TAN(Parameters!$C$7*PI()/180)/TAN(C13*PI()/180)*Parameters!$C$9*(1+(D13-Parameters!$C$8)*Parameters!$C$10)</f>
        <v>0.2000072812142215</v>
      </c>
      <c r="G13" s="8">
        <f>F13*Parameters!$C$11</f>
        <v>0.400014562428443</v>
      </c>
      <c r="H13" s="8">
        <f t="shared" si="2"/>
        <v>0.7812856265067175</v>
      </c>
      <c r="I13" s="2"/>
      <c r="J13" s="2"/>
    </row>
    <row r="14" spans="1:10" ht="23" customHeight="1" x14ac:dyDescent="0.3">
      <c r="A14" s="2"/>
      <c r="B14" s="2" t="s">
        <v>22</v>
      </c>
      <c r="C14" s="9">
        <f>Parameters!C19</f>
        <v>38</v>
      </c>
      <c r="D14" s="9">
        <f>Parameters!G16</f>
        <v>4</v>
      </c>
      <c r="E14" s="2" t="str">
        <f t="shared" si="0"/>
        <v>38° / 4+4</v>
      </c>
      <c r="F14" s="7">
        <f>TAN(Parameters!$C$7*PI()/180)/TAN(C14*PI()/180)*Parameters!$C$9*(1+(D14-Parameters!$C$8)*Parameters!$C$10)</f>
        <v>0.18039212358354917</v>
      </c>
      <c r="G14" s="8">
        <f>F14*Parameters!$C$11</f>
        <v>0.36078424716709834</v>
      </c>
      <c r="H14" s="8">
        <f t="shared" si="2"/>
        <v>0.7046632124352333</v>
      </c>
      <c r="I14" s="2"/>
      <c r="J14" s="2"/>
    </row>
    <row r="15" spans="1:10" ht="23" customHeight="1" x14ac:dyDescent="0.3">
      <c r="A15" s="2"/>
      <c r="B15" s="2" t="s">
        <v>22</v>
      </c>
      <c r="C15" s="9">
        <f>Parameters!C21</f>
        <v>50</v>
      </c>
      <c r="D15" s="9">
        <f>Parameters!G17</f>
        <v>6</v>
      </c>
      <c r="E15" s="2" t="str">
        <f t="shared" si="0"/>
        <v>50° / 6+6</v>
      </c>
      <c r="F15" s="7">
        <f>TAN(Parameters!$C$7*PI()/180)/TAN(C15*PI()/180)*Parameters!$C$9*(1+(D15-Parameters!$C$8)*Parameters!$C$10)</f>
        <v>0.16782603589962378</v>
      </c>
      <c r="G15" s="8">
        <f>F15*Parameters!$C$11</f>
        <v>0.33565207179924755</v>
      </c>
      <c r="H15" s="8">
        <f t="shared" si="2"/>
        <v>0.6555764810458967</v>
      </c>
      <c r="I15" s="2"/>
      <c r="J15" s="2"/>
    </row>
    <row r="16" spans="1:10" ht="23" customHeight="1" x14ac:dyDescent="0.3">
      <c r="A16" s="2"/>
      <c r="B16" s="2" t="s">
        <v>22</v>
      </c>
      <c r="C16" s="9">
        <f>Parameters!C20</f>
        <v>45</v>
      </c>
      <c r="D16" s="9">
        <f>Parameters!G16</f>
        <v>4</v>
      </c>
      <c r="E16" s="2" t="str">
        <f t="shared" si="0"/>
        <v>45° / 4+4</v>
      </c>
      <c r="F16" s="7">
        <f>TAN(Parameters!$C$7*PI()/180)/TAN(C16*PI()/180)*Parameters!$C$9*(1+(D16-Parameters!$C$8)*Parameters!$C$10)</f>
        <v>0.14093777329085042</v>
      </c>
      <c r="G16" s="8">
        <f>F16*Parameters!$C$11</f>
        <v>0.28187554658170083</v>
      </c>
      <c r="H16" s="8">
        <f t="shared" si="2"/>
        <v>0.5505432394036974</v>
      </c>
      <c r="I16" s="2"/>
      <c r="J16" s="2"/>
    </row>
    <row r="17" spans="1:10" ht="23" customHeight="1" x14ac:dyDescent="0.3">
      <c r="A17" s="2"/>
      <c r="B17" s="2" t="s">
        <v>22</v>
      </c>
      <c r="C17" s="9">
        <f>Parameters!C21</f>
        <v>50</v>
      </c>
      <c r="D17" s="9">
        <f>Parameters!G16</f>
        <v>4</v>
      </c>
      <c r="E17" s="2" t="str">
        <f t="shared" si="0"/>
        <v>50° / 4+4</v>
      </c>
      <c r="F17" s="7">
        <f>TAN(Parameters!$C$7*PI()/180)/TAN(C17*PI()/180)*Parameters!$C$9*(1+(D17-Parameters!$C$8)*Parameters!$C$10)</f>
        <v>0.11826083358729966</v>
      </c>
      <c r="G17" s="8">
        <f>F17*Parameters!$C$11</f>
        <v>0.23652166717459933</v>
      </c>
      <c r="H17" s="8">
        <f t="shared" si="2"/>
        <v>0.46196062913078734</v>
      </c>
      <c r="I17" s="2"/>
      <c r="J17" s="2"/>
    </row>
    <row r="18" spans="1:10" ht="23" customHeight="1" x14ac:dyDescent="0.3">
      <c r="A18" s="2"/>
      <c r="B18" s="2" t="s">
        <v>26</v>
      </c>
      <c r="C18" s="9">
        <f>Parameters!C22</f>
        <v>70</v>
      </c>
      <c r="D18" s="9">
        <f>Parameters!G17</f>
        <v>6</v>
      </c>
      <c r="E18" s="2" t="str">
        <f t="shared" si="0"/>
        <v>70° / 6+6</v>
      </c>
      <c r="F18" s="7">
        <f>TAN(Parameters!$C$7*PI()/180)/TAN(C18*PI()/180)*Parameters!$C$9*(1+(D18-Parameters!$C$8)*Parameters!$C$10)</f>
        <v>0.07279669699848643</v>
      </c>
      <c r="G18" s="8">
        <f>F18*Parameters!$C$11</f>
        <v>0.14559339399697285</v>
      </c>
      <c r="H18" s="8">
        <f>G18/$G$18</f>
        <v>1</v>
      </c>
      <c r="I18" s="2"/>
      <c r="J18" s="2"/>
    </row>
    <row r="19" spans="1:10" ht="23" customHeight="1" x14ac:dyDescent="0.3">
      <c r="A19" s="2"/>
      <c r="B19" s="2" t="s">
        <v>26</v>
      </c>
      <c r="C19" s="9">
        <f>Parameters!C22</f>
        <v>70</v>
      </c>
      <c r="D19" s="9">
        <f>Parameters!G16</f>
        <v>4</v>
      </c>
      <c r="E19" s="2" t="str">
        <f t="shared" si="0"/>
        <v>70° / 4+4</v>
      </c>
      <c r="F19" s="7">
        <f>TAN(Parameters!$C$7*PI()/180)/TAN(C19*PI()/180)*Parameters!$C$9*(1+(D19-Parameters!$C$8)*Parameters!$C$10)</f>
        <v>0.051297154361627746</v>
      </c>
      <c r="G19" s="8">
        <f>F19*Parameters!$C$11</f>
        <v>0.10259430872325549</v>
      </c>
      <c r="H19" s="8">
        <f>G19/$G$18</f>
        <v>0.7046632124352332</v>
      </c>
      <c r="I19" s="2"/>
      <c r="J19" s="2"/>
    </row>
    <row r="20" spans="1:10" ht="23" customHeight="1" x14ac:dyDescent="0.3">
      <c r="A20" s="2"/>
      <c r="B20" s="2" t="s">
        <v>26</v>
      </c>
      <c r="C20" s="9">
        <f>Parameters!C23</f>
        <v>85</v>
      </c>
      <c r="D20" s="9">
        <f>Parameters!G17</f>
        <v>6</v>
      </c>
      <c r="E20" s="2" t="str">
        <f t="shared" si="0"/>
        <v>85° / 6+6</v>
      </c>
      <c r="F20" s="7">
        <f>TAN(Parameters!$C$7*PI()/180)/TAN(C20*PI()/180)*Parameters!$C$9*(1+(D20-Parameters!$C$8)*Parameters!$C$10)</f>
        <v>0.01749836972888588</v>
      </c>
      <c r="G20" s="8">
        <f>F20*Parameters!$C$11</f>
        <v>0.03499673945777176</v>
      </c>
      <c r="H20" s="8">
        <f>G20/$G$18</f>
        <v>0.24037312749573927</v>
      </c>
      <c r="I20" s="2"/>
      <c r="J20" s="2"/>
    </row>
    <row r="21" spans="1:10" ht="23" customHeight="1" x14ac:dyDescent="0.3">
      <c r="A21" s="2"/>
      <c r="B21" s="2" t="s">
        <v>26</v>
      </c>
      <c r="C21" s="9">
        <f>Parameters!C23</f>
        <v>85</v>
      </c>
      <c r="D21" s="9">
        <f>Parameters!G16</f>
        <v>4</v>
      </c>
      <c r="E21" s="2" t="str">
        <f t="shared" si="0"/>
        <v>85° / 4+4</v>
      </c>
      <c r="F21" s="7">
        <f>TAN(Parameters!$C$7*PI()/180)/TAN(C21*PI()/180)*Parameters!$C$9*(1+(D21-Parameters!$C$8)*Parameters!$C$10)</f>
        <v>0.012330457425536163</v>
      </c>
      <c r="G21" s="8">
        <f>F21*Parameters!$C$11</f>
        <v>0.024660914851072326</v>
      </c>
      <c r="H21" s="8">
        <f>G21/$G$18</f>
        <v>0.1693821002042515</v>
      </c>
      <c r="I21" s="2"/>
      <c r="J21" s="2"/>
    </row>
    <row r="22" spans="1:10" ht="23" customHeight="1" x14ac:dyDescent="0.3">
      <c r="A22" s="2"/>
      <c r="B22" s="2" t="s">
        <v>40</v>
      </c>
      <c r="C22" s="9">
        <f>Parameters!G8</f>
        <v>40</v>
      </c>
      <c r="D22" s="9">
        <f>Parameters!H8</f>
        <v>4</v>
      </c>
      <c r="E22" s="2" t="str">
        <f t="shared" si="0"/>
        <v>40° / 4+4</v>
      </c>
      <c r="F22" s="7">
        <f>TAN(Parameters!$C$7*PI()/180)/TAN(C22*PI()/180)*Parameters!$C$9*(1+(D22-Parameters!$C$8)*Parameters!$C$10)</f>
        <v>0.16796309765159925</v>
      </c>
      <c r="G22" s="8">
        <f>F22*Parameters!$C$11</f>
        <v>0.3359261953031985</v>
      </c>
      <c r="H22" s="8"/>
      <c r="I22" s="2"/>
      <c r="J22" s="2"/>
    </row>
    <row r="23" spans="1:10" ht="23" customHeight="1" x14ac:dyDescent="0.3">
      <c r="A23" s="2"/>
      <c r="B23" s="2" t="s">
        <v>41</v>
      </c>
      <c r="C23" s="9">
        <f>Parameters!G9</f>
        <v>35</v>
      </c>
      <c r="D23" s="9">
        <f>Parameters!H9</f>
        <v>8</v>
      </c>
      <c r="E23" s="2" t="str">
        <f t="shared" si="0"/>
        <v>35° / 8+8</v>
      </c>
      <c r="F23" s="7">
        <f>TAN(Parameters!$C$7*PI()/180)/TAN(C23*PI()/180)*Parameters!$C$9*(1+(D23-Parameters!$C$8)*Parameters!$C$10)</f>
        <v>0.37</v>
      </c>
      <c r="G23" s="8">
        <f>F23*Parameters!$C$11</f>
        <v>0.74</v>
      </c>
      <c r="H23" s="8"/>
      <c r="I23" s="2"/>
      <c r="J23" s="2"/>
    </row>
    <row r="24" spans="1:10" ht="23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ht="23" customHeight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 ht="23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</row>
  </sheetData>
  <mergeCells count="2">
    <mergeCell ref="B2:I2"/>
    <mergeCell ref="B3:I3"/>
  </mergeCells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Graph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2026-10-03T15:55:46Z</dcterms:modified>
</cp:coreProperties>
</file>