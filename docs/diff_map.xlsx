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8137248d454b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raph" sheetId="1" r:id="R286ba525dd594478"/>
  </x:sheets>
</x:workbook>
</file>

<file path=xl/sharedStrings.xml><?xml version="1.0" encoding="utf-8"?>
<x:sst xmlns:x="http://schemas.openxmlformats.org/spreadsheetml/2006/main">
  <x:si>
    <x:t xml:space="preserve">46/80</x:t>
  </x:si>
  <x:si>
    <x:t xml:space="preserve">38/80</x:t>
  </x:si>
  <x:si>
    <x:t xml:space="preserve">50/80</x:t>
  </x:si>
  <x:si>
    <x:t xml:space="preserve">44/80</x:t>
  </x:si>
  <x:si>
    <x:t xml:space="preserve">  </x:t>
  </x:si>
  <x:si>
    <x:t xml:space="preserve">60/80</x:t>
  </x:si>
  <x:si>
    <x:t xml:space="preserve">Receiver F</x:t>
  </x:si>
  <x:si>
    <x:t xml:space="preserve">Receiver R</x:t>
  </x:si>
  <x:si>
    <x:t xml:space="preserve">Result</x:t>
  </x:si>
  <x:si>
    <x:t xml:space="preserve">46 4+4</x:t>
  </x:si>
  <x:si>
    <x:t xml:space="preserve">38 4+4</x:t>
  </x:si>
  <x:si>
    <x:t xml:space="preserve">46 6+6</x:t>
  </x:si>
  <x:si>
    <x:t xml:space="preserve">38 6+6</x:t>
  </x:si>
  <x:si>
    <x:t xml:space="preserve">50 4+4</x:t>
  </x:si>
  <x:si>
    <x:t xml:space="preserve">44 4+4</x:t>
  </x:si>
  <x:si>
    <x:t xml:space="preserve">50 6+6</x:t>
  </x:si>
  <x:si>
    <x:t xml:space="preserve">44 6+6</x:t>
  </x:si>
  <x:si>
    <x:t xml:space="preserve">60 4+4</x:t>
  </x:si>
  <x:si>
    <x:t xml:space="preserve">60 6+6</x:t>
  </x:si>
  <x:si>
    <x:t xml:space="preserve">72 4+4</x:t>
  </x:si>
  <x:si>
    <x:t xml:space="preserve">80 4+4</x:t>
  </x:si>
  <x:si>
    <x:t xml:space="preserve">72 6+6</x:t>
  </x:si>
  <x:si>
    <x:t xml:space="preserve">80 6+6</x:t>
  </x:si>
  <x:si>
    <x:t xml:space="preserve">Graph Power</x:t>
  </x:si>
  <x:si>
    <x:t xml:space="preserve">Graph Coast</x:t>
  </x:si>
  <x:si>
    <x:t xml:space="preserve">F</x:t>
  </x:si>
  <x:si>
    <x:t xml:space="preserve">R</x:t>
  </x:si>
</x:sst>
</file>

<file path=xl/styles.xml><?xml version="1.0" encoding="utf-8"?>
<x:styleSheet xmlns:x="http://schemas.openxmlformats.org/spreadsheetml/2006/main">
  <x:numFmts count="1">
    <x:numFmt numFmtId="200" formatCode="0.00%"/>
  </x:numFmts>
  <x:fonts count="8">
    <x:font>
      <x:sz val="11"/>
      <x:color theme="1"/>
      <x:name val="Arial"/>
    </x:font>
    <x:font>
      <x:b/>
      <x:sz val="14"/>
      <x:color theme="0"/>
      <x:name val="Arial"/>
    </x:font>
    <x:font>
      <x:b/>
      <x:sz val="14"/>
      <x:name val="Arial"/>
    </x:font>
    <x:font>
      <x:sz val="9"/>
      <x:name val="Arial"/>
    </x:font>
    <x:font>
      <x:sz val="11"/>
      <x:color rgb="FF283C50"/>
      <x:name val="Arial"/>
    </x:font>
    <x:font>
      <x:b/>
      <x:sz val="12"/>
      <x:color rgb="FFFFFFFF"/>
      <x:name val="Arial"/>
    </x:font>
    <x:font>
      <x:b/>
      <x:sz val="11"/>
      <x:color rgb="FF283C50"/>
      <x:name val="Arial"/>
    </x:font>
    <x:font>
      <x:b/>
      <x:sz val="12"/>
      <x:color rgb="FF31475E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theme="3" tint="0.49998"/>
      </x:patternFill>
    </x:fill>
    <x:fill>
      <x:patternFill patternType="solid">
        <x:fgColor rgb="FFFFFFFF"/>
      </x:patternFill>
    </x:fill>
    <x:fill>
      <x:patternFill patternType="solid">
        <x:fgColor rgb="FF31475E"/>
      </x:patternFill>
    </x:fill>
    <x:fill>
      <x:patternFill patternType="solid">
        <x:fgColor rgb="FFE9EEF3"/>
      </x:patternFill>
    </x:fill>
    <x:fill>
      <x:patternFill patternType="solid">
        <x:fgColor rgb="FFFFF2CC"/>
      </x:patternFill>
    </x:fill>
  </x:fills>
  <x:borders count="29">
    <x:border/>
    <x:border>
      <x:left style="thin">
        <x:color theme="4"/>
      </x:left>
      <x:top style="thin">
        <x:color theme="4"/>
      </x:top>
    </x:border>
    <x:border>
      <x:top style="thin">
        <x:color theme="4"/>
      </x:top>
    </x:border>
    <x:border>
      <x:right style="thin">
        <x:color theme="4"/>
      </x:right>
      <x:top style="thin">
        <x:color theme="4"/>
      </x:top>
    </x:border>
    <x:border>
      <x:left style="thin">
        <x:color theme="4"/>
      </x:left>
      <x:top style="thin">
        <x:color theme="4"/>
      </x:top>
      <x:bottom style="thin">
        <x:color theme="4"/>
      </x:bottom>
    </x:border>
    <x:border>
      <x:left style="thin">
        <x:color theme="4"/>
      </x:left>
    </x:border>
    <x:border>
      <x:left style="thin">
        <x:color theme="4"/>
      </x:left>
      <x:bottom style="thin">
        <x:color theme="4"/>
      </x:bottom>
    </x:border>
    <x:border diagonalUp="0" diagonalDown="0">
      <x:left style="none"/>
      <x:top style="none"/>
    </x:border>
    <x:border diagonalUp="0" diagonalDown="0">
      <x:top style="none"/>
    </x:border>
    <x:border diagonalUp="0" diagonalDown="0">
      <x:left style="thin">
        <x:color theme="4"/>
      </x:left>
      <x:top style="none"/>
    </x:border>
    <x:border diagonalUp="0" diagonalDown="0">
      <x:right style="none"/>
      <x:top style="none"/>
    </x:border>
    <x:border diagonalUp="0" diagonalDown="0">
      <x:left style="none"/>
      <x:top style="thin">
        <x:color theme="4"/>
      </x:top>
    </x:border>
    <x:border diagonalUp="0" diagonalDown="0">
      <x:left style="thin">
        <x:color theme="4"/>
      </x:left>
      <x:top style="thin">
        <x:color theme="4"/>
      </x:top>
    </x:border>
    <x:border diagonalUp="0" diagonalDown="0">
      <x:top style="thin">
        <x:color theme="4"/>
      </x:top>
    </x:border>
    <x:border diagonalUp="0" diagonalDown="0">
      <x:right style="thin">
        <x:color theme="4"/>
      </x:right>
      <x:top style="thin">
        <x:color theme="4"/>
      </x:top>
    </x:border>
    <x:border diagonalUp="0" diagonalDown="0"/>
    <x:border diagonalUp="0" diagonalDown="0">
      <x:right style="none"/>
    </x:border>
    <x:border diagonalUp="0" diagonalDown="0">
      <x:left style="thin">
        <x:color theme="4"/>
      </x:left>
      <x:right style="none"/>
      <x:top style="thin">
        <x:color theme="4"/>
      </x:top>
    </x:border>
    <x:border diagonalUp="0" diagonalDown="0">
      <x:left style="none"/>
    </x:border>
    <x:border diagonalUp="0" diagonalDown="0">
      <x:left style="thin">
        <x:color theme="4"/>
      </x:left>
      <x:top style="thin">
        <x:color theme="4"/>
      </x:top>
      <x:bottom style="thin">
        <x:color theme="4"/>
      </x:bottom>
    </x:border>
    <x:border diagonalUp="0" diagonalDown="0">
      <x:left style="thin">
        <x:color theme="4"/>
      </x:left>
    </x:border>
    <x:border diagonalUp="0" diagonalDown="0">
      <x:left style="thin">
        <x:color theme="4"/>
      </x:left>
      <x:bottom style="thin">
        <x:color theme="4"/>
      </x:bottom>
    </x:border>
    <x:border diagonalUp="0" diagonalDown="0">
      <x:left style="none"/>
      <x:top style="thin">
        <x:color theme="4"/>
      </x:top>
      <x:bottom style="none"/>
    </x:border>
    <x:border diagonalUp="0" diagonalDown="0">
      <x:left style="thin">
        <x:color theme="4"/>
      </x:left>
      <x:top style="thin">
        <x:color theme="4"/>
      </x:top>
      <x:bottom style="none"/>
    </x:border>
    <x:border diagonalUp="0" diagonalDown="0">
      <x:bottom style="none"/>
    </x:border>
    <x:border diagonalUp="0" diagonalDown="0">
      <x:right style="none"/>
      <x:bottom style="none"/>
    </x:border>
    <x:border diagonalUp="0" diagonalDown="0">
      <x:left style="none"/>
      <x:top style="thin">
        <x:color theme="4"/>
      </x:top>
      <x:bottom style="thin">
        <x:color rgb="FFDDE4EB"/>
      </x:bottom>
    </x:border>
    <x:border diagonalUp="0" diagonalDown="0">
      <x:left style="thin">
        <x:color theme="4"/>
      </x:left>
      <x:top style="thin">
        <x:color theme="4"/>
      </x:top>
      <x:bottom style="thin">
        <x:color rgb="FFDDE4EB"/>
      </x:bottom>
    </x:border>
    <x:border diagonalUp="0" diagonalDown="0">
      <x:left style="thin">
        <x:color theme="4"/>
      </x:left>
      <x:bottom style="thin">
        <x:color rgb="FFDDE4EB"/>
      </x:bottom>
    </x:border>
  </x:borders>
  <x:cellStyleXfs count="1">
    <x:xf numFmtId="0" fontId="0" fillId="0" borderId="0">
      <x:alignment vertical="center"/>
    </x:xf>
  </x:cellStyleXfs>
  <x:cellXfs count="139">
    <x:xf numFmtId="0" fontId="0" fillId="0" borderId="0" xfId="0">
      <x:alignment vertical="center"/>
    </x:xf>
    <x:xf numFmtId="0" fontId="0" fillId="0" borderId="0" xfId="0" applyAlignment="1">
      <x:alignment vertical="center" wrapText="1"/>
    </x:xf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1" fillId="2" borderId="3" xfId="0" applyFont="1" applyFill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 wrapText="1"/>
    </x:xf>
    <x:xf numFmtId="0" fontId="1" fillId="2" borderId="0" xfId="0" applyFont="1" applyFill="1" applyAlignment="1">
      <x:alignment horizontal="center" vertical="center" wrapText="1"/>
    </x:xf>
    <x:xf numFmtId="0" fontId="2" fillId="0" borderId="4" xfId="0" applyFont="1" applyBorder="1" applyAlignment="1">
      <x:alignment horizontal="center" vertical="center" wrapText="1"/>
    </x:xf>
    <x:xf numFmtId="9" fontId="2" fillId="0" borderId="1" xfId="0" applyNumberFormat="1" applyFont="1" applyBorder="1" applyAlignment="1">
      <x:alignment vertical="center" wrapText="1"/>
    </x:xf>
    <x:xf numFmtId="9" fontId="2" fillId="0" borderId="5" xfId="0" applyNumberFormat="1" applyFont="1" applyBorder="1" applyAlignment="1">
      <x:alignment vertical="center" wrapText="1"/>
    </x:xf>
    <x:xf numFmtId="9" fontId="2" fillId="0" borderId="4" xfId="0" applyNumberFormat="1" applyFont="1" applyBorder="1" applyAlignment="1">
      <x:alignment horizontal="center" vertical="center" wrapText="1"/>
    </x:xf>
    <x:xf numFmtId="0" fontId="1" fillId="2" borderId="1" xfId="0" applyFont="1" applyFill="1" applyBorder="1" applyAlignment="1">
      <x:alignment horizontal="center" vertical="center" wrapText="1"/>
    </x:xf>
    <x:xf numFmtId="0" fontId="1" fillId="2" borderId="2" xfId="0" applyFont="1" applyFill="1" applyBorder="1" applyAlignment="1">
      <x:alignment horizontal="center" vertical="center" wrapText="1"/>
    </x:xf>
    <x:xf numFmtId="0" fontId="2" fillId="0" borderId="1" xfId="0" applyFont="1" applyBorder="1" applyAlignment="1">
      <x:alignment horizontal="center" vertical="center" wrapText="1"/>
    </x:xf>
    <x:xf numFmtId="0" fontId="2" fillId="0" borderId="5" xfId="0" applyFont="1" applyBorder="1" applyAlignment="1">
      <x:alignment horizontal="center" vertical="center" wrapText="1"/>
    </x:xf>
    <x:xf numFmtId="0" fontId="2" fillId="0" borderId="6" xfId="0" applyFont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3" borderId="2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9" fontId="2" fillId="3" borderId="1" xfId="0" applyNumberFormat="1" applyFont="1" applyFill="1" applyBorder="1" applyAlignment="1">
      <x:alignment vertical="center" wrapText="1"/>
    </x:xf>
    <x:xf numFmtId="9" fontId="2" fillId="3" borderId="5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9" fontId="2" fillId="3" borderId="4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3" borderId="4" xfId="0" applyNumberFormat="1" applyFont="1" applyFill="1" applyBorder="1" applyAlignment="1">
      <x:alignment horizontal="center" vertical="center" wrapText="1"/>
    </x:xf>
    <x:xf numFmtId="9" fontId="4" fillId="3" borderId="1" xfId="0" applyNumberFormat="1" applyFont="1" applyFill="1" applyBorder="1" applyAlignment="1">
      <x:alignment vertical="center" wrapText="1"/>
    </x:xf>
    <x:xf numFmtId="9" fontId="4" fillId="3" borderId="5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horizontal="center" vertical="center" wrapText="1"/>
    </x:xf>
    <x:xf numFmtId="0" fontId="4" fillId="3" borderId="6" xfId="0" applyNumberFormat="1" applyFont="1" applyFill="1" applyBorder="1" applyAlignment="1">
      <x:alignment horizontal="center" vertical="center" wrapText="1"/>
    </x:xf>
    <x:xf numFmtId="9" fontId="4" fillId="3" borderId="4" xfId="0" applyNumberFormat="1" applyFont="1" applyFill="1" applyBorder="1" applyAlignment="1">
      <x:alignment horizontal="center" vertical="center" wrapText="1"/>
    </x:xf>
    <x:xf numFmtId="0" fontId="4" fillId="3" borderId="7" xfId="0" applyNumberFormat="1" applyFont="1" applyFill="1" applyBorder="1" applyAlignment="1">
      <x:alignment horizontal="center" vertical="center" wrapText="1"/>
    </x:xf>
    <x:xf numFmtId="0" fontId="4" fillId="3" borderId="8" xfId="0" applyNumberFormat="1" applyFont="1" applyFill="1" applyBorder="1" applyAlignment="1">
      <x:alignment horizontal="center" vertical="center" wrapText="1"/>
    </x:xf>
    <x:xf numFmtId="0" fontId="4" fillId="3" borderId="8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 wrapText="1"/>
    </x:xf>
    <x:xf numFmtId="0" fontId="4" fillId="3" borderId="10" xfId="0" applyNumberFormat="1" applyFont="1" applyFill="1" applyBorder="1" applyAlignment="1">
      <x:alignment vertical="center"/>
    </x:xf>
    <x:xf numFmtId="0" fontId="4" fillId="3" borderId="11" xfId="0" applyNumberFormat="1" applyFont="1" applyFill="1" applyBorder="1" applyAlignment="1">
      <x:alignment horizontal="center" vertical="center" wrapText="1"/>
    </x:xf>
    <x:xf numFmtId="0" fontId="4" fillId="3" borderId="12" xfId="0" applyNumberFormat="1" applyFont="1" applyFill="1" applyBorder="1" applyAlignment="1">
      <x:alignment horizontal="center" vertical="center" wrapText="1"/>
    </x:xf>
    <x:xf numFmtId="0" fontId="4" fillId="3" borderId="13" xfId="0" applyNumberFormat="1" applyFont="1" applyFill="1" applyBorder="1" applyAlignment="1">
      <x:alignment horizontal="center" vertical="center" wrapText="1"/>
    </x:xf>
    <x:xf numFmtId="0" fontId="4" fillId="3" borderId="14" xfId="0" applyNumberFormat="1" applyFont="1" applyFill="1" applyBorder="1" applyAlignment="1">
      <x:alignment horizontal="center" vertical="center" wrapText="1"/>
    </x:xf>
    <x:xf numFmtId="0" fontId="4" fillId="3" borderId="15" xfId="0" applyNumberFormat="1" applyFont="1" applyFill="1" applyBorder="1" applyAlignment="1">
      <x:alignment vertical="center"/>
    </x:xf>
    <x:xf numFmtId="0" fontId="4" fillId="3" borderId="16" xfId="0" applyNumberFormat="1" applyFont="1" applyFill="1" applyBorder="1" applyAlignment="1">
      <x:alignment vertical="center"/>
    </x:xf>
    <x:xf numFmtId="0" fontId="4" fillId="3" borderId="17" xfId="0" applyNumberFormat="1" applyFont="1" applyFill="1" applyBorder="1" applyAlignment="1">
      <x:alignment horizontal="center" vertical="center" wrapText="1"/>
    </x:xf>
    <x:xf numFmtId="0" fontId="4" fillId="3" borderId="18" xfId="0" applyNumberFormat="1" applyFont="1" applyFill="1" applyBorder="1" applyAlignment="1">
      <x:alignment vertical="center"/>
    </x:xf>
    <x:xf numFmtId="0" fontId="4" fillId="3" borderId="15" xfId="0" applyNumberFormat="1" applyFont="1" applyFill="1" applyBorder="1" applyAlignment="1">
      <x:alignment horizontal="center" vertical="center" wrapText="1"/>
    </x:xf>
    <x:xf numFmtId="0" fontId="4" fillId="3" borderId="19" xfId="0" applyNumberFormat="1" applyFont="1" applyFill="1" applyBorder="1" applyAlignment="1">
      <x:alignment horizontal="center" vertical="center" wrapText="1"/>
    </x:xf>
    <x:xf numFmtId="9" fontId="4" fillId="3" borderId="12" xfId="0" applyNumberFormat="1" applyFont="1" applyFill="1" applyBorder="1" applyAlignment="1">
      <x:alignment vertical="center" wrapText="1"/>
    </x:xf>
    <x:xf numFmtId="9" fontId="4" fillId="3" borderId="20" xfId="0" applyNumberFormat="1" applyFont="1" applyFill="1" applyBorder="1" applyAlignment="1">
      <x:alignment vertical="center" wrapText="1"/>
    </x:xf>
    <x:xf numFmtId="0" fontId="4" fillId="3" borderId="20" xfId="0" applyNumberFormat="1" applyFont="1" applyFill="1" applyBorder="1" applyAlignment="1">
      <x:alignment horizontal="center"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9" fontId="4" fillId="3" borderId="19" xfId="0" applyNumberFormat="1" applyFont="1" applyFill="1" applyBorder="1" applyAlignment="1">
      <x:alignment horizontal="center" vertical="center" wrapText="1"/>
    </x:xf>
    <x:xf numFmtId="0" fontId="4" fillId="3" borderId="22" xfId="0" applyNumberFormat="1" applyFont="1" applyFill="1" applyBorder="1" applyAlignment="1">
      <x:alignment horizontal="center" vertical="center" wrapText="1"/>
    </x:xf>
    <x:xf numFmtId="0" fontId="4" fillId="3" borderId="23" xfId="0" applyNumberFormat="1" applyFont="1" applyFill="1" applyBorder="1" applyAlignment="1">
      <x:alignment horizontal="center" vertical="center" wrapText="1"/>
    </x:xf>
    <x:xf numFmtId="0" fontId="4" fillId="3" borderId="24" xfId="0" applyNumberFormat="1" applyFont="1" applyFill="1" applyBorder="1" applyAlignment="1">
      <x:alignment vertical="center"/>
    </x:xf>
    <x:xf numFmtId="0" fontId="4" fillId="3" borderId="25" xfId="0" applyNumberFormat="1" applyFont="1" applyFill="1" applyBorder="1" applyAlignment="1">
      <x:alignment vertical="center"/>
    </x:xf>
    <x:xf numFmtId="0" fontId="4" fillId="3" borderId="7" xfId="0" applyNumberFormat="1" applyFont="1" applyFill="1" applyBorder="1" applyAlignment="1">
      <x:alignment horizontal="center" vertical="center" wrapText="0"/>
    </x:xf>
    <x:xf numFmtId="0" fontId="4" fillId="3" borderId="8" xfId="0" applyNumberFormat="1" applyFont="1" applyFill="1" applyBorder="1" applyAlignment="1">
      <x:alignment horizontal="center" vertical="center" wrapText="0"/>
    </x:xf>
    <x:xf numFmtId="0" fontId="4" fillId="3" borderId="8" xfId="0" applyNumberFormat="1" applyFont="1" applyFill="1" applyBorder="1" applyAlignment="1">
      <x:alignment vertical="center" wrapText="0"/>
    </x:xf>
    <x:xf numFmtId="0" fontId="4" fillId="3" borderId="9" xfId="0" applyNumberFormat="1" applyFont="1" applyFill="1" applyBorder="1" applyAlignment="1">
      <x:alignment horizontal="center" vertical="center" wrapText="0"/>
    </x:xf>
    <x:xf numFmtId="0" fontId="4" fillId="3" borderId="10" xfId="0" applyNumberFormat="1" applyFont="1" applyFill="1" applyBorder="1" applyAlignment="1">
      <x:alignment vertical="center" wrapText="0"/>
    </x:xf>
    <x:xf numFmtId="0" fontId="4" fillId="3" borderId="11" xfId="0" applyNumberFormat="1" applyFont="1" applyFill="1" applyBorder="1" applyAlignment="1">
      <x:alignment horizontal="center" vertical="center" wrapText="0"/>
    </x:xf>
    <x:xf numFmtId="0" fontId="4" fillId="3" borderId="12" xfId="0" applyNumberFormat="1" applyFont="1" applyFill="1" applyBorder="1" applyAlignment="1">
      <x:alignment horizontal="center" vertical="center" wrapText="0"/>
    </x:xf>
    <x:xf numFmtId="0" fontId="4" fillId="3" borderId="13" xfId="0" applyNumberFormat="1" applyFont="1" applyFill="1" applyBorder="1" applyAlignment="1">
      <x:alignment horizontal="center" vertical="center" wrapText="0"/>
    </x:xf>
    <x:xf numFmtId="0" fontId="4" fillId="3" borderId="14" xfId="0" applyNumberFormat="1" applyFont="1" applyFill="1" applyBorder="1" applyAlignment="1">
      <x:alignment horizontal="center" vertical="center" wrapText="0"/>
    </x:xf>
    <x:xf numFmtId="0" fontId="4" fillId="3" borderId="15" xfId="0" applyNumberFormat="1" applyFont="1" applyFill="1" applyBorder="1" applyAlignment="1">
      <x:alignment vertical="center" wrapText="0"/>
    </x:xf>
    <x:xf numFmtId="0" fontId="4" fillId="3" borderId="16" xfId="0" applyNumberFormat="1" applyFont="1" applyFill="1" applyBorder="1" applyAlignment="1">
      <x:alignment vertical="center" wrapText="0"/>
    </x:xf>
    <x:xf numFmtId="0" fontId="4" fillId="3" borderId="17" xfId="0" applyNumberFormat="1" applyFont="1" applyFill="1" applyBorder="1" applyAlignment="1">
      <x:alignment horizontal="center" vertical="center" wrapText="0"/>
    </x:xf>
    <x:xf numFmtId="0" fontId="4" fillId="3" borderId="18" xfId="0" applyNumberFormat="1" applyFont="1" applyFill="1" applyBorder="1" applyAlignment="1">
      <x:alignment vertical="center" wrapText="0"/>
    </x:xf>
    <x:xf numFmtId="0" fontId="4" fillId="3" borderId="15" xfId="0" applyNumberFormat="1" applyFont="1" applyFill="1" applyBorder="1" applyAlignment="1">
      <x:alignment horizontal="center" vertical="center" wrapText="0"/>
    </x:xf>
    <x:xf numFmtId="0" fontId="4" fillId="3" borderId="19" xfId="0" applyNumberFormat="1" applyFont="1" applyFill="1" applyBorder="1" applyAlignment="1">
      <x:alignment horizontal="center" vertical="center" wrapText="0"/>
    </x:xf>
    <x:xf numFmtId="9" fontId="4" fillId="3" borderId="12" xfId="0" applyNumberFormat="1" applyFont="1" applyFill="1" applyBorder="1" applyAlignment="1">
      <x:alignment vertical="center" wrapText="0"/>
    </x:xf>
    <x:xf numFmtId="9" fontId="4" fillId="3" borderId="20" xfId="0" applyNumberFormat="1" applyFont="1" applyFill="1" applyBorder="1" applyAlignment="1">
      <x:alignment vertical="center" wrapText="0"/>
    </x:xf>
    <x:xf numFmtId="0" fontId="4" fillId="3" borderId="20" xfId="0" applyNumberFormat="1" applyFont="1" applyFill="1" applyBorder="1" applyAlignment="1">
      <x:alignment horizontal="center" vertical="center" wrapText="0"/>
    </x:xf>
    <x:xf numFmtId="0" fontId="4" fillId="3" borderId="21" xfId="0" applyNumberFormat="1" applyFont="1" applyFill="1" applyBorder="1" applyAlignment="1">
      <x:alignment horizontal="center" vertical="center" wrapText="0"/>
    </x:xf>
    <x:xf numFmtId="9" fontId="4" fillId="3" borderId="19" xfId="0" applyNumberFormat="1" applyFont="1" applyFill="1" applyBorder="1" applyAlignment="1">
      <x:alignment horizontal="center" vertical="center" wrapText="0"/>
    </x:xf>
    <x:xf numFmtId="0" fontId="4" fillId="3" borderId="22" xfId="0" applyNumberFormat="1" applyFont="1" applyFill="1" applyBorder="1" applyAlignment="1">
      <x:alignment horizontal="center" vertical="center" wrapText="0"/>
    </x:xf>
    <x:xf numFmtId="0" fontId="4" fillId="3" borderId="23" xfId="0" applyNumberFormat="1" applyFont="1" applyFill="1" applyBorder="1" applyAlignment="1">
      <x:alignment horizontal="center" vertical="center" wrapText="0"/>
    </x:xf>
    <x:xf numFmtId="0" fontId="4" fillId="3" borderId="24" xfId="0" applyNumberFormat="1" applyFont="1" applyFill="1" applyBorder="1" applyAlignment="1">
      <x:alignment vertical="center" wrapText="0"/>
    </x:xf>
    <x:xf numFmtId="0" fontId="4" fillId="3" borderId="25" xfId="0" applyNumberFormat="1" applyFont="1" applyFill="1" applyBorder="1" applyAlignment="1">
      <x:alignment vertical="center" wrapText="0"/>
    </x:xf>
    <x:xf numFmtId="0" fontId="4" fillId="4" borderId="7" xfId="0" applyNumberFormat="1" applyFont="1" applyFill="1" applyBorder="1" applyAlignment="1">
      <x:alignment horizontal="center" vertical="center" wrapText="0"/>
    </x:xf>
    <x:xf numFmtId="0" fontId="4" fillId="4" borderId="8" xfId="0" applyNumberFormat="1" applyFont="1" applyFill="1" applyBorder="1" applyAlignment="1">
      <x:alignment horizontal="center" vertical="center" wrapText="0"/>
    </x:xf>
    <x:xf numFmtId="0" fontId="5" fillId="4" borderId="7" xfId="0" applyNumberFormat="1" applyFont="1" applyFill="1" applyBorder="1" applyAlignment="1">
      <x:alignment horizontal="center" vertical="center" wrapText="0"/>
    </x:xf>
    <x:xf numFmtId="0" fontId="5" fillId="4" borderId="8" xfId="0" applyNumberFormat="1" applyFont="1" applyFill="1" applyBorder="1" applyAlignment="1">
      <x:alignment horizontal="center" vertical="center" wrapText="0"/>
    </x:xf>
    <x:xf numFmtId="0" fontId="5" fillId="4" borderId="7" xfId="0" applyNumberFormat="1" applyFont="1" applyFill="1" applyBorder="1" applyAlignment="1">
      <x:alignment horizontal="left" vertical="center" wrapText="0"/>
    </x:xf>
    <x:xf numFmtId="0" fontId="5" fillId="4" borderId="8" xfId="0" applyNumberFormat="1" applyFont="1" applyFill="1" applyBorder="1" applyAlignment="1">
      <x:alignment horizontal="left" vertical="center" wrapText="0"/>
    </x:xf>
    <x:xf numFmtId="0" fontId="4" fillId="4" borderId="9" xfId="0" applyNumberFormat="1" applyFont="1" applyFill="1" applyBorder="1" applyAlignment="1">
      <x:alignment horizontal="center" vertical="center" wrapText="0"/>
    </x:xf>
    <x:xf numFmtId="0" fontId="5" fillId="4" borderId="9" xfId="0" applyNumberFormat="1" applyFont="1" applyFill="1" applyBorder="1" applyAlignment="1">
      <x:alignment horizontal="center" vertical="center" wrapText="0"/>
    </x:xf>
    <x:xf numFmtId="0" fontId="5" fillId="4" borderId="9" xfId="0" applyNumberFormat="1" applyFont="1" applyFill="1" applyBorder="1" applyAlignment="1">
      <x:alignment horizontal="left" vertical="center" wrapText="0"/>
    </x:xf>
    <x:xf numFmtId="0" fontId="4" fillId="4" borderId="11" xfId="0" applyNumberFormat="1" applyFont="1" applyFill="1" applyBorder="1" applyAlignment="1">
      <x:alignment horizontal="center" vertical="center" wrapText="0"/>
    </x:xf>
    <x:xf numFmtId="0" fontId="4" fillId="4" borderId="13" xfId="0" applyNumberFormat="1" applyFont="1" applyFill="1" applyBorder="1" applyAlignment="1">
      <x:alignment horizontal="center" vertical="center" wrapText="0"/>
    </x:xf>
    <x:xf numFmtId="0" fontId="5" fillId="4" borderId="11" xfId="0" applyNumberFormat="1" applyFont="1" applyFill="1" applyBorder="1" applyAlignment="1">
      <x:alignment horizontal="center" vertical="center" wrapText="0"/>
    </x:xf>
    <x:xf numFmtId="0" fontId="5" fillId="4" borderId="13" xfId="0" applyNumberFormat="1" applyFont="1" applyFill="1" applyBorder="1" applyAlignment="1">
      <x:alignment horizontal="center" vertical="center" wrapText="0"/>
    </x:xf>
    <x:xf numFmtId="0" fontId="5" fillId="4" borderId="11" xfId="0" applyNumberFormat="1" applyFont="1" applyFill="1" applyBorder="1" applyAlignment="1">
      <x:alignment horizontal="left" vertical="center" wrapText="0"/>
    </x:xf>
    <x:xf numFmtId="0" fontId="5" fillId="4" borderId="13" xfId="0" applyNumberFormat="1" applyFont="1" applyFill="1" applyBorder="1" applyAlignment="1">
      <x:alignment horizontal="left" vertical="center" wrapText="0"/>
    </x:xf>
    <x:xf numFmtId="0" fontId="4" fillId="4" borderId="12" xfId="0" applyNumberFormat="1" applyFont="1" applyFill="1" applyBorder="1" applyAlignment="1">
      <x:alignment horizontal="center" vertical="center" wrapText="0"/>
    </x:xf>
    <x:xf numFmtId="0" fontId="5" fillId="4" borderId="12" xfId="0" applyNumberFormat="1" applyFont="1" applyFill="1" applyBorder="1" applyAlignment="1">
      <x:alignment horizontal="center" vertical="center" wrapText="0"/>
    </x:xf>
    <x:xf numFmtId="0" fontId="5" fillId="4" borderId="12" xfId="0" applyNumberFormat="1" applyFont="1" applyFill="1" applyBorder="1" applyAlignment="1">
      <x:alignment horizontal="left" vertical="center" wrapText="0"/>
    </x:xf>
    <x:xf numFmtId="0" fontId="4" fillId="5" borderId="11" xfId="0" applyNumberFormat="1" applyFont="1" applyFill="1" applyBorder="1" applyAlignment="1">
      <x:alignment horizontal="center" vertical="center" wrapText="0"/>
    </x:xf>
    <x:xf numFmtId="0" fontId="4" fillId="5" borderId="12" xfId="0" applyNumberFormat="1" applyFont="1" applyFill="1" applyBorder="1" applyAlignment="1">
      <x:alignment horizontal="center" vertical="center" wrapText="0"/>
    </x:xf>
    <x:xf numFmtId="0" fontId="4" fillId="5" borderId="13" xfId="0" applyNumberFormat="1" applyFont="1" applyFill="1" applyBorder="1" applyAlignment="1">
      <x:alignment horizontal="center" vertical="center" wrapText="0"/>
    </x:xf>
    <x:xf numFmtId="0" fontId="4" fillId="5" borderId="14" xfId="0" applyNumberFormat="1" applyFont="1" applyFill="1" applyBorder="1" applyAlignment="1">
      <x:alignment horizontal="center" vertical="center" wrapText="0"/>
    </x:xf>
    <x:xf numFmtId="0" fontId="6" fillId="5" borderId="11" xfId="0" applyNumberFormat="1" applyFont="1" applyFill="1" applyBorder="1" applyAlignment="1">
      <x:alignment horizontal="center" vertical="center" wrapText="0"/>
    </x:xf>
    <x:xf numFmtId="0" fontId="6" fillId="5" borderId="12" xfId="0" applyNumberFormat="1" applyFont="1" applyFill="1" applyBorder="1" applyAlignment="1">
      <x:alignment horizontal="center" vertical="center" wrapText="0"/>
    </x:xf>
    <x:xf numFmtId="0" fontId="6" fillId="5" borderId="13" xfId="0" applyNumberFormat="1" applyFont="1" applyFill="1" applyBorder="1" applyAlignment="1">
      <x:alignment horizontal="center" vertical="center" wrapText="0"/>
    </x:xf>
    <x:xf numFmtId="0" fontId="6" fillId="5" borderId="14" xfId="0" applyNumberFormat="1" applyFont="1" applyFill="1" applyBorder="1" applyAlignment="1">
      <x:alignment horizontal="center" vertical="center" wrapText="0"/>
    </x:xf>
    <x:xf numFmtId="0" fontId="4" fillId="5" borderId="15" xfId="0" applyNumberFormat="1" applyFont="1" applyFill="1" applyBorder="1" applyAlignment="1">
      <x:alignment vertical="center" wrapText="0"/>
    </x:xf>
    <x:xf numFmtId="0" fontId="6" fillId="5" borderId="15" xfId="0" applyNumberFormat="1" applyFont="1" applyFill="1" applyBorder="1" applyAlignment="1">
      <x:alignment vertical="center" wrapText="0"/>
    </x:xf>
    <x:xf numFmtId="0" fontId="6" fillId="5" borderId="15" xfId="0" applyNumberFormat="1" applyFont="1" applyFill="1" applyBorder="1" applyAlignment="1">
      <x:alignment horizontal="center" vertical="center" wrapText="0"/>
    </x:xf>
    <x:xf numFmtId="0" fontId="4" fillId="5" borderId="15" xfId="0" applyNumberFormat="1" applyFont="1" applyFill="1" applyBorder="1" applyAlignment="1">
      <x:alignment horizontal="center" vertical="center" wrapText="0"/>
    </x:xf>
    <x:xf numFmtId="200" fontId="4" fillId="3" borderId="12" xfId="0" applyNumberFormat="1" applyFont="1" applyFill="1" applyBorder="1" applyAlignment="1">
      <x:alignment horizontal="center" vertical="center" wrapText="0"/>
    </x:xf>
    <x:xf numFmtId="200" fontId="4" fillId="3" borderId="12" xfId="0" applyNumberFormat="1" applyFont="1" applyFill="1" applyBorder="1" applyAlignment="1">
      <x:alignment horizontal="right" vertical="center" wrapText="0"/>
    </x:xf>
    <x:xf numFmtId="200" fontId="4" fillId="3" borderId="19" xfId="0" applyNumberFormat="1" applyFont="1" applyFill="1" applyBorder="1" applyAlignment="1">
      <x:alignment horizontal="center" vertical="center" wrapText="0"/>
    </x:xf>
    <x:xf numFmtId="200" fontId="4" fillId="3" borderId="19" xfId="0" applyNumberFormat="1" applyFont="1" applyFill="1" applyBorder="1" applyAlignment="1">
      <x:alignment horizontal="right" vertical="center" wrapText="0"/>
    </x:xf>
    <x:xf numFmtId="200" fontId="4" fillId="3" borderId="12" xfId="0" applyNumberFormat="1" applyFont="1" applyFill="1" applyBorder="1" applyAlignment="1">
      <x:alignment vertical="center" wrapText="0"/>
    </x:xf>
    <x:xf numFmtId="200" fontId="4" fillId="3" borderId="20" xfId="0" applyNumberFormat="1" applyFont="1" applyFill="1" applyBorder="1" applyAlignment="1">
      <x:alignment vertical="center" wrapText="0"/>
    </x:xf>
    <x:xf numFmtId="200" fontId="4" fillId="3" borderId="20" xfId="0" applyNumberFormat="1" applyFont="1" applyFill="1" applyBorder="1" applyAlignment="1">
      <x:alignment horizontal="right" vertical="center" wrapText="0"/>
    </x:xf>
    <x:xf numFmtId="200" fontId="4" fillId="3" borderId="17" xfId="0" applyNumberFormat="1" applyFont="1" applyFill="1" applyBorder="1" applyAlignment="1">
      <x:alignment horizontal="center" vertical="center" wrapText="0"/>
    </x:xf>
    <x:xf numFmtId="200" fontId="4" fillId="3" borderId="17" xfId="0" applyNumberFormat="1" applyFont="1" applyFill="1" applyBorder="1" applyAlignment="1">
      <x:alignment horizontal="right" vertical="center" wrapText="0"/>
    </x:xf>
    <x:xf numFmtId="0" fontId="4" fillId="6" borderId="11" xfId="0" applyNumberFormat="1" applyFont="1" applyFill="1" applyBorder="1" applyAlignment="1">
      <x:alignment horizontal="center" vertical="center" wrapText="0"/>
    </x:xf>
    <x:xf numFmtId="0" fontId="4" fillId="6" borderId="12" xfId="0" applyNumberFormat="1" applyFont="1" applyFill="1" applyBorder="1" applyAlignment="1">
      <x:alignment horizontal="center" vertical="center" wrapText="0"/>
    </x:xf>
    <x:xf numFmtId="0" fontId="4" fillId="3" borderId="11" xfId="0" applyNumberFormat="1" applyFont="1" applyFill="1" applyBorder="1" applyAlignment="1">
      <x:alignment horizontal="left" vertical="center" wrapText="0"/>
    </x:xf>
    <x:xf numFmtId="0" fontId="4" fillId="3" borderId="12" xfId="0" applyNumberFormat="1" applyFont="1" applyFill="1" applyBorder="1" applyAlignment="1">
      <x:alignment horizontal="left" vertical="center" wrapText="0"/>
    </x:xf>
    <x:xf numFmtId="0" fontId="4" fillId="3" borderId="26" xfId="0" applyNumberFormat="1" applyFont="1" applyFill="1" applyBorder="1" applyAlignment="1">
      <x:alignment horizontal="left" vertical="center" wrapText="0"/>
    </x:xf>
    <x:xf numFmtId="200" fontId="4" fillId="3" borderId="27" xfId="0" applyNumberFormat="1" applyFont="1" applyFill="1" applyBorder="1" applyAlignment="1">
      <x:alignment horizontal="right" vertical="center" wrapText="0"/>
    </x:xf>
    <x:xf numFmtId="0" fontId="4" fillId="3" borderId="27" xfId="0" applyNumberFormat="1" applyFont="1" applyFill="1" applyBorder="1" applyAlignment="1">
      <x:alignment horizontal="left" vertical="center" wrapText="0"/>
    </x:xf>
    <x:xf numFmtId="200" fontId="4" fillId="3" borderId="28" xfId="0" applyNumberFormat="1" applyFont="1" applyFill="1" applyBorder="1" applyAlignment="1">
      <x:alignment horizontal="right" vertical="center" wrapText="0"/>
    </x:xf>
    <x:xf numFmtId="0" fontId="4" fillId="5" borderId="20" xfId="0" applyNumberFormat="1" applyFont="1" applyFill="1" applyBorder="1" applyAlignment="1">
      <x:alignment horizontal="center" vertical="center" wrapText="0"/>
    </x:xf>
    <x:xf numFmtId="0" fontId="4" fillId="5" borderId="21" xfId="0" applyNumberFormat="1" applyFont="1" applyFill="1" applyBorder="1" applyAlignment="1">
      <x:alignment horizontal="center" vertical="center" wrapText="0"/>
    </x:xf>
    <x:xf numFmtId="0" fontId="7" fillId="5" borderId="12" xfId="0" applyNumberFormat="1" applyFont="1" applyFill="1" applyBorder="1" applyAlignment="1">
      <x:alignment horizontal="center" vertical="center" wrapText="0"/>
    </x:xf>
    <x:xf numFmtId="0" fontId="7" fillId="5" borderId="20" xfId="0" applyNumberFormat="1" applyFont="1" applyFill="1" applyBorder="1" applyAlignment="1">
      <x:alignment horizontal="center" vertical="center" wrapText="0"/>
    </x:xf>
    <x:xf numFmtId="0" fontId="7" fillId="5" borderId="21" xfId="0" applyNumberFormat="1" applyFont="1" applyFill="1" applyBorder="1" applyAlignment="1">
      <x:alignment horizontal="center" vertical="center" wrapText="0"/>
    </x:xf>
  </x:cellXfs>
  <x:cellStyles count="1"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f7fc6e7aa847c6" /><Relationship Type="http://schemas.openxmlformats.org/officeDocument/2006/relationships/theme" Target="/xl/theme/theme1.xml" Id="Rac382c10c9fd4a15" /><Relationship Type="http://schemas.openxmlformats.org/officeDocument/2006/relationships/sharedStrings" Target="/xl/sharedStrings.xml" Id="R3d459d59f2bc448e" /><Relationship Type="http://schemas.openxmlformats.org/officeDocument/2006/relationships/worksheet" Target="/xl/worksheets/sheet1.xml" Id="R286ba525dd59447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0acf680e5f4717" /><Relationship Type="http://schemas.openxmlformats.org/officeDocument/2006/relationships/chart" Target="/xl/drawings/charts/chart2.xml" Id="Rf20a904696bd4fe3" /><Relationship Type="http://schemas.openxmlformats.org/officeDocument/2006/relationships/chart" Target="/xl/drawings/charts/chart3.xml" Id="R802e400f5ec44b7e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rPr>
              <a:t>Front power · relative to 46° / 6+6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50" b="0" i="0" u="none" spc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 xmlns:a="http://schemas.openxmlformats.org/drawingml/2006/main">
              <a:srgbClr val="31475E"/>
            </a:solidFill>
            <a:ln xmlns:a="http://schemas.openxmlformats.org/drawingml/2006/main">
              <a:noFill/>
            </a:ln>
          </c:spPr>
          <c:cat>
            <c:strRef>
              <c:f>Graph!$A$29:$A$34</c:f>
              <c:strCache>
                <c:ptCount val="6"/>
                <c:pt idx="0">
                  <c:v>46 6+6</c:v>
                </c:pt>
                <c:pt idx="1">
                  <c:v>50 6+6</c:v>
                </c:pt>
                <c:pt idx="2">
                  <c:v>46 4+4</c:v>
                </c:pt>
                <c:pt idx="3">
                  <c:v>50 4+4</c:v>
                </c:pt>
                <c:pt idx="4">
                  <c:v>60 6+6</c:v>
                </c:pt>
                <c:pt idx="5">
                  <c:v>60 4+4</c:v>
                </c:pt>
              </c:strCache>
            </c:strRef>
          </c:cat>
          <c:val>
            <c:numRef>
              <c:f>Graph!$C$29:$C$34</c:f>
              <c:numCache>
                <c:formatCode>0%</c:formatCode>
                <c:ptCount val="6"/>
                <c:pt idx="0">
                  <c:v>1</c:v>
                </c:pt>
                <c:pt idx="1">
                  <c:v>0.8689131043745598</c:v>
                </c:pt>
                <c:pt idx="2">
                  <c:v>0.766345916604984</c:v>
                </c:pt>
                <c:pt idx="3">
                  <c:v>0.6658880094220041</c:v>
                </c:pt>
                <c:pt idx="4">
                  <c:v>0.597863705421003</c:v>
                </c:pt>
                <c:pt idx="5">
                  <c:v>0.4581704093357107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776080"/>
        <c:axId val="1546776560"/>
      </c:barChart>
      <c:catAx>
        <c:axId val="15467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546776560"/>
        <c:crosses val="autoZero"/>
        <c:lblOffset val="100"/>
      </c:catAx>
      <c:valAx>
        <c:axId val="1546776560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xmlns:a="http://schemas.openxmlformats.org/drawingml/2006/main">
            <a:solidFill>
              <a:schemeClr val="accent1"/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546776080"/>
        <c:crosses val="autoZero"/>
        <c:crossBetween val="between"/>
        <c:majorUnit val="0.2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rPr>
              <a:t>Rear power · relative to 38° / 6+6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50" b="0" i="0" u="none" spc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 xmlns:a="http://schemas.openxmlformats.org/drawingml/2006/main">
              <a:srgbClr val="477E9A"/>
            </a:solidFill>
            <a:ln xmlns:a="http://schemas.openxmlformats.org/drawingml/2006/main">
              <a:noFill/>
            </a:ln>
          </c:spPr>
          <c:cat>
            <c:strRef>
              <c:f>Graph!$A$35:$A$40</c:f>
              <c:strCache>
                <c:ptCount val="6"/>
                <c:pt idx="0">
                  <c:v>38 6+6</c:v>
                </c:pt>
                <c:pt idx="1">
                  <c:v>44 6+6</c:v>
                </c:pt>
                <c:pt idx="2">
                  <c:v>38 4+4</c:v>
                </c:pt>
                <c:pt idx="3">
                  <c:v>50 6+6</c:v>
                </c:pt>
                <c:pt idx="4">
                  <c:v>44 4+4</c:v>
                </c:pt>
                <c:pt idx="5">
                  <c:v>50 4+4</c:v>
                </c:pt>
              </c:strCache>
            </c:strRef>
          </c:cat>
          <c:val>
            <c:numRef>
              <c:f>Graph!$C$35:$C$40</c:f>
              <c:numCache>
                <c:formatCode>0%</c:formatCode>
                <c:ptCount val="6"/>
                <c:pt idx="0">
                  <c:v>1</c:v>
                </c:pt>
                <c:pt idx="1">
                  <c:v>0.8090449499765626</c:v>
                </c:pt>
                <c:pt idx="2">
                  <c:v>0.766345916604984</c:v>
                </c:pt>
                <c:pt idx="3">
                  <c:v>0.6555764810458966</c:v>
                </c:pt>
                <c:pt idx="4">
                  <c:v>0.6200082937644115</c:v>
                </c:pt>
                <c:pt idx="5">
                  <c:v>0.5023983592717874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892976"/>
        <c:axId val="1458893936"/>
      </c:barChart>
      <c:catAx>
        <c:axId val="145889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458893936"/>
        <c:crosses val="autoZero"/>
        <c:lblOffset val="100"/>
      </c:catAx>
      <c:valAx>
        <c:axId val="1458893936"/>
        <c:scaling>
          <c:orientation val="minMax"/>
          <c:max val="1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458892976"/>
        <c:crosses val="autoZero"/>
        <c:crossBetween val="between"/>
        <c:majorUnit val="0.2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rPr>
              <a:t>Coast · relative to first listed value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50" b="0" i="0" u="none" spc="0">
              <a:solidFill>
                <a:schemeClr val="tx1">
                  <a:lumMod val="65000"/>
                  <a:lumOff val="35000"/>
                </a:schemeClr>
              </a:solidFill>
              <a:latin typeface="Arial"/>
              <a:ea typeface="Arial"/>
              <a:cs typeface="Arial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 xmlns:a="http://schemas.openxmlformats.org/drawingml/2006/main">
              <a:srgbClr val="BA7A42"/>
            </a:solidFill>
            <a:ln xmlns:a="http://schemas.openxmlformats.org/drawingml/2006/main">
              <a:noFill/>
            </a:ln>
          </c:spPr>
          <c:cat>
            <c:strRef>
              <c:f>Graph!$F$29:$F$32</c:f>
              <c:strCache>
                <c:ptCount val="4"/>
                <c:pt idx="0">
                  <c:v>72 4+4</c:v>
                </c:pt>
                <c:pt idx="1">
                  <c:v>72 6+6</c:v>
                </c:pt>
                <c:pt idx="2">
                  <c:v>80 4+4</c:v>
                </c:pt>
                <c:pt idx="3">
                  <c:v>80 6+6</c:v>
                </c:pt>
              </c:strCache>
            </c:strRef>
          </c:cat>
          <c:val>
            <c:numRef>
              <c:f>Graph!$H$29:$H$32</c:f>
              <c:numCache>
                <c:formatCode>0%</c:formatCode>
                <c:ptCount val="4"/>
                <c:pt idx="0">
                  <c:v>1</c:v>
                </c:pt>
                <c:pt idx="1">
                  <c:v>0.766345916604984</c:v>
                </c:pt>
                <c:pt idx="2">
                  <c:v>0.5426786456862613</c:v>
                </c:pt>
                <c:pt idx="3">
                  <c:v>0.41587956415038935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625632"/>
        <c:axId val="1702627552"/>
      </c:barChart>
      <c:catAx>
        <c:axId val="1702625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702627552"/>
        <c:crosses val="autoZero"/>
        <c:lblOffset val="100"/>
      </c:catAx>
      <c:valAx>
        <c:axId val="1702627552"/>
        <c:scaling>
          <c:orientation val="minMax"/>
          <c:max val="1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25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Arial"/>
                <a:ea typeface="Arial"/>
                <a:cs typeface="Arial"/>
              </a:defRPr>
            </a:pPr>
          </a:p>
        </c:txPr>
        <c:crossAx val="1702625632"/>
        <c:crosses val="autoZero"/>
        <c:crossBetween val="between"/>
        <c:majorUnit val="0.2"/>
      </c:valAx>
      <c:spPr>
        <a:noFill xmlns:a="http://schemas.openxmlformats.org/drawingml/2006/main"/>
        <a:ln xmlns:a="http://schemas.openxmlformats.org/drawingml/2006/main">
          <a:noFill/>
        </a:ln>
      </c:spPr>
    </c:plotArea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73666</xdr:colOff>
      <xdr:row>0</xdr:row>
      <xdr:rowOff>120776</xdr:rowOff>
    </xdr:from>
    <xdr:to>
      <xdr:col>15</xdr:col>
      <xdr:colOff>530866</xdr:colOff>
      <xdr:row>13</xdr:row>
      <xdr:rowOff>143484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0acf680e5f4717"/>
        </a:graphicData>
      </a:graphic>
    </xdr:graphicFrame>
    <xdr:clientData/>
  </xdr:twoCellAnchor>
  <xdr:twoCellAnchor>
    <xdr:from>
      <xdr:col>10</xdr:col>
      <xdr:colOff>68330</xdr:colOff>
      <xdr:row>14</xdr:row>
      <xdr:rowOff>184810</xdr:rowOff>
    </xdr:from>
    <xdr:to>
      <xdr:col>15</xdr:col>
      <xdr:colOff>525530</xdr:colOff>
      <xdr:row>27</xdr:row>
      <xdr:rowOff>4569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0a904696bd4fe3"/>
        </a:graphicData>
      </a:graphic>
    </xdr:graphicFrame>
    <xdr:clientData/>
  </xdr:twoCellAnchor>
  <xdr:twoCellAnchor>
    <xdr:from>
      <xdr:col>10</xdr:col>
      <xdr:colOff>66158</xdr:colOff>
      <xdr:row>28</xdr:row>
      <xdr:rowOff>28340</xdr:rowOff>
    </xdr:from>
    <xdr:to>
      <xdr:col>15</xdr:col>
      <xdr:colOff>517540</xdr:colOff>
      <xdr:row>41</xdr:row>
      <xdr:rowOff>78828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2e400f5ec44b7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004e0695ad4f27" /></Relationships>
</file>

<file path=xl/worksheets/sheet1.xml><?xml version="1.0" encoding="utf-8"?>
<x:worksheet xmlns:x="http://schemas.openxmlformats.org/spreadsheetml/2006/main">
  <x:sheetPr>
    <x:tabColor rgb="FF31475E"/>
  </x:sheetPr>
  <x:sheetViews>
    <x:sheetView showGridLines="0" workbookViewId="0"/>
  </x:sheetViews>
  <x:sheetFormatPr defaultRowHeight="14"/>
  <x:cols>
    <x:col min="1" max="4" width="12.58203125" customWidth="1"/>
    <x:col min="5" max="5" width="3" style="1" hidden="0" customWidth="1"/>
    <x:col min="6" max="9" width="12.58203125" customWidth="1"/>
    <x:col min="17" max="17" width="16" hidden="0" customWidth="1"/>
    <x:col min="1" max="1" width="15" hidden="0" customWidth="1"/>
    <x:col min="6" max="6" width="15" hidden="0" customWidth="1"/>
    <x:col min="2" max="2" width="11" hidden="0" customWidth="1"/>
    <x:col min="3" max="3" width="11" hidden="0" customWidth="1"/>
    <x:col min="4" max="4" width="11" hidden="0" customWidth="1"/>
    <x:col min="7" max="7" width="11" hidden="0" customWidth="1"/>
    <x:col min="8" max="8" width="11" hidden="0" customWidth="1"/>
    <x:col min="9" max="9" width="11" hidden="0" customWidth="1"/>
    <x:col min="10" max="10" width="3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8" customHeight="1">
      <x:c r="A1" s="91" t="s">
        <x:v>0</x:v>
      </x:c>
      <x:c r="B1" s="92"/>
      <x:c r="C1" s="92"/>
      <x:c r="D1" s="92"/>
      <x:c r="E1" s="65"/>
      <x:c r="F1" s="95" t="s">
        <x:v>1</x:v>
      </x:c>
      <x:c r="G1" s="92"/>
      <x:c r="H1" s="92"/>
      <x:c r="I1" s="92"/>
      <x:c r="J1" s="65"/>
      <x:c r="K1" s="65"/>
      <x:c r="L1" s="65"/>
      <x:c r="M1" s="65"/>
      <x:c r="N1" s="65"/>
      <x:c r="O1" s="65"/>
      <x:c r="P1" s="65"/>
      <x:c r="Q1" s="67"/>
    </x:row>
    <x:row r="2" ht="22" customHeight="1">
      <x:c r="A2" s="109"/>
      <x:c r="B2" s="110">
        <x:v>46</x:v>
      </x:c>
      <x:c r="C2" s="111">
        <x:v>80</x:v>
      </x:c>
      <x:c r="D2" s="112">
        <x:v>72</x:v>
      </x:c>
      <x:c r="E2" s="72"/>
      <x:c r="F2" s="110"/>
      <x:c r="G2" s="110">
        <x:v>38</x:v>
      </x:c>
      <x:c r="H2" s="112">
        <x:v>80</x:v>
      </x:c>
      <x:c r="I2" s="115"/>
      <x:c r="J2" s="72"/>
      <x:c r="K2" s="72"/>
      <x:c r="L2" s="72"/>
      <x:c r="M2" s="72"/>
      <x:c r="N2" s="72"/>
      <x:c r="O2" s="72"/>
      <x:c r="P2" s="72"/>
      <x:c r="Q2" s="73"/>
    </x:row>
    <x:row r="3" ht="22" customHeight="1">
      <x:c r="A3" s="126">
        <x:v>4</x:v>
      </x:c>
      <x:c r="B3" s="118" t="n">
        <x:f t="shared" ref="B3:B4" si="0">(1/TAN(46*PI()/180))/(1/TAN(35*PI()/180))*0.325*(1+(A3-8)*0.0947)*2</x:f>
        <x:v>0.2730289939493719</x:v>
      </x:c>
      <x:c r="C3" s="118" t="n">
        <x:f>(1/TAN(80*PI()/180))/(1/TAN(35*PI()/180))*0.325*(1+(A3-8)*0.0947)*2</x:f>
        <x:v>0.049852891951219426</x:v>
      </x:c>
      <x:c r="D3" s="118" t="n">
        <x:f t="shared" ref="D3:D8" si="1">(1/TAN(72*PI()/180))/(1/TAN(35*PI()/180))*0.325*(1+(A3-8)*0.0947)*2</x:f>
        <x:v>0.09186448065996107</x:v>
      </x:c>
      <x:c r="E3" s="72"/>
      <x:c r="F3" s="127">
        <x:v>4</x:v>
      </x:c>
      <x:c r="G3" s="118" t="n">
        <x:f t="shared" ref="G3:G4" si="2">(1/TAN(38*PI()/180))/(1/TAN(35*PI()/180))*0.325*(1+(F3-8)*0.0947)*2</x:f>
        <x:v>0.361877641397881</x:v>
      </x:c>
      <x:c r="H3" s="118" t="n">
        <x:f>(1/TAN(80*PI()/180))/(1/TAN(35*PI()/180))*0.325*(1+(F3-8)*0.0947)*2</x:f>
        <x:v>0.049852891951219426</x:v>
      </x:c>
      <x:c r="I3" s="72"/>
      <x:c r="J3" s="72"/>
      <x:c r="K3" s="72"/>
      <x:c r="L3" s="72"/>
      <x:c r="M3" s="72"/>
      <x:c r="N3" s="72"/>
      <x:c r="O3" s="72"/>
      <x:c r="P3" s="72"/>
      <x:c r="Q3" s="73"/>
    </x:row>
    <x:row r="4" ht="22" customHeight="1">
      <x:c r="A4" s="126">
        <x:v>6</x:v>
      </x:c>
      <x:c r="B4" s="118">
        <x:f t="shared" si="0"/>
        <x:v>0.35627382887211989</x:v>
      </x:c>
      <x:c r="C4" s="118" t="n">
        <x:f>(1/TAN(80*PI()/180))/(1/TAN(35*PI()/180))*0.325*(1+(A4-8)*0.0947)*2</x:f>
        <x:v>0.06505272732720294</x:v>
      </x:c>
      <x:c r="D4" s="118">
        <x:f t="shared" si="1"/>
        <x:v>0.1198733870298848</x:v>
      </x:c>
      <x:c r="E4" s="72"/>
      <x:c r="F4" s="127">
        <x:v>6</x:v>
      </x:c>
      <x:c r="G4" s="118">
        <x:f t="shared" si="2"/>
        <x:v>0.4722118739812014</x:v>
      </x:c>
      <x:c r="H4" s="118" t="n">
        <x:f>(1/TAN(80*PI()/180))/(1/TAN(35*PI()/180))*0.325*(1+(F4-8)*0.0947)*2</x:f>
        <x:v>0.06505272732720294</x:v>
      </x:c>
      <x:c r="I4" s="72"/>
      <x:c r="J4" s="72"/>
      <x:c r="K4" s="72"/>
      <x:c r="L4" s="72"/>
      <x:c r="M4" s="72"/>
      <x:c r="N4" s="72"/>
      <x:c r="O4" s="72"/>
      <x:c r="P4" s="72"/>
      <x:c r="Q4" s="73"/>
    </x:row>
    <x:row r="5" ht="28" customHeight="1">
      <x:c r="A5" s="100" t="s">
        <x:v>2</x:v>
      </x:c>
      <x:c r="B5" s="101"/>
      <x:c r="C5" s="101"/>
      <x:c r="D5" s="101"/>
      <x:c r="E5" s="72"/>
      <x:c r="F5" s="104" t="s">
        <x:v>3</x:v>
      </x:c>
      <x:c r="G5" s="101"/>
      <x:c r="H5" s="101"/>
      <x:c r="I5" s="101"/>
      <x:c r="J5" s="72"/>
      <x:c r="K5" s="72"/>
      <x:c r="L5" s="72"/>
      <x:c r="M5" s="72"/>
      <x:c r="N5" s="72"/>
      <x:c r="O5" s="72"/>
      <x:c r="P5" s="72"/>
      <x:c r="Q5" s="125" t="n">
        <x:f>(1/TAN(40*PI()/180))/(1/TAN(35*PI()/180))*0.325*(1+(4-8)*0.0947)*2</x:f>
        <x:v>0.3369442546192505</x:v>
      </x:c>
    </x:row>
    <x:row r="6" ht="22" customHeight="1">
      <x:c r="A6" s="109"/>
      <x:c r="B6" s="110">
        <x:v>50</x:v>
      </x:c>
      <x:c r="C6" s="111">
        <x:v>80</x:v>
      </x:c>
      <x:c r="D6" s="112">
        <x:v>72</x:v>
      </x:c>
      <x:c r="E6" s="72"/>
      <x:c r="F6" s="110"/>
      <x:c r="G6" s="110">
        <x:v>44</x:v>
      </x:c>
      <x:c r="H6" s="112">
        <x:v>80</x:v>
      </x:c>
      <x:c r="I6" s="115"/>
      <x:c r="J6" s="72"/>
      <x:c r="K6" s="72"/>
      <x:c r="L6" s="72"/>
      <x:c r="M6" s="72"/>
      <x:c r="N6" s="72"/>
      <x:c r="O6" s="72"/>
      <x:c r="P6" s="72"/>
      <x:c r="Q6" s="125" t="n">
        <x:f>(1/TAN(35*PI()/180))/(1/TAN(35*PI()/180))*0.325*(1+(8-8)*0.0947)*2</x:f>
        <x:v>0.65</x:v>
      </x:c>
    </x:row>
    <x:row r="7" ht="22" customHeight="1">
      <x:c r="A7" s="126">
        <x:v>4</x:v>
      </x:c>
      <x:c r="B7" s="118" t="n">
        <x:f t="shared" ref="B7:B8" si="3">(1/TAN(50*PI()/180))/(1/TAN(35*PI()/180))*0.325*(1+(A7-8)*0.0947)*2</x:f>
        <x:v>0.23723847071681164</x:v>
      </x:c>
      <x:c r="C7" s="118" t="n">
        <x:f>(1/TAN(80*PI()/180))/(1/TAN(35*PI()/180))*0.325*(1+(A7-8)*0.0947)*2</x:f>
        <x:v>0.049852891951219426</x:v>
      </x:c>
      <x:c r="D7" s="118" t="s">
        <x:v>4</x:v>
      </x:c>
      <x:c r="E7" s="72"/>
      <x:c r="F7" s="127">
        <x:v>4</x:v>
      </x:c>
      <x:c r="G7" s="118" t="n">
        <x:f t="shared" ref="G7:G8" si="4">(1/TAN(44*PI()/180))/(1/TAN(35*PI()/180))*0.325*(1+(F7-8)*0.0947)*2</x:f>
        <x:v>0.2927752782823851</x:v>
      </x:c>
      <x:c r="H7" s="118" t="n">
        <x:f>(1/TAN(80*PI()/180))/(1/TAN(35*PI()/180))*0.325*(1+(F7-8)*0.0947)*2</x:f>
        <x:v>0.049852891951219426</x:v>
      </x:c>
      <x:c r="I7" s="72"/>
      <x:c r="J7" s="72"/>
      <x:c r="K7" s="72"/>
      <x:c r="L7" s="72"/>
      <x:c r="M7" s="72"/>
      <x:c r="N7" s="72"/>
      <x:c r="O7" s="72"/>
      <x:c r="P7" s="72"/>
      <x:c r="Q7" s="73"/>
    </x:row>
    <x:row r="8" ht="22" customHeight="1">
      <x:c r="A8" s="126">
        <x:v>6</x:v>
      </x:c>
      <x:c r="B8" s="118">
        <x:f t="shared" si="3"/>
        <x:v>0.30957099865268439</x:v>
      </x:c>
      <x:c r="C8" s="118" t="n">
        <x:f>(1/TAN(80*PI()/180))/(1/TAN(35*PI()/180))*0.325*(1+(A8-8)*0.0947)*2</x:f>
        <x:v>0.06505272732720294</x:v>
      </x:c>
      <x:c r="D8" s="118">
        <x:f t="shared" si="1"/>
        <x:v>0.1198733870298848</x:v>
      </x:c>
      <x:c r="E8" s="72"/>
      <x:c r="F8" s="127">
        <x:v>6</x:v>
      </x:c>
      <x:c r="G8" s="118">
        <x:f t="shared" si="4"/>
        <x:v>0.38204063196346</x:v>
      </x:c>
      <x:c r="H8" s="118" t="n">
        <x:f>(1/TAN(80*PI()/180))/(1/TAN(35*PI()/180))*0.325*(1+(F8-8)*0.0947)*2</x:f>
        <x:v>0.06505272732720294</x:v>
      </x:c>
      <x:c r="I8" s="72"/>
      <x:c r="J8" s="72"/>
      <x:c r="K8" s="72"/>
      <x:c r="L8" s="72"/>
      <x:c r="M8" s="72"/>
      <x:c r="N8" s="72"/>
      <x:c r="O8" s="72"/>
      <x:c r="P8" s="72"/>
      <x:c r="Q8" s="73"/>
    </x:row>
    <x:row r="9" ht="28" customHeight="1">
      <x:c r="A9" s="100" t="s">
        <x:v>5</x:v>
      </x:c>
      <x:c r="B9" s="101"/>
      <x:c r="C9" s="101"/>
      <x:c r="D9" s="101"/>
      <x:c r="E9" s="72"/>
      <x:c r="F9" s="104" t="s">
        <x:v>2</x:v>
      </x:c>
      <x:c r="G9" s="101"/>
      <x:c r="H9" s="101"/>
      <x:c r="I9" s="101"/>
      <x:c r="J9" s="72"/>
      <x:c r="K9" s="72"/>
      <x:c r="L9" s="72"/>
      <x:c r="M9" s="72"/>
      <x:c r="N9" s="72"/>
      <x:c r="O9" s="72"/>
      <x:c r="P9" s="72"/>
      <x:c r="Q9" s="73"/>
    </x:row>
    <x:row r="10" ht="22" customHeight="1">
      <x:c r="A10" s="109"/>
      <x:c r="B10" s="110">
        <x:v>60</x:v>
      </x:c>
      <x:c r="C10" s="112">
        <x:v>80</x:v>
      </x:c>
      <x:c r="D10" s="115"/>
      <x:c r="E10" s="72"/>
      <x:c r="F10" s="110"/>
      <x:c r="G10" s="110">
        <x:v>50</x:v>
      </x:c>
      <x:c r="H10" s="112">
        <x:v>80</x:v>
      </x:c>
      <x:c r="I10" s="115"/>
      <x:c r="J10" s="72"/>
      <x:c r="K10" s="72"/>
      <x:c r="L10" s="72"/>
      <x:c r="M10" s="72"/>
      <x:c r="N10" s="72"/>
      <x:c r="O10" s="72"/>
      <x:c r="P10" s="72"/>
      <x:c r="Q10" s="73"/>
    </x:row>
    <x:row r="11" ht="22" customHeight="1">
      <x:c r="A11" s="126">
        <x:v>4</x:v>
      </x:c>
      <x:c r="B11" s="118" t="n">
        <x:f t="shared" ref="B11:B12" si="5">(1/TAN(60*PI()/180))/(1/TAN(35*PI()/180))*0.325*(1+(A11-8)*0.0947)*2</x:f>
        <x:v>0.1632341260099401</x:v>
      </x:c>
      <x:c r="C11" s="118" t="n">
        <x:f>(1/TAN(80*PI()/180))/(1/TAN(35*PI()/180))*0.325*(1+(A11-8)*0.0947)*2</x:f>
        <x:v>0.049852891951219426</x:v>
      </x:c>
      <x:c r="D11" s="69"/>
      <x:c r="E11" s="72"/>
      <x:c r="F11" s="127">
        <x:v>4</x:v>
      </x:c>
      <x:c r="G11" s="118" t="n">
        <x:f t="shared" ref="G11:G12" si="6">(1/TAN(50*PI()/180))/(1/TAN(35*PI()/180))*0.325*(1+(F11-8)*0.0947)*2</x:f>
        <x:v>0.23723847071681164</x:v>
      </x:c>
      <x:c r="H11" s="118" t="n">
        <x:f>(1/TAN(80*PI()/180))/(1/TAN(35*PI()/180))*0.325*(1+(F11-8)*0.0947)*2</x:f>
        <x:v>0.049852891951219426</x:v>
      </x:c>
      <x:c r="I11" s="72"/>
      <x:c r="J11" s="72"/>
      <x:c r="K11" s="72"/>
      <x:c r="L11" s="72"/>
      <x:c r="M11" s="72"/>
      <x:c r="N11" s="72"/>
      <x:c r="O11" s="72"/>
      <x:c r="P11" s="72"/>
      <x:c r="Q11" s="73"/>
    </x:row>
    <x:row r="12" ht="22" customHeight="1">
      <x:c r="A12" s="126">
        <x:v>6</x:v>
      </x:c>
      <x:c r="B12" s="118">
        <x:f t="shared" si="5"/>
        <x:v>0.21300319147401392</x:v>
      </x:c>
      <x:c r="C12" s="118" t="n">
        <x:f>(1/TAN(80*PI()/180))/(1/TAN(35*PI()/180))*0.325*(1+(A12-8)*0.0947)*2</x:f>
        <x:v>0.06505272732720294</x:v>
      </x:c>
      <x:c r="D12" s="69"/>
      <x:c r="E12" s="72"/>
      <x:c r="F12" s="127">
        <x:v>6</x:v>
      </x:c>
      <x:c r="G12" s="118">
        <x:f t="shared" si="6"/>
        <x:v>0.30957099865268439</x:v>
      </x:c>
      <x:c r="H12" s="118" t="n">
        <x:f>(1/TAN(80*PI()/180))/(1/TAN(35*PI()/180))*0.325*(1+(F12-8)*0.0947)*2</x:f>
        <x:v>0.06505272732720294</x:v>
      </x:c>
      <x:c r="I12" s="72"/>
      <x:c r="J12" s="72"/>
      <x:c r="K12" s="72"/>
      <x:c r="L12" s="72"/>
      <x:c r="M12" s="72"/>
      <x:c r="N12" s="72"/>
      <x:c r="O12" s="72"/>
      <x:c r="P12" s="72"/>
      <x:c r="Q12" s="73"/>
    </x:row>
    <x:row r="13" ht="12" customHeight="1">
      <x:c r="A13" s="75"/>
      <x:c r="B13" s="72"/>
      <x:c r="C13" s="72"/>
      <x:c r="D13" s="72"/>
      <x:c r="E13" s="72"/>
      <x:c r="F13" s="72"/>
      <x:c r="G13" s="72"/>
      <x:c r="H13" s="72"/>
      <x:c r="I13" s="72"/>
      <x:c r="J13" s="72"/>
      <x:c r="K13" s="72"/>
      <x:c r="L13" s="72"/>
      <x:c r="M13" s="72"/>
      <x:c r="N13" s="72"/>
      <x:c r="O13" s="72"/>
      <x:c r="P13" s="72"/>
      <x:c r="Q13" s="73"/>
    </x:row>
    <x:row r="14" ht="28" customHeight="1">
      <x:c r="A14" s="100" t="s">
        <x:v>6</x:v>
      </x:c>
      <x:c r="B14" s="101"/>
      <x:c r="C14" s="101"/>
      <x:c r="D14" s="101"/>
      <x:c r="E14" s="72"/>
      <x:c r="F14" s="104" t="s">
        <x:v>7</x:v>
      </x:c>
      <x:c r="G14" s="101"/>
      <x:c r="H14" s="101"/>
      <x:c r="I14" s="101"/>
      <x:c r="J14" s="72"/>
      <x:c r="K14" s="72"/>
      <x:c r="L14" s="72"/>
      <x:c r="M14" s="72"/>
      <x:c r="N14" s="72"/>
      <x:c r="O14" s="72"/>
      <x:c r="P14" s="72"/>
      <x:c r="Q14" s="73"/>
    </x:row>
    <x:row r="15" ht="22" customHeight="1">
      <x:c r="A15" s="109"/>
      <x:c r="B15" s="111" t="s">
        <x:v>8</x:v>
      </x:c>
      <x:c r="C15" s="70"/>
      <x:c r="D15" s="76"/>
      <x:c r="E15" s="72"/>
      <x:c r="F15" s="110"/>
      <x:c r="G15" s="111" t="s">
        <x:v>8</x:v>
      </x:c>
      <x:c r="H15" s="70"/>
      <x:c r="I15" s="76"/>
      <x:c r="J15" s="72"/>
      <x:c r="K15" s="72"/>
      <x:c r="L15" s="72"/>
      <x:c r="M15" s="72"/>
      <x:c r="N15" s="72"/>
      <x:c r="O15" s="72"/>
      <x:c r="P15" s="72"/>
      <x:c r="Q15" s="73"/>
    </x:row>
    <x:row r="16" ht="22" customHeight="1">
      <x:c r="A16" s="128" t="s">
        <x:v>9</x:v>
      </x:c>
      <x:c r="B16" s="120" t="n">
        <x:f t="shared" ref="B16:B17" si="7">B3</x:f>
        <x:v>0.2730289939493719</x:v>
      </x:c>
      <x:c r="C16" s="77"/>
      <x:c r="D16" s="72"/>
      <x:c r="E16" s="72"/>
      <x:c r="F16" s="129" t="s">
        <x:v>10</x:v>
      </x:c>
      <x:c r="G16" s="120" t="n">
        <x:f t="shared" ref="G16:G17" si="8">G3</x:f>
        <x:v>0.361877641397881</x:v>
      </x:c>
      <x:c r="H16" s="77"/>
      <x:c r="I16" s="72"/>
      <x:c r="J16" s="72"/>
      <x:c r="K16" s="72"/>
      <x:c r="L16" s="72"/>
      <x:c r="M16" s="72"/>
      <x:c r="N16" s="72"/>
      <x:c r="O16" s="72"/>
      <x:c r="P16" s="72"/>
      <x:c r="Q16" s="73"/>
    </x:row>
    <x:row r="17" ht="22" customHeight="1">
      <x:c r="A17" s="128" t="s">
        <x:v>11</x:v>
      </x:c>
      <x:c r="B17" s="120">
        <x:f t="shared" si="7"/>
        <x:v>0.35627382887211989</x:v>
      </x:c>
      <x:c r="C17" s="77"/>
      <x:c r="D17" s="72"/>
      <x:c r="E17" s="72"/>
      <x:c r="F17" s="129" t="s">
        <x:v>12</x:v>
      </x:c>
      <x:c r="G17" s="120">
        <x:f t="shared" si="8"/>
        <x:v>0.4722118739812014</x:v>
      </x:c>
      <x:c r="H17" s="77"/>
      <x:c r="I17" s="72"/>
      <x:c r="J17" s="72"/>
      <x:c r="K17" s="72"/>
      <x:c r="L17" s="72"/>
      <x:c r="M17" s="72"/>
      <x:c r="N17" s="72"/>
      <x:c r="O17" s="72"/>
      <x:c r="P17" s="72"/>
      <x:c r="Q17" s="73"/>
    </x:row>
    <x:row r="18" ht="22" customHeight="1">
      <x:c r="A18" s="128" t="s">
        <x:v>13</x:v>
      </x:c>
      <x:c r="B18" s="120" t="n">
        <x:f t="shared" ref="B18:B19" si="9">B7</x:f>
        <x:v>0.23723847071681164</x:v>
      </x:c>
      <x:c r="C18" s="77"/>
      <x:c r="D18" s="72"/>
      <x:c r="E18" s="72"/>
      <x:c r="F18" s="129" t="s">
        <x:v>14</x:v>
      </x:c>
      <x:c r="G18" s="120" t="n">
        <x:f t="shared" ref="G18:G19" si="10">G7</x:f>
        <x:v>0.2927752782823851</x:v>
      </x:c>
      <x:c r="H18" s="77"/>
      <x:c r="I18" s="72"/>
      <x:c r="J18" s="72"/>
      <x:c r="K18" s="72"/>
      <x:c r="L18" s="72"/>
      <x:c r="M18" s="72"/>
      <x:c r="N18" s="72"/>
      <x:c r="O18" s="72"/>
      <x:c r="P18" s="72"/>
      <x:c r="Q18" s="73"/>
    </x:row>
    <x:row r="19" ht="22" customHeight="1">
      <x:c r="A19" s="128" t="s">
        <x:v>15</x:v>
      </x:c>
      <x:c r="B19" s="120">
        <x:f t="shared" si="9"/>
        <x:v>0.30957099865268439</x:v>
      </x:c>
      <x:c r="C19" s="77"/>
      <x:c r="D19" s="72"/>
      <x:c r="E19" s="72"/>
      <x:c r="F19" s="129" t="s">
        <x:v>16</x:v>
      </x:c>
      <x:c r="G19" s="120">
        <x:f t="shared" si="10"/>
        <x:v>0.38204063196346</x:v>
      </x:c>
      <x:c r="H19" s="77"/>
      <x:c r="I19" s="72"/>
      <x:c r="J19" s="72"/>
      <x:c r="K19" s="72"/>
      <x:c r="L19" s="72"/>
      <x:c r="M19" s="72"/>
      <x:c r="N19" s="72"/>
      <x:c r="O19" s="72"/>
      <x:c r="P19" s="72"/>
      <x:c r="Q19" s="73"/>
    </x:row>
    <x:row r="20" ht="22" customHeight="1">
      <x:c r="A20" s="128" t="s">
        <x:v>17</x:v>
      </x:c>
      <x:c r="B20" s="120" t="n">
        <x:f t="shared" ref="B20:B21" si="11">B11</x:f>
        <x:v>0.1632341260099401</x:v>
      </x:c>
      <x:c r="C20" s="77"/>
      <x:c r="D20" s="72"/>
      <x:c r="E20" s="72"/>
      <x:c r="F20" s="129" t="s">
        <x:v>13</x:v>
      </x:c>
      <x:c r="G20" s="120" t="n">
        <x:f t="shared" ref="G20:G21" si="12">G11</x:f>
        <x:v>0.23723847071681164</x:v>
      </x:c>
      <x:c r="H20" s="77"/>
      <x:c r="I20" s="72"/>
      <x:c r="J20" s="72"/>
      <x:c r="K20" s="72"/>
      <x:c r="L20" s="72"/>
      <x:c r="M20" s="72"/>
      <x:c r="N20" s="72"/>
      <x:c r="O20" s="72"/>
      <x:c r="P20" s="72"/>
      <x:c r="Q20" s="73"/>
    </x:row>
    <x:row r="21" ht="22" customHeight="1">
      <x:c r="A21" s="128" t="s">
        <x:v>18</x:v>
      </x:c>
      <x:c r="B21" s="120">
        <x:f t="shared" si="11"/>
        <x:v>0.21300319147401392</x:v>
      </x:c>
      <x:c r="C21" s="77"/>
      <x:c r="D21" s="72"/>
      <x:c r="E21" s="72"/>
      <x:c r="F21" s="129" t="s">
        <x:v>15</x:v>
      </x:c>
      <x:c r="G21" s="120">
        <x:f t="shared" si="12"/>
        <x:v>0.30957099865268439</x:v>
      </x:c>
      <x:c r="H21" s="77"/>
      <x:c r="I21" s="72"/>
      <x:c r="J21" s="72"/>
      <x:c r="K21" s="72"/>
      <x:c r="L21" s="72"/>
      <x:c r="M21" s="72"/>
      <x:c r="N21" s="72"/>
      <x:c r="O21" s="72"/>
      <x:c r="P21" s="72"/>
      <x:c r="Q21" s="73"/>
    </x:row>
    <x:row r="22" ht="22" customHeight="1">
      <x:c r="A22" s="128" t="s">
        <x:v>19</x:v>
      </x:c>
      <x:c r="B22" s="120" t="n">
        <x:f t="shared" ref="B22:B23" si="13">D3</x:f>
        <x:v>0.09186448065996107</x:v>
      </x:c>
      <x:c r="C22" s="77"/>
      <x:c r="D22" s="72"/>
      <x:c r="E22" s="72"/>
      <x:c r="F22" s="129" t="s">
        <x:v>20</x:v>
      </x:c>
      <x:c r="G22" s="120" t="n">
        <x:f t="shared" ref="G22:G23" si="14">H3</x:f>
        <x:v>0.049852891951219426</x:v>
      </x:c>
      <x:c r="H22" s="77"/>
      <x:c r="I22" s="72"/>
      <x:c r="J22" s="72"/>
      <x:c r="K22" s="72"/>
      <x:c r="L22" s="72"/>
      <x:c r="M22" s="72"/>
      <x:c r="N22" s="72"/>
      <x:c r="O22" s="72"/>
      <x:c r="P22" s="72"/>
      <x:c r="Q22" s="73"/>
    </x:row>
    <x:row r="23" ht="22" customHeight="1">
      <x:c r="A23" s="128" t="s">
        <x:v>21</x:v>
      </x:c>
      <x:c r="B23" s="120">
        <x:f t="shared" si="13"/>
        <x:v>0.1198733870298848</x:v>
      </x:c>
      <x:c r="C23" s="77"/>
      <x:c r="D23" s="72"/>
      <x:c r="E23" s="72"/>
      <x:c r="F23" s="132" t="s">
        <x:v>22</x:v>
      </x:c>
      <x:c r="G23" s="131">
        <x:f t="shared" si="14"/>
        <x:v>6.5052727327202936E-2</x:v>
      </x:c>
      <x:c r="H23" s="77"/>
      <x:c r="I23" s="72"/>
      <x:c r="J23" s="72"/>
      <x:c r="K23" s="72"/>
      <x:c r="L23" s="72"/>
      <x:c r="M23" s="72"/>
      <x:c r="N23" s="72"/>
      <x:c r="O23" s="72"/>
      <x:c r="P23" s="72"/>
      <x:c r="Q23" s="73"/>
    </x:row>
    <x:row r="24" ht="22" customHeight="1">
      <x:c r="A24" s="128" t="s">
        <x:v>20</x:v>
      </x:c>
      <x:c r="B24" s="120" t="n">
        <x:f t="shared" ref="B24:B25" si="15">C3</x:f>
        <x:v>0.049852891951219426</x:v>
      </x:c>
      <x:c r="C24" s="77"/>
      <x:c r="D24" s="72"/>
      <x:c r="E24" s="72"/>
      <x:c r="F24" s="72"/>
      <x:c r="G24" s="72"/>
      <x:c r="H24" s="77"/>
      <x:c r="I24" s="72"/>
      <x:c r="J24" s="72"/>
      <x:c r="K24" s="72"/>
      <x:c r="L24" s="72"/>
      <x:c r="M24" s="72"/>
      <x:c r="N24" s="72"/>
      <x:c r="O24" s="72"/>
      <x:c r="P24" s="72"/>
      <x:c r="Q24" s="73"/>
    </x:row>
    <x:row r="25" ht="22" customHeight="1">
      <x:c r="A25" s="130" t="s">
        <x:v>22</x:v>
      </x:c>
      <x:c r="B25" s="131">
        <x:f t="shared" si="15"/>
        <x:v>6.5052727327202936E-2</x:v>
      </x:c>
      <x:c r="C25" s="77"/>
      <x:c r="D25" s="72"/>
      <x:c r="E25" s="72"/>
      <x:c r="F25" s="72"/>
      <x:c r="G25" s="72"/>
      <x:c r="H25" s="77"/>
      <x:c r="I25" s="72"/>
      <x:c r="J25" s="72"/>
      <x:c r="K25" s="72"/>
      <x:c r="L25" s="72"/>
      <x:c r="M25" s="72"/>
      <x:c r="N25" s="72"/>
      <x:c r="O25" s="72"/>
      <x:c r="P25" s="72"/>
      <x:c r="Q25" s="73"/>
    </x:row>
    <x:row r="26" ht="12" customHeight="1">
      <x:c r="A26" s="75"/>
      <x:c r="B26" s="72"/>
      <x:c r="C26" s="72"/>
      <x:c r="D26" s="72"/>
      <x:c r="E26" s="72"/>
      <x:c r="F26" s="72"/>
      <x:c r="G26" s="72"/>
      <x:c r="H26" s="72"/>
      <x:c r="I26" s="72"/>
      <x:c r="J26" s="72"/>
      <x:c r="K26" s="72"/>
      <x:c r="L26" s="72"/>
      <x:c r="M26" s="72"/>
      <x:c r="N26" s="72"/>
      <x:c r="O26" s="72"/>
      <x:c r="P26" s="72"/>
      <x:c r="Q26" s="73"/>
    </x:row>
    <x:row r="27" ht="28" customHeight="1">
      <x:c r="A27" s="100" t="s">
        <x:v>23</x:v>
      </x:c>
      <x:c r="B27" s="101"/>
      <x:c r="C27" s="101"/>
      <x:c r="D27" s="101"/>
      <x:c r="E27" s="72"/>
      <x:c r="F27" s="104" t="s">
        <x:v>24</x:v>
      </x:c>
      <x:c r="G27" s="101"/>
      <x:c r="H27" s="101"/>
      <x:c r="I27" s="101"/>
      <x:c r="J27" s="72"/>
      <x:c r="K27" s="72"/>
      <x:c r="L27" s="72"/>
      <x:c r="M27" s="72"/>
      <x:c r="N27" s="72"/>
      <x:c r="O27" s="72"/>
      <x:c r="P27" s="72"/>
      <x:c r="Q27" s="73"/>
    </x:row>
    <x:row r="28" ht="22" customHeight="1">
      <x:c r="A28" s="109"/>
      <x:c r="B28" s="111" t="s">
        <x:v>8</x:v>
      </x:c>
      <x:c r="C28" s="111"/>
      <x:c r="D28" s="115"/>
      <x:c r="E28" s="72"/>
      <x:c r="F28" s="110"/>
      <x:c r="G28" s="111" t="s">
        <x:v>8</x:v>
      </x:c>
      <x:c r="H28" s="111"/>
      <x:c r="I28" s="76"/>
      <x:c r="J28" s="72"/>
      <x:c r="K28" s="72"/>
      <x:c r="L28" s="72"/>
      <x:c r="M28" s="72"/>
      <x:c r="N28" s="72"/>
      <x:c r="O28" s="72"/>
      <x:c r="P28" s="72"/>
      <x:c r="Q28" s="73"/>
    </x:row>
    <x:row r="29" ht="22" customHeight="1">
      <x:c r="A29" s="128" t="s">
        <x:v>11</x:v>
      </x:c>
      <x:c r="B29" s="120">
        <x:v>0.35627382887211989</x:v>
      </x:c>
      <x:c r="C29" s="118" t="n">
        <x:f>B29/B29</x:f>
        <x:v>1</x:v>
      </x:c>
      <x:c r="D29" s="136" t="s">
        <x:v>25</x:v>
      </x:c>
      <x:c r="E29" s="72"/>
      <x:c r="F29" s="129" t="s">
        <x:v>19</x:v>
      </x:c>
      <x:c r="G29" s="120">
        <x:v>0.1198733870298848</x:v>
      </x:c>
      <x:c r="H29" s="118" t="n">
        <x:f>G29/G29</x:f>
        <x:v>1</x:v>
      </x:c>
      <x:c r="I29" s="72"/>
      <x:c r="J29" s="72"/>
      <x:c r="K29" s="72"/>
      <x:c r="L29" s="72"/>
      <x:c r="M29" s="72"/>
      <x:c r="N29" s="72"/>
      <x:c r="O29" s="72"/>
      <x:c r="P29" s="72"/>
      <x:c r="Q29" s="73"/>
    </x:row>
    <x:row r="30" ht="22" customHeight="1">
      <x:c r="A30" s="128" t="s">
        <x:v>15</x:v>
      </x:c>
      <x:c r="B30" s="120">
        <x:v>0.30957099865268439</x:v>
      </x:c>
      <x:c r="C30" s="123" t="n">
        <x:f>B30/B29</x:f>
        <x:v>0.8689131043745598</x:v>
      </x:c>
      <x:c r="D30" s="137"/>
      <x:c r="E30" s="72"/>
      <x:c r="F30" s="129" t="s">
        <x:v>21</x:v>
      </x:c>
      <x:c r="G30" s="120">
        <x:v>9.186448065996107E-2</x:v>
      </x:c>
      <x:c r="H30" s="123" t="n">
        <x:f>G30/G29</x:f>
        <x:v>0.766345916604984</x:v>
      </x:c>
      <x:c r="I30" s="72"/>
      <x:c r="J30" s="72"/>
      <x:c r="K30" s="72"/>
      <x:c r="L30" s="72"/>
      <x:c r="M30" s="72"/>
      <x:c r="N30" s="72"/>
      <x:c r="O30" s="72"/>
      <x:c r="P30" s="72"/>
      <x:c r="Q30" s="73"/>
    </x:row>
    <x:row r="31" ht="22" customHeight="1">
      <x:c r="A31" s="128" t="s">
        <x:v>9</x:v>
      </x:c>
      <x:c r="B31" s="120">
        <x:v>0.27302899394937191</x:v>
      </x:c>
      <x:c r="C31" s="123" t="n">
        <x:f>B31/B29</x:f>
        <x:v>0.766345916604984</x:v>
      </x:c>
      <x:c r="D31" s="137"/>
      <x:c r="E31" s="72"/>
      <x:c r="F31" s="129" t="s">
        <x:v>20</x:v>
      </x:c>
      <x:c r="G31" s="120">
        <x:v>6.5052727327202936E-2</x:v>
      </x:c>
      <x:c r="H31" s="123" t="n">
        <x:f>G31/G29</x:f>
        <x:v>0.5426786456862613</x:v>
      </x:c>
      <x:c r="I31" s="72"/>
      <x:c r="J31" s="72"/>
      <x:c r="K31" s="72"/>
      <x:c r="L31" s="72"/>
      <x:c r="M31" s="72"/>
      <x:c r="N31" s="72"/>
      <x:c r="O31" s="72"/>
      <x:c r="P31" s="72"/>
      <x:c r="Q31" s="73"/>
    </x:row>
    <x:row r="32" ht="22" customHeight="1">
      <x:c r="A32" s="128" t="s">
        <x:v>13</x:v>
      </x:c>
      <x:c r="B32" s="120">
        <x:v>0.23723847071681164</x:v>
      </x:c>
      <x:c r="C32" s="123" t="n">
        <x:f>B32/B29</x:f>
        <x:v>0.6658880094220041</x:v>
      </x:c>
      <x:c r="D32" s="137"/>
      <x:c r="E32" s="72"/>
      <x:c r="F32" s="132" t="s">
        <x:v>22</x:v>
      </x:c>
      <x:c r="G32" s="131">
        <x:v>4.9852891951219426E-2</x:v>
      </x:c>
      <x:c r="H32" s="133" t="n">
        <x:f>G32/G29</x:f>
        <x:v>0.41587956415038935</x:v>
      </x:c>
      <x:c r="I32" s="72"/>
      <x:c r="J32" s="72"/>
      <x:c r="K32" s="72"/>
      <x:c r="L32" s="72"/>
      <x:c r="M32" s="72"/>
      <x:c r="N32" s="72"/>
      <x:c r="O32" s="72"/>
      <x:c r="P32" s="72"/>
      <x:c r="Q32" s="73"/>
    </x:row>
    <x:row r="33" ht="22" customHeight="1">
      <x:c r="A33" s="128" t="s">
        <x:v>18</x:v>
      </x:c>
      <x:c r="B33" s="120">
        <x:v>0.21300319147401392</x:v>
      </x:c>
      <x:c r="C33" s="123" t="n">
        <x:f>B33/B29</x:f>
        <x:v>0.597863705421003</x:v>
      </x:c>
      <x:c r="D33" s="137"/>
      <x:c r="E33" s="72"/>
      <x:c r="F33" s="69"/>
      <x:c r="G33" s="77"/>
      <x:c r="H33" s="79"/>
      <x:c r="I33" s="72"/>
      <x:c r="J33" s="72"/>
      <x:c r="K33" s="72"/>
      <x:c r="L33" s="72"/>
      <x:c r="M33" s="72"/>
      <x:c r="N33" s="72"/>
      <x:c r="O33" s="72"/>
      <x:c r="P33" s="72"/>
      <x:c r="Q33" s="73"/>
    </x:row>
    <x:row r="34" ht="22" customHeight="1">
      <x:c r="A34" s="128" t="s">
        <x:v>17</x:v>
      </x:c>
      <x:c r="B34" s="120">
        <x:v>0.16323412600994011</x:v>
      </x:c>
      <x:c r="C34" s="123" t="n">
        <x:f>B34/B29</x:f>
        <x:v>0.4581704093357107</x:v>
      </x:c>
      <x:c r="D34" s="138"/>
      <x:c r="E34" s="72"/>
      <x:c r="F34" s="69"/>
      <x:c r="G34" s="77"/>
      <x:c r="H34" s="79"/>
      <x:c r="I34" s="72"/>
      <x:c r="J34" s="72"/>
      <x:c r="K34" s="72"/>
      <x:c r="L34" s="72"/>
      <x:c r="M34" s="72"/>
      <x:c r="N34" s="72"/>
      <x:c r="O34" s="72"/>
      <x:c r="P34" s="72"/>
      <x:c r="Q34" s="73"/>
    </x:row>
    <x:row r="35" ht="22" customHeight="1">
      <x:c r="A35" s="128" t="s">
        <x:v>12</x:v>
      </x:c>
      <x:c r="B35" s="120">
        <x:v>0.4722118739812014</x:v>
      </x:c>
      <x:c r="C35" s="118" t="n">
        <x:f>B35/B35</x:f>
        <x:v>1</x:v>
      </x:c>
      <x:c r="D35" s="136" t="s">
        <x:v>26</x:v>
      </x:c>
      <x:c r="E35" s="72"/>
      <x:c r="F35" s="69"/>
      <x:c r="G35" s="77"/>
      <x:c r="H35" s="82"/>
      <x:c r="I35" s="72"/>
      <x:c r="J35" s="72"/>
      <x:c r="K35" s="72"/>
      <x:c r="L35" s="72"/>
      <x:c r="M35" s="72"/>
      <x:c r="N35" s="72"/>
      <x:c r="O35" s="72"/>
      <x:c r="P35" s="72"/>
      <x:c r="Q35" s="73"/>
    </x:row>
    <x:row r="36" ht="22" customHeight="1">
      <x:c r="A36" s="128" t="s">
        <x:v>16</x:v>
      </x:c>
      <x:c r="B36" s="120">
        <x:v>0.38204063196346</x:v>
      </x:c>
      <x:c r="C36" s="123" t="n">
        <x:f>B36/B35</x:f>
        <x:v>0.8090449499765626</x:v>
      </x:c>
      <x:c r="D36" s="137"/>
      <x:c r="E36" s="72"/>
      <x:c r="F36" s="69"/>
      <x:c r="G36" s="77"/>
      <x:c r="H36" s="82"/>
      <x:c r="I36" s="72"/>
      <x:c r="J36" s="72"/>
      <x:c r="K36" s="72"/>
      <x:c r="L36" s="72"/>
      <x:c r="M36" s="72"/>
      <x:c r="N36" s="72"/>
      <x:c r="O36" s="72"/>
      <x:c r="P36" s="72"/>
      <x:c r="Q36" s="73"/>
    </x:row>
    <x:row r="37" ht="22" customHeight="1">
      <x:c r="A37" s="128" t="s">
        <x:v>10</x:v>
      </x:c>
      <x:c r="B37" s="120">
        <x:v>0.36187764139788098</x:v>
      </x:c>
      <x:c r="C37" s="123" t="n">
        <x:f>B37/B35</x:f>
        <x:v>0.766345916604984</x:v>
      </x:c>
      <x:c r="D37" s="137"/>
      <x:c r="E37" s="72"/>
      <x:c r="F37" s="69"/>
      <x:c r="G37" s="77"/>
      <x:c r="H37" s="82"/>
      <x:c r="I37" s="72"/>
      <x:c r="J37" s="72"/>
      <x:c r="K37" s="72"/>
      <x:c r="L37" s="72"/>
      <x:c r="M37" s="72"/>
      <x:c r="N37" s="72"/>
      <x:c r="O37" s="72"/>
      <x:c r="P37" s="72"/>
      <x:c r="Q37" s="73"/>
    </x:row>
    <x:row r="38" ht="22" customHeight="1">
      <x:c r="A38" s="128" t="s">
        <x:v>15</x:v>
      </x:c>
      <x:c r="B38" s="120">
        <x:v>0.30957099865268439</x:v>
      </x:c>
      <x:c r="C38" s="123" t="n">
        <x:f>B38/B35</x:f>
        <x:v>0.6555764810458966</x:v>
      </x:c>
      <x:c r="D38" s="137"/>
      <x:c r="E38" s="72"/>
      <x:c r="F38" s="72"/>
      <x:c r="G38" s="72"/>
      <x:c r="H38" s="72"/>
      <x:c r="I38" s="72"/>
      <x:c r="J38" s="72"/>
      <x:c r="K38" s="72"/>
      <x:c r="L38" s="72"/>
      <x:c r="M38" s="72"/>
      <x:c r="N38" s="72"/>
      <x:c r="O38" s="72"/>
      <x:c r="P38" s="72"/>
      <x:c r="Q38" s="73"/>
    </x:row>
    <x:row r="39" ht="22" customHeight="1">
      <x:c r="A39" s="128" t="s">
        <x:v>14</x:v>
      </x:c>
      <x:c r="B39" s="120">
        <x:v>0.29277527828237998</x:v>
      </x:c>
      <x:c r="C39" s="123" t="n">
        <x:f>B39/B35</x:f>
        <x:v>0.6200082937644115</x:v>
      </x:c>
      <x:c r="D39" s="137"/>
      <x:c r="E39" s="72"/>
      <x:c r="F39" s="72"/>
      <x:c r="G39" s="72"/>
      <x:c r="H39" s="72"/>
      <x:c r="I39" s="72"/>
      <x:c r="J39" s="72"/>
      <x:c r="K39" s="72"/>
      <x:c r="L39" s="72"/>
      <x:c r="M39" s="72"/>
      <x:c r="N39" s="72"/>
      <x:c r="O39" s="72"/>
      <x:c r="P39" s="72"/>
      <x:c r="Q39" s="73"/>
    </x:row>
    <x:row r="40" ht="22" customHeight="1">
      <x:c r="A40" s="130" t="s">
        <x:v>13</x:v>
      </x:c>
      <x:c r="B40" s="131">
        <x:v>0.23723847071681164</x:v>
      </x:c>
      <x:c r="C40" s="133" t="n">
        <x:f>B40/B35</x:f>
        <x:v>0.5023983592717874</x:v>
      </x:c>
      <x:c r="D40" s="138"/>
      <x:c r="E40" s="72"/>
      <x:c r="F40" s="72"/>
      <x:c r="G40" s="72"/>
      <x:c r="H40" s="72"/>
      <x:c r="I40" s="72"/>
      <x:c r="J40" s="72"/>
      <x:c r="K40" s="72"/>
      <x:c r="L40" s="72"/>
      <x:c r="M40" s="72"/>
      <x:c r="N40" s="72"/>
      <x:c r="O40" s="72"/>
      <x:c r="P40" s="72"/>
      <x:c r="Q40" s="73"/>
    </x:row>
    <x:row r="41" ht="22" customHeight="1">
      <x:c r="A41" s="68"/>
      <x:c r="B41" s="77"/>
      <x:c r="C41" s="77"/>
      <x:c r="D41" s="72"/>
      <x:c r="E41" s="72"/>
      <x:c r="F41" s="72"/>
      <x:c r="G41" s="72"/>
      <x:c r="H41" s="72"/>
      <x:c r="I41" s="72"/>
      <x:c r="J41" s="72"/>
      <x:c r="K41" s="72"/>
      <x:c r="L41" s="72"/>
      <x:c r="M41" s="72"/>
      <x:c r="N41" s="72"/>
      <x:c r="O41" s="72"/>
      <x:c r="P41" s="72"/>
      <x:c r="Q41" s="73"/>
    </x:row>
    <x:row r="42" ht="22" customHeight="1">
      <x:c r="A42" s="83"/>
      <x:c r="B42" s="84"/>
      <x:c r="C42" s="84"/>
      <x:c r="D42" s="85"/>
      <x:c r="E42" s="85"/>
      <x:c r="F42" s="85"/>
      <x:c r="G42" s="85"/>
      <x:c r="H42" s="85"/>
      <x:c r="I42" s="85"/>
      <x:c r="J42" s="85"/>
      <x:c r="K42" s="85"/>
      <x:c r="L42" s="85"/>
      <x:c r="M42" s="85"/>
      <x:c r="N42" s="85"/>
      <x:c r="O42" s="85"/>
      <x:c r="P42" s="85"/>
      <x:c r="Q42" s="86"/>
    </x:row>
    <x:row r="43" ht="18">
      <x:c r="A43" s="2"/>
      <x:c r="B43" s="7"/>
      <x:c r="C43" s="7"/>
    </x:row>
    <x:row r="44" ht="18">
      <x:c r="A44" s="2"/>
      <x:c r="B44" s="7"/>
      <x:c r="C44" s="7"/>
    </x:row>
    <x:row r="45" ht="18">
      <x:c r="A45" s="2"/>
      <x:c r="B45" s="7"/>
      <x:c r="C45" s="7"/>
    </x:row>
    <x:row r="46" ht="18">
      <x:c r="A46" s="2"/>
      <x:c r="B46" s="7"/>
      <x:c r="C46" s="7"/>
    </x:row>
    <x:row r="47" ht="18">
      <x:c r="A47" s="2"/>
      <x:c r="B47" s="7"/>
      <x:c r="C47" s="7"/>
    </x:row>
    <x:row r="48" ht="18">
      <x:c r="A48" s="2"/>
      <x:c r="B48" s="7"/>
      <x:c r="C48" s="7"/>
    </x:row>
    <x:row r="49" ht="18">
      <x:c r="A49" s="2"/>
      <x:c r="B49" s="7"/>
      <x:c r="C49" s="7"/>
    </x:row>
    <x:row r="50" ht="18">
      <x:c r="A50" s="2"/>
      <x:c r="B50" s="7"/>
      <x:c r="C50" s="7"/>
    </x:row>
  </x:sheetData>
  <x:mergeCells>
    <x:mergeCell ref="D35:D40"/>
    <x:mergeCell ref="A14:D14"/>
    <x:mergeCell ref="F14:I14"/>
    <x:mergeCell ref="A27:D27"/>
    <x:mergeCell ref="F27:I27"/>
    <x:mergeCell ref="D29:D34"/>
    <x:mergeCell ref="A1:D1"/>
    <x:mergeCell ref="F1:I1"/>
    <x:mergeCell ref="A5:D5"/>
    <x:mergeCell ref="F5:I5"/>
    <x:mergeCell ref="A9:D9"/>
    <x:mergeCell ref="F9:I9"/>
  </x:mergeCells>
  <x:pageMargins left="0.7" right="0.7" top="0.75" bottom="0.75" header="0.3" footer="0.3"/>
  <x:drawing xmlns:r="http://schemas.openxmlformats.org/officeDocument/2006/relationships" r:id="R1a004e0695ad4f27"/>
</x:worksheet>
</file>