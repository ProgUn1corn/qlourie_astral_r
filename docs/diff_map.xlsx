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charts/style3.xml" ContentType="application/vnd.ms-office.chart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1.xml" ContentType="application/vnd.openxmlformats-officedocument.theme+xml"/>
  <Override PartName="/xl/charts/colors1.xml" ContentType="application/vnd.ms-office.chartcolorstyle+xml"/>
  <Override PartName="/xl/charts/style1.xml" ContentType="application/vnd.ms-office.chartstyle+xml"/>
  <Override PartName="/xl/charts/chart1.xml" ContentType="application/vnd.openxmlformats-officedocument.drawingml.chart+xml"/>
  <Override PartName="/xl/charts/colors3.xml" ContentType="application/vnd.ms-office.chartcolorstyle+xml"/>
  <Override PartName="/docProps/app.xml" ContentType="application/vnd.openxmlformats-officedocument.extended-properties+xml"/>
  <Override PartName="/xl/charts/chart3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Graph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<sst xmlns="http://schemas.openxmlformats.org/spreadsheetml/2006/main" count="39" uniqueCount="39">
  <si>
    <t>46/80</t>
  </si>
  <si>
    <t>38/80</t>
  </si>
  <si>
    <t>50/80</t>
  </si>
  <si>
    <t>44/80</t>
  </si>
  <si>
    <t xml:space="preserve">  </t>
  </si>
  <si>
    <t>60/80</t>
  </si>
  <si>
    <t xml:space="preserve">Receiver F</t>
  </si>
  <si>
    <t xml:space="preserve">Receiver R</t>
  </si>
  <si>
    <t>Result</t>
  </si>
  <si>
    <t xml:space="preserve">46 4+4</t>
  </si>
  <si>
    <t xml:space="preserve">38 4+4</t>
  </si>
  <si>
    <t xml:space="preserve">46 6+6</t>
  </si>
  <si>
    <t xml:space="preserve">38 6+6</t>
  </si>
  <si>
    <t xml:space="preserve">50 4+4</t>
  </si>
  <si>
    <t xml:space="preserve">44 4+4</t>
  </si>
  <si>
    <t xml:space="preserve">50 6+6</t>
  </si>
  <si>
    <t xml:space="preserve">44 6+6</t>
  </si>
  <si>
    <t xml:space="preserve">60 4+4</t>
  </si>
  <si>
    <t xml:space="preserve">60 6+6</t>
  </si>
  <si>
    <t xml:space="preserve">72 4+4</t>
  </si>
  <si>
    <t xml:space="preserve">80 4+4</t>
  </si>
  <si>
    <t xml:space="preserve">72 6+6</t>
  </si>
  <si>
    <t xml:space="preserve">80 6+6</t>
  </si>
  <si>
    <t xml:space="preserve">Graph Power</t>
  </si>
  <si>
    <t xml:space="preserve">Graph Coast</t>
  </si>
  <si>
    <t xml:space="preserve">46 6+6</t>
  </si>
  <si>
    <t>F</t>
  </si>
  <si>
    <t xml:space="preserve">72 4+4</t>
  </si>
  <si>
    <t xml:space="preserve">50 6+6</t>
  </si>
  <si>
    <t xml:space="preserve">72 6+6</t>
  </si>
  <si>
    <t xml:space="preserve">46 4+4</t>
  </si>
  <si>
    <t xml:space="preserve">50 4+4</t>
  </si>
  <si>
    <t xml:space="preserve">60 6+6</t>
  </si>
  <si>
    <t xml:space="preserve">60 4+4</t>
  </si>
  <si>
    <t xml:space="preserve">38 6+6</t>
  </si>
  <si>
    <t>R</t>
  </si>
  <si>
    <t xml:space="preserve">44 6+6</t>
  </si>
  <si>
    <t xml:space="preserve">38 4+4</t>
  </si>
  <si>
    <t xml:space="preserve">44 4+4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</si>
</sst>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b/>
      <sz val="14.000000"/>
      <color theme="0"/>
      <name val="Aptos Narrow"/>
      <scheme val="minor"/>
    </font>
    <font>
      <b/>
      <sz val="14.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</patternFill>
    </fill>
  </fills>
  <borders count="7">
    <border>
      <left style="none"/>
      <right style="none"/>
      <top style="none"/>
      <bottom style="none"/>
      <diagonal style="none"/>
    </border>
    <border>
      <left style="thin">
        <color theme="4"/>
      </left>
      <right style="none"/>
      <top style="thin">
        <color theme="4"/>
      </top>
      <bottom style="none"/>
      <diagonal style="none"/>
    </border>
    <border>
      <left style="none"/>
      <right style="none"/>
      <top style="thin">
        <color theme="4"/>
      </top>
      <bottom style="none"/>
      <diagonal style="none"/>
    </border>
    <border>
      <left style="none"/>
      <right style="thin">
        <color theme="4"/>
      </right>
      <top style="thin">
        <color theme="4"/>
      </top>
      <bottom style="none"/>
      <diagonal style="none"/>
    </border>
    <border>
      <left style="thin">
        <color theme="4"/>
      </left>
      <right style="none"/>
      <top style="thin">
        <color theme="4"/>
      </top>
      <bottom style="thin">
        <color theme="4"/>
      </bottom>
      <diagonal style="none"/>
    </border>
    <border>
      <left style="thin">
        <color theme="4"/>
      </left>
      <right style="none"/>
      <top style="none"/>
      <bottom style="none"/>
      <diagonal style="none"/>
    </border>
    <border>
      <left style="thin">
        <color theme="4"/>
      </left>
      <right style="none"/>
      <top style="none"/>
      <bottom style="thin">
        <color theme="4"/>
      </bottom>
      <diagonal style="none"/>
    </border>
  </borders>
  <cellStyleXfs count="1">
    <xf fontId="0" fillId="0" borderId="0" numFmtId="0" applyNumberFormat="1" applyFont="1" applyFill="1" applyBorder="1">
      <alignment vertical="center"/>
    </xf>
  </cellStyleXfs>
  <cellXfs count="13"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1" fillId="2" borderId="1" numFmtId="0" xfId="0" applyFont="1" applyFill="1" applyBorder="1" applyAlignment="1">
      <alignment horizontal="center" vertical="center" wrapText="1"/>
    </xf>
    <xf fontId="1" fillId="2" borderId="2" numFmtId="0" xfId="0" applyFont="1" applyFill="1" applyBorder="1" applyAlignment="1">
      <alignment horizontal="center" vertical="center" wrapText="1"/>
    </xf>
    <xf fontId="1" fillId="2" borderId="3" numFmtId="0" xfId="0" applyFont="1" applyFill="1" applyBorder="1" applyAlignment="1">
      <alignment horizontal="center" vertical="center" wrapText="1"/>
    </xf>
    <xf fontId="2" fillId="0" borderId="1" numFmtId="0" xfId="0" applyFont="1" applyBorder="1" applyAlignment="1">
      <alignment horizontal="center" vertical="center" wrapText="1"/>
    </xf>
    <xf fontId="1" fillId="2" borderId="0" numFmtId="0" xfId="0" applyFont="1" applyFill="1" applyAlignment="1">
      <alignment horizontal="center" vertical="center" wrapText="1"/>
    </xf>
    <xf fontId="2" fillId="0" borderId="4" numFmtId="0" xfId="0" applyFont="1" applyBorder="1" applyAlignment="1">
      <alignment horizontal="center" vertical="center" wrapText="1"/>
    </xf>
    <xf fontId="2" fillId="0" borderId="1" numFmtId="9" xfId="0" applyNumberFormat="1" applyFont="1" applyBorder="1" applyAlignment="1">
      <alignment vertical="center" wrapText="1"/>
    </xf>
    <xf fontId="2" fillId="0" borderId="5" numFmtId="9" xfId="0" applyNumberFormat="1" applyFont="1" applyBorder="1" applyAlignment="1">
      <alignment vertical="center" wrapText="1"/>
    </xf>
    <xf fontId="2" fillId="0" borderId="5" numFmtId="0" xfId="0" applyFont="1" applyBorder="1" applyAlignment="1">
      <alignment horizontal="center" vertical="center" wrapText="1"/>
    </xf>
    <xf fontId="2" fillId="0" borderId="6" numFmtId="0" xfId="0" applyFont="1" applyBorder="1" applyAlignment="1">
      <alignment horizontal="center" vertical="center" wrapText="1"/>
    </xf>
    <xf fontId="2" fillId="0" borderId="4" numFmtId="9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zh-CN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</a:t>
            </a:r>
            <a:endParaRPr lang="zh-CN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Graph!$A$29:$A$34</c:f>
              <c:strCache>
                <c:ptCount val="6"/>
                <c:pt idx="0">
                  <c:v>46 6+6</c:v>
                </c:pt>
                <c:pt idx="1">
                  <c:v>50 6+6</c:v>
                </c:pt>
                <c:pt idx="2">
                  <c:v>46 4+4</c:v>
                </c:pt>
                <c:pt idx="3">
                  <c:v>50 4+4</c:v>
                </c:pt>
                <c:pt idx="4">
                  <c:v>60 6+6</c:v>
                </c:pt>
                <c:pt idx="5">
                  <c:v>60 4+4</c:v>
                </c:pt>
              </c:strCache>
            </c:strRef>
          </c:cat>
          <c:val>
            <c:numRef>
              <c:f>Graph!$C$29:$C$34</c:f>
              <c:numCache>
                <c:formatCode>0%</c:formatCode>
                <c:ptCount val="6"/>
                <c:pt idx="0">
                  <c:v>1</c:v>
                </c:pt>
                <c:pt idx="1">
                  <c:v>0.8689131043745598</c:v>
                </c:pt>
                <c:pt idx="2">
                  <c:v>0.766345916604984</c:v>
                </c:pt>
                <c:pt idx="3">
                  <c:v>0.6658880094220041</c:v>
                </c:pt>
                <c:pt idx="4">
                  <c:v>0.597863705421003</c:v>
                </c:pt>
                <c:pt idx="5">
                  <c:v>0.4581704093357107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219"/>
        <c:overlap val="-27"/>
        <c:axId val="1546776080"/>
        <c:axId val="1546776560"/>
      </c:barChart>
      <c:catAx>
        <c:axId val="154677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46776560"/>
        <c:crosses val="autoZero"/>
        <c:auto val="1"/>
        <c:lblAlgn val="ctr"/>
        <c:lblOffset val="100"/>
        <c:noMultiLvlLbl val="0"/>
      </c:catAx>
      <c:valAx>
        <c:axId val="1546776560"/>
        <c:scaling>
          <c:orientation val="minMax"/>
          <c:max val="1.0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46776080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zh-CN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</a:t>
            </a:r>
            <a:endParaRPr lang="zh-CN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Graph!$A$35:$A$40</c:f>
              <c:strCache>
                <c:ptCount val="6"/>
                <c:pt idx="0">
                  <c:v>38 6+6</c:v>
                </c:pt>
                <c:pt idx="1">
                  <c:v>44 6+6</c:v>
                </c:pt>
                <c:pt idx="2">
                  <c:v>38 4+4</c:v>
                </c:pt>
                <c:pt idx="3">
                  <c:v>50 6+6</c:v>
                </c:pt>
                <c:pt idx="4">
                  <c:v>44 4+4</c:v>
                </c:pt>
                <c:pt idx="5">
                  <c:v>50 4+4</c:v>
                </c:pt>
              </c:strCache>
            </c:strRef>
          </c:cat>
          <c:val>
            <c:numRef>
              <c:f>Graph!$C$35:$C$40</c:f>
              <c:numCache>
                <c:formatCode>0%</c:formatCode>
                <c:ptCount val="6"/>
                <c:pt idx="0">
                  <c:v>1</c:v>
                </c:pt>
                <c:pt idx="1">
                  <c:v>0.8090449499765626</c:v>
                </c:pt>
                <c:pt idx="2">
                  <c:v>0.766345916604984</c:v>
                </c:pt>
                <c:pt idx="3">
                  <c:v>0.6555764810458966</c:v>
                </c:pt>
                <c:pt idx="4">
                  <c:v>0.6200082937644115</c:v>
                </c:pt>
                <c:pt idx="5">
                  <c:v>0.5023983592717874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219"/>
        <c:overlap val="-27"/>
        <c:axId val="1458892976"/>
        <c:axId val="1458893936"/>
      </c:barChart>
      <c:catAx>
        <c:axId val="145889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58893936"/>
        <c:crosses val="autoZero"/>
        <c:auto val="1"/>
        <c:lblAlgn val="ctr"/>
        <c:lblOffset val="100"/>
        <c:noMultiLvlLbl val="0"/>
      </c:catAx>
      <c:valAx>
        <c:axId val="1458893936"/>
        <c:scaling>
          <c:orientation val="minMax"/>
          <c:max val="1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58892976"/>
        <c:crosses val="autoZero"/>
        <c:crossBetween val="between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zh-CN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COAST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Graph!$F$29:$F$32</c:f>
              <c:strCache>
                <c:ptCount val="4"/>
                <c:pt idx="0">
                  <c:v>72 4+4</c:v>
                </c:pt>
                <c:pt idx="1">
                  <c:v>72 6+6</c:v>
                </c:pt>
                <c:pt idx="2">
                  <c:v>80 4+4</c:v>
                </c:pt>
                <c:pt idx="3">
                  <c:v>80 6+6</c:v>
                </c:pt>
              </c:strCache>
            </c:strRef>
          </c:cat>
          <c:val>
            <c:numRef>
              <c:f>Graph!$H$29:$H$32</c:f>
              <c:numCache>
                <c:formatCode>0%</c:formatCode>
                <c:ptCount val="4"/>
                <c:pt idx="0">
                  <c:v>1</c:v>
                </c:pt>
                <c:pt idx="1">
                  <c:v>0.766345916604984</c:v>
                </c:pt>
                <c:pt idx="2">
                  <c:v>0.5426786456862613</c:v>
                </c:pt>
                <c:pt idx="3">
                  <c:v>0.41587956415038935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219"/>
        <c:overlap val="-27"/>
        <c:axId val="1702625632"/>
        <c:axId val="1702627552"/>
      </c:barChart>
      <c:catAx>
        <c:axId val="170262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02627552"/>
        <c:crosses val="autoZero"/>
        <c:auto val="1"/>
        <c:lblAlgn val="ctr"/>
        <c:lblOffset val="100"/>
        <c:noMultiLvlLbl val="0"/>
      </c:catAx>
      <c:valAx>
        <c:axId val="1702627552"/>
        <c:scaling>
          <c:orientation val="minMax"/>
          <c:max val="1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02625632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9</xdr:col>
      <xdr:colOff>73666</xdr:colOff>
      <xdr:row>0</xdr:row>
      <xdr:rowOff>120776</xdr:rowOff>
    </xdr:from>
    <xdr:to>
      <xdr:col>15</xdr:col>
      <xdr:colOff>530866</xdr:colOff>
      <xdr:row>10</xdr:row>
      <xdr:rowOff>143484</xdr:rowOff>
    </xdr:to>
    <xdr:graphicFrame>
      <xdr:nvGraphicFramePr>
        <xdr:cNvPr id="9" name="图表 8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9</xdr:col>
      <xdr:colOff>68330</xdr:colOff>
      <xdr:row>10</xdr:row>
      <xdr:rowOff>184810</xdr:rowOff>
    </xdr:from>
    <xdr:to>
      <xdr:col>15</xdr:col>
      <xdr:colOff>525530</xdr:colOff>
      <xdr:row>21</xdr:row>
      <xdr:rowOff>4569</xdr:rowOff>
    </xdr:to>
    <xdr:graphicFrame>
      <xdr:nvGraphicFramePr>
        <xdr:cNvPr id="10" name="图表 9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9</xdr:col>
      <xdr:colOff>66158</xdr:colOff>
      <xdr:row>21</xdr:row>
      <xdr:rowOff>28340</xdr:rowOff>
    </xdr:from>
    <xdr:to>
      <xdr:col>15</xdr:col>
      <xdr:colOff>517540</xdr:colOff>
      <xdr:row>31</xdr:row>
      <xdr:rowOff>78828</xdr:rowOff>
    </xdr:to>
    <xdr:graphicFrame>
      <xdr:nvGraphicFramePr>
        <xdr:cNvPr id="11" name="图表 10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45" workbookViewId="0">
      <selection activeCell="Q6" activeCellId="0" sqref="Q6"/>
    </sheetView>
  </sheetViews>
  <sheetFormatPr defaultRowHeight="14.25"/>
  <cols>
    <col customWidth="1" min="1" max="4" width="12.625"/>
    <col customWidth="1" min="5" max="5" style="1" width="12.625"/>
    <col customWidth="1" min="6" max="9" width="12.625"/>
    <col bestFit="1" customWidth="1" min="17" max="17" width="16.75"/>
  </cols>
  <sheetData>
    <row r="1" ht="16.5">
      <c r="A1" s="2" t="s">
        <v>0</v>
      </c>
      <c r="B1" s="3"/>
      <c r="C1" s="3"/>
      <c r="D1" s="3"/>
      <c r="E1"/>
      <c r="F1" s="2" t="s">
        <v>1</v>
      </c>
      <c r="G1" s="3"/>
      <c r="H1" s="3"/>
      <c r="I1" s="3"/>
    </row>
    <row r="2" ht="16.5" customHeight="1">
      <c r="A2" s="2"/>
      <c r="B2" s="2">
        <v>46</v>
      </c>
      <c r="C2" s="3">
        <v>80</v>
      </c>
      <c r="D2" s="4">
        <v>72</v>
      </c>
      <c r="E2"/>
      <c r="F2" s="2"/>
      <c r="G2" s="2">
        <v>38</v>
      </c>
      <c r="H2" s="4">
        <v>80</v>
      </c>
    </row>
    <row r="3" ht="16.5">
      <c r="A3" s="2">
        <v>4</v>
      </c>
      <c r="B3" s="5">
        <f t="shared" ref="B3:B4" si="0">(1/TAN(46*PI()/180))/(1/TAN(35*PI()/180))*0.325*(1+(A3-8)*0.0947)*2</f>
        <v>0.27302899394937191</v>
      </c>
      <c r="C3" s="5">
        <f>(1/TAN(80*PI()/180))/(1/TAN(35*PI()/180))*0.325*(1+(A3-8)*0.0947)*2</f>
        <v>0.049852891951219426</v>
      </c>
      <c r="D3" s="5">
        <f t="shared" ref="D3:D8" si="1">(1/TAN(72*PI()/180))/(1/TAN(35*PI()/180))*0.325*(1+(A3-8)*0.0947)*2</f>
        <v>0.09186448065996107</v>
      </c>
      <c r="E3"/>
      <c r="F3" s="2">
        <v>4</v>
      </c>
      <c r="G3" s="5">
        <f t="shared" ref="G3:G4" si="2">(1/TAN(38*PI()/180))/(1/TAN(35*PI()/180))*0.325*(1+(F3-8)*0.0947)*2</f>
        <v>0.36187764139788098</v>
      </c>
      <c r="H3" s="5">
        <f>(1/TAN(80*PI()/180))/(1/TAN(35*PI()/180))*0.325*(1+(F3-8)*0.0947)*2</f>
        <v>0.049852891951219426</v>
      </c>
    </row>
    <row r="4" ht="16.5">
      <c r="A4" s="2">
        <v>6</v>
      </c>
      <c r="B4" s="5">
        <f t="shared" si="0"/>
        <v>0.35627382887211989</v>
      </c>
      <c r="C4" s="5">
        <f>(1/TAN(80*PI()/180))/(1/TAN(35*PI()/180))*0.325*(1+(A4-8)*0.0947)*2</f>
        <v>0.065052727327202936</v>
      </c>
      <c r="D4" s="5">
        <f t="shared" si="1"/>
        <v>0.1198733870298848</v>
      </c>
      <c r="E4"/>
      <c r="F4" s="2">
        <v>6</v>
      </c>
      <c r="G4" s="5">
        <f t="shared" si="2"/>
        <v>0.4722118739812014</v>
      </c>
      <c r="H4" s="5">
        <f>(1/TAN(80*PI()/180))/(1/TAN(35*PI()/180))*0.325*(1+(F4-8)*0.0947)*2</f>
        <v>0.065052727327202936</v>
      </c>
    </row>
    <row r="5" ht="16.5">
      <c r="A5" s="2" t="s">
        <v>2</v>
      </c>
      <c r="B5" s="3"/>
      <c r="C5" s="3"/>
      <c r="D5" s="3"/>
      <c r="E5"/>
      <c r="F5" s="2" t="s">
        <v>3</v>
      </c>
      <c r="G5" s="3"/>
      <c r="H5" s="3"/>
      <c r="I5" s="3"/>
      <c r="Q5" s="5">
        <f>(1/TAN(40*PI()/180))/(1/TAN(35*PI()/180))*0.325*(1+(4-8)*0.0947)*2</f>
        <v>0.33694425461925048</v>
      </c>
    </row>
    <row r="6" ht="16.5">
      <c r="A6" s="2"/>
      <c r="B6" s="2">
        <v>50</v>
      </c>
      <c r="C6" s="3">
        <v>80</v>
      </c>
      <c r="D6" s="4">
        <v>72</v>
      </c>
      <c r="E6"/>
      <c r="F6" s="2"/>
      <c r="G6" s="2">
        <v>44</v>
      </c>
      <c r="H6" s="4">
        <v>80</v>
      </c>
      <c r="Q6" s="5">
        <f>(1/TAN(35*PI()/180))/(1/TAN(35*PI()/180))*0.325*(1+(8-8)*0.0947)*2</f>
        <v>0.65000000000000002</v>
      </c>
    </row>
    <row r="7" ht="16.5">
      <c r="A7" s="2">
        <v>4</v>
      </c>
      <c r="B7" s="5">
        <f t="shared" ref="B7:B8" si="3">(1/TAN(50*PI()/180))/(1/TAN(35*PI()/180))*0.325*(1+(A7-8)*0.0947)*2</f>
        <v>0.23723847071681164</v>
      </c>
      <c r="C7" s="5">
        <f>(1/TAN(80*PI()/180))/(1/TAN(35*PI()/180))*0.325*(1+(A7-8)*0.0947)*2</f>
        <v>0.049852891951219426</v>
      </c>
      <c r="D7" s="5" t="s">
        <v>4</v>
      </c>
      <c r="E7"/>
      <c r="F7" s="2">
        <v>4</v>
      </c>
      <c r="G7" s="5">
        <f t="shared" ref="G7:G8" si="4">(1/TAN(44*PI()/180))/(1/TAN(35*PI()/180))*0.325*(1+(F7-8)*0.0947)*2</f>
        <v>0.29277527828238509</v>
      </c>
      <c r="H7" s="5">
        <f>(1/TAN(80*PI()/180))/(1/TAN(35*PI()/180))*0.325*(1+(F7-8)*0.0947)*2</f>
        <v>0.049852891951219426</v>
      </c>
    </row>
    <row r="8" ht="16.5">
      <c r="A8" s="2">
        <v>6</v>
      </c>
      <c r="B8" s="5">
        <f t="shared" si="3"/>
        <v>0.30957099865268439</v>
      </c>
      <c r="C8" s="5">
        <f>(1/TAN(80*PI()/180))/(1/TAN(35*PI()/180))*0.325*(1+(A8-8)*0.0947)*2</f>
        <v>0.065052727327202936</v>
      </c>
      <c r="D8" s="5">
        <f t="shared" si="1"/>
        <v>0.1198733870298848</v>
      </c>
      <c r="E8"/>
      <c r="F8" s="2">
        <v>6</v>
      </c>
      <c r="G8" s="5">
        <f t="shared" si="4"/>
        <v>0.38204063196346</v>
      </c>
      <c r="H8" s="5">
        <f>(1/TAN(80*PI()/180))/(1/TAN(35*PI()/180))*0.325*(1+(F8-8)*0.0947)*2</f>
        <v>0.065052727327202936</v>
      </c>
    </row>
    <row r="9" ht="16.5">
      <c r="A9" s="2" t="s">
        <v>5</v>
      </c>
      <c r="B9" s="3"/>
      <c r="C9" s="3"/>
      <c r="D9" s="3"/>
      <c r="E9"/>
      <c r="F9" s="2" t="s">
        <v>2</v>
      </c>
      <c r="G9" s="3"/>
      <c r="H9" s="3"/>
      <c r="I9" s="3"/>
    </row>
    <row r="10" ht="16.5">
      <c r="A10" s="2"/>
      <c r="B10" s="2">
        <v>60</v>
      </c>
      <c r="C10" s="4">
        <v>80</v>
      </c>
      <c r="F10" s="2"/>
      <c r="G10" s="2">
        <v>50</v>
      </c>
      <c r="H10" s="4">
        <v>80</v>
      </c>
    </row>
    <row r="11" ht="16.5">
      <c r="A11" s="2">
        <v>4</v>
      </c>
      <c r="B11" s="5">
        <f t="shared" ref="B11:B12" si="5">(1/TAN(60*PI()/180))/(1/TAN(35*PI()/180))*0.325*(1+(A11-8)*0.0947)*2</f>
        <v>0.16323412600994011</v>
      </c>
      <c r="C11" s="5">
        <f>(1/TAN(80*PI()/180))/(1/TAN(35*PI()/180))*0.325*(1+(A11-8)*0.0947)*2</f>
        <v>0.049852891951219426</v>
      </c>
      <c r="D11" s="5"/>
      <c r="F11" s="2">
        <v>4</v>
      </c>
      <c r="G11" s="5">
        <f t="shared" ref="G11:G12" si="6">(1/TAN(50*PI()/180))/(1/TAN(35*PI()/180))*0.325*(1+(F11-8)*0.0947)*2</f>
        <v>0.23723847071681164</v>
      </c>
      <c r="H11" s="5">
        <f>(1/TAN(80*PI()/180))/(1/TAN(35*PI()/180))*0.325*(1+(F11-8)*0.0947)*2</f>
        <v>0.049852891951219426</v>
      </c>
    </row>
    <row r="12" ht="16.5">
      <c r="A12" s="2">
        <v>6</v>
      </c>
      <c r="B12" s="5">
        <f t="shared" si="5"/>
        <v>0.21300319147401392</v>
      </c>
      <c r="C12" s="5">
        <f>(1/TAN(80*PI()/180))/(1/TAN(35*PI()/180))*0.325*(1+(A12-8)*0.0947)*2</f>
        <v>0.065052727327202936</v>
      </c>
      <c r="D12" s="5"/>
      <c r="F12" s="2">
        <v>6</v>
      </c>
      <c r="G12" s="5">
        <f t="shared" si="6"/>
        <v>0.30957099865268439</v>
      </c>
      <c r="H12" s="5">
        <f>(1/TAN(80*PI()/180))/(1/TAN(35*PI()/180))*0.325*(1+(F12-8)*0.0947)*2</f>
        <v>0.065052727327202936</v>
      </c>
    </row>
    <row r="13">
      <c r="E13"/>
    </row>
    <row r="14" ht="16.5">
      <c r="A14" s="2" t="s">
        <v>6</v>
      </c>
      <c r="B14" s="3"/>
      <c r="C14" s="3"/>
      <c r="D14" s="3"/>
      <c r="E14"/>
      <c r="F14" s="2" t="s">
        <v>7</v>
      </c>
      <c r="G14" s="3"/>
      <c r="H14" s="3"/>
      <c r="I14" s="3"/>
    </row>
    <row r="15" ht="16.5">
      <c r="A15" s="2"/>
      <c r="B15" s="3" t="s">
        <v>8</v>
      </c>
      <c r="C15" s="3"/>
      <c r="D15" s="6"/>
      <c r="E15"/>
      <c r="F15" s="2"/>
      <c r="G15" s="3" t="s">
        <v>8</v>
      </c>
      <c r="H15" s="3"/>
      <c r="I15" s="6"/>
    </row>
    <row r="16" ht="16.5">
      <c r="A16" s="2" t="s">
        <v>9</v>
      </c>
      <c r="B16" s="7">
        <f t="shared" ref="B16:B17" si="7">B3</f>
        <v>0.27302899394937191</v>
      </c>
      <c r="C16" s="7"/>
      <c r="E16"/>
      <c r="F16" s="2" t="s">
        <v>10</v>
      </c>
      <c r="G16" s="7">
        <f t="shared" ref="G16:G17" si="8">G3</f>
        <v>0.36187764139788098</v>
      </c>
      <c r="H16" s="7"/>
    </row>
    <row r="17" ht="16.5">
      <c r="A17" s="2" t="s">
        <v>11</v>
      </c>
      <c r="B17" s="7">
        <f t="shared" si="7"/>
        <v>0.35627382887211989</v>
      </c>
      <c r="C17" s="7"/>
      <c r="E17"/>
      <c r="F17" s="2" t="s">
        <v>12</v>
      </c>
      <c r="G17" s="7">
        <f t="shared" si="8"/>
        <v>0.4722118739812014</v>
      </c>
      <c r="H17" s="7"/>
    </row>
    <row r="18" ht="16.5">
      <c r="A18" s="2" t="s">
        <v>13</v>
      </c>
      <c r="B18" s="7">
        <f t="shared" ref="B18:B19" si="9">B7</f>
        <v>0.23723847071681164</v>
      </c>
      <c r="C18" s="7"/>
      <c r="F18" s="2" t="s">
        <v>14</v>
      </c>
      <c r="G18" s="7">
        <f t="shared" ref="G18:G19" si="10">G7</f>
        <v>0.29277527828238509</v>
      </c>
      <c r="H18" s="7"/>
    </row>
    <row r="19" ht="16.5">
      <c r="A19" s="2" t="s">
        <v>15</v>
      </c>
      <c r="B19" s="7">
        <f t="shared" si="9"/>
        <v>0.30957099865268439</v>
      </c>
      <c r="C19" s="7"/>
      <c r="F19" s="2" t="s">
        <v>16</v>
      </c>
      <c r="G19" s="7">
        <f t="shared" si="10"/>
        <v>0.38204063196346</v>
      </c>
      <c r="H19" s="7"/>
    </row>
    <row r="20" ht="16.5">
      <c r="A20" s="2" t="s">
        <v>17</v>
      </c>
      <c r="B20" s="7">
        <f t="shared" ref="B20:B21" si="11">B11</f>
        <v>0.16323412600994011</v>
      </c>
      <c r="C20" s="7"/>
      <c r="F20" s="2" t="s">
        <v>13</v>
      </c>
      <c r="G20" s="7">
        <f t="shared" ref="G20:G21" si="12">G11</f>
        <v>0.23723847071681164</v>
      </c>
      <c r="H20" s="7"/>
    </row>
    <row r="21" ht="16.5">
      <c r="A21" s="2" t="s">
        <v>18</v>
      </c>
      <c r="B21" s="7">
        <f t="shared" si="11"/>
        <v>0.21300319147401392</v>
      </c>
      <c r="C21" s="7"/>
      <c r="F21" s="2" t="s">
        <v>15</v>
      </c>
      <c r="G21" s="7">
        <f t="shared" si="12"/>
        <v>0.30957099865268439</v>
      </c>
      <c r="H21" s="7"/>
    </row>
    <row r="22" ht="16.5">
      <c r="A22" s="2" t="s">
        <v>19</v>
      </c>
      <c r="B22" s="7">
        <f t="shared" ref="B22:B23" si="13">D3</f>
        <v>0.09186448065996107</v>
      </c>
      <c r="C22" s="7"/>
      <c r="F22" s="2" t="s">
        <v>20</v>
      </c>
      <c r="G22" s="7">
        <f t="shared" ref="G22:G23" si="14">H3</f>
        <v>0.049852891951219426</v>
      </c>
      <c r="H22" s="7"/>
    </row>
    <row r="23" ht="16.5">
      <c r="A23" s="2" t="s">
        <v>21</v>
      </c>
      <c r="B23" s="7">
        <f t="shared" si="13"/>
        <v>0.1198733870298848</v>
      </c>
      <c r="C23" s="7"/>
      <c r="F23" s="2" t="s">
        <v>22</v>
      </c>
      <c r="G23" s="7">
        <f t="shared" si="14"/>
        <v>0.065052727327202936</v>
      </c>
      <c r="H23" s="7"/>
    </row>
    <row r="24" ht="16.5">
      <c r="A24" s="2" t="s">
        <v>20</v>
      </c>
      <c r="B24" s="7">
        <f t="shared" ref="B24:B25" si="15">C3</f>
        <v>0.049852891951219426</v>
      </c>
      <c r="C24" s="7"/>
      <c r="H24" s="7"/>
    </row>
    <row r="25" ht="16.5">
      <c r="A25" s="2" t="s">
        <v>22</v>
      </c>
      <c r="B25" s="7">
        <f t="shared" si="15"/>
        <v>0.065052727327202936</v>
      </c>
      <c r="C25" s="7"/>
      <c r="H25" s="7"/>
    </row>
    <row r="27" ht="18" customHeight="1">
      <c r="A27" s="2" t="s">
        <v>23</v>
      </c>
      <c r="B27" s="3"/>
      <c r="C27" s="3"/>
      <c r="D27" s="3"/>
      <c r="F27" s="2" t="s">
        <v>24</v>
      </c>
      <c r="G27" s="3"/>
      <c r="H27" s="3"/>
      <c r="I27" s="3"/>
    </row>
    <row r="28" ht="16.5">
      <c r="A28" s="2"/>
      <c r="B28" s="3" t="s">
        <v>8</v>
      </c>
      <c r="C28" s="3"/>
      <c r="D28" s="6"/>
      <c r="F28" s="2"/>
      <c r="G28" s="3" t="s">
        <v>8</v>
      </c>
      <c r="H28" s="3"/>
      <c r="I28" s="6"/>
    </row>
    <row r="29" ht="16.5">
      <c r="A29" s="2" t="s">
        <v>25</v>
      </c>
      <c r="B29" s="7">
        <v>0.35627382887211989</v>
      </c>
      <c r="C29" s="8">
        <f>B29/B29</f>
        <v>1</v>
      </c>
      <c r="D29" s="5" t="s">
        <v>26</v>
      </c>
      <c r="F29" s="2" t="s">
        <v>27</v>
      </c>
      <c r="G29" s="7">
        <v>0.1198733870298848</v>
      </c>
      <c r="H29" s="8">
        <f>G29/G29</f>
        <v>1</v>
      </c>
    </row>
    <row r="30" ht="16.5">
      <c r="A30" s="2" t="s">
        <v>28</v>
      </c>
      <c r="B30" s="7">
        <v>0.30957099865268439</v>
      </c>
      <c r="C30" s="9">
        <f>B30/B29</f>
        <v>0.86891310437455982</v>
      </c>
      <c r="D30" s="10"/>
      <c r="F30" s="2" t="s">
        <v>29</v>
      </c>
      <c r="G30" s="7">
        <v>0.09186448065996107</v>
      </c>
      <c r="H30" s="9">
        <f>G30/G29</f>
        <v>0.76634591660498397</v>
      </c>
    </row>
    <row r="31" ht="16.5">
      <c r="A31" s="2" t="s">
        <v>30</v>
      </c>
      <c r="B31" s="7">
        <v>0.27302899394937191</v>
      </c>
      <c r="C31" s="9">
        <f>B31/B29</f>
        <v>0.76634591660498397</v>
      </c>
      <c r="D31" s="10"/>
      <c r="F31" s="2" t="s">
        <v>20</v>
      </c>
      <c r="G31" s="7">
        <v>0.065052727327202936</v>
      </c>
      <c r="H31" s="9">
        <f>G31/G29</f>
        <v>0.54267864568626134</v>
      </c>
    </row>
    <row r="32" ht="16.5">
      <c r="A32" s="2" t="s">
        <v>31</v>
      </c>
      <c r="B32" s="7">
        <v>0.23723847071681164</v>
      </c>
      <c r="C32" s="9">
        <f>B32/B29</f>
        <v>0.6658880094220041</v>
      </c>
      <c r="D32" s="10"/>
      <c r="F32" s="2" t="s">
        <v>22</v>
      </c>
      <c r="G32" s="7">
        <v>0.049852891951219426</v>
      </c>
      <c r="H32" s="9">
        <f>G32/G29</f>
        <v>0.41587956415038935</v>
      </c>
    </row>
    <row r="33" ht="16.5">
      <c r="A33" s="2" t="s">
        <v>32</v>
      </c>
      <c r="B33" s="7">
        <v>0.21300319147401392</v>
      </c>
      <c r="C33" s="9">
        <f>B33/B29</f>
        <v>0.59786370542100298</v>
      </c>
      <c r="D33" s="10"/>
      <c r="F33" s="2"/>
      <c r="G33" s="7"/>
      <c r="H33" s="9"/>
    </row>
    <row r="34" ht="16.5">
      <c r="A34" s="2" t="s">
        <v>33</v>
      </c>
      <c r="B34" s="7">
        <v>0.16323412600994011</v>
      </c>
      <c r="C34" s="9">
        <f>B34/B29</f>
        <v>0.45817040933571068</v>
      </c>
      <c r="D34" s="11"/>
      <c r="F34" s="2"/>
      <c r="G34" s="7"/>
      <c r="H34" s="9"/>
    </row>
    <row r="35" ht="16.5">
      <c r="A35" s="2" t="s">
        <v>34</v>
      </c>
      <c r="B35" s="7">
        <v>0.4722118739812014</v>
      </c>
      <c r="C35" s="8">
        <f>B35/B35</f>
        <v>1</v>
      </c>
      <c r="D35" s="5" t="s">
        <v>35</v>
      </c>
      <c r="F35" s="2"/>
      <c r="G35" s="7"/>
      <c r="H35" s="12"/>
    </row>
    <row r="36" ht="16.5">
      <c r="A36" s="2" t="s">
        <v>36</v>
      </c>
      <c r="B36" s="7">
        <v>0.38204063196346</v>
      </c>
      <c r="C36" s="9">
        <f>B36/B35</f>
        <v>0.80904494997656262</v>
      </c>
      <c r="D36" s="10"/>
      <c r="F36" s="2"/>
      <c r="G36" s="7"/>
      <c r="H36" s="12"/>
    </row>
    <row r="37" ht="16.5">
      <c r="A37" s="2" t="s">
        <v>37</v>
      </c>
      <c r="B37" s="7">
        <v>0.36187764139788098</v>
      </c>
      <c r="C37" s="9">
        <f>B37/B35</f>
        <v>0.76634591660498397</v>
      </c>
      <c r="D37" s="10"/>
      <c r="F37" s="2"/>
      <c r="G37" s="7"/>
      <c r="H37" s="12"/>
    </row>
    <row r="38" ht="16.5">
      <c r="A38" s="2" t="s">
        <v>28</v>
      </c>
      <c r="B38" s="7">
        <v>0.30957099865268439</v>
      </c>
      <c r="C38" s="9">
        <f>B38/B35</f>
        <v>0.65557648104589661</v>
      </c>
      <c r="D38" s="10"/>
    </row>
    <row r="39" ht="16.5">
      <c r="A39" s="2" t="s">
        <v>38</v>
      </c>
      <c r="B39" s="7">
        <v>0.29277527828237998</v>
      </c>
      <c r="C39" s="9">
        <f>B39/B35</f>
        <v>0.62000829376441147</v>
      </c>
      <c r="D39" s="10"/>
    </row>
    <row r="40" ht="16.5">
      <c r="A40" s="2" t="s">
        <v>31</v>
      </c>
      <c r="B40" s="7">
        <v>0.23723847071681164</v>
      </c>
      <c r="C40" s="9">
        <f>B40/B35</f>
        <v>0.50239835927178744</v>
      </c>
      <c r="D40" s="11"/>
    </row>
    <row r="41" ht="16.5">
      <c r="A41" s="2"/>
      <c r="B41" s="7"/>
      <c r="C41" s="7"/>
    </row>
    <row r="42" ht="16.5">
      <c r="A42" s="2"/>
      <c r="B42" s="7"/>
      <c r="C42" s="7"/>
    </row>
    <row r="43" ht="16.5">
      <c r="A43" s="2"/>
      <c r="B43" s="7"/>
      <c r="C43" s="7"/>
    </row>
    <row r="44" ht="16.5">
      <c r="A44" s="2"/>
      <c r="B44" s="7"/>
      <c r="C44" s="7"/>
    </row>
    <row r="45" ht="16.5">
      <c r="A45" s="2"/>
      <c r="B45" s="7"/>
      <c r="C45" s="7"/>
    </row>
    <row r="46" ht="16.5">
      <c r="A46" s="2"/>
      <c r="B46" s="7"/>
      <c r="C46" s="7"/>
    </row>
    <row r="47" ht="16.5">
      <c r="A47" s="2"/>
      <c r="B47" s="7"/>
      <c r="C47" s="7"/>
    </row>
    <row r="48" ht="16.5">
      <c r="A48" s="2"/>
      <c r="B48" s="7"/>
      <c r="C48" s="7"/>
    </row>
    <row r="49" ht="16.5">
      <c r="A49" s="2"/>
      <c r="B49" s="7"/>
      <c r="C49" s="7"/>
    </row>
    <row r="50" ht="16.5">
      <c r="A50" s="2"/>
      <c r="B50" s="7"/>
      <c r="C50" s="7"/>
    </row>
  </sheetData>
  <sortState ref="F29:G32" columnSort="0">
    <sortCondition sortBy="value" descending="0" ref="G29:G32"/>
  </sortState>
  <mergeCells count="12">
    <mergeCell ref="A1:D1"/>
    <mergeCell ref="F1:I1"/>
    <mergeCell ref="A5:D5"/>
    <mergeCell ref="F5:I5"/>
    <mergeCell ref="A9:D9"/>
    <mergeCell ref="F9:I9"/>
    <mergeCell ref="A14:D14"/>
    <mergeCell ref="F14:I14"/>
    <mergeCell ref="A27:D27"/>
    <mergeCell ref="F27:I27"/>
    <mergeCell ref="D29:D34"/>
    <mergeCell ref="D35:D4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Un1corn Prog</dc:creator>
  <cp:revision>1</cp:revision>
  <dcterms:created xsi:type="dcterms:W3CDTF">2025-09-27T13:05:59Z</dcterms:created>
  <dcterms:modified xsi:type="dcterms:W3CDTF">2026-08-08T10:47:41Z</dcterms:modified>
</cp:coreProperties>
</file>