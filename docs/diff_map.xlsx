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99765EDB-0641-4162-AA91-CF6C903CC1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raph" sheetId="1" r:id="rId1"/>
    <sheet name="Parameters" sheetId="2" r:id="rId2"/>
    <sheet name="S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F17" i="2"/>
  <c r="F16" i="2"/>
  <c r="B21" i="1" s="1"/>
  <c r="F10" i="3" l="1"/>
  <c r="G10" i="3" s="1"/>
  <c r="E10" i="3"/>
  <c r="F23" i="3"/>
  <c r="G23" i="3" s="1"/>
  <c r="E23" i="3"/>
  <c r="F22" i="3"/>
  <c r="G22" i="3" s="1"/>
  <c r="E22" i="3"/>
  <c r="F21" i="3"/>
  <c r="G21" i="3" s="1"/>
  <c r="E21" i="3"/>
  <c r="F20" i="3"/>
  <c r="G20" i="3" s="1"/>
  <c r="E20" i="3"/>
  <c r="F19" i="3"/>
  <c r="G19" i="3" s="1"/>
  <c r="E19" i="3"/>
  <c r="F18" i="3"/>
  <c r="G18" i="3" s="1"/>
  <c r="H18" i="3" s="1"/>
  <c r="E18" i="3"/>
  <c r="B37" i="1" s="1"/>
  <c r="F17" i="3"/>
  <c r="G17" i="3" s="1"/>
  <c r="E17" i="3"/>
  <c r="F16" i="3"/>
  <c r="G16" i="3" s="1"/>
  <c r="E16" i="3"/>
  <c r="F15" i="3"/>
  <c r="G15" i="3" s="1"/>
  <c r="E15" i="3"/>
  <c r="F14" i="3"/>
  <c r="G14" i="3" s="1"/>
  <c r="E14" i="3"/>
  <c r="F13" i="3"/>
  <c r="G13" i="3" s="1"/>
  <c r="E13" i="3"/>
  <c r="F12" i="3"/>
  <c r="G12" i="3" s="1"/>
  <c r="H12" i="3" s="1"/>
  <c r="E12" i="3"/>
  <c r="F11" i="3"/>
  <c r="G11" i="3" s="1"/>
  <c r="E11" i="3"/>
  <c r="F9" i="3"/>
  <c r="G9" i="3" s="1"/>
  <c r="E9" i="3"/>
  <c r="F8" i="3"/>
  <c r="G8" i="3" s="1"/>
  <c r="E8" i="3"/>
  <c r="F7" i="3"/>
  <c r="G7" i="3" s="1"/>
  <c r="H7" i="3" s="1"/>
  <c r="E7" i="3"/>
  <c r="F6" i="3"/>
  <c r="G6" i="3" s="1"/>
  <c r="E6" i="3"/>
  <c r="B5" i="1" s="1"/>
  <c r="H20" i="3" l="1"/>
  <c r="H21" i="3"/>
  <c r="H10" i="3"/>
  <c r="H6" i="3"/>
  <c r="H19" i="3"/>
  <c r="H17" i="3"/>
  <c r="H16" i="3"/>
  <c r="H14" i="3"/>
  <c r="H13" i="3"/>
  <c r="H11" i="3"/>
  <c r="H8" i="3"/>
  <c r="H15" i="3"/>
  <c r="H9" i="3"/>
</calcChain>
</file>

<file path=xl/sharedStrings.xml><?xml version="1.0" encoding="utf-8"?>
<sst xmlns="http://schemas.openxmlformats.org/spreadsheetml/2006/main" count="59" uniqueCount="31">
  <si>
    <t>Astral · Differential parameters</t>
  </si>
  <si>
    <t>模型基准</t>
  </si>
  <si>
    <t>保留的校核组合</t>
  </si>
  <si>
    <t>参考 ramp 角度</t>
  </si>
  <si>
    <t>°</t>
  </si>
  <si>
    <t>组合</t>
  </si>
  <si>
    <t>角度 (°)</t>
  </si>
  <si>
    <t>单侧 n</t>
  </si>
  <si>
    <t>参考单侧 n</t>
  </si>
  <si>
    <t>n+n</t>
  </si>
  <si>
    <t>原 Q5</t>
  </si>
  <si>
    <t>参考游戏系数</t>
  </si>
  <si>
    <t>系数</t>
  </si>
  <si>
    <t>每单位 n 修正</t>
  </si>
  <si>
    <t>百分比换算倍数</t>
  </si>
  <si>
    <t>倍</t>
  </si>
  <si>
    <t>Ramp 角度</t>
  </si>
  <si>
    <t>摩擦面数量</t>
  </si>
  <si>
    <t>用途</t>
  </si>
  <si>
    <t>Front power</t>
  </si>
  <si>
    <t>Rear power</t>
  </si>
  <si>
    <t>Coast</t>
  </si>
  <si>
    <t>Astral · Differential samples</t>
  </si>
  <si>
    <t>Ramp (°)</t>
  </si>
  <si>
    <t>游戏系数 c</t>
  </si>
  <si>
    <t>模型等效百分比</t>
  </si>
  <si>
    <t>相对参考组合</t>
  </si>
  <si>
    <t>Check Q5</t>
  </si>
  <si>
    <t>Reference Q6</t>
  </si>
  <si>
    <t>锚点 / 原 Q6</t>
  </si>
  <si>
    <t>Astral · Differential map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</si>
</sst>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26" x14ac:knownFonts="1">
    <font>
      <sz val="11"/>
      <color theme="1"/>
      <name val="Arial"/>
    </font>
    <font>
      <sz val="11"/>
      <color rgb="FF283C50"/>
      <name val="Arial"/>
      <family val="2"/>
    </font>
    <font>
      <b/>
      <sz val="11"/>
      <color rgb="FF283C50"/>
      <name val="Arial"/>
      <family val="2"/>
    </font>
    <font>
      <b/>
      <sz val="20"/>
      <color rgb="FF283C50"/>
      <name val="Arial"/>
      <family val="2"/>
    </font>
    <font>
      <sz val="9"/>
      <name val="宋体"/>
      <family val="3"/>
      <charset val="134"/>
    </font>
    <font>
      <b/>
      <sz val="20"/>
      <color rgb="FF283C50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微软雅黑"/>
      <family val="2"/>
      <charset val="134"/>
    </font>
    <font>
      <b/>
      <sz val="12"/>
      <color rgb="FFFFFFFF"/>
      <name val="Arial"/>
      <family val="2"/>
    </font>
    <font>
      <sz val="11"/>
      <color rgb="FF667B91"/>
      <name val="微软雅黑"/>
      <family val="2"/>
      <charset val="134"/>
    </font>
    <font>
      <sz val="11"/>
      <color rgb="FF195DB1"/>
      <name val="Arial"/>
      <family val="2"/>
    </font>
    <font>
      <sz val="11"/>
      <color rgb="FF667B91"/>
      <name val="Arial"/>
      <family val="2"/>
    </font>
    <font>
      <b/>
      <sz val="11"/>
      <color rgb="FF283C50"/>
      <name val="微软雅黑"/>
      <family val="2"/>
      <charset val="134"/>
    </font>
    <font>
      <sz val="11"/>
      <color rgb="FF667B91"/>
      <name val="微软雅黑"/>
      <family val="2"/>
      <charset val="134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2"/>
      <color rgb="FFFFFFFF"/>
      <name val="微软雅黑"/>
      <family val="2"/>
      <charset val="134"/>
    </font>
    <font>
      <b/>
      <sz val="12"/>
      <color rgb="FFFFFFFF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EF3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9" fillId="8" borderId="4" xfId="0" applyFont="1" applyFill="1" applyBorder="1">
      <alignment vertical="center"/>
    </xf>
    <xf numFmtId="1" fontId="10" fillId="9" borderId="5" xfId="0" applyNumberFormat="1" applyFont="1" applyFill="1" applyBorder="1" applyAlignment="1">
      <alignment horizontal="right" vertical="center"/>
    </xf>
    <xf numFmtId="0" fontId="11" fillId="10" borderId="6" xfId="0" applyFont="1" applyFill="1" applyBorder="1">
      <alignment vertical="center"/>
    </xf>
    <xf numFmtId="0" fontId="12" fillId="11" borderId="7" xfId="0" applyFont="1" applyFill="1" applyBorder="1" applyAlignment="1">
      <alignment vertical="center" wrapText="1"/>
    </xf>
    <xf numFmtId="0" fontId="13" fillId="12" borderId="8" xfId="0" applyFont="1" applyFill="1" applyBorder="1">
      <alignment vertical="center"/>
    </xf>
    <xf numFmtId="0" fontId="14" fillId="13" borderId="9" xfId="0" applyFont="1" applyFill="1" applyBorder="1">
      <alignment vertical="center"/>
    </xf>
    <xf numFmtId="176" fontId="15" fillId="14" borderId="10" xfId="0" applyNumberFormat="1" applyFont="1" applyFill="1" applyBorder="1" applyAlignment="1">
      <alignment horizontal="right" vertical="center"/>
    </xf>
    <xf numFmtId="0" fontId="16" fillId="15" borderId="11" xfId="0" applyFont="1" applyFill="1" applyBorder="1">
      <alignment vertical="center"/>
    </xf>
    <xf numFmtId="0" fontId="17" fillId="16" borderId="12" xfId="0" applyFont="1" applyFill="1" applyBorder="1">
      <alignment vertical="center"/>
    </xf>
    <xf numFmtId="0" fontId="18" fillId="17" borderId="13" xfId="0" applyFont="1" applyFill="1" applyBorder="1" applyAlignment="1">
      <alignment vertical="center" wrapText="1"/>
    </xf>
    <xf numFmtId="0" fontId="19" fillId="18" borderId="14" xfId="0" applyFont="1" applyFill="1" applyBorder="1" applyAlignment="1">
      <alignment vertical="center" wrapText="1"/>
    </xf>
    <xf numFmtId="0" fontId="20" fillId="19" borderId="15" xfId="0" applyFont="1" applyFill="1" applyBorder="1" applyAlignment="1">
      <alignment horizontal="center" vertical="center"/>
    </xf>
    <xf numFmtId="177" fontId="21" fillId="20" borderId="16" xfId="0" applyNumberFormat="1" applyFont="1" applyFill="1" applyBorder="1">
      <alignment vertical="center"/>
    </xf>
    <xf numFmtId="10" fontId="22" fillId="21" borderId="17" xfId="0" applyNumberFormat="1" applyFont="1" applyFill="1" applyBorder="1">
      <alignment vertical="center"/>
    </xf>
    <xf numFmtId="0" fontId="23" fillId="22" borderId="18" xfId="0" applyFont="1" applyFill="1" applyBorder="1" applyAlignment="1">
      <alignment horizontal="center" vertical="center"/>
    </xf>
    <xf numFmtId="177" fontId="24" fillId="23" borderId="19" xfId="0" applyNumberFormat="1" applyFont="1" applyFill="1" applyBorder="1">
      <alignment vertical="center"/>
    </xf>
    <xf numFmtId="10" fontId="25" fillId="24" borderId="20" xfId="0" applyNumberFormat="1" applyFont="1" applyFill="1" applyBorder="1">
      <alignment vertical="center"/>
    </xf>
    <xf numFmtId="0" fontId="5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7" fillId="6" borderId="2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3" fillId="4" borderId="0" xfId="0" applyFont="1" applyFill="1">
      <alignment vertical="center"/>
    </xf>
    <xf numFmtId="176" fontId="15" fillId="0" borderId="10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微软雅黑"/>
                <a:cs typeface="Arial"/>
              </a:rPr>
              <a:t>Front 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>
              <a:srgbClr val="3275BD"/>
            </a:solidFill>
          </c:spPr>
          <c:invertIfNegative val="1"/>
          <c:cat>
            <c:strRef>
              <c:f>Samples!$E$6:$E$11</c:f>
              <c:strCache>
                <c:ptCount val="6"/>
                <c:pt idx="0">
                  <c:v>46° / 6+6</c:v>
                </c:pt>
                <c:pt idx="1">
                  <c:v>50° / 6+6</c:v>
                </c:pt>
                <c:pt idx="2">
                  <c:v>46° / 4+4</c:v>
                </c:pt>
                <c:pt idx="3">
                  <c:v>50° / 4+4</c:v>
                </c:pt>
                <c:pt idx="4">
                  <c:v>62° / 6+6</c:v>
                </c:pt>
                <c:pt idx="5">
                  <c:v>62° / 4+4</c:v>
                </c:pt>
              </c:strCache>
            </c:strRef>
          </c:cat>
          <c:val>
            <c:numRef>
              <c:f>Samples!$H$6:$H$11</c:f>
              <c:numCache>
                <c:formatCode>0.00%</c:formatCode>
                <c:ptCount val="6"/>
                <c:pt idx="0">
                  <c:v>1</c:v>
                </c:pt>
                <c:pt idx="1">
                  <c:v>0.8646842979195788</c:v>
                </c:pt>
                <c:pt idx="2">
                  <c:v>0.6666666666666667</c:v>
                </c:pt>
                <c:pt idx="3">
                  <c:v>0.5764561986130526</c:v>
                </c:pt>
                <c:pt idx="4">
                  <c:v>0.5241827435579796</c:v>
                </c:pt>
                <c:pt idx="5">
                  <c:v>0.34945516237198637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B88-472B-91BB-DB6F89920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Relative to reference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微软雅黑"/>
                <a:cs typeface="Arial"/>
              </a:rPr>
              <a:t>Rear 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>
              <a:srgbClr val="303A45"/>
            </a:solidFill>
          </c:spPr>
          <c:invertIfNegative val="1"/>
          <c:cat>
            <c:strRef>
              <c:f>Samples!$E$12:$E$17</c:f>
              <c:strCache>
                <c:ptCount val="6"/>
                <c:pt idx="0">
                  <c:v>40° / 6+6</c:v>
                </c:pt>
                <c:pt idx="1">
                  <c:v>46° / 6+6</c:v>
                </c:pt>
                <c:pt idx="2">
                  <c:v>40° / 4+4</c:v>
                </c:pt>
                <c:pt idx="3">
                  <c:v>54° / 6+6</c:v>
                </c:pt>
                <c:pt idx="4">
                  <c:v>46° / 4+4</c:v>
                </c:pt>
                <c:pt idx="5">
                  <c:v>54° / 4+4</c:v>
                </c:pt>
              </c:strCache>
            </c:strRef>
          </c:cat>
          <c:val>
            <c:numRef>
              <c:f>Samples!$H$12:$H$17</c:f>
              <c:numCache>
                <c:formatCode>0.00%</c:formatCode>
                <c:ptCount val="6"/>
                <c:pt idx="0">
                  <c:v>1</c:v>
                </c:pt>
                <c:pt idx="1">
                  <c:v>0.8097840331950072</c:v>
                </c:pt>
                <c:pt idx="2">
                  <c:v>0.6666666666666667</c:v>
                </c:pt>
                <c:pt idx="3">
                  <c:v>0.6008606190275605</c:v>
                </c:pt>
                <c:pt idx="4">
                  <c:v>0.5398560221300048</c:v>
                </c:pt>
                <c:pt idx="5">
                  <c:v>0.4005737460183737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31D-4B53-8FE5-A56F5C76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Relative to reference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微软雅黑"/>
                <a:cs typeface="Arial"/>
              </a:rPr>
              <a:t>Coast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>
              <a:srgbClr val="CC4087"/>
            </a:solidFill>
          </c:spPr>
          <c:invertIfNegative val="1"/>
          <c:cat>
            <c:strRef>
              <c:f>Samples!$E$18:$E$21</c:f>
              <c:strCache>
                <c:ptCount val="4"/>
                <c:pt idx="0">
                  <c:v>70° / 6+6</c:v>
                </c:pt>
                <c:pt idx="1">
                  <c:v>70° / 4+4</c:v>
                </c:pt>
                <c:pt idx="2">
                  <c:v>80° / 6+6</c:v>
                </c:pt>
                <c:pt idx="3">
                  <c:v>80° / 4+4</c:v>
                </c:pt>
              </c:strCache>
            </c:strRef>
          </c:cat>
          <c:val>
            <c:numRef>
              <c:f>Samples!$H$18:$H$21</c:f>
              <c:numCache>
                <c:formatCode>0.00%</c:formatCode>
                <c:ptCount val="4"/>
                <c:pt idx="0">
                  <c:v>1</c:v>
                </c:pt>
                <c:pt idx="1">
                  <c:v>0.6666666666666666</c:v>
                </c:pt>
                <c:pt idx="2">
                  <c:v>0.3265121373650463</c:v>
                </c:pt>
                <c:pt idx="3">
                  <c:v>0.21767475824336424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C35-4C8E-813E-557A33E82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Relative to reference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L54"/>
  <sheetViews>
    <sheetView showGridLines="0" tabSelected="1" zoomScale="71" workbookViewId="0">
      <selection activeCell="B2" sqref="B2:K2"/>
    </sheetView>
  </sheetViews>
  <sheetFormatPr defaultRowHeight="14" x14ac:dyDescent="0.3"/>
  <cols>
    <col min="1" max="1" width="3" customWidth="1"/>
    <col min="2" max="4" width="10.5" customWidth="1"/>
    <col min="5" max="5" width="10.5" style="1" customWidth="1"/>
    <col min="6" max="12" width="10.5" customWidth="1"/>
    <col min="13" max="16" width="12" customWidth="1"/>
    <col min="17" max="17" width="16" customWidth="1"/>
  </cols>
  <sheetData>
    <row r="1" spans="1:12" ht="12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5" customHeight="1" x14ac:dyDescent="0.3">
      <c r="A2" s="2"/>
      <c r="B2" s="26" t="s">
        <v>30</v>
      </c>
      <c r="C2" s="22"/>
      <c r="D2" s="22"/>
      <c r="E2" s="22"/>
      <c r="F2" s="22"/>
      <c r="G2" s="22"/>
      <c r="H2" s="22"/>
      <c r="I2" s="22"/>
      <c r="J2" s="22"/>
      <c r="K2" s="22"/>
      <c r="L2" s="2"/>
    </row>
    <row r="3" spans="1:12" ht="23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 x14ac:dyDescent="0.3">
      <c r="A4" s="2"/>
      <c r="L4" s="2"/>
    </row>
    <row r="5" spans="1:12" ht="32" customHeight="1" x14ac:dyDescent="0.3">
      <c r="A5" s="2"/>
      <c r="B5" s="25" t="str">
        <f>"Front power："&amp;Samples!E6&amp;" = 100%"</f>
        <v>Front power：46° / 6+6 = 100%</v>
      </c>
      <c r="C5" s="25"/>
      <c r="D5" s="25"/>
      <c r="E5" s="25"/>
      <c r="F5" s="25"/>
      <c r="G5" s="25"/>
      <c r="H5" s="25"/>
      <c r="I5" s="25"/>
      <c r="J5" s="25"/>
      <c r="K5" s="25"/>
      <c r="L5" s="2"/>
    </row>
    <row r="6" spans="1:12" ht="23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3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3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3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3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3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3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3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3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3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3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3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3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3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32" customHeight="1" x14ac:dyDescent="0.3">
      <c r="A21" s="2"/>
      <c r="B21" s="25" t="str">
        <f>"Rear power："&amp;Samples!E12&amp;" = 100%"</f>
        <v>Rear power：40° / 6+6 = 100%</v>
      </c>
      <c r="C21" s="25"/>
      <c r="D21" s="25"/>
      <c r="E21" s="25"/>
      <c r="F21" s="25"/>
      <c r="G21" s="25"/>
      <c r="H21" s="25"/>
      <c r="I21" s="25"/>
      <c r="J21" s="25"/>
      <c r="K21" s="25"/>
      <c r="L21" s="2"/>
    </row>
    <row r="22" spans="1:12" ht="23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3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3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3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3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3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3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3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3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3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3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3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3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3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3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32" customHeight="1" x14ac:dyDescent="0.3">
      <c r="A37" s="2"/>
      <c r="B37" s="25" t="str">
        <f>"Coast："&amp;Samples!E18&amp;" = 100%"</f>
        <v>Coast：70° / 6+6 = 100%</v>
      </c>
      <c r="C37" s="25"/>
      <c r="D37" s="25"/>
      <c r="E37" s="25"/>
      <c r="F37" s="25"/>
      <c r="G37" s="25"/>
      <c r="H37" s="25"/>
      <c r="I37" s="25"/>
      <c r="J37" s="25"/>
      <c r="K37" s="25"/>
      <c r="L37" s="2"/>
    </row>
    <row r="38" spans="1:12" ht="23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3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3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3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3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3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3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3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3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3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3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3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3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3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3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3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3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</sheetData>
  <mergeCells count="4">
    <mergeCell ref="B2:K2"/>
    <mergeCell ref="B5:K5"/>
    <mergeCell ref="B21:K21"/>
    <mergeCell ref="B37:K37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9A32"/>
  </sheetPr>
  <dimension ref="A1:L35"/>
  <sheetViews>
    <sheetView showGridLines="0" workbookViewId="0">
      <selection activeCell="C22" sqref="C22"/>
    </sheetView>
  </sheetViews>
  <sheetFormatPr defaultRowHeight="14" x14ac:dyDescent="0.3"/>
  <cols>
    <col min="1" max="1" width="3" customWidth="1"/>
    <col min="2" max="2" width="25" customWidth="1"/>
    <col min="3" max="3" width="12" customWidth="1"/>
    <col min="4" max="4" width="10" customWidth="1"/>
    <col min="5" max="5" width="3" customWidth="1"/>
    <col min="6" max="6" width="20" customWidth="1"/>
    <col min="7" max="8" width="12" customWidth="1"/>
    <col min="9" max="12" width="10.5" customWidth="1"/>
  </cols>
  <sheetData>
    <row r="1" spans="1:12" ht="12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5" customHeight="1" x14ac:dyDescent="0.3">
      <c r="A2" s="2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"/>
    </row>
    <row r="3" spans="1:12" ht="23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 x14ac:dyDescent="0.3">
      <c r="A4" s="2"/>
      <c r="L4" s="2"/>
    </row>
    <row r="5" spans="1:12" ht="23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32" customHeight="1" x14ac:dyDescent="0.3">
      <c r="A6" s="2"/>
      <c r="B6" s="23" t="s">
        <v>1</v>
      </c>
      <c r="C6" s="24"/>
      <c r="D6" s="24"/>
      <c r="E6" s="2"/>
      <c r="F6" s="23" t="s">
        <v>2</v>
      </c>
      <c r="G6" s="24"/>
      <c r="H6" s="24"/>
      <c r="I6" s="2"/>
      <c r="J6" s="2"/>
      <c r="K6" s="2"/>
      <c r="L6" s="2"/>
    </row>
    <row r="7" spans="1:12" ht="31" customHeight="1" x14ac:dyDescent="0.3">
      <c r="A7" s="2"/>
      <c r="B7" s="4" t="inlineStr">
        <is>
          <t>Ramp 角度补偿</t>
        </is>
      </c>
      <c r="C7" s="5">
        <v>5</v>
      </c>
      <c r="D7" s="6" t="s">
        <v>4</v>
      </c>
      <c r="E7" s="2"/>
      <c r="F7" s="7" t="s">
        <v>5</v>
      </c>
      <c r="G7" s="7" t="s">
        <v>6</v>
      </c>
      <c r="H7" s="7" t="s">
        <v>7</v>
      </c>
      <c r="I7" s="2"/>
      <c r="J7" s="2"/>
      <c r="K7" s="2"/>
      <c r="L7" s="2"/>
    </row>
    <row r="8" spans="1:12" ht="31" customHeight="1" x14ac:dyDescent="0.3">
      <c r="A8" s="2"/>
      <c r="B8" s="8" t="s">
        <v>8</v>
      </c>
      <c r="C8" s="5">
        <v>8</v>
      </c>
      <c r="D8" s="9" t="s">
        <v>9</v>
      </c>
      <c r="E8" s="2"/>
      <c r="F8" s="4" t="inlineStr">
        <is>
          <t>校核 1</t>
        </is>
      </c>
      <c r="G8" s="5">
        <v>40</v>
      </c>
      <c r="H8" s="5">
        <v>4</v>
      </c>
      <c r="I8" s="2"/>
      <c r="J8" s="2"/>
      <c r="K8" s="2"/>
      <c r="L8" s="2"/>
    </row>
    <row r="9" spans="1:12" ht="31" customHeight="1" x14ac:dyDescent="0.3">
      <c r="A9" s="2"/>
      <c r="B9" s="4" t="inlineStr">
        <is>
          <t>基础游戏系数</t>
        </is>
      </c>
      <c r="C9" s="10">
        <v>0.35</v>
      </c>
      <c r="D9" s="4" t="s">
        <v>12</v>
      </c>
      <c r="E9" s="2"/>
      <c r="F9" s="8" t="inlineStr">
        <is>
          <t>校核 2</t>
        </is>
      </c>
      <c r="G9" s="5">
        <v>35</v>
      </c>
      <c r="H9" s="5">
        <v>8</v>
      </c>
      <c r="I9" s="2"/>
      <c r="J9" s="2"/>
      <c r="K9" s="2"/>
      <c r="L9" s="2"/>
    </row>
    <row r="10" spans="1:12" ht="31" customHeight="1" x14ac:dyDescent="0.3">
      <c r="A10" s="2"/>
      <c r="B10" s="8"/>
      <c r="C10" s="27"/>
      <c r="D10" s="8"/>
      <c r="E10" s="2"/>
      <c r="F10" s="2"/>
      <c r="G10" s="2"/>
      <c r="H10" s="2"/>
      <c r="I10" s="2"/>
      <c r="J10" s="2"/>
      <c r="K10" s="2"/>
      <c r="L10" s="2"/>
    </row>
    <row r="11" spans="1:12" ht="31" customHeight="1" x14ac:dyDescent="0.3">
      <c r="A11" s="2"/>
      <c r="B11" s="4" t="s">
        <v>14</v>
      </c>
      <c r="C11" s="5">
        <v>2</v>
      </c>
      <c r="D11" s="4" t="s">
        <v>15</v>
      </c>
      <c r="E11" s="2"/>
      <c r="F11" s="2"/>
      <c r="G11" s="2"/>
      <c r="H11" s="2"/>
      <c r="I11" s="2"/>
      <c r="J11" s="2"/>
      <c r="K11" s="2"/>
      <c r="L11" s="2"/>
    </row>
    <row r="12" spans="1:12" ht="23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3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32" customHeight="1" x14ac:dyDescent="0.3">
      <c r="A14" s="2"/>
      <c r="B14" s="23" t="s">
        <v>16</v>
      </c>
      <c r="C14" s="24"/>
      <c r="D14" s="24"/>
      <c r="E14" s="2"/>
      <c r="F14" s="23" t="s">
        <v>17</v>
      </c>
      <c r="G14" s="24"/>
      <c r="H14" s="24"/>
      <c r="I14" s="2"/>
      <c r="J14" s="2"/>
      <c r="K14" s="2"/>
      <c r="L14" s="2"/>
    </row>
    <row r="15" spans="1:12" ht="23" customHeight="1" x14ac:dyDescent="0.3">
      <c r="A15" s="2"/>
      <c r="B15" s="7" t="s">
        <v>18</v>
      </c>
      <c r="C15" s="7" t="s">
        <v>6</v>
      </c>
      <c r="D15" s="3"/>
      <c r="E15" s="2"/>
      <c r="F15" s="7" t="s">
        <v>5</v>
      </c>
      <c r="G15" s="7" t="s">
        <v>7</v>
      </c>
      <c r="H15" s="2"/>
      <c r="I15" s="2"/>
      <c r="J15" s="2"/>
      <c r="K15" s="2"/>
      <c r="L15" s="2"/>
    </row>
    <row r="16" spans="1:12" ht="31" customHeight="1" x14ac:dyDescent="0.3">
      <c r="A16" s="2"/>
      <c r="B16" s="6" t="s">
        <v>19</v>
      </c>
      <c r="C16" s="5">
        <v>46</v>
      </c>
      <c r="D16" s="2"/>
      <c r="E16" s="2"/>
      <c r="F16" s="11" t="str">
        <f>G16&amp;"+"&amp;G16</f>
        <v>4+4</v>
      </c>
      <c r="G16" s="5">
        <v>4</v>
      </c>
      <c r="H16" s="2"/>
      <c r="I16" s="2"/>
      <c r="J16" s="2"/>
      <c r="K16" s="2"/>
      <c r="L16" s="2"/>
    </row>
    <row r="17" spans="1:12" ht="31" customHeight="1" x14ac:dyDescent="0.3">
      <c r="A17" s="2"/>
      <c r="B17" s="9" t="s">
        <v>19</v>
      </c>
      <c r="C17" s="5">
        <v>50</v>
      </c>
      <c r="D17" s="2"/>
      <c r="E17" s="2"/>
      <c r="F17" s="12" t="str">
        <f>G17&amp;"+"&amp;G17</f>
        <v>6+6</v>
      </c>
      <c r="G17" s="5">
        <v>6</v>
      </c>
      <c r="H17" s="2"/>
      <c r="I17" s="2"/>
      <c r="J17" s="2"/>
      <c r="K17" s="2"/>
      <c r="L17" s="2"/>
    </row>
    <row r="18" spans="1:12" ht="31" customHeight="1" x14ac:dyDescent="0.3">
      <c r="A18" s="2"/>
      <c r="B18" s="6" t="s">
        <v>19</v>
      </c>
      <c r="C18" s="5">
        <v>62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 ht="31" customHeight="1" x14ac:dyDescent="0.3">
      <c r="A19" s="2"/>
      <c r="B19" s="9" t="s">
        <v>20</v>
      </c>
      <c r="C19" s="5">
        <v>40</v>
      </c>
      <c r="D19" s="2"/>
      <c r="E19" s="2"/>
      <c r="L19" s="2"/>
    </row>
    <row r="20" spans="1:12" ht="31" customHeight="1" x14ac:dyDescent="0.3">
      <c r="A20" s="2"/>
      <c r="B20" s="6" t="s">
        <v>20</v>
      </c>
      <c r="C20" s="5">
        <v>46</v>
      </c>
      <c r="D20" s="2"/>
      <c r="E20" s="2"/>
      <c r="L20" s="2"/>
    </row>
    <row r="21" spans="1:12" ht="31" customHeight="1" x14ac:dyDescent="0.3">
      <c r="A21" s="2"/>
      <c r="B21" s="9" t="s">
        <v>20</v>
      </c>
      <c r="C21" s="5">
        <v>54</v>
      </c>
      <c r="D21" s="2"/>
      <c r="E21" s="2"/>
      <c r="L21" s="2"/>
    </row>
    <row r="22" spans="1:12" ht="31" customHeight="1" x14ac:dyDescent="0.3">
      <c r="A22" s="2"/>
      <c r="B22" s="6" t="s">
        <v>21</v>
      </c>
      <c r="C22" s="5">
        <v>70</v>
      </c>
      <c r="D22" s="2"/>
      <c r="E22" s="2"/>
      <c r="L22" s="2"/>
    </row>
    <row r="23" spans="1:12" ht="31" customHeight="1" x14ac:dyDescent="0.3">
      <c r="A23" s="2"/>
      <c r="B23" s="9" t="s">
        <v>21</v>
      </c>
      <c r="C23" s="5">
        <v>80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ht="23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32" customHeight="1" x14ac:dyDescent="0.3">
      <c r="A25" s="2"/>
      <c r="L25" s="2"/>
    </row>
    <row r="26" spans="1:12" ht="23" customHeight="1" x14ac:dyDescent="0.3">
      <c r="A26" s="2"/>
      <c r="L26" s="2"/>
    </row>
    <row r="27" spans="1:12" ht="23" customHeight="1" x14ac:dyDescent="0.3">
      <c r="A27" s="2"/>
      <c r="L27" s="2"/>
    </row>
    <row r="28" spans="1:12" ht="23" customHeight="1" x14ac:dyDescent="0.3">
      <c r="A28" s="2"/>
      <c r="L28" s="2"/>
    </row>
    <row r="29" spans="1:12" ht="23" customHeight="1" x14ac:dyDescent="0.3">
      <c r="A29" s="2"/>
      <c r="L29" s="2"/>
    </row>
    <row r="30" spans="1:12" ht="23" customHeight="1" x14ac:dyDescent="0.3">
      <c r="A30" s="2"/>
      <c r="L30" s="2"/>
    </row>
    <row r="31" spans="1:12" ht="23" customHeight="1" x14ac:dyDescent="0.3">
      <c r="A31" s="2"/>
      <c r="L31" s="2"/>
    </row>
    <row r="32" spans="1:12" ht="23" customHeight="1" x14ac:dyDescent="0.3">
      <c r="A32" s="2"/>
      <c r="L32" s="2"/>
    </row>
    <row r="33" spans="1:12" ht="23" customHeight="1" x14ac:dyDescent="0.3">
      <c r="A33" s="2"/>
      <c r="L33" s="2"/>
    </row>
    <row r="34" spans="1:12" ht="23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3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mergeCells count="5">
    <mergeCell ref="B2:K2"/>
    <mergeCell ref="B6:D6"/>
    <mergeCell ref="F6:H6"/>
    <mergeCell ref="F14:H14"/>
    <mergeCell ref="B14:D14"/>
  </mergeCells>
  <phoneticPr fontId="4" type="noConversion"/>
  <dataValidations count="2">
    <dataValidation type="decimal" sqref="C7 G8:G9 C16:C23" xr:uid="{00000000-0002-0000-0100-000000000000}">
      <formula1>1</formula1>
      <formula2>90</formula2>
    </dataValidation>
    <dataValidation type="whole" operator="greaterThan" sqref="C8 H8:H9 G16:G17" xr:uid="{00000000-0002-0000-0100-000003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A0AC"/>
  </sheetPr>
  <dimension ref="A1:J26"/>
  <sheetViews>
    <sheetView showGridLines="0" workbookViewId="0">
      <pane ySplit="5" topLeftCell="A6" activePane="bottomLeft" state="frozen"/>
      <selection pane="bottomLeft"/>
    </sheetView>
  </sheetViews>
  <sheetFormatPr defaultRowHeight="14" x14ac:dyDescent="0.3"/>
  <cols>
    <col min="1" max="1" width="3" customWidth="1"/>
    <col min="2" max="2" width="18" customWidth="1"/>
    <col min="3" max="4" width="11" customWidth="1"/>
    <col min="5" max="5" width="20" customWidth="1"/>
    <col min="6" max="8" width="21" customWidth="1"/>
    <col min="9" max="10" width="10.5" customWidth="1"/>
  </cols>
  <sheetData>
    <row r="1" spans="1:10" ht="12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5" customHeight="1" x14ac:dyDescent="0.3">
      <c r="A2" s="2"/>
      <c r="B2" s="21" t="s">
        <v>22</v>
      </c>
      <c r="C2" s="22"/>
      <c r="D2" s="22"/>
      <c r="E2" s="22"/>
      <c r="F2" s="22"/>
      <c r="G2" s="22"/>
      <c r="H2" s="22"/>
      <c r="I2" s="22"/>
      <c r="J2" s="2"/>
    </row>
    <row r="3" spans="1:10" ht="23" customHeight="1" x14ac:dyDescent="0.3">
      <c r="A3" s="2"/>
      <c r="J3" s="2"/>
    </row>
    <row r="4" spans="1:10" ht="23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32" customHeight="1" x14ac:dyDescent="0.3">
      <c r="A5" s="2"/>
      <c r="B5" s="13" t="s">
        <v>18</v>
      </c>
      <c r="C5" s="14" t="s">
        <v>23</v>
      </c>
      <c r="D5" s="13" t="s">
        <v>7</v>
      </c>
      <c r="E5" s="13" t="s">
        <v>5</v>
      </c>
      <c r="F5" s="13" t="s">
        <v>24</v>
      </c>
      <c r="G5" s="13" t="s">
        <v>25</v>
      </c>
      <c r="H5" s="13" t="s">
        <v>26</v>
      </c>
      <c r="I5" s="2"/>
      <c r="J5" s="2"/>
    </row>
    <row r="6" spans="1:10" ht="31" customHeight="1" x14ac:dyDescent="0.3">
      <c r="A6" s="2"/>
      <c r="B6" s="6" t="s">
        <v>19</v>
      </c>
      <c r="C6" s="15">
        <f>Parameters!C16</f>
        <v>46</v>
      </c>
      <c r="D6" s="15">
        <f>Parameters!G17</f>
        <v>6</v>
      </c>
      <c r="E6" s="11" t="str">
        <f>C6&amp;"° / "&amp;D6&amp;"+"&amp;D6</f>
        <v>46° / 6+6</v>
      </c>
      <c r="F6" s="16">
        <f>Parameters!$C$9*(D6/Parameters!$C$8)/TAN((C6+Parameters!$C$7)*PI()/180)</f>
        <v>0.2125683087136894</v>
      </c>
      <c r="G6" s="17">
        <f>F6*Parameters!$C$11</f>
        <v>0.4251366174273788</v>
      </c>
      <c r="H6" s="17">
        <f>G6/$G$6</f>
        <v>1</v>
      </c>
      <c r="I6" s="2"/>
      <c r="J6" s="2"/>
    </row>
    <row r="7" spans="1:10" ht="31" customHeight="1" x14ac:dyDescent="0.3">
      <c r="A7" s="2"/>
      <c r="B7" s="9" t="s">
        <v>19</v>
      </c>
      <c r="C7" s="18">
        <f>Parameters!C17</f>
        <v>50</v>
      </c>
      <c r="D7" s="18">
        <f>Parameters!G17</f>
        <v>6</v>
      </c>
      <c r="E7" s="12" t="str">
        <f>C7&amp;"° / "&amp;D7&amp;"+"&amp;D7</f>
        <v>50° / 6+6</v>
      </c>
      <c r="F7" s="19">
        <f>Parameters!$C$9*(D7/Parameters!$C$8)/TAN((C7+Parameters!$C$7)*PI()/180)</f>
        <v>0.1838044787800488</v>
      </c>
      <c r="G7" s="20">
        <f>F7*Parameters!$C$11</f>
        <v>0.3676089575600976</v>
      </c>
      <c r="H7" s="20">
        <f>G7/$G$6</f>
        <v>0.8646842979195788</v>
      </c>
      <c r="I7" s="2"/>
      <c r="J7" s="2"/>
    </row>
    <row r="8" spans="1:10" ht="31" customHeight="1" x14ac:dyDescent="0.3">
      <c r="A8" s="2"/>
      <c r="B8" s="6" t="s">
        <v>19</v>
      </c>
      <c r="C8" s="15">
        <f>Parameters!C16</f>
        <v>46</v>
      </c>
      <c r="D8" s="15">
        <f>Parameters!G16</f>
        <v>4</v>
      </c>
      <c r="E8" s="11" t="str">
        <f>C8&amp;"° / "&amp;D8&amp;"+"&amp;D8</f>
        <v>46° / 4+4</v>
      </c>
      <c r="F8" s="16">
        <f>Parameters!$C$9*(D8/Parameters!$C$8)/TAN((C8+Parameters!$C$7)*PI()/180)</f>
        <v>0.14171220580912627</v>
      </c>
      <c r="G8" s="17">
        <f>F8*Parameters!$C$11</f>
        <v>0.28342441161825255</v>
      </c>
      <c r="H8" s="17">
        <f>G8/$G$6</f>
        <v>0.6666666666666667</v>
      </c>
      <c r="I8" s="2"/>
      <c r="J8" s="2"/>
    </row>
    <row r="9" spans="1:10" ht="31" customHeight="1" x14ac:dyDescent="0.3">
      <c r="A9" s="2"/>
      <c r="B9" s="9" t="s">
        <v>19</v>
      </c>
      <c r="C9" s="18">
        <f>Parameters!C17</f>
        <v>50</v>
      </c>
      <c r="D9" s="18">
        <f>Parameters!G16</f>
        <v>4</v>
      </c>
      <c r="E9" s="12" t="str">
        <f>C9&amp;"° / "&amp;D9&amp;"+"&amp;D9</f>
        <v>50° / 4+4</v>
      </c>
      <c r="F9" s="19">
        <f>Parameters!$C$9*(D9/Parameters!$C$8)/TAN((C9+Parameters!$C$7)*PI()/180)</f>
        <v>0.12253631918669922</v>
      </c>
      <c r="G9" s="20">
        <f>F9*Parameters!$C$11</f>
        <v>0.24507263837339843</v>
      </c>
      <c r="H9" s="20">
        <f>G9/$G$6</f>
        <v>0.5764561986130526</v>
      </c>
      <c r="I9" s="2"/>
      <c r="J9" s="2"/>
    </row>
    <row r="10" spans="1:10" ht="31" customHeight="1" x14ac:dyDescent="0.3">
      <c r="A10" s="2"/>
      <c r="B10" s="6" t="s">
        <v>19</v>
      </c>
      <c r="C10" s="15">
        <f>Parameters!C18</f>
        <v>62</v>
      </c>
      <c r="D10" s="15">
        <f>Parameters!G17</f>
        <v>6</v>
      </c>
      <c r="E10" s="11" t="str">
        <f>C10&amp;"° / "&amp;D10&amp;"+"&amp;D10</f>
        <v>62° / 6+6</v>
      </c>
      <c r="F10" s="16">
        <f>Parameters!$C$9*(D10/Parameters!$C$8)/TAN((C10+Parameters!$C$7)*PI()/180)</f>
        <v>0.11142463925502127</v>
      </c>
      <c r="G10" s="17">
        <f>F10*Parameters!$C$11</f>
        <v>0.22284927851004255</v>
      </c>
      <c r="H10" s="17">
        <f>G10/$G$6</f>
        <v>0.5241827435579796</v>
      </c>
      <c r="I10" s="2"/>
      <c r="J10" s="2"/>
    </row>
    <row r="11" spans="1:10" ht="31" customHeight="1" x14ac:dyDescent="0.3">
      <c r="A11" s="2"/>
      <c r="B11" s="9" t="s">
        <v>19</v>
      </c>
      <c r="C11" s="18">
        <f>Parameters!C18</f>
        <v>62</v>
      </c>
      <c r="D11" s="18">
        <f>Parameters!G16</f>
        <v>4</v>
      </c>
      <c r="E11" s="12" t="str">
        <f>C11&amp;"° / "&amp;D11&amp;"+"&amp;D11</f>
        <v>62° / 4+4</v>
      </c>
      <c r="F11" s="19">
        <f>Parameters!$C$9*(D11/Parameters!$C$8)/TAN((C11+Parameters!$C$7)*PI()/180)</f>
        <v>0.07428309283668086</v>
      </c>
      <c r="G11" s="20">
        <f>F11*Parameters!$C$11</f>
        <v>0.14856618567336172</v>
      </c>
      <c r="H11" s="20">
        <f>G11/$G$6</f>
        <v>0.34945516237198637</v>
      </c>
      <c r="I11" s="2"/>
      <c r="J11" s="2"/>
    </row>
    <row r="12" spans="1:10" ht="31" customHeight="1" x14ac:dyDescent="0.3">
      <c r="A12" s="2"/>
      <c r="B12" s="6" t="s">
        <v>20</v>
      </c>
      <c r="C12" s="15">
        <f>Parameters!C19</f>
        <v>40</v>
      </c>
      <c r="D12" s="15">
        <f>Parameters!G17</f>
        <v>6</v>
      </c>
      <c r="E12" s="11" t="str">
        <f>C12&amp;"° / "&amp;D12&amp;"+"&amp;D12</f>
        <v>40° / 6+6</v>
      </c>
      <c r="F12" s="16">
        <f>Parameters!$C$9*(D12/Parameters!$C$8)/TAN((C12+Parameters!$C$7)*PI()/180)</f>
        <v>0.2625</v>
      </c>
      <c r="G12" s="17">
        <f>F12*Parameters!$C$11</f>
        <v>0.525</v>
      </c>
      <c r="H12" s="17">
        <f>G12/$G$12</f>
        <v>1</v>
      </c>
      <c r="I12" s="2"/>
      <c r="J12" s="2"/>
    </row>
    <row r="13" spans="1:10" ht="31" customHeight="1" x14ac:dyDescent="0.3">
      <c r="A13" s="2"/>
      <c r="B13" s="9" t="s">
        <v>20</v>
      </c>
      <c r="C13" s="18">
        <f>Parameters!C20</f>
        <v>46</v>
      </c>
      <c r="D13" s="18">
        <f>Parameters!G17</f>
        <v>6</v>
      </c>
      <c r="E13" s="12" t="str">
        <f>C13&amp;"° / "&amp;D13&amp;"+"&amp;D13</f>
        <v>46° / 6+6</v>
      </c>
      <c r="F13" s="19">
        <f>Parameters!$C$9*(D13/Parameters!$C$8)/TAN((C13+Parameters!$C$7)*PI()/180)</f>
        <v>0.2125683087136894</v>
      </c>
      <c r="G13" s="20">
        <f>F13*Parameters!$C$11</f>
        <v>0.4251366174273788</v>
      </c>
      <c r="H13" s="20">
        <f>G13/$G$12</f>
        <v>0.8097840331950072</v>
      </c>
      <c r="I13" s="2"/>
      <c r="J13" s="2"/>
    </row>
    <row r="14" spans="1:10" ht="31" customHeight="1" x14ac:dyDescent="0.3">
      <c r="A14" s="2"/>
      <c r="B14" s="6" t="s">
        <v>20</v>
      </c>
      <c r="C14" s="15">
        <f>Parameters!C19</f>
        <v>40</v>
      </c>
      <c r="D14" s="15">
        <f>Parameters!G16</f>
        <v>4</v>
      </c>
      <c r="E14" s="11" t="str">
        <f>C14&amp;"° / "&amp;D14&amp;"+"&amp;D14</f>
        <v>40° / 4+4</v>
      </c>
      <c r="F14" s="16">
        <f>Parameters!$C$9*(D14/Parameters!$C$8)/TAN((C14+Parameters!$C$7)*PI()/180)</f>
        <v>0.17500000000000002</v>
      </c>
      <c r="G14" s="17">
        <f>F14*Parameters!$C$11</f>
        <v>0.35000000000000003</v>
      </c>
      <c r="H14" s="17">
        <f>G14/$G$12</f>
        <v>0.6666666666666667</v>
      </c>
      <c r="I14" s="2"/>
      <c r="J14" s="2"/>
    </row>
    <row r="15" spans="1:10" ht="31" customHeight="1" x14ac:dyDescent="0.3">
      <c r="A15" s="2"/>
      <c r="B15" s="9" t="s">
        <v>20</v>
      </c>
      <c r="C15" s="18">
        <f>Parameters!C21</f>
        <v>54</v>
      </c>
      <c r="D15" s="18">
        <f>Parameters!G17</f>
        <v>6</v>
      </c>
      <c r="E15" s="12" t="str">
        <f>C15&amp;"° / "&amp;D15&amp;"+"&amp;D15</f>
        <v>54° / 6+6</v>
      </c>
      <c r="F15" s="19">
        <f>Parameters!$C$9*(D15/Parameters!$C$8)/TAN((C15+Parameters!$C$7)*PI()/180)</f>
        <v>0.15772591249473464</v>
      </c>
      <c r="G15" s="20">
        <f>F15*Parameters!$C$11</f>
        <v>0.3154518249894693</v>
      </c>
      <c r="H15" s="20">
        <f>G15/$G$12</f>
        <v>0.6008606190275605</v>
      </c>
      <c r="I15" s="2"/>
      <c r="J15" s="2"/>
    </row>
    <row r="16" spans="1:10" ht="31" customHeight="1" x14ac:dyDescent="0.3">
      <c r="A16" s="2"/>
      <c r="B16" s="6" t="s">
        <v>20</v>
      </c>
      <c r="C16" s="15">
        <f>Parameters!C20</f>
        <v>46</v>
      </c>
      <c r="D16" s="15">
        <f>Parameters!G16</f>
        <v>4</v>
      </c>
      <c r="E16" s="11" t="str">
        <f>C16&amp;"° / "&amp;D16&amp;"+"&amp;D16</f>
        <v>46° / 4+4</v>
      </c>
      <c r="F16" s="16">
        <f>Parameters!$C$9*(D16/Parameters!$C$8)/TAN((C16+Parameters!$C$7)*PI()/180)</f>
        <v>0.14171220580912627</v>
      </c>
      <c r="G16" s="17">
        <f>F16*Parameters!$C$11</f>
        <v>0.28342441161825255</v>
      </c>
      <c r="H16" s="17">
        <f>G16/$G$12</f>
        <v>0.5398560221300048</v>
      </c>
      <c r="I16" s="2"/>
      <c r="J16" s="2"/>
    </row>
    <row r="17" spans="1:10" ht="31" customHeight="1" x14ac:dyDescent="0.3">
      <c r="A17" s="2"/>
      <c r="B17" s="9" t="s">
        <v>20</v>
      </c>
      <c r="C17" s="18">
        <f>Parameters!C21</f>
        <v>54</v>
      </c>
      <c r="D17" s="18">
        <f>Parameters!G16</f>
        <v>4</v>
      </c>
      <c r="E17" s="12" t="str">
        <f>C17&amp;"° / "&amp;D17&amp;"+"&amp;D17</f>
        <v>54° / 4+4</v>
      </c>
      <c r="F17" s="19">
        <f>Parameters!$C$9*(D17/Parameters!$C$8)/TAN((C17+Parameters!$C$7)*PI()/180)</f>
        <v>0.1051506083298231</v>
      </c>
      <c r="G17" s="20">
        <f>F17*Parameters!$C$11</f>
        <v>0.2103012166596462</v>
      </c>
      <c r="H17" s="20">
        <f>G17/$G$12</f>
        <v>0.4005737460183737</v>
      </c>
      <c r="I17" s="2"/>
      <c r="J17" s="2"/>
    </row>
    <row r="18" spans="1:10" ht="31" customHeight="1" x14ac:dyDescent="0.3">
      <c r="A18" s="2"/>
      <c r="B18" s="6" t="s">
        <v>21</v>
      </c>
      <c r="C18" s="15">
        <f>Parameters!C22</f>
        <v>70</v>
      </c>
      <c r="D18" s="15">
        <f>Parameters!G17</f>
        <v>6</v>
      </c>
      <c r="E18" s="11" t="str">
        <f>C18&amp;"° / "&amp;D18&amp;"+"&amp;D18</f>
        <v>70° / 6+6</v>
      </c>
      <c r="F18" s="16">
        <f>Parameters!$C$9*(D18/Parameters!$C$8)/TAN((C18+Parameters!$C$7)*PI()/180)</f>
        <v>0.0703366630131697</v>
      </c>
      <c r="G18" s="17">
        <f>F18*Parameters!$C$11</f>
        <v>0.1406733260263394</v>
      </c>
      <c r="H18" s="17">
        <f>G18/$G$18</f>
        <v>1</v>
      </c>
      <c r="I18" s="2"/>
      <c r="J18" s="2"/>
    </row>
    <row r="19" spans="1:10" ht="31" customHeight="1" x14ac:dyDescent="0.3">
      <c r="A19" s="2"/>
      <c r="B19" s="9" t="s">
        <v>21</v>
      </c>
      <c r="C19" s="18">
        <f>Parameters!C22</f>
        <v>70</v>
      </c>
      <c r="D19" s="18">
        <f>Parameters!G16</f>
        <v>4</v>
      </c>
      <c r="E19" s="12" t="str">
        <f>C19&amp;"° / "&amp;D19&amp;"+"&amp;D19</f>
        <v>70° / 4+4</v>
      </c>
      <c r="F19" s="19">
        <f>Parameters!$C$9*(D19/Parameters!$C$8)/TAN((C19+Parameters!$C$7)*PI()/180)</f>
        <v>0.04689110867544646</v>
      </c>
      <c r="G19" s="20">
        <f>F19*Parameters!$C$11</f>
        <v>0.09378221735089293</v>
      </c>
      <c r="H19" s="20">
        <f>G19/$G$18</f>
        <v>0.6666666666666666</v>
      </c>
      <c r="I19" s="2"/>
      <c r="J19" s="2"/>
    </row>
    <row r="20" spans="1:10" ht="31" customHeight="1" x14ac:dyDescent="0.3">
      <c r="A20" s="2"/>
      <c r="B20" s="6" t="s">
        <v>21</v>
      </c>
      <c r="C20" s="15">
        <f>Parameters!C23</f>
        <v>80</v>
      </c>
      <c r="D20" s="15">
        <f>Parameters!G17</f>
        <v>6</v>
      </c>
      <c r="E20" s="11" t="str">
        <f>C20&amp;"° / "&amp;D20&amp;"+"&amp;D20</f>
        <v>80° / 6+6</v>
      </c>
      <c r="F20" s="16">
        <f>Parameters!$C$9*(D20/Parameters!$C$8)/TAN((C20+Parameters!$C$7)*PI()/180)</f>
        <v>0.022965774175555037</v>
      </c>
      <c r="G20" s="17">
        <f>F20*Parameters!$C$11</f>
        <v>0.045931548351110074</v>
      </c>
      <c r="H20" s="17">
        <f>G20/$G$18</f>
        <v>0.3265121373650463</v>
      </c>
      <c r="I20" s="2"/>
      <c r="J20" s="2"/>
    </row>
    <row r="21" spans="1:10" ht="31" customHeight="1" x14ac:dyDescent="0.3">
      <c r="A21" s="2"/>
      <c r="B21" s="9" t="s">
        <v>21</v>
      </c>
      <c r="C21" s="18">
        <f>Parameters!C23</f>
        <v>80</v>
      </c>
      <c r="D21" s="18">
        <f>Parameters!G16</f>
        <v>4</v>
      </c>
      <c r="E21" s="12" t="str">
        <f>C21&amp;"° / "&amp;D21&amp;"+"&amp;D21</f>
        <v>80° / 4+4</v>
      </c>
      <c r="F21" s="19">
        <f>Parameters!$C$9*(D21/Parameters!$C$8)/TAN((C21+Parameters!$C$7)*PI()/180)</f>
        <v>0.015310516117036693</v>
      </c>
      <c r="G21" s="20">
        <f>F21*Parameters!$C$11</f>
        <v>0.030621032234073385</v>
      </c>
      <c r="H21" s="20">
        <f>G21/$G$18</f>
        <v>0.21767475824336424</v>
      </c>
      <c r="I21" s="2"/>
      <c r="J21" s="2"/>
    </row>
    <row r="22" spans="1:10" ht="31" customHeight="1" x14ac:dyDescent="0.3">
      <c r="A22" s="2"/>
      <c r="B22" s="6" t="inlineStr">
        <is>
          <t>Check 1</t>
        </is>
      </c>
      <c r="C22" s="15">
        <f>Parameters!G8</f>
        <v>40</v>
      </c>
      <c r="D22" s="15">
        <f>Parameters!H8</f>
        <v>4</v>
      </c>
      <c r="E22" s="11" t="str">
        <f>C22&amp;"° / "&amp;D22&amp;"+"&amp;D22</f>
        <v>40° / 4+4</v>
      </c>
      <c r="F22" s="16">
        <f>Parameters!$C$9*(D22/Parameters!$C$8)/TAN((C22+Parameters!$C$7)*PI()/180)</f>
        <v>0.17500000000000002</v>
      </c>
      <c r="G22" s="17">
        <f>F22*Parameters!$C$11</f>
        <v>0.35000000000000003</v>
      </c>
      <c r="H22" s="17"/>
      <c r="I22" s="2"/>
      <c r="J22" s="2"/>
    </row>
    <row r="23" spans="1:10" ht="31" customHeight="1" x14ac:dyDescent="0.3">
      <c r="A23" s="2"/>
      <c r="B23" s="9" t="inlineStr">
        <is>
          <t>Check 2</t>
        </is>
      </c>
      <c r="C23" s="18">
        <f>Parameters!G9</f>
        <v>35</v>
      </c>
      <c r="D23" s="18">
        <f>Parameters!H9</f>
        <v>8</v>
      </c>
      <c r="E23" s="12" t="str">
        <f>C23&amp;"° / "&amp;D23&amp;"+"&amp;D23</f>
        <v>35° / 8+8</v>
      </c>
      <c r="F23" s="19">
        <f>Parameters!$C$9*(D23/Parameters!$C$8)/TAN((C23+Parameters!$C$7)*PI()/180)</f>
        <v>0.4171137574079735</v>
      </c>
      <c r="G23" s="20">
        <f>F23*Parameters!$C$11</f>
        <v>0.834227514815947</v>
      </c>
      <c r="H23" s="20"/>
      <c r="I23" s="2"/>
      <c r="J23" s="2"/>
    </row>
    <row r="24" spans="1:10" ht="23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3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3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B2:I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Graph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2026-10-15T17:39:54Z</dcterms:modified>
</cp:coreProperties>
</file>