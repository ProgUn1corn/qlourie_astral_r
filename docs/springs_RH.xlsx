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70F44A3B-6888-43F5-9409-D487EEF4090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WRC" sheetId="1" r:id="rId1"/>
    <sheet name="Rally2" sheetId="2" r:id="rId2"/>
    <sheet name="RX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<sst xmlns="http://schemas.openxmlformats.org/spreadsheetml/2006/main" count="139" uniqueCount="29">
  <si>
    <t>Astral · WRC springs &amp; ride height</t>
  </si>
  <si>
    <t>Ride height · 实测记录</t>
  </si>
  <si>
    <t>Helper</t>
  </si>
  <si>
    <t>配置</t>
  </si>
  <si>
    <t>前 fg3 (mm)</t>
  </si>
  <si>
    <t>后 rg1 (mm)</t>
  </si>
  <si>
    <t>刚度 (N/mm)</t>
  </si>
  <si>
    <t>Gravel</t>
  </si>
  <si>
    <t>自由长度 (mm)</t>
  </si>
  <si>
    <t>Tarmac</t>
  </si>
  <si>
    <t>Gravel · 前轴主弹簧</t>
  </si>
  <si>
    <t>Gravel · 后轴主弹簧</t>
  </si>
  <si>
    <t>颜色</t>
  </si>
  <si>
    <t>黑色</t>
  </si>
  <si>
    <t>红色</t>
  </si>
  <si>
    <t>Tarmac · 前轴主弹簧</t>
  </si>
  <si>
    <t>Tarmac · 后轴主弹簧</t>
  </si>
  <si>
    <t>测量条件：15 km/h、空挡滚动。</t>
  </si>
  <si>
    <t>Astral · Rally2 springs &amp; ride height</t>
  </si>
  <si>
    <t>Astral · RX springs &amp; ride height</t>
  </si>
  <si>
    <t>RX1</t>
  </si>
  <si>
    <t>RX3</t>
  </si>
  <si>
    <t>RX1 · 前轴主弹簧</t>
  </si>
  <si>
    <t>RX1 · 后轴主弹簧</t>
  </si>
  <si>
    <t>RX3 · 前轴主弹簧</t>
  </si>
  <si>
    <t>RX3 · 后轴主弹簧</t>
  </si>
  <si>
    <t>RX 沿用现有注释，尚待重新标定。</t>
  </si>
  <si>
    <t>黄色单元格为手动输入。</t>
  </si>
  <si>
    <t>RX3 后车高测点待确认。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</si>
</sst>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"/>
    <numFmt numFmtId="178" formatCode="0"/>
    <numFmt numFmtId="179" formatCode="0.0%"/>
  </numFmts>
  <fonts count="81">
    <font>
      <sz val="11"/>
      <name val="Carlito"/>
    </font>
    <font>
      <sz val="11"/>
      <color rgb="FF283C50"/>
      <name val="Arial"/>
      <family val="2"/>
    </font>
    <font>
      <sz val="10"/>
      <color rgb="FF667B91"/>
      <name val="Arial"/>
      <family val="2"/>
    </font>
    <font>
      <b/>
      <sz val="11"/>
      <color rgb="FFFFFFFF"/>
      <name val="Arial"/>
      <family val="2"/>
    </font>
    <font>
      <sz val="9"/>
      <name val="宋体"/>
      <family val="3"/>
      <charset val="134"/>
    </font>
    <font>
      <b/>
      <sz val="20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000000"/>
      <name val="微软雅黑"/>
      <family val="2"/>
      <charset val="134"/>
    </font>
    <font>
      <b/>
      <sz val="11"/>
      <color rgb="FFC0000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C00000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name val="Carlito"/>
    </font>
    <font>
      <sz val="11"/>
      <color rgb="FF283C50"/>
      <name val="Arial"/>
      <family val="2"/>
    </font>
    <font>
      <sz val="10"/>
      <color rgb="FF667B91"/>
      <name val="Arial"/>
      <family val="2"/>
    </font>
    <font>
      <b/>
      <sz val="11"/>
      <color rgb="FFFFFFFF"/>
      <name val="Arial"/>
      <family val="2"/>
    </font>
    <font>
      <sz val="9"/>
      <name val="宋体"/>
      <family val="3"/>
    </font>
    <font>
      <b/>
      <sz val="20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2"/>
      <color rgb="FFFFFFFF"/>
      <name val="微软雅黑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</font>
    <font>
      <sz val="11"/>
      <color rgb="FF667B91"/>
      <name val="微软雅黑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微软雅黑"/>
      <family val="2"/>
    </font>
    <font>
      <b/>
      <sz val="12"/>
      <color rgb="FFFFFFFF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000000"/>
      <name val="微软雅黑"/>
      <family val="2"/>
    </font>
    <font>
      <b/>
      <sz val="11"/>
      <color rgb="FFC0000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C00000"/>
      <name val="微软雅黑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</font>
    <font>
      <b/>
      <sz val="12"/>
      <color rgb="FF283C50"/>
      <name val="Microsoft YaHei"/>
    </font>
    <font>
      <b/>
      <sz val="12"/>
      <color rgb="FFFFFFFF"/>
      <name val="Arial"/>
    </font>
    <font>
      <b/>
      <sz val="12"/>
      <color rgb="FFFFFFFF"/>
      <name val="Microsoft YaHei"/>
    </font>
    <font>
      <sz val="11"/>
      <color rgb="FF283C50"/>
      <name val="Microsoft YaHei"/>
    </font>
    <font>
      <sz val="10"/>
      <color rgb="FF667B91"/>
      <name val="Arial"/>
    </font>
    <font>
      <sz val="10"/>
      <color rgb="FF667B91"/>
      <name val="Microsoft YaHei"/>
    </font>
  </fonts>
  <fills count="7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</fills>
  <borders count="6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37" fillId="36" borderId="33"/>
  </cellStyleXfs>
  <cellXfs count="103">
    <xf numFmtId="0" fontId="0" fillId="0" borderId="0" xfId="0"/>
    <xf numFmtId="0" fontId="5" fillId="4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2" fillId="3" borderId="0" xfId="0" applyFont="1" applyFill="1"/>
    <xf numFmtId="0" fontId="3" fillId="3" borderId="0" xfId="0" applyFont="1" applyFill="1" applyAlignment="1">
      <alignment vertical="center"/>
    </xf>
    <xf numFmtId="1" fontId="1" fillId="2" borderId="0" xfId="0" applyNumberFormat="1" applyFont="1" applyFill="1" applyAlignment="1">
      <alignment vertical="center"/>
    </xf>
    <xf numFmtId="0" fontId="10" fillId="9" borderId="6" xfId="0" applyFont="1" applyFill="1" applyBorder="1" applyAlignment="1">
      <alignment horizontal="center" vertical="center" wrapText="1"/>
    </xf>
    <xf numFmtId="176" fontId="13" fillId="12" borderId="9" xfId="0" applyNumberFormat="1" applyFont="1" applyFill="1" applyBorder="1" applyAlignment="1">
      <alignment horizontal="right" vertical="center"/>
    </xf>
    <xf numFmtId="0" fontId="14" fillId="13" borderId="10" xfId="0" applyFont="1" applyFill="1" applyBorder="1" applyAlignment="1">
      <alignment horizontal="left" vertical="center"/>
    </xf>
    <xf numFmtId="1" fontId="15" fillId="14" borderId="11" xfId="0" applyNumberFormat="1" applyFont="1" applyFill="1" applyBorder="1" applyAlignment="1">
      <alignment horizontal="right" vertical="center"/>
    </xf>
    <xf numFmtId="1" fontId="18" fillId="17" borderId="14" xfId="0" applyNumberFormat="1" applyFont="1" applyFill="1" applyBorder="1" applyAlignment="1">
      <alignment horizontal="right" vertical="center"/>
    </xf>
    <xf numFmtId="0" fontId="19" fillId="18" borderId="15" xfId="0" applyFont="1" applyFill="1" applyBorder="1" applyAlignment="1">
      <alignment horizontal="left" vertical="center"/>
    </xf>
    <xf numFmtId="1" fontId="20" fillId="19" borderId="16" xfId="0" applyNumberFormat="1" applyFont="1" applyFill="1" applyBorder="1" applyAlignment="1">
      <alignment horizontal="right" vertical="center"/>
    </xf>
    <xf numFmtId="176" fontId="23" fillId="22" borderId="19" xfId="0" applyNumberFormat="1" applyFont="1" applyFill="1" applyBorder="1" applyAlignment="1">
      <alignment horizontal="right" vertical="center"/>
    </xf>
    <xf numFmtId="1" fontId="24" fillId="23" borderId="20" xfId="0" applyNumberFormat="1" applyFont="1" applyFill="1" applyBorder="1" applyAlignment="1">
      <alignment horizontal="right" vertical="center"/>
    </xf>
    <xf numFmtId="0" fontId="25" fillId="24" borderId="21" xfId="0" applyFont="1" applyFill="1" applyBorder="1" applyAlignment="1">
      <alignment horizontal="center" vertical="center"/>
    </xf>
    <xf numFmtId="0" fontId="26" fillId="25" borderId="22" xfId="0" applyFont="1" applyFill="1" applyBorder="1" applyAlignment="1">
      <alignment horizontal="center" vertical="center"/>
    </xf>
    <xf numFmtId="176" fontId="27" fillId="26" borderId="23" xfId="0" applyNumberFormat="1" applyFont="1" applyFill="1" applyBorder="1" applyAlignment="1">
      <alignment horizontal="right" vertical="center"/>
    </xf>
    <xf numFmtId="1" fontId="28" fillId="27" borderId="24" xfId="0" applyNumberFormat="1" applyFont="1" applyFill="1" applyBorder="1" applyAlignment="1">
      <alignment horizontal="right" vertical="center"/>
    </xf>
    <xf numFmtId="0" fontId="29" fillId="28" borderId="25" xfId="0" applyFont="1" applyFill="1" applyBorder="1" applyAlignment="1">
      <alignment horizontal="center" vertical="center"/>
    </xf>
    <xf numFmtId="1" fontId="32" fillId="31" borderId="28" xfId="0" applyNumberFormat="1" applyFont="1" applyFill="1" applyBorder="1" applyAlignment="1">
      <alignment vertical="center"/>
    </xf>
    <xf numFmtId="0" fontId="33" fillId="32" borderId="29" xfId="0" applyFont="1" applyFill="1" applyBorder="1" applyAlignment="1">
      <alignment vertical="center"/>
    </xf>
    <xf numFmtId="1" fontId="34" fillId="33" borderId="30" xfId="0" applyNumberFormat="1" applyFont="1" applyFill="1" applyBorder="1" applyAlignment="1">
      <alignment vertical="center"/>
    </xf>
    <xf numFmtId="0" fontId="35" fillId="34" borderId="31" xfId="0" applyFont="1" applyFill="1" applyBorder="1" applyAlignment="1">
      <alignment vertical="center"/>
    </xf>
    <xf numFmtId="1" fontId="36" fillId="35" borderId="32" xfId="0" applyNumberFormat="1" applyFont="1" applyFill="1" applyBorder="1" applyAlignment="1">
      <alignment vertical="center"/>
    </xf>
    <xf numFmtId="0" fontId="6" fillId="5" borderId="2" xfId="0" applyFont="1" applyFill="1" applyBorder="1" applyAlignment="1">
      <alignment horizontal="left" vertical="center"/>
    </xf>
    <xf numFmtId="0" fontId="7" fillId="6" borderId="3" xfId="0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 wrapText="1"/>
    </xf>
    <xf numFmtId="0" fontId="9" fillId="8" borderId="5" xfId="0" applyFont="1" applyFill="1" applyBorder="1" applyAlignment="1">
      <alignment horizontal="left" vertical="center" wrapText="1"/>
    </xf>
    <xf numFmtId="0" fontId="11" fillId="10" borderId="7" xfId="0" applyFont="1" applyFill="1" applyBorder="1" applyAlignment="1">
      <alignment horizontal="left" vertical="center"/>
    </xf>
    <xf numFmtId="0" fontId="12" fillId="11" borderId="8" xfId="0" applyFont="1" applyFill="1" applyBorder="1" applyAlignment="1">
      <alignment vertical="center"/>
    </xf>
    <xf numFmtId="0" fontId="2" fillId="3" borderId="0" xfId="0" applyFont="1" applyFill="1"/>
    <xf numFmtId="0" fontId="16" fillId="15" borderId="12" xfId="0" applyFont="1" applyFill="1" applyBorder="1" applyAlignment="1">
      <alignment horizontal="left" vertical="center"/>
    </xf>
    <xf numFmtId="0" fontId="17" fillId="16" borderId="13" xfId="0" applyFont="1" applyFill="1" applyBorder="1" applyAlignment="1">
      <alignment vertical="center"/>
    </xf>
    <xf numFmtId="0" fontId="30" fillId="29" borderId="26" xfId="0" applyFont="1" applyFill="1" applyBorder="1" applyAlignment="1">
      <alignment horizontal="left" vertical="center"/>
    </xf>
    <xf numFmtId="0" fontId="31" fillId="30" borderId="27" xfId="0" applyFont="1" applyFill="1" applyBorder="1" applyAlignment="1">
      <alignment horizontal="left" vertical="center"/>
    </xf>
    <xf numFmtId="0" fontId="21" fillId="20" borderId="17" xfId="0" applyFont="1" applyFill="1" applyBorder="1" applyAlignment="1">
      <alignment horizontal="left" vertical="center" wrapText="1"/>
    </xf>
    <xf numFmtId="0" fontId="22" fillId="21" borderId="18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vertical="center"/>
    </xf>
    <xf numFmtId="0" fontId="37" fillId="36" borderId="33" xfId="1"/>
    <xf numFmtId="0" fontId="42" fillId="40" borderId="34" xfId="1" applyFont="1" applyFill="1" applyBorder="1" applyAlignment="1">
      <alignment horizontal="left" vertical="center"/>
    </xf>
    <xf numFmtId="0" fontId="38" fillId="38" borderId="33" xfId="1" applyFont="1" applyFill="1" applyAlignment="1">
      <alignment vertical="center"/>
    </xf>
    <xf numFmtId="0" fontId="38" fillId="39" borderId="33" xfId="1" applyFont="1" applyFill="1" applyAlignment="1">
      <alignment vertical="center"/>
    </xf>
    <xf numFmtId="0" fontId="39" fillId="39" borderId="33" xfId="1" applyFont="1" applyFill="1"/>
    <xf numFmtId="0" fontId="40" fillId="39" borderId="33" xfId="1" applyFont="1" applyFill="1" applyAlignment="1">
      <alignment vertical="center"/>
    </xf>
    <xf numFmtId="1" fontId="38" fillId="38" borderId="33" xfId="1" applyNumberFormat="1" applyFont="1" applyFill="1" applyAlignment="1">
      <alignment vertical="center"/>
    </xf>
    <xf numFmtId="0" fontId="47" fillId="45" borderId="39" xfId="1" applyFont="1" applyFill="1" applyBorder="1" applyAlignment="1">
      <alignment horizontal="center" vertical="center" wrapText="1"/>
    </xf>
    <xf numFmtId="177" fontId="50" fillId="48" borderId="42" xfId="1" applyNumberFormat="1" applyFont="1" applyFill="1" applyBorder="1" applyAlignment="1">
      <alignment horizontal="right" vertical="center"/>
    </xf>
    <xf numFmtId="0" fontId="51" fillId="49" borderId="43" xfId="1" applyFont="1" applyFill="1" applyBorder="1" applyAlignment="1">
      <alignment horizontal="left" vertical="center"/>
    </xf>
    <xf numFmtId="1" fontId="52" fillId="50" borderId="44" xfId="1" applyNumberFormat="1" applyFont="1" applyFill="1" applyBorder="1" applyAlignment="1">
      <alignment horizontal="right" vertical="center"/>
    </xf>
    <xf numFmtId="1" fontId="55" fillId="53" borderId="47" xfId="1" applyNumberFormat="1" applyFont="1" applyFill="1" applyBorder="1" applyAlignment="1">
      <alignment horizontal="right" vertical="center"/>
    </xf>
    <xf numFmtId="0" fontId="56" fillId="54" borderId="48" xfId="1" applyFont="1" applyFill="1" applyBorder="1" applyAlignment="1">
      <alignment horizontal="left" vertical="center"/>
    </xf>
    <xf numFmtId="1" fontId="57" fillId="55" borderId="49" xfId="1" applyNumberFormat="1" applyFont="1" applyFill="1" applyBorder="1" applyAlignment="1">
      <alignment horizontal="right" vertical="center"/>
    </xf>
    <xf numFmtId="177" fontId="60" fillId="58" borderId="52" xfId="1" applyNumberFormat="1" applyFont="1" applyFill="1" applyBorder="1" applyAlignment="1">
      <alignment horizontal="right" vertical="center"/>
    </xf>
    <xf numFmtId="1" fontId="61" fillId="59" borderId="53" xfId="1" applyNumberFormat="1" applyFont="1" applyFill="1" applyBorder="1" applyAlignment="1">
      <alignment horizontal="right" vertical="center"/>
    </xf>
    <xf numFmtId="0" fontId="62" fillId="60" borderId="54" xfId="1" applyFont="1" applyFill="1" applyBorder="1" applyAlignment="1">
      <alignment horizontal="center" vertical="center"/>
    </xf>
    <xf numFmtId="0" fontId="63" fillId="61" borderId="55" xfId="1" applyFont="1" applyFill="1" applyBorder="1" applyAlignment="1">
      <alignment horizontal="center" vertical="center"/>
    </xf>
    <xf numFmtId="177" fontId="64" fillId="62" borderId="56" xfId="1" applyNumberFormat="1" applyFont="1" applyFill="1" applyBorder="1" applyAlignment="1">
      <alignment horizontal="right" vertical="center"/>
    </xf>
    <xf numFmtId="1" fontId="65" fillId="63" borderId="57" xfId="1" applyNumberFormat="1" applyFont="1" applyFill="1" applyBorder="1" applyAlignment="1">
      <alignment horizontal="right" vertical="center"/>
    </xf>
    <xf numFmtId="0" fontId="66" fillId="64" borderId="58" xfId="1" applyFont="1" applyFill="1" applyBorder="1" applyAlignment="1">
      <alignment horizontal="center" vertical="center"/>
    </xf>
    <xf numFmtId="1" fontId="69" fillId="67" borderId="61" xfId="1" applyNumberFormat="1" applyFont="1" applyFill="1" applyBorder="1" applyAlignment="1">
      <alignment vertical="center"/>
    </xf>
    <xf numFmtId="0" fontId="70" fillId="68" borderId="62" xfId="1" applyFont="1" applyFill="1" applyBorder="1" applyAlignment="1">
      <alignment vertical="center"/>
    </xf>
    <xf numFmtId="1" fontId="71" fillId="69" borderId="63" xfId="1" applyNumberFormat="1" applyFont="1" applyFill="1" applyBorder="1" applyAlignment="1">
      <alignment vertical="center"/>
    </xf>
    <xf numFmtId="0" fontId="72" fillId="70" borderId="64" xfId="1" applyFont="1" applyFill="1" applyBorder="1" applyAlignment="1">
      <alignment vertical="center"/>
    </xf>
    <xf numFmtId="1" fontId="73" fillId="71" borderId="65" xfId="1" applyNumberFormat="1" applyFont="1" applyFill="1" applyBorder="1" applyAlignment="1">
      <alignment vertical="center"/>
    </xf>
    <xf numFmtId="0" fontId="43" fillId="41" borderId="35" xfId="1" applyFont="1" applyFill="1" applyBorder="1" applyAlignment="1">
      <alignment horizontal="left" vertical="center"/>
    </xf>
    <xf numFmtId="0" fontId="44" fillId="42" borderId="36" xfId="1" applyFont="1" applyFill="1" applyBorder="1" applyAlignment="1">
      <alignment horizontal="left" vertical="center"/>
    </xf>
    <xf numFmtId="0" fontId="45" fillId="43" borderId="37" xfId="1" applyFont="1" applyFill="1" applyBorder="1" applyAlignment="1">
      <alignment horizontal="left" vertical="center" wrapText="1"/>
    </xf>
    <xf numFmtId="0" fontId="46" fillId="44" borderId="38" xfId="1" applyFont="1" applyFill="1" applyBorder="1" applyAlignment="1">
      <alignment horizontal="left" vertical="center" wrapText="1"/>
    </xf>
    <xf numFmtId="0" fontId="48" fillId="46" borderId="40" xfId="1" applyFont="1" applyFill="1" applyBorder="1" applyAlignment="1">
      <alignment horizontal="left" vertical="center"/>
    </xf>
    <xf numFmtId="0" fontId="49" fillId="47" borderId="41" xfId="1" applyFont="1" applyFill="1" applyBorder="1" applyAlignment="1">
      <alignment vertical="center"/>
    </xf>
    <xf numFmtId="0" fontId="39" fillId="39" borderId="33" xfId="1" applyFont="1" applyFill="1"/>
    <xf numFmtId="0" fontId="53" fillId="51" borderId="45" xfId="1" applyFont="1" applyFill="1" applyBorder="1" applyAlignment="1">
      <alignment horizontal="left" vertical="center"/>
    </xf>
    <xf numFmtId="0" fontId="54" fillId="52" borderId="46" xfId="1" applyFont="1" applyFill="1" applyBorder="1" applyAlignment="1">
      <alignment vertical="center"/>
    </xf>
    <xf numFmtId="0" fontId="67" fillId="65" borderId="59" xfId="1" applyFont="1" applyFill="1" applyBorder="1" applyAlignment="1">
      <alignment horizontal="left" vertical="center"/>
    </xf>
    <xf numFmtId="0" fontId="68" fillId="66" borderId="60" xfId="1" applyFont="1" applyFill="1" applyBorder="1" applyAlignment="1">
      <alignment horizontal="left" vertical="center"/>
    </xf>
    <xf numFmtId="0" fontId="58" fillId="56" borderId="50" xfId="1" applyFont="1" applyFill="1" applyBorder="1" applyAlignment="1">
      <alignment horizontal="left" vertical="center" wrapText="1"/>
    </xf>
    <xf numFmtId="0" fontId="59" fillId="57" borderId="51" xfId="1" applyFont="1" applyFill="1" applyBorder="1" applyAlignment="1">
      <alignment horizontal="left" vertical="center" wrapText="1"/>
    </xf>
    <xf numFmtId="0" fontId="39" fillId="38" borderId="33" xfId="1" applyFont="1" applyFill="1" applyAlignment="1">
      <alignment vertical="center"/>
    </xf>
    <xf numFmtId="0" fontId="74" fillId="36" borderId="33" xfId="1" applyNumberFormat="1" applyFont="1" applyFill="1" applyBorder="1"/>
    <xf numFmtId="0" fontId="74" fillId="36" borderId="33" xfId="1" applyNumberFormat="1" applyFont="1" applyFill="1" applyBorder="1" applyAlignment="1">
      <alignment vertical="center"/>
    </xf>
    <xf numFmtId="0" fontId="74" fillId="72" borderId="33" xfId="1" applyNumberFormat="1" applyFont="1" applyFill="1" applyBorder="1" applyAlignment="1">
      <alignment vertical="center"/>
    </xf>
    <xf numFmtId="0" fontId="75" fillId="72" borderId="33" xfId="1" applyNumberFormat="1" applyFont="1" applyFill="1" applyBorder="1" applyAlignment="1">
      <alignment vertical="center"/>
    </xf>
    <xf numFmtId="0" fontId="74" fillId="73" borderId="33" xfId="1" applyNumberFormat="1" applyFont="1" applyFill="1" applyBorder="1" applyAlignment="1">
      <alignment vertical="center"/>
    </xf>
    <xf numFmtId="0" fontId="74" fillId="73" borderId="40" xfId="1" applyNumberFormat="1" applyFont="1" applyFill="1" applyBorder="1" applyAlignment="1">
      <alignment vertical="center"/>
    </xf>
    <xf numFmtId="0" fontId="74" fillId="73" borderId="40" xfId="1" applyNumberFormat="1" applyFont="1" applyFill="1" applyBorder="1" applyAlignment="1">
      <alignment horizontal="center" vertical="center"/>
    </xf>
    <xf numFmtId="0" fontId="74" fillId="74" borderId="33" xfId="1" applyNumberFormat="1" applyFont="1" applyFill="1" applyBorder="1" applyAlignment="1">
      <alignment vertical="center"/>
    </xf>
    <xf numFmtId="0" fontId="74" fillId="74" borderId="40" xfId="1" applyNumberFormat="1" applyFont="1" applyFill="1" applyBorder="1" applyAlignment="1">
      <alignment vertical="center"/>
    </xf>
    <xf numFmtId="0" fontId="74" fillId="74" borderId="40" xfId="1" applyNumberFormat="1" applyFont="1" applyFill="1" applyBorder="1" applyAlignment="1">
      <alignment horizontal="center" vertical="center"/>
    </xf>
    <xf numFmtId="0" fontId="74" fillId="75" borderId="40" xfId="1" applyNumberFormat="1" applyFont="1" applyFill="1" applyBorder="1" applyAlignment="1">
      <alignment vertical="center"/>
    </xf>
    <xf numFmtId="0" fontId="74" fillId="75" borderId="40" xfId="1" applyNumberFormat="1" applyFont="1" applyFill="1" applyBorder="1" applyAlignment="1">
      <alignment horizontal="center" vertical="center"/>
    </xf>
    <xf numFmtId="0" fontId="76" fillId="75" borderId="40" xfId="1" applyNumberFormat="1" applyFont="1" applyFill="1" applyBorder="1" applyAlignment="1">
      <alignment vertical="center"/>
    </xf>
    <xf numFmtId="0" fontId="76" fillId="75" borderId="40" xfId="1" applyNumberFormat="1" applyFont="1" applyFill="1" applyBorder="1" applyAlignment="1">
      <alignment horizontal="center" vertical="center"/>
    </xf>
    <xf numFmtId="0" fontId="77" fillId="75" borderId="40" xfId="1" applyNumberFormat="1" applyFont="1" applyFill="1" applyBorder="1" applyAlignment="1">
      <alignment horizontal="center" vertical="center"/>
    </xf>
    <xf numFmtId="0" fontId="78" fillId="74" borderId="40" xfId="1" applyNumberFormat="1" applyFont="1" applyFill="1" applyBorder="1" applyAlignment="1">
      <alignment vertical="center"/>
    </xf>
    <xf numFmtId="0" fontId="78" fillId="73" borderId="40" xfId="1" applyNumberFormat="1" applyFont="1" applyFill="1" applyBorder="1" applyAlignment="1">
      <alignment vertical="center"/>
    </xf>
    <xf numFmtId="178" fontId="74" fillId="74" borderId="40" xfId="1" applyNumberFormat="1" applyFont="1" applyFill="1" applyBorder="1" applyAlignment="1">
      <alignment horizontal="center" vertical="center"/>
    </xf>
    <xf numFmtId="178" fontId="74" fillId="73" borderId="40" xfId="1" applyNumberFormat="1" applyFont="1" applyFill="1" applyBorder="1" applyAlignment="1">
      <alignment horizontal="center" vertical="center"/>
    </xf>
    <xf numFmtId="179" fontId="74" fillId="73" borderId="40" xfId="1" applyNumberFormat="1" applyFont="1" applyFill="1" applyBorder="1" applyAlignment="1">
      <alignment horizontal="center" vertical="center"/>
    </xf>
    <xf numFmtId="179" fontId="74" fillId="74" borderId="40" xfId="1" applyNumberFormat="1" applyFont="1" applyFill="1" applyBorder="1" applyAlignment="1">
      <alignment horizontal="center" vertical="center"/>
    </xf>
    <xf numFmtId="0" fontId="79" fillId="36" borderId="33" xfId="1" applyNumberFormat="1" applyFont="1" applyFill="1" applyBorder="1" applyAlignment="1">
      <alignment vertical="center"/>
    </xf>
    <xf numFmtId="0" fontId="80" fillId="36" borderId="33" xfId="1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I52"/>
  <sheetViews>
    <sheetView showGridLines="0" tabSelected="1" zoomScale="118" workbookViewId="0">
      <selection activeCell="F9" sqref="F9"/>
    </sheetView>
  </sheetViews>
  <sheetFormatPr defaultRowHeight="14.25"/>
  <cols>
    <col min="1" max="1" width="3" customWidth="1"/>
    <col min="2" max="4" width="19" customWidth="1"/>
    <col min="5" max="5" width="3" customWidth="1"/>
    <col min="6" max="8" width="19" customWidth="1"/>
    <col min="9" max="9" width="3" customWidth="1"/>
  </cols>
  <sheetData>
    <row r="1" spans="1:9" ht="12" customHeight="1">
      <c r="A1" s="2"/>
      <c r="B1" s="2"/>
      <c r="C1" s="2"/>
      <c r="D1" s="2"/>
      <c r="E1" s="2"/>
      <c r="F1" s="2"/>
      <c r="G1" s="2"/>
      <c r="H1" s="2"/>
      <c r="I1" s="2"/>
    </row>
    <row r="2" spans="1:9" ht="35.1" customHeight="1">
      <c r="A2" s="2"/>
      <c r="B2" s="1" t="s">
        <v>0</v>
      </c>
      <c r="C2" s="1"/>
      <c r="D2" s="1"/>
      <c r="E2" s="1"/>
      <c r="F2" s="1"/>
      <c r="G2" s="1"/>
      <c r="H2" s="1"/>
      <c r="I2" s="2"/>
    </row>
    <row r="3" spans="1:9" ht="24" customHeight="1">
      <c r="A3" s="2"/>
      <c r="B3" s="26" t="s">
        <v>27</v>
      </c>
      <c r="C3" s="27"/>
      <c r="D3" s="27"/>
      <c r="E3" s="27"/>
      <c r="F3" s="27"/>
      <c r="G3" s="27"/>
      <c r="H3" s="27"/>
      <c r="I3" s="2"/>
    </row>
    <row r="4" spans="1:9" ht="12" customHeight="1">
      <c r="A4" s="2"/>
      <c r="B4" s="2"/>
      <c r="C4" s="2"/>
      <c r="D4" s="2"/>
      <c r="E4" s="2"/>
      <c r="F4" s="2"/>
      <c r="G4" s="2"/>
      <c r="H4" s="2"/>
      <c r="I4" s="2"/>
    </row>
    <row r="5" spans="1:9" ht="32.1" customHeight="1">
      <c r="A5" s="2"/>
      <c r="B5" s="28" t="s">
        <v>1</v>
      </c>
      <c r="C5" s="29"/>
      <c r="D5" s="29"/>
      <c r="E5" s="5"/>
      <c r="F5" s="29" t="s">
        <v>2</v>
      </c>
      <c r="G5" s="29"/>
      <c r="H5" s="29"/>
      <c r="I5" s="2"/>
    </row>
    <row r="6" spans="1:9" ht="30" customHeight="1">
      <c r="A6" s="2"/>
      <c r="B6" s="7" t="s">
        <v>3</v>
      </c>
      <c r="C6" s="7" t="s">
        <v>4</v>
      </c>
      <c r="D6" s="7" t="s">
        <v>5</v>
      </c>
      <c r="E6" s="2"/>
      <c r="F6" s="30" t="s">
        <v>6</v>
      </c>
      <c r="G6" s="31"/>
      <c r="H6" s="8">
        <v>2.5</v>
      </c>
      <c r="I6" s="2"/>
    </row>
    <row r="7" spans="1:9" ht="29.1" customHeight="1">
      <c r="A7" s="2"/>
      <c r="B7" s="9" t="s">
        <v>7</v>
      </c>
      <c r="C7" s="10">
        <v>186</v>
      </c>
      <c r="D7" s="10">
        <v>189</v>
      </c>
      <c r="E7" s="2"/>
      <c r="F7" s="33" t="s">
        <v>8</v>
      </c>
      <c r="G7" s="34"/>
      <c r="H7" s="11">
        <v>180</v>
      </c>
      <c r="I7" s="2"/>
    </row>
    <row r="8" spans="1:9" ht="29.1" customHeight="1">
      <c r="A8" s="2"/>
      <c r="B8" s="12" t="s">
        <v>9</v>
      </c>
      <c r="C8" s="13">
        <v>106</v>
      </c>
      <c r="D8" s="13">
        <v>109</v>
      </c>
      <c r="E8" s="2"/>
      <c r="F8" s="3"/>
      <c r="G8" s="3"/>
      <c r="H8" s="3"/>
      <c r="I8" s="2"/>
    </row>
    <row r="9" spans="1:9" ht="12" customHeight="1">
      <c r="A9" s="2"/>
      <c r="B9" s="2"/>
      <c r="C9" s="2"/>
      <c r="D9" s="2"/>
      <c r="E9" s="2"/>
      <c r="F9" s="2"/>
      <c r="G9" s="2"/>
      <c r="H9" s="2"/>
      <c r="I9" s="2"/>
    </row>
    <row r="10" spans="1:9" ht="12" customHeight="1">
      <c r="A10" s="2"/>
      <c r="B10" s="39"/>
      <c r="C10" s="39"/>
      <c r="D10" s="39"/>
      <c r="E10" s="39"/>
      <c r="F10" s="39"/>
      <c r="G10" s="39"/>
      <c r="H10" s="39"/>
      <c r="I10" s="2"/>
    </row>
    <row r="11" spans="1:9" ht="12" customHeight="1">
      <c r="A11" s="2"/>
      <c r="B11" s="2"/>
      <c r="C11" s="2"/>
      <c r="D11" s="2"/>
      <c r="E11" s="2"/>
      <c r="F11" s="2"/>
      <c r="G11" s="2"/>
      <c r="H11" s="2"/>
      <c r="I11" s="2"/>
    </row>
    <row r="12" spans="1:9" ht="32.1" customHeight="1">
      <c r="A12" s="2"/>
      <c r="B12" s="37" t="s">
        <v>10</v>
      </c>
      <c r="C12" s="38"/>
      <c r="D12" s="38"/>
      <c r="E12" s="2"/>
      <c r="F12" s="37" t="s">
        <v>11</v>
      </c>
      <c r="G12" s="38"/>
      <c r="H12" s="38"/>
      <c r="I12" s="2"/>
    </row>
    <row r="13" spans="1:9" ht="30" customHeight="1">
      <c r="A13" s="2"/>
      <c r="B13" s="7" t="s">
        <v>6</v>
      </c>
      <c r="C13" s="7" t="s">
        <v>8</v>
      </c>
      <c r="D13" s="7" t="s">
        <v>12</v>
      </c>
      <c r="E13" s="2"/>
      <c r="F13" s="7" t="s">
        <v>6</v>
      </c>
      <c r="G13" s="7" t="s">
        <v>8</v>
      </c>
      <c r="H13" s="7" t="s">
        <v>12</v>
      </c>
      <c r="I13" s="2"/>
    </row>
    <row r="14" spans="1:9" ht="29.1" customHeight="1">
      <c r="A14" s="2"/>
      <c r="B14" s="14">
        <v>16.5</v>
      </c>
      <c r="C14" s="15">
        <v>548.31555951707924</v>
      </c>
      <c r="D14" s="16" t="s">
        <v>13</v>
      </c>
      <c r="E14" s="2"/>
      <c r="F14" s="14">
        <v>15</v>
      </c>
      <c r="G14" s="15">
        <v>531.39754389001621</v>
      </c>
      <c r="H14" s="17" t="s">
        <v>14</v>
      </c>
      <c r="I14" s="2"/>
    </row>
    <row r="15" spans="1:9" ht="29.1" customHeight="1">
      <c r="A15" s="2"/>
      <c r="B15" s="18">
        <v>17.5</v>
      </c>
      <c r="C15" s="19">
        <v>537.31555951707935</v>
      </c>
      <c r="D15" s="20" t="s">
        <v>14</v>
      </c>
      <c r="E15" s="2"/>
      <c r="F15" s="18">
        <v>17.5</v>
      </c>
      <c r="G15" s="19">
        <v>509.39754389001621</v>
      </c>
      <c r="H15" s="20" t="s">
        <v>14</v>
      </c>
      <c r="I15" s="2"/>
    </row>
    <row r="16" spans="1:9" ht="29.1" customHeight="1">
      <c r="A16" s="2"/>
      <c r="B16" s="14">
        <v>20</v>
      </c>
      <c r="C16" s="15">
        <v>517.31555951707935</v>
      </c>
      <c r="D16" s="17" t="s">
        <v>14</v>
      </c>
      <c r="E16" s="2"/>
      <c r="F16" s="14">
        <v>20</v>
      </c>
      <c r="G16" s="15">
        <v>492.39754389001627</v>
      </c>
      <c r="H16" s="17" t="s">
        <v>14</v>
      </c>
      <c r="I16" s="2"/>
    </row>
    <row r="17" spans="1:9" ht="29.1" customHeight="1">
      <c r="A17" s="2"/>
      <c r="B17" s="18">
        <v>22.5</v>
      </c>
      <c r="C17" s="19">
        <v>500.31555951707929</v>
      </c>
      <c r="D17" s="20" t="s">
        <v>14</v>
      </c>
      <c r="E17" s="2"/>
      <c r="F17" s="18">
        <v>22.5</v>
      </c>
      <c r="G17" s="19">
        <v>479.39754389001627</v>
      </c>
      <c r="H17" s="20" t="s">
        <v>14</v>
      </c>
      <c r="I17" s="2"/>
    </row>
    <row r="18" spans="1:9" ht="29.1" customHeight="1">
      <c r="A18" s="2"/>
      <c r="B18" s="14">
        <v>25</v>
      </c>
      <c r="C18" s="15">
        <v>488.31555951707929</v>
      </c>
      <c r="D18" s="17" t="s">
        <v>14</v>
      </c>
      <c r="E18" s="2"/>
      <c r="F18" s="14">
        <v>25</v>
      </c>
      <c r="G18" s="15">
        <v>468.39754389001627</v>
      </c>
      <c r="H18" s="17" t="s">
        <v>14</v>
      </c>
      <c r="I18" s="2"/>
    </row>
    <row r="19" spans="1:9" ht="29.1" customHeight="1">
      <c r="A19" s="2"/>
      <c r="B19" s="18">
        <v>27.5</v>
      </c>
      <c r="C19" s="19">
        <v>477.31555951707929</v>
      </c>
      <c r="D19" s="20" t="s">
        <v>14</v>
      </c>
      <c r="E19" s="2"/>
      <c r="F19" s="2"/>
      <c r="G19" s="6"/>
      <c r="H19" s="2"/>
      <c r="I19" s="2"/>
    </row>
    <row r="20" spans="1:9" ht="12" customHeight="1">
      <c r="A20" s="2"/>
      <c r="B20" s="2"/>
      <c r="C20" s="2"/>
      <c r="D20" s="2"/>
      <c r="E20" s="2"/>
      <c r="F20" s="2"/>
      <c r="G20" s="2"/>
      <c r="H20" s="2"/>
      <c r="I20" s="2"/>
    </row>
    <row r="21" spans="1:9" ht="12" customHeight="1">
      <c r="A21" s="2"/>
      <c r="B21" s="2"/>
      <c r="C21" s="2"/>
      <c r="D21" s="2"/>
      <c r="E21" s="2"/>
      <c r="F21" s="2"/>
      <c r="G21" s="2"/>
      <c r="H21" s="2"/>
      <c r="I21" s="2"/>
    </row>
    <row r="22" spans="1:9" ht="12" customHeight="1">
      <c r="A22" s="2"/>
      <c r="B22" s="2"/>
      <c r="C22" s="2"/>
      <c r="D22" s="2"/>
      <c r="E22" s="2"/>
      <c r="F22" s="2"/>
      <c r="G22" s="2"/>
      <c r="H22" s="2"/>
      <c r="I22" s="2"/>
    </row>
    <row r="23" spans="1:9" ht="32.1" customHeight="1">
      <c r="A23" s="2"/>
      <c r="B23" s="37" t="s">
        <v>15</v>
      </c>
      <c r="C23" s="38"/>
      <c r="D23" s="38"/>
      <c r="E23" s="2"/>
      <c r="F23" s="37" t="s">
        <v>16</v>
      </c>
      <c r="G23" s="38"/>
      <c r="H23" s="38"/>
      <c r="I23" s="2"/>
    </row>
    <row r="24" spans="1:9" ht="30" customHeight="1">
      <c r="A24" s="2"/>
      <c r="B24" s="7" t="s">
        <v>6</v>
      </c>
      <c r="C24" s="7" t="s">
        <v>8</v>
      </c>
      <c r="D24" s="7" t="s">
        <v>12</v>
      </c>
      <c r="E24" s="2"/>
      <c r="F24" s="7" t="s">
        <v>6</v>
      </c>
      <c r="G24" s="7" t="s">
        <v>8</v>
      </c>
      <c r="H24" s="7" t="s">
        <v>12</v>
      </c>
      <c r="I24" s="2"/>
    </row>
    <row r="25" spans="1:9" ht="29.1" customHeight="1">
      <c r="A25" s="2"/>
      <c r="B25" s="14">
        <v>39</v>
      </c>
      <c r="C25" s="15">
        <v>331.93653951936574</v>
      </c>
      <c r="D25" s="16" t="s">
        <v>13</v>
      </c>
      <c r="E25" s="2"/>
      <c r="F25" s="14">
        <v>34</v>
      </c>
      <c r="G25" s="15">
        <v>344.1826564479115</v>
      </c>
      <c r="H25" s="16" t="s">
        <v>13</v>
      </c>
      <c r="I25" s="2"/>
    </row>
    <row r="26" spans="1:9" ht="29.1" customHeight="1">
      <c r="A26" s="2"/>
      <c r="B26" s="18">
        <v>44</v>
      </c>
      <c r="C26" s="19">
        <v>322.93653951936574</v>
      </c>
      <c r="D26" s="20" t="s">
        <v>14</v>
      </c>
      <c r="E26" s="2"/>
      <c r="F26" s="18">
        <v>39</v>
      </c>
      <c r="G26" s="19">
        <v>335.1826564479114</v>
      </c>
      <c r="H26" s="20" t="s">
        <v>14</v>
      </c>
      <c r="I26" s="2"/>
    </row>
    <row r="27" spans="1:9" ht="29.1" customHeight="1">
      <c r="A27" s="2"/>
      <c r="B27" s="14">
        <v>49</v>
      </c>
      <c r="C27" s="15">
        <v>316.93653951936574</v>
      </c>
      <c r="D27" s="17" t="s">
        <v>14</v>
      </c>
      <c r="E27" s="2"/>
      <c r="F27" s="14">
        <v>44</v>
      </c>
      <c r="G27" s="15">
        <v>328.1826564479114</v>
      </c>
      <c r="H27" s="17" t="s">
        <v>14</v>
      </c>
      <c r="I27" s="2"/>
    </row>
    <row r="28" spans="1:9" ht="29.1" customHeight="1">
      <c r="A28" s="2"/>
      <c r="B28" s="18">
        <v>54</v>
      </c>
      <c r="C28" s="19">
        <v>310.93653951936574</v>
      </c>
      <c r="D28" s="20" t="s">
        <v>14</v>
      </c>
      <c r="E28" s="2"/>
      <c r="F28" s="18">
        <v>49</v>
      </c>
      <c r="G28" s="19">
        <v>322.1826564479114</v>
      </c>
      <c r="H28" s="20" t="s">
        <v>14</v>
      </c>
      <c r="I28" s="2"/>
    </row>
    <row r="29" spans="1:9" ht="29.1" customHeight="1">
      <c r="A29" s="2"/>
      <c r="B29" s="14">
        <v>59</v>
      </c>
      <c r="C29" s="15">
        <v>306.93653951936579</v>
      </c>
      <c r="D29" s="17" t="s">
        <v>14</v>
      </c>
      <c r="E29" s="2"/>
      <c r="F29" s="14">
        <v>54</v>
      </c>
      <c r="G29" s="15">
        <v>318.1826564479114</v>
      </c>
      <c r="H29" s="17" t="s">
        <v>14</v>
      </c>
      <c r="I29" s="2"/>
    </row>
    <row r="30" spans="1:9" ht="29.1" customHeight="1">
      <c r="A30" s="2"/>
      <c r="B30" s="18">
        <v>64</v>
      </c>
      <c r="C30" s="19">
        <v>302.93653951936579</v>
      </c>
      <c r="D30" s="20" t="s">
        <v>14</v>
      </c>
      <c r="E30" s="2"/>
      <c r="F30" s="18">
        <v>59</v>
      </c>
      <c r="G30" s="19">
        <v>314.1826564479114</v>
      </c>
      <c r="H30" s="20" t="s">
        <v>14</v>
      </c>
      <c r="I30" s="2"/>
    </row>
    <row r="31" spans="1:9" ht="12" customHeight="1">
      <c r="A31" s="2"/>
      <c r="B31" s="2"/>
      <c r="C31" s="2"/>
      <c r="D31" s="2"/>
      <c r="E31" s="2"/>
      <c r="F31" s="2"/>
      <c r="G31" s="2"/>
      <c r="H31" s="2"/>
      <c r="I31" s="2"/>
    </row>
    <row r="32" spans="1:9" ht="12" customHeight="1">
      <c r="A32" s="2"/>
      <c r="B32" s="2"/>
      <c r="C32" s="2"/>
      <c r="D32" s="2"/>
      <c r="E32" s="2"/>
      <c r="F32" s="2"/>
      <c r="G32" s="2"/>
      <c r="H32" s="2"/>
      <c r="I32" s="2"/>
    </row>
    <row r="33" spans="1:9" ht="24" customHeight="1">
      <c r="A33" s="2"/>
      <c r="B33" s="35" t="s">
        <v>17</v>
      </c>
      <c r="C33" s="36"/>
      <c r="D33" s="36"/>
      <c r="E33" s="36"/>
      <c r="F33" s="36"/>
      <c r="G33" s="36"/>
      <c r="H33" s="36"/>
      <c r="I33" s="2"/>
    </row>
    <row r="34" spans="1:9" ht="23.1" customHeight="1">
      <c r="A34" s="2"/>
      <c r="B34" s="32"/>
      <c r="C34" s="32"/>
      <c r="D34" s="32"/>
      <c r="E34" s="32"/>
      <c r="F34" s="32"/>
      <c r="G34" s="32"/>
      <c r="H34" s="32"/>
      <c r="I34" s="2"/>
    </row>
    <row r="35" ht="28" customHeight="1">
      <c r="A35" s="42"/>
      <c r="B35" s="83" t="str">
        <v>Weight distribution · 重量分布</v>
      </c>
      <c r="C35" s="83"/>
      <c r="D35" s="83"/>
      <c r="E35" s="83"/>
      <c r="F35" s="83"/>
      <c r="G35" s="83"/>
      <c r="H35" s="83"/>
      <c r="I35" s="42"/>
    </row>
    <row r="36" ht="32" customHeight="1">
      <c r="A36" s="42"/>
      <c r="B36" s="94" t="str">
        <v>项目</v>
      </c>
      <c r="C36" s="94"/>
      <c r="D36" s="94"/>
      <c r="E36" s="93" t="str">
        <v>Gravel</v>
      </c>
      <c r="F36" s="93"/>
      <c r="G36" s="93" t="str">
        <v>Tarmac</v>
      </c>
      <c r="H36" s="93"/>
      <c r="I36" s="42"/>
    </row>
    <row r="37" ht="28" customHeight="1">
      <c r="A37" s="42"/>
      <c r="B37" s="95" t="str">
        <v>整车总重 (kg)</v>
      </c>
      <c r="C37" s="95"/>
      <c r="D37" s="95"/>
      <c r="E37" s="97" t="n">
        <v>1390</v>
      </c>
      <c r="F37" s="97"/>
      <c r="G37" s="97" t="n">
        <v>1390</v>
      </c>
      <c r="H37" s="97"/>
      <c r="I37" s="42"/>
    </row>
    <row r="38" ht="28" customHeight="1">
      <c r="A38" s="42"/>
      <c r="B38" s="96" t="str">
        <v>FL · 左前 (kg)</v>
      </c>
      <c r="C38" s="96"/>
      <c r="D38" s="96"/>
      <c r="E38" s="98" t="n">
        <v>371</v>
      </c>
      <c r="F38" s="98"/>
      <c r="G38" s="98" t="n">
        <v>370</v>
      </c>
      <c r="H38" s="98"/>
      <c r="I38" s="42"/>
    </row>
    <row r="39" ht="28" customHeight="1">
      <c r="A39" s="42"/>
      <c r="B39" s="95" t="str">
        <v>FR · 右前 (kg)</v>
      </c>
      <c r="C39" s="95"/>
      <c r="D39" s="95"/>
      <c r="E39" s="97" t="n">
        <v>370</v>
      </c>
      <c r="F39" s="97"/>
      <c r="G39" s="97" t="n">
        <v>370</v>
      </c>
      <c r="H39" s="97"/>
      <c r="I39" s="42"/>
    </row>
    <row r="40" ht="28" customHeight="1">
      <c r="A40" s="42"/>
      <c r="B40" s="96" t="str">
        <v>RL · 左后 (kg)</v>
      </c>
      <c r="C40" s="96"/>
      <c r="D40" s="96"/>
      <c r="E40" s="98" t="n">
        <v>324</v>
      </c>
      <c r="F40" s="98"/>
      <c r="G40" s="98" t="n">
        <v>326</v>
      </c>
      <c r="H40" s="98"/>
      <c r="I40" s="42"/>
    </row>
    <row r="41" ht="28" customHeight="1">
      <c r="A41" s="42"/>
      <c r="B41" s="95" t="str">
        <v>RR · 右后 (kg)</v>
      </c>
      <c r="C41" s="95"/>
      <c r="D41" s="95"/>
      <c r="E41" s="97" t="n">
        <v>325</v>
      </c>
      <c r="F41" s="97"/>
      <c r="G41" s="97" t="n">
        <v>325</v>
      </c>
      <c r="H41" s="97"/>
      <c r="I41" s="42"/>
    </row>
    <row r="42" ht="28" customHeight="1">
      <c r="A42" s="42"/>
      <c r="B42" s="96" t="str">
        <v>前轴占比</v>
      </c>
      <c r="C42" s="96"/>
      <c r="D42" s="96"/>
      <c r="E42" s="99" t="n">
        <f>SUM(E38:E39)/SUM(E38:E41)</f>
        <v>0.5330935251798561</v>
      </c>
      <c r="F42" s="99"/>
      <c r="G42" s="99" t="n">
        <f>SUM(G38:G39)/SUM(G38:G41)</f>
        <v>0.5319913731128685</v>
      </c>
      <c r="H42" s="99"/>
      <c r="I42" s="42"/>
    </row>
    <row r="43" ht="28" customHeight="1">
      <c r="A43" s="42"/>
      <c r="B43" s="95" t="str">
        <v>后轴占比</v>
      </c>
      <c r="C43" s="95"/>
      <c r="D43" s="95"/>
      <c r="E43" s="100" t="n">
        <f>SUM(E40:E41)/SUM(E38:E41)</f>
        <v>0.46690647482014386</v>
      </c>
      <c r="F43" s="100"/>
      <c r="G43" s="100" t="n">
        <f>SUM(G40:G41)/SUM(G38:G41)</f>
        <v>0.4680086268871316</v>
      </c>
      <c r="H43" s="100"/>
      <c r="I43" s="42"/>
    </row>
    <row r="44" ht="22" customHeight="1">
      <c r="A44" s="42"/>
      <c r="B44" s="101" t="str">
        <v>2026-10-17</v>
      </c>
      <c r="C44" s="101"/>
      <c r="D44" s="101"/>
      <c r="E44" s="101"/>
      <c r="F44" s="101"/>
      <c r="G44" s="101"/>
      <c r="H44" s="101"/>
      <c r="I44" s="42"/>
    </row>
    <row r="45" ht="24" customHeight="1">
      <c r="A45" s="42"/>
      <c r="B45" s="102" t="str">
        <v>轮荷为 UI 近似读数；前后比例按四轮读数计算。</v>
      </c>
      <c r="C45" s="102"/>
      <c r="D45" s="102"/>
      <c r="E45" s="102"/>
      <c r="F45" s="102"/>
      <c r="G45" s="102"/>
      <c r="H45" s="102"/>
      <c r="I45" s="42"/>
    </row>
    <row r="46" spans="1:9" ht="23.1" customHeight="1">
      <c r="A46" s="2"/>
      <c r="B46" s="4"/>
      <c r="C46" s="4"/>
      <c r="D46" s="4"/>
      <c r="E46" s="4"/>
      <c r="F46" s="4"/>
      <c r="G46" s="4"/>
      <c r="H46" s="4"/>
      <c r="I46" s="2"/>
    </row>
    <row r="47" spans="1:9" ht="23.1" customHeight="1">
      <c r="A47" s="2"/>
      <c r="B47" s="4"/>
      <c r="C47" s="4"/>
      <c r="D47" s="4"/>
      <c r="E47" s="4"/>
      <c r="F47" s="4"/>
      <c r="G47" s="4"/>
      <c r="H47" s="4"/>
      <c r="I47" s="2"/>
    </row>
    <row r="48" spans="1:9" ht="23.1" customHeight="1">
      <c r="A48" s="2"/>
      <c r="B48" s="4"/>
      <c r="C48" s="4"/>
      <c r="D48" s="4"/>
      <c r="E48" s="4"/>
      <c r="F48" s="4"/>
      <c r="G48" s="4"/>
      <c r="H48" s="4"/>
      <c r="I48" s="2"/>
    </row>
    <row r="49" spans="1:9" ht="23.1" customHeight="1">
      <c r="A49" s="2"/>
      <c r="B49" s="4"/>
      <c r="C49" s="4"/>
      <c r="D49" s="4"/>
      <c r="E49" s="4"/>
      <c r="F49" s="4"/>
      <c r="G49" s="4"/>
      <c r="H49" s="4"/>
      <c r="I49" s="2"/>
    </row>
    <row r="50" spans="1:9" ht="23.1" customHeight="1">
      <c r="A50" s="2"/>
      <c r="B50" s="2"/>
      <c r="C50" s="2"/>
      <c r="D50" s="2"/>
      <c r="E50" s="2"/>
      <c r="F50" s="2"/>
      <c r="G50" s="2"/>
      <c r="H50" s="2"/>
      <c r="I50" s="2"/>
    </row>
    <row r="51" spans="1:9" ht="23.1" customHeight="1">
      <c r="A51" s="2"/>
      <c r="B51" s="2"/>
      <c r="C51" s="2"/>
      <c r="D51" s="2"/>
      <c r="E51" s="2"/>
      <c r="F51" s="2"/>
      <c r="G51" s="2"/>
      <c r="H51" s="2"/>
      <c r="I51" s="2"/>
    </row>
    <row r="52" spans="1:9" ht="23.1" customHeight="1">
      <c r="A52" s="2"/>
      <c r="B52" s="2"/>
      <c r="C52" s="2"/>
      <c r="D52" s="2"/>
      <c r="E52" s="2"/>
      <c r="F52" s="2"/>
      <c r="G52" s="2"/>
      <c r="H52" s="2"/>
      <c r="I52" s="2"/>
    </row>
  </sheetData>
  <mergeCells count="40">
    <mergeCell ref="F7:G7"/>
    <mergeCell ref="B33:H33"/>
    <mergeCell ref="B34:H34"/>
    <mergeCell ref="B10:H10"/>
    <mergeCell ref="B12:D12"/>
    <mergeCell ref="F12:H12"/>
    <mergeCell ref="B23:D23"/>
    <mergeCell ref="F23:H23"/>
    <mergeCell ref="B2:H2"/>
    <mergeCell ref="B3:H3"/>
    <mergeCell ref="B5:D5"/>
    <mergeCell ref="F5:H5"/>
    <mergeCell ref="F6:G6"/>
    <mergeCell ref="B35:H35"/>
    <mergeCell ref="B36:D36"/>
    <mergeCell ref="E36:F36"/>
    <mergeCell ref="G36:H36"/>
    <mergeCell ref="B37:D37"/>
    <mergeCell ref="E37:F37"/>
    <mergeCell ref="G37:H37"/>
    <mergeCell ref="B38:D38"/>
    <mergeCell ref="E38:F38"/>
    <mergeCell ref="G38:H38"/>
    <mergeCell ref="B39:D39"/>
    <mergeCell ref="E39:F39"/>
    <mergeCell ref="G39:H39"/>
    <mergeCell ref="B40:D40"/>
    <mergeCell ref="E40:F40"/>
    <mergeCell ref="G40:H40"/>
    <mergeCell ref="B41:D41"/>
    <mergeCell ref="E41:F41"/>
    <mergeCell ref="G41:H41"/>
    <mergeCell ref="B42:D42"/>
    <mergeCell ref="E42:F42"/>
    <mergeCell ref="G42:H42"/>
    <mergeCell ref="B43:D43"/>
    <mergeCell ref="E43:F43"/>
    <mergeCell ref="G43:H43"/>
    <mergeCell ref="B44:H44"/>
    <mergeCell ref="B45:H45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I52"/>
  <sheetViews>
    <sheetView showGridLines="0" workbookViewId="0">
      <selection activeCell="B42" sqref="B40:H42"/>
    </sheetView>
  </sheetViews>
  <sheetFormatPr defaultRowHeight="14.25"/>
  <cols>
    <col min="1" max="1" width="3" customWidth="1"/>
    <col min="2" max="4" width="19" customWidth="1"/>
    <col min="5" max="5" width="3" customWidth="1"/>
    <col min="6" max="8" width="19" customWidth="1"/>
    <col min="9" max="9" width="3" customWidth="1"/>
  </cols>
  <sheetData>
    <row r="1" spans="1:9" ht="12" customHeight="1">
      <c r="A1" s="2"/>
      <c r="B1" s="2"/>
      <c r="C1" s="2"/>
      <c r="D1" s="2"/>
      <c r="E1" s="2"/>
      <c r="F1" s="2"/>
      <c r="G1" s="2"/>
      <c r="H1" s="2"/>
      <c r="I1" s="2"/>
    </row>
    <row r="2" spans="1:9" ht="35.1" customHeight="1">
      <c r="A2" s="2"/>
      <c r="B2" s="1" t="s">
        <v>18</v>
      </c>
      <c r="C2" s="1"/>
      <c r="D2" s="1"/>
      <c r="E2" s="1"/>
      <c r="F2" s="1"/>
      <c r="G2" s="1"/>
      <c r="H2" s="1"/>
      <c r="I2" s="2"/>
    </row>
    <row r="3" spans="1:9" ht="24" customHeight="1">
      <c r="A3" s="2"/>
      <c r="B3" s="26" t="s">
        <v>27</v>
      </c>
      <c r="C3" s="27"/>
      <c r="D3" s="27"/>
      <c r="E3" s="27"/>
      <c r="F3" s="27"/>
      <c r="G3" s="27"/>
      <c r="H3" s="27"/>
      <c r="I3" s="2"/>
    </row>
    <row r="4" spans="1:9" ht="12" customHeight="1">
      <c r="A4" s="2"/>
      <c r="B4" s="2"/>
      <c r="C4" s="2"/>
      <c r="D4" s="2"/>
      <c r="E4" s="2"/>
      <c r="F4" s="2"/>
      <c r="G4" s="2"/>
      <c r="H4" s="2"/>
      <c r="I4" s="2"/>
    </row>
    <row r="5" spans="1:9" ht="32.1" customHeight="1">
      <c r="A5" s="2"/>
      <c r="B5" s="28" t="s">
        <v>1</v>
      </c>
      <c r="C5" s="29"/>
      <c r="D5" s="29"/>
      <c r="E5" s="5"/>
      <c r="F5" s="29" t="s">
        <v>2</v>
      </c>
      <c r="G5" s="29"/>
      <c r="H5" s="29"/>
      <c r="I5" s="2"/>
    </row>
    <row r="6" spans="1:9" ht="30" customHeight="1">
      <c r="A6" s="2"/>
      <c r="B6" s="7" t="s">
        <v>3</v>
      </c>
      <c r="C6" s="7" t="s">
        <v>4</v>
      </c>
      <c r="D6" s="7" t="s">
        <v>5</v>
      </c>
      <c r="E6" s="2"/>
      <c r="F6" s="30" t="s">
        <v>6</v>
      </c>
      <c r="G6" s="31"/>
      <c r="H6" s="8">
        <v>2.5</v>
      </c>
      <c r="I6" s="2"/>
    </row>
    <row r="7" spans="1:9" ht="29.1" customHeight="1">
      <c r="A7" s="2"/>
      <c r="B7" s="9" t="s">
        <v>7</v>
      </c>
      <c r="C7" s="10">
        <v>185</v>
      </c>
      <c r="D7" s="10">
        <v>188</v>
      </c>
      <c r="E7" s="2"/>
      <c r="F7" s="33" t="s">
        <v>8</v>
      </c>
      <c r="G7" s="34"/>
      <c r="H7" s="11">
        <v>180</v>
      </c>
      <c r="I7" s="2"/>
    </row>
    <row r="8" spans="1:9" ht="29.1" customHeight="1">
      <c r="A8" s="2"/>
      <c r="B8" s="12" t="s">
        <v>9</v>
      </c>
      <c r="C8" s="13">
        <v>106</v>
      </c>
      <c r="D8" s="13">
        <v>109</v>
      </c>
      <c r="E8" s="2"/>
      <c r="F8" s="3"/>
      <c r="G8" s="3"/>
      <c r="H8" s="3"/>
      <c r="I8" s="2"/>
    </row>
    <row r="9" spans="1:9" ht="12" customHeight="1">
      <c r="A9" s="2"/>
      <c r="B9" s="2"/>
      <c r="C9" s="2"/>
      <c r="D9" s="2"/>
      <c r="E9" s="2"/>
      <c r="F9" s="2"/>
      <c r="G9" s="2"/>
      <c r="H9" s="2"/>
      <c r="I9" s="2"/>
    </row>
    <row r="10" spans="1:9" ht="12" customHeight="1">
      <c r="A10" s="2"/>
      <c r="B10" s="39"/>
      <c r="C10" s="39"/>
      <c r="D10" s="39"/>
      <c r="E10" s="39"/>
      <c r="F10" s="39"/>
      <c r="G10" s="39"/>
      <c r="H10" s="39"/>
      <c r="I10" s="2"/>
    </row>
    <row r="11" spans="1:9" ht="12" customHeight="1">
      <c r="A11" s="2"/>
      <c r="B11" s="2"/>
      <c r="C11" s="2"/>
      <c r="D11" s="2"/>
      <c r="E11" s="2"/>
      <c r="F11" s="2"/>
      <c r="G11" s="2"/>
      <c r="H11" s="2"/>
      <c r="I11" s="2"/>
    </row>
    <row r="12" spans="1:9" ht="32.1" customHeight="1">
      <c r="A12" s="2"/>
      <c r="B12" s="37" t="s">
        <v>10</v>
      </c>
      <c r="C12" s="38"/>
      <c r="D12" s="38"/>
      <c r="E12" s="2"/>
      <c r="F12" s="37" t="s">
        <v>11</v>
      </c>
      <c r="G12" s="38"/>
      <c r="H12" s="38"/>
      <c r="I12" s="2"/>
    </row>
    <row r="13" spans="1:9" ht="30" customHeight="1">
      <c r="A13" s="2"/>
      <c r="B13" s="7" t="s">
        <v>6</v>
      </c>
      <c r="C13" s="7" t="s">
        <v>8</v>
      </c>
      <c r="D13" s="7" t="s">
        <v>12</v>
      </c>
      <c r="E13" s="2"/>
      <c r="F13" s="7" t="s">
        <v>6</v>
      </c>
      <c r="G13" s="7" t="s">
        <v>8</v>
      </c>
      <c r="H13" s="7" t="s">
        <v>12</v>
      </c>
      <c r="I13" s="2"/>
    </row>
    <row r="14" spans="1:9" ht="29.1" customHeight="1">
      <c r="A14" s="2"/>
      <c r="B14" s="14">
        <v>17.2</v>
      </c>
      <c r="C14" s="15">
        <v>565.31555951707924</v>
      </c>
      <c r="D14" s="16" t="s">
        <v>13</v>
      </c>
      <c r="E14" s="2"/>
      <c r="F14" s="14">
        <v>16</v>
      </c>
      <c r="G14" s="15">
        <v>551.39754389001632</v>
      </c>
      <c r="H14" s="17" t="s">
        <v>14</v>
      </c>
      <c r="I14" s="2"/>
    </row>
    <row r="15" spans="1:9" ht="29.1" customHeight="1">
      <c r="A15" s="2"/>
      <c r="B15" s="18">
        <v>18.5</v>
      </c>
      <c r="C15" s="19">
        <v>554.31555951707924</v>
      </c>
      <c r="D15" s="20" t="s">
        <v>14</v>
      </c>
      <c r="E15" s="2"/>
      <c r="F15" s="18">
        <v>18.5</v>
      </c>
      <c r="G15" s="19">
        <v>530.39754389001621</v>
      </c>
      <c r="H15" s="20" t="s">
        <v>14</v>
      </c>
      <c r="I15" s="2"/>
    </row>
    <row r="16" spans="1:9" ht="29.1" customHeight="1">
      <c r="A16" s="2"/>
      <c r="B16" s="14">
        <v>21</v>
      </c>
      <c r="C16" s="15">
        <v>534.31555951707924</v>
      </c>
      <c r="D16" s="17" t="s">
        <v>14</v>
      </c>
      <c r="E16" s="2"/>
      <c r="F16" s="14">
        <v>21</v>
      </c>
      <c r="G16" s="15">
        <v>515.39754389001621</v>
      </c>
      <c r="H16" s="17" t="s">
        <v>14</v>
      </c>
      <c r="I16" s="2"/>
    </row>
    <row r="17" spans="1:9" ht="29.1" customHeight="1">
      <c r="A17" s="2"/>
      <c r="B17" s="18">
        <v>23.5</v>
      </c>
      <c r="C17" s="19">
        <v>517.31555951707935</v>
      </c>
      <c r="D17" s="20" t="s">
        <v>14</v>
      </c>
      <c r="E17" s="2"/>
      <c r="F17" s="18">
        <v>23.5</v>
      </c>
      <c r="G17" s="19">
        <v>502.39754389001621</v>
      </c>
      <c r="H17" s="20" t="s">
        <v>14</v>
      </c>
      <c r="I17" s="2"/>
    </row>
    <row r="18" spans="1:9" ht="29.1" customHeight="1">
      <c r="A18" s="2"/>
      <c r="B18" s="14">
        <v>26</v>
      </c>
      <c r="C18" s="15">
        <v>505.31555951707929</v>
      </c>
      <c r="D18" s="17" t="s">
        <v>14</v>
      </c>
      <c r="E18" s="2"/>
      <c r="F18" s="14">
        <v>26</v>
      </c>
      <c r="G18" s="15">
        <v>492.39754389001627</v>
      </c>
      <c r="H18" s="17" t="s">
        <v>14</v>
      </c>
      <c r="I18" s="2"/>
    </row>
    <row r="19" spans="1:9" ht="29.1" customHeight="1">
      <c r="A19" s="2"/>
      <c r="B19" s="18">
        <v>28.5</v>
      </c>
      <c r="C19" s="19">
        <v>494.31555951707929</v>
      </c>
      <c r="D19" s="20" t="s">
        <v>14</v>
      </c>
      <c r="E19" s="2"/>
      <c r="F19" s="2"/>
      <c r="G19" s="6"/>
      <c r="H19" s="2"/>
      <c r="I19" s="2"/>
    </row>
    <row r="20" spans="1:9" ht="12" customHeight="1">
      <c r="A20" s="2"/>
      <c r="B20" s="2"/>
      <c r="C20" s="2"/>
      <c r="D20" s="2"/>
      <c r="E20" s="2"/>
      <c r="F20" s="2"/>
      <c r="G20" s="2"/>
      <c r="H20" s="2"/>
      <c r="I20" s="2"/>
    </row>
    <row r="21" spans="1:9" ht="12" customHeight="1">
      <c r="A21" s="2"/>
      <c r="B21" s="2"/>
      <c r="C21" s="2"/>
      <c r="D21" s="2"/>
      <c r="E21" s="2"/>
      <c r="F21" s="2"/>
      <c r="G21" s="2"/>
      <c r="H21" s="2"/>
      <c r="I21" s="2"/>
    </row>
    <row r="22" spans="1:9" ht="12" customHeight="1">
      <c r="A22" s="2"/>
      <c r="B22" s="2"/>
      <c r="C22" s="2"/>
      <c r="D22" s="2"/>
      <c r="E22" s="2"/>
      <c r="F22" s="2"/>
      <c r="G22" s="2"/>
      <c r="H22" s="2"/>
      <c r="I22" s="2"/>
    </row>
    <row r="23" spans="1:9" ht="32.1" customHeight="1">
      <c r="A23" s="2"/>
      <c r="B23" s="37" t="s">
        <v>15</v>
      </c>
      <c r="C23" s="38"/>
      <c r="D23" s="38"/>
      <c r="E23" s="2"/>
      <c r="F23" s="37" t="s">
        <v>16</v>
      </c>
      <c r="G23" s="38"/>
      <c r="H23" s="38"/>
      <c r="I23" s="2"/>
    </row>
    <row r="24" spans="1:9" ht="30" customHeight="1">
      <c r="A24" s="2"/>
      <c r="B24" s="7" t="s">
        <v>6</v>
      </c>
      <c r="C24" s="7" t="s">
        <v>8</v>
      </c>
      <c r="D24" s="7" t="s">
        <v>12</v>
      </c>
      <c r="E24" s="2"/>
      <c r="F24" s="7" t="s">
        <v>6</v>
      </c>
      <c r="G24" s="7" t="s">
        <v>8</v>
      </c>
      <c r="H24" s="7" t="s">
        <v>12</v>
      </c>
      <c r="I24" s="2"/>
    </row>
    <row r="25" spans="1:9" ht="29.1" customHeight="1">
      <c r="A25" s="2"/>
      <c r="B25" s="14">
        <v>37.5</v>
      </c>
      <c r="C25" s="15">
        <v>345.93653951936574</v>
      </c>
      <c r="D25" s="16" t="s">
        <v>13</v>
      </c>
      <c r="E25" s="2"/>
      <c r="F25" s="14">
        <v>32.5</v>
      </c>
      <c r="G25" s="15">
        <v>347.1826564479115</v>
      </c>
      <c r="H25" s="16" t="s">
        <v>13</v>
      </c>
      <c r="I25" s="2"/>
    </row>
    <row r="26" spans="1:9" ht="29.1" customHeight="1">
      <c r="A26" s="2"/>
      <c r="B26" s="18">
        <v>42.5</v>
      </c>
      <c r="C26" s="19">
        <v>335.93653951936574</v>
      </c>
      <c r="D26" s="20" t="s">
        <v>14</v>
      </c>
      <c r="E26" s="2"/>
      <c r="F26" s="18">
        <v>37.5</v>
      </c>
      <c r="G26" s="19">
        <v>337.1826564479114</v>
      </c>
      <c r="H26" s="20" t="s">
        <v>14</v>
      </c>
      <c r="I26" s="2"/>
    </row>
    <row r="27" spans="1:9" ht="29.1" customHeight="1">
      <c r="A27" s="2"/>
      <c r="B27" s="14">
        <v>47.5</v>
      </c>
      <c r="C27" s="15">
        <v>328.93653951936574</v>
      </c>
      <c r="D27" s="17" t="s">
        <v>14</v>
      </c>
      <c r="E27" s="2"/>
      <c r="F27" s="14">
        <v>42.5</v>
      </c>
      <c r="G27" s="15">
        <v>329.1826564479114</v>
      </c>
      <c r="H27" s="17" t="s">
        <v>14</v>
      </c>
      <c r="I27" s="2"/>
    </row>
    <row r="28" spans="1:9" ht="29.1" customHeight="1">
      <c r="A28" s="2"/>
      <c r="B28" s="18">
        <v>52.5</v>
      </c>
      <c r="C28" s="19">
        <v>321.93653951936574</v>
      </c>
      <c r="D28" s="20" t="s">
        <v>14</v>
      </c>
      <c r="E28" s="2"/>
      <c r="F28" s="18">
        <v>47.5</v>
      </c>
      <c r="G28" s="19">
        <v>324.1826564479114</v>
      </c>
      <c r="H28" s="20" t="s">
        <v>14</v>
      </c>
      <c r="I28" s="2"/>
    </row>
    <row r="29" spans="1:9" ht="29.1" customHeight="1">
      <c r="A29" s="2"/>
      <c r="B29" s="14">
        <v>57.5</v>
      </c>
      <c r="C29" s="15">
        <v>316.93653951936574</v>
      </c>
      <c r="D29" s="17" t="s">
        <v>14</v>
      </c>
      <c r="E29" s="2"/>
      <c r="F29" s="14">
        <v>52.5</v>
      </c>
      <c r="G29" s="15">
        <v>319.1826564479114</v>
      </c>
      <c r="H29" s="17" t="s">
        <v>14</v>
      </c>
      <c r="I29" s="2"/>
    </row>
    <row r="30" spans="1:9" ht="29.1" customHeight="1">
      <c r="A30" s="2"/>
      <c r="B30" s="18">
        <v>62.5</v>
      </c>
      <c r="C30" s="19">
        <v>312.93653951936574</v>
      </c>
      <c r="D30" s="20" t="s">
        <v>14</v>
      </c>
      <c r="E30" s="2"/>
      <c r="F30" s="18">
        <v>57.5</v>
      </c>
      <c r="G30" s="19">
        <v>316.1826564479114</v>
      </c>
      <c r="H30" s="20" t="s">
        <v>14</v>
      </c>
      <c r="I30" s="2"/>
    </row>
    <row r="31" spans="1:9" ht="12" customHeight="1">
      <c r="A31" s="2"/>
      <c r="B31" s="2"/>
      <c r="C31" s="2"/>
      <c r="D31" s="2"/>
      <c r="E31" s="2"/>
      <c r="F31" s="2"/>
      <c r="G31" s="2"/>
      <c r="H31" s="2"/>
      <c r="I31" s="2"/>
    </row>
    <row r="32" spans="1:9" ht="12" customHeight="1">
      <c r="A32" s="2"/>
      <c r="B32" s="2"/>
      <c r="C32" s="2"/>
      <c r="D32" s="2"/>
      <c r="E32" s="2"/>
      <c r="F32" s="2"/>
      <c r="G32" s="2"/>
      <c r="H32" s="2"/>
      <c r="I32" s="2"/>
    </row>
    <row r="33" spans="1:9" ht="24" customHeight="1">
      <c r="A33" s="2"/>
      <c r="B33" s="35" t="s">
        <v>17</v>
      </c>
      <c r="C33" s="36"/>
      <c r="D33" s="36"/>
      <c r="E33" s="36"/>
      <c r="F33" s="36"/>
      <c r="G33" s="36"/>
      <c r="H33" s="36"/>
      <c r="I33" s="2"/>
    </row>
    <row r="34" spans="1:9" ht="23.1" customHeight="1">
      <c r="A34" s="2"/>
      <c r="B34" s="32"/>
      <c r="C34" s="32"/>
      <c r="D34" s="32"/>
      <c r="E34" s="32"/>
      <c r="F34" s="32"/>
      <c r="G34" s="32"/>
      <c r="H34" s="32"/>
      <c r="I34" s="2"/>
    </row>
    <row r="35" ht="28" customHeight="1">
      <c r="A35" s="42"/>
      <c r="B35" s="83" t="str">
        <v>Weight distribution · 重量分布</v>
      </c>
      <c r="C35" s="83"/>
      <c r="D35" s="83"/>
      <c r="E35" s="83"/>
      <c r="F35" s="83"/>
      <c r="G35" s="83"/>
      <c r="H35" s="83"/>
      <c r="I35" s="42"/>
    </row>
    <row r="36" ht="32" customHeight="1">
      <c r="A36" s="42"/>
      <c r="B36" s="94" t="str">
        <v>项目</v>
      </c>
      <c r="C36" s="94"/>
      <c r="D36" s="94"/>
      <c r="E36" s="93" t="str">
        <v>Gravel</v>
      </c>
      <c r="F36" s="93"/>
      <c r="G36" s="93" t="str">
        <v>Tarmac</v>
      </c>
      <c r="H36" s="93"/>
      <c r="I36" s="42"/>
    </row>
    <row r="37" ht="28" customHeight="1">
      <c r="A37" s="42"/>
      <c r="B37" s="95" t="str">
        <v>整车总重 (kg)</v>
      </c>
      <c r="C37" s="95"/>
      <c r="D37" s="95"/>
      <c r="E37" s="97" t="n">
        <v>1420</v>
      </c>
      <c r="F37" s="97"/>
      <c r="G37" s="97" t="n">
        <v>1420</v>
      </c>
      <c r="H37" s="97"/>
      <c r="I37" s="42"/>
    </row>
    <row r="38" ht="28" customHeight="1">
      <c r="A38" s="42"/>
      <c r="B38" s="96" t="str">
        <v>FL · 左前 (kg)</v>
      </c>
      <c r="C38" s="96"/>
      <c r="D38" s="96"/>
      <c r="E38" s="98" t="n">
        <v>389</v>
      </c>
      <c r="F38" s="98"/>
      <c r="G38" s="98" t="n">
        <v>388</v>
      </c>
      <c r="H38" s="98"/>
      <c r="I38" s="42"/>
    </row>
    <row r="39" ht="28" customHeight="1">
      <c r="A39" s="42"/>
      <c r="B39" s="95" t="str">
        <v>FR · 右前 (kg)</v>
      </c>
      <c r="C39" s="95"/>
      <c r="D39" s="95"/>
      <c r="E39" s="97" t="n">
        <v>388</v>
      </c>
      <c r="F39" s="97"/>
      <c r="G39" s="97" t="n">
        <v>388</v>
      </c>
      <c r="H39" s="97"/>
      <c r="I39" s="42"/>
    </row>
    <row r="40" ht="28" customHeight="1">
      <c r="A40" s="42"/>
      <c r="B40" s="96" t="str">
        <v>RL · 左后 (kg)</v>
      </c>
      <c r="C40" s="96"/>
      <c r="D40" s="96"/>
      <c r="E40" s="98" t="n">
        <v>322</v>
      </c>
      <c r="F40" s="98"/>
      <c r="G40" s="98" t="n">
        <v>322</v>
      </c>
      <c r="H40" s="98"/>
      <c r="I40" s="42"/>
    </row>
    <row r="41" ht="28" customHeight="1">
      <c r="A41" s="42"/>
      <c r="B41" s="95" t="str">
        <v>RR · 右后 (kg)</v>
      </c>
      <c r="C41" s="95"/>
      <c r="D41" s="95"/>
      <c r="E41" s="97" t="n">
        <v>321</v>
      </c>
      <c r="F41" s="97"/>
      <c r="G41" s="97" t="n">
        <v>322</v>
      </c>
      <c r="H41" s="97"/>
      <c r="I41" s="42"/>
    </row>
    <row r="42" ht="28" customHeight="1">
      <c r="A42" s="42"/>
      <c r="B42" s="96" t="str">
        <v>前轴占比</v>
      </c>
      <c r="C42" s="96"/>
      <c r="D42" s="96"/>
      <c r="E42" s="99" t="n">
        <f>SUM(E38:E39)/SUM(E38:E41)</f>
        <v>0.5471830985915493</v>
      </c>
      <c r="F42" s="99"/>
      <c r="G42" s="99" t="n">
        <f>SUM(G38:G39)/SUM(G38:G41)</f>
        <v>0.5464788732394367</v>
      </c>
      <c r="H42" s="99"/>
      <c r="I42" s="42"/>
    </row>
    <row r="43" ht="28" customHeight="1">
      <c r="A43" s="42"/>
      <c r="B43" s="95" t="str">
        <v>后轴占比</v>
      </c>
      <c r="C43" s="95"/>
      <c r="D43" s="95"/>
      <c r="E43" s="100" t="n">
        <f>SUM(E40:E41)/SUM(E38:E41)</f>
        <v>0.4528169014084507</v>
      </c>
      <c r="F43" s="100"/>
      <c r="G43" s="100" t="n">
        <f>SUM(G40:G41)/SUM(G38:G41)</f>
        <v>0.4535211267605634</v>
      </c>
      <c r="H43" s="100"/>
      <c r="I43" s="42"/>
    </row>
    <row r="44" ht="22" customHeight="1">
      <c r="A44" s="42"/>
      <c r="B44" s="101" t="str">
        <v>2026-10-17</v>
      </c>
      <c r="C44" s="101"/>
      <c r="D44" s="101"/>
      <c r="E44" s="101"/>
      <c r="F44" s="101"/>
      <c r="G44" s="101"/>
      <c r="H44" s="101"/>
      <c r="I44" s="42"/>
    </row>
    <row r="45" ht="24" customHeight="1">
      <c r="A45" s="42"/>
      <c r="B45" s="102" t="str">
        <v>轮荷为 UI 近似读数；前后比例按四轮读数计算。</v>
      </c>
      <c r="C45" s="102"/>
      <c r="D45" s="102"/>
      <c r="E45" s="102"/>
      <c r="F45" s="102"/>
      <c r="G45" s="102"/>
      <c r="H45" s="102"/>
      <c r="I45" s="42"/>
    </row>
    <row r="46" spans="1:9" ht="23.1" customHeight="1">
      <c r="A46" s="2"/>
      <c r="B46" s="4"/>
      <c r="C46" s="4"/>
      <c r="D46" s="4"/>
      <c r="E46" s="4"/>
      <c r="F46" s="4"/>
      <c r="G46" s="4"/>
      <c r="H46" s="4"/>
      <c r="I46" s="2"/>
    </row>
    <row r="47" spans="1:9" ht="23.1" customHeight="1">
      <c r="A47" s="2"/>
      <c r="B47" s="4"/>
      <c r="C47" s="4"/>
      <c r="D47" s="4"/>
      <c r="E47" s="4"/>
      <c r="F47" s="4"/>
      <c r="G47" s="4"/>
      <c r="H47" s="4"/>
      <c r="I47" s="2"/>
    </row>
    <row r="48" spans="1:9" ht="23.1" customHeight="1">
      <c r="A48" s="2"/>
      <c r="B48" s="4"/>
      <c r="C48" s="4"/>
      <c r="D48" s="4"/>
      <c r="E48" s="4"/>
      <c r="F48" s="4"/>
      <c r="G48" s="4"/>
      <c r="H48" s="4"/>
      <c r="I48" s="2"/>
    </row>
    <row r="49" spans="1:9" ht="23.1" customHeight="1">
      <c r="A49" s="2"/>
      <c r="B49" s="4"/>
      <c r="C49" s="4"/>
      <c r="D49" s="4"/>
      <c r="E49" s="4"/>
      <c r="F49" s="4"/>
      <c r="G49" s="4"/>
      <c r="H49" s="4"/>
      <c r="I49" s="2"/>
    </row>
    <row r="50" spans="1:9" ht="23.1" customHeight="1">
      <c r="A50" s="2"/>
      <c r="B50" s="2"/>
      <c r="C50" s="2"/>
      <c r="D50" s="2"/>
      <c r="E50" s="2"/>
      <c r="F50" s="2"/>
      <c r="G50" s="2"/>
      <c r="H50" s="2"/>
      <c r="I50" s="2"/>
    </row>
    <row r="51" spans="1:9" ht="23.1" customHeight="1">
      <c r="A51" s="2"/>
      <c r="B51" s="2"/>
      <c r="C51" s="2"/>
      <c r="D51" s="2"/>
      <c r="E51" s="2"/>
      <c r="F51" s="2"/>
      <c r="G51" s="2"/>
      <c r="H51" s="2"/>
      <c r="I51" s="2"/>
    </row>
    <row r="52" spans="1:9" ht="23.1" customHeight="1">
      <c r="A52" s="2"/>
      <c r="B52" s="2"/>
      <c r="C52" s="2"/>
      <c r="D52" s="2"/>
      <c r="E52" s="2"/>
      <c r="F52" s="2"/>
      <c r="G52" s="2"/>
      <c r="H52" s="2"/>
      <c r="I52" s="2"/>
    </row>
  </sheetData>
  <mergeCells count="40">
    <mergeCell ref="F7:G7"/>
    <mergeCell ref="B33:H33"/>
    <mergeCell ref="B34:H34"/>
    <mergeCell ref="B10:H10"/>
    <mergeCell ref="B12:D12"/>
    <mergeCell ref="F12:H12"/>
    <mergeCell ref="B23:D23"/>
    <mergeCell ref="F23:H23"/>
    <mergeCell ref="B2:H2"/>
    <mergeCell ref="B3:H3"/>
    <mergeCell ref="B5:D5"/>
    <mergeCell ref="F5:H5"/>
    <mergeCell ref="F6:G6"/>
    <mergeCell ref="B35:H35"/>
    <mergeCell ref="B36:D36"/>
    <mergeCell ref="E36:F36"/>
    <mergeCell ref="G36:H36"/>
    <mergeCell ref="B37:D37"/>
    <mergeCell ref="E37:F37"/>
    <mergeCell ref="G37:H37"/>
    <mergeCell ref="B38:D38"/>
    <mergeCell ref="E38:F38"/>
    <mergeCell ref="G38:H38"/>
    <mergeCell ref="B39:D39"/>
    <mergeCell ref="E39:F39"/>
    <mergeCell ref="G39:H39"/>
    <mergeCell ref="B40:D40"/>
    <mergeCell ref="E40:F40"/>
    <mergeCell ref="G40:H40"/>
    <mergeCell ref="B41:D41"/>
    <mergeCell ref="E41:F41"/>
    <mergeCell ref="G41:H41"/>
    <mergeCell ref="B42:D42"/>
    <mergeCell ref="E42:F42"/>
    <mergeCell ref="G42:H42"/>
    <mergeCell ref="B43:D43"/>
    <mergeCell ref="E43:F43"/>
    <mergeCell ref="G43:H43"/>
    <mergeCell ref="B44:H44"/>
    <mergeCell ref="B45:H45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I52"/>
  <sheetViews>
    <sheetView showGridLines="0" workbookViewId="0">
      <selection activeCell="B42" sqref="B39:H42"/>
    </sheetView>
  </sheetViews>
  <sheetFormatPr defaultRowHeight="14.25"/>
  <cols>
    <col min="1" max="1" width="3" customWidth="1"/>
    <col min="2" max="4" width="19" customWidth="1"/>
    <col min="5" max="5" width="3" customWidth="1"/>
    <col min="6" max="8" width="19" customWidth="1"/>
    <col min="9" max="9" width="3" customWidth="1"/>
  </cols>
  <sheetData>
    <row r="1" spans="1:9" ht="12" customHeight="1">
      <c r="A1" s="2"/>
      <c r="B1" s="2"/>
      <c r="C1" s="2"/>
      <c r="D1" s="2"/>
      <c r="E1" s="2"/>
      <c r="F1" s="2"/>
      <c r="G1" s="2"/>
      <c r="H1" s="2"/>
      <c r="I1" s="2"/>
    </row>
    <row r="2" spans="1:9" ht="35.1" customHeight="1">
      <c r="A2" s="2"/>
      <c r="B2" s="1" t="s">
        <v>19</v>
      </c>
      <c r="C2" s="1"/>
      <c r="D2" s="1"/>
      <c r="E2" s="1"/>
      <c r="F2" s="1"/>
      <c r="G2" s="1"/>
      <c r="H2" s="1"/>
      <c r="I2" s="2"/>
    </row>
    <row r="3" spans="1:9" ht="24" customHeight="1">
      <c r="A3" s="2"/>
      <c r="B3" s="26" t="s">
        <v>27</v>
      </c>
      <c r="C3" s="27"/>
      <c r="D3" s="27"/>
      <c r="E3" s="27"/>
      <c r="F3" s="27"/>
      <c r="G3" s="27"/>
      <c r="H3" s="27"/>
      <c r="I3" s="2"/>
    </row>
    <row r="4" spans="1:9" ht="12" customHeight="1">
      <c r="A4" s="2"/>
      <c r="B4" s="2"/>
      <c r="C4" s="2"/>
      <c r="D4" s="2"/>
      <c r="E4" s="2"/>
      <c r="F4" s="2"/>
      <c r="G4" s="2"/>
      <c r="H4" s="2"/>
      <c r="I4" s="2"/>
    </row>
    <row r="5" spans="1:9" ht="32.1" customHeight="1">
      <c r="A5" s="2"/>
      <c r="B5" s="28" t="s">
        <v>1</v>
      </c>
      <c r="C5" s="29"/>
      <c r="D5" s="29"/>
      <c r="E5" s="5"/>
      <c r="F5" s="29" t="s">
        <v>2</v>
      </c>
      <c r="G5" s="29"/>
      <c r="H5" s="29"/>
      <c r="I5" s="2"/>
    </row>
    <row r="6" spans="1:9" ht="30" customHeight="1">
      <c r="A6" s="2"/>
      <c r="B6" s="7" t="s">
        <v>3</v>
      </c>
      <c r="C6" s="7" t="s">
        <v>4</v>
      </c>
      <c r="D6" s="7" t="s">
        <v>5</v>
      </c>
      <c r="E6" s="2"/>
      <c r="F6" s="30" t="s">
        <v>6</v>
      </c>
      <c r="G6" s="31"/>
      <c r="H6" s="8">
        <v>8</v>
      </c>
      <c r="I6" s="2"/>
    </row>
    <row r="7" spans="1:9" ht="29.1" customHeight="1">
      <c r="A7" s="2"/>
      <c r="B7" s="9" t="s">
        <v>20</v>
      </c>
      <c r="C7" s="10">
        <v>123</v>
      </c>
      <c r="D7" s="10">
        <v>129</v>
      </c>
      <c r="E7" s="2"/>
      <c r="F7" s="33" t="s">
        <v>8</v>
      </c>
      <c r="G7" s="34"/>
      <c r="H7" s="11">
        <v>180</v>
      </c>
      <c r="I7" s="2"/>
    </row>
    <row r="8" spans="1:9" ht="29.1" customHeight="1">
      <c r="A8" s="2"/>
      <c r="B8" s="12" t="s">
        <v>21</v>
      </c>
      <c r="C8" s="13">
        <v>114</v>
      </c>
      <c r="D8" s="21"/>
      <c r="E8" s="2"/>
      <c r="F8" s="3"/>
      <c r="G8" s="3"/>
      <c r="H8" s="3"/>
      <c r="I8" s="2"/>
    </row>
    <row r="9" spans="1:9" ht="12" customHeight="1">
      <c r="A9" s="2"/>
      <c r="B9" s="2"/>
      <c r="C9" s="2"/>
      <c r="D9" s="2"/>
      <c r="E9" s="2"/>
      <c r="F9" s="2"/>
      <c r="G9" s="2"/>
      <c r="H9" s="2"/>
      <c r="I9" s="2"/>
    </row>
    <row r="10" spans="1:9" ht="24" customHeight="1">
      <c r="A10" s="2"/>
      <c r="B10" s="26" t="s">
        <v>28</v>
      </c>
      <c r="C10" s="27"/>
      <c r="D10" s="27"/>
      <c r="E10" s="27"/>
      <c r="F10" s="27"/>
      <c r="G10" s="27"/>
      <c r="H10" s="27"/>
      <c r="I10" s="2"/>
    </row>
    <row r="11" spans="1:9" ht="12" customHeight="1">
      <c r="A11" s="2"/>
      <c r="B11" s="2"/>
      <c r="C11" s="2"/>
      <c r="D11" s="2"/>
      <c r="E11" s="2"/>
      <c r="F11" s="2"/>
      <c r="G11" s="2"/>
      <c r="H11" s="2"/>
      <c r="I11" s="2"/>
    </row>
    <row r="12" spans="1:9" ht="32.1" customHeight="1">
      <c r="A12" s="2"/>
      <c r="B12" s="37" t="s">
        <v>22</v>
      </c>
      <c r="C12" s="38"/>
      <c r="D12" s="38"/>
      <c r="E12" s="2"/>
      <c r="F12" s="37" t="s">
        <v>23</v>
      </c>
      <c r="G12" s="38"/>
      <c r="H12" s="38"/>
      <c r="I12" s="2"/>
    </row>
    <row r="13" spans="1:9" ht="30" customHeight="1">
      <c r="A13" s="2"/>
      <c r="B13" s="7" t="s">
        <v>6</v>
      </c>
      <c r="C13" s="7" t="s">
        <v>8</v>
      </c>
      <c r="D13" s="7" t="s">
        <v>12</v>
      </c>
      <c r="E13" s="2"/>
      <c r="F13" s="7" t="s">
        <v>6</v>
      </c>
      <c r="G13" s="7" t="s">
        <v>8</v>
      </c>
      <c r="H13" s="7" t="s">
        <v>12</v>
      </c>
      <c r="I13" s="2"/>
    </row>
    <row r="14" spans="1:9" ht="29.1" customHeight="1">
      <c r="A14" s="2"/>
      <c r="B14" s="14">
        <v>28.5</v>
      </c>
      <c r="C14" s="15">
        <v>447.31555951707924</v>
      </c>
      <c r="D14" s="17" t="s">
        <v>14</v>
      </c>
      <c r="E14" s="2"/>
      <c r="F14" s="14">
        <v>24.5</v>
      </c>
      <c r="G14" s="15">
        <v>456.39754389001627</v>
      </c>
      <c r="H14" s="17" t="s">
        <v>14</v>
      </c>
      <c r="I14" s="2"/>
    </row>
    <row r="15" spans="1:9" ht="29.1" customHeight="1">
      <c r="A15" s="2"/>
      <c r="B15" s="18">
        <v>32.5</v>
      </c>
      <c r="C15" s="19">
        <v>438.31555951707929</v>
      </c>
      <c r="D15" s="20" t="s">
        <v>14</v>
      </c>
      <c r="E15" s="2"/>
      <c r="F15" s="18">
        <v>28.5</v>
      </c>
      <c r="G15" s="19">
        <v>444.39754389001627</v>
      </c>
      <c r="H15" s="20" t="s">
        <v>14</v>
      </c>
      <c r="I15" s="2"/>
    </row>
    <row r="16" spans="1:9" ht="29.1" customHeight="1">
      <c r="A16" s="2"/>
      <c r="B16" s="14">
        <v>36.5</v>
      </c>
      <c r="C16" s="15">
        <v>430.31555951707929</v>
      </c>
      <c r="D16" s="17" t="s">
        <v>14</v>
      </c>
      <c r="E16" s="2"/>
      <c r="F16" s="14">
        <v>32.5</v>
      </c>
      <c r="G16" s="15">
        <v>436.39754389001627</v>
      </c>
      <c r="H16" s="17" t="s">
        <v>14</v>
      </c>
      <c r="I16" s="2"/>
    </row>
    <row r="17" spans="1:9" ht="29.1" customHeight="1">
      <c r="A17" s="2"/>
      <c r="B17" s="22"/>
      <c r="C17" s="23"/>
      <c r="D17" s="22"/>
      <c r="E17" s="2"/>
      <c r="F17" s="22"/>
      <c r="G17" s="23"/>
      <c r="H17" s="22"/>
      <c r="I17" s="2"/>
    </row>
    <row r="18" spans="1:9" ht="29.1" customHeight="1">
      <c r="A18" s="2"/>
      <c r="B18" s="24"/>
      <c r="C18" s="25"/>
      <c r="D18" s="24"/>
      <c r="E18" s="2"/>
      <c r="F18" s="24"/>
      <c r="G18" s="25"/>
      <c r="H18" s="24"/>
      <c r="I18" s="2"/>
    </row>
    <row r="19" spans="1:9" ht="29.1" customHeight="1">
      <c r="A19" s="2"/>
      <c r="B19" s="22"/>
      <c r="C19" s="23"/>
      <c r="D19" s="22"/>
      <c r="E19" s="2"/>
      <c r="F19" s="2"/>
      <c r="G19" s="6"/>
      <c r="H19" s="2"/>
      <c r="I19" s="2"/>
    </row>
    <row r="20" spans="1:9" ht="12" customHeight="1">
      <c r="A20" s="2"/>
      <c r="B20" s="2"/>
      <c r="C20" s="2"/>
      <c r="D20" s="2"/>
      <c r="E20" s="2"/>
      <c r="F20" s="2"/>
      <c r="G20" s="2"/>
      <c r="H20" s="2"/>
      <c r="I20" s="2"/>
    </row>
    <row r="21" spans="1:9" ht="12" customHeight="1">
      <c r="A21" s="2"/>
      <c r="B21" s="2"/>
      <c r="C21" s="2"/>
      <c r="D21" s="2"/>
      <c r="E21" s="2"/>
      <c r="F21" s="2"/>
      <c r="G21" s="2"/>
      <c r="H21" s="2"/>
      <c r="I21" s="2"/>
    </row>
    <row r="22" spans="1:9" ht="12" customHeight="1">
      <c r="A22" s="2"/>
      <c r="B22" s="2"/>
      <c r="C22" s="2"/>
      <c r="D22" s="2"/>
      <c r="E22" s="2"/>
      <c r="F22" s="2"/>
      <c r="G22" s="2"/>
      <c r="H22" s="2"/>
      <c r="I22" s="2"/>
    </row>
    <row r="23" spans="1:9" ht="32.1" customHeight="1">
      <c r="A23" s="2"/>
      <c r="B23" s="37" t="s">
        <v>24</v>
      </c>
      <c r="C23" s="38"/>
      <c r="D23" s="38"/>
      <c r="E23" s="2"/>
      <c r="F23" s="37" t="s">
        <v>25</v>
      </c>
      <c r="G23" s="38"/>
      <c r="H23" s="38"/>
      <c r="I23" s="2"/>
    </row>
    <row r="24" spans="1:9" ht="30" customHeight="1">
      <c r="A24" s="2"/>
      <c r="B24" s="7" t="s">
        <v>6</v>
      </c>
      <c r="C24" s="7" t="s">
        <v>8</v>
      </c>
      <c r="D24" s="7" t="s">
        <v>12</v>
      </c>
      <c r="E24" s="2"/>
      <c r="F24" s="7" t="s">
        <v>6</v>
      </c>
      <c r="G24" s="7" t="s">
        <v>8</v>
      </c>
      <c r="H24" s="7" t="s">
        <v>12</v>
      </c>
      <c r="I24" s="2"/>
    </row>
    <row r="25" spans="1:9" ht="29.1" customHeight="1">
      <c r="A25" s="2"/>
      <c r="B25" s="14">
        <v>36</v>
      </c>
      <c r="C25" s="15">
        <v>285.93653951936574</v>
      </c>
      <c r="D25" s="17" t="s">
        <v>14</v>
      </c>
      <c r="E25" s="2"/>
      <c r="F25" s="14">
        <v>33</v>
      </c>
      <c r="G25" s="15">
        <v>332.18265644791143</v>
      </c>
      <c r="H25" s="17" t="s">
        <v>14</v>
      </c>
      <c r="I25" s="2"/>
    </row>
    <row r="26" spans="1:9" ht="29.1" customHeight="1">
      <c r="A26" s="2"/>
      <c r="B26" s="22"/>
      <c r="C26" s="23"/>
      <c r="D26" s="22"/>
      <c r="E26" s="2"/>
      <c r="F26" s="22"/>
      <c r="G26" s="23"/>
      <c r="H26" s="22"/>
      <c r="I26" s="2"/>
    </row>
    <row r="27" spans="1:9" ht="29.1" customHeight="1">
      <c r="A27" s="2"/>
      <c r="B27" s="24"/>
      <c r="C27" s="25"/>
      <c r="D27" s="24"/>
      <c r="E27" s="2"/>
      <c r="F27" s="24"/>
      <c r="G27" s="25"/>
      <c r="H27" s="24"/>
      <c r="I27" s="2"/>
    </row>
    <row r="28" spans="1:9" ht="29.1" customHeight="1">
      <c r="A28" s="2"/>
      <c r="B28" s="22"/>
      <c r="C28" s="23"/>
      <c r="D28" s="22"/>
      <c r="E28" s="2"/>
      <c r="F28" s="22"/>
      <c r="G28" s="23"/>
      <c r="H28" s="22"/>
      <c r="I28" s="2"/>
    </row>
    <row r="29" spans="1:9" ht="29.1" customHeight="1">
      <c r="A29" s="2"/>
      <c r="B29" s="24"/>
      <c r="C29" s="25"/>
      <c r="D29" s="24"/>
      <c r="E29" s="2"/>
      <c r="F29" s="24"/>
      <c r="G29" s="25"/>
      <c r="H29" s="24"/>
      <c r="I29" s="2"/>
    </row>
    <row r="30" spans="1:9" ht="29.1" customHeight="1">
      <c r="A30" s="2"/>
      <c r="B30" s="22"/>
      <c r="C30" s="23"/>
      <c r="D30" s="22"/>
      <c r="E30" s="2"/>
      <c r="F30" s="22"/>
      <c r="G30" s="23"/>
      <c r="H30" s="22"/>
      <c r="I30" s="2"/>
    </row>
    <row r="31" spans="1:9" ht="12" customHeight="1">
      <c r="A31" s="2"/>
      <c r="B31" s="2"/>
      <c r="C31" s="2"/>
      <c r="D31" s="2"/>
      <c r="E31" s="2"/>
      <c r="F31" s="2"/>
      <c r="G31" s="2"/>
      <c r="H31" s="2"/>
      <c r="I31" s="2"/>
    </row>
    <row r="32" spans="1:9" ht="12" customHeight="1">
      <c r="A32" s="2"/>
      <c r="B32" s="2"/>
      <c r="C32" s="2"/>
      <c r="D32" s="2"/>
      <c r="E32" s="2"/>
      <c r="F32" s="2"/>
      <c r="G32" s="2"/>
      <c r="H32" s="2"/>
      <c r="I32" s="2"/>
    </row>
    <row r="33" spans="1:9" ht="24" customHeight="1">
      <c r="A33" s="2"/>
      <c r="B33" s="35" t="s">
        <v>26</v>
      </c>
      <c r="C33" s="36"/>
      <c r="D33" s="36"/>
      <c r="E33" s="36"/>
      <c r="F33" s="36"/>
      <c r="G33" s="36"/>
      <c r="H33" s="36"/>
      <c r="I33" s="2"/>
    </row>
    <row r="34" spans="1:9" ht="23.1" customHeight="1">
      <c r="A34" s="2"/>
      <c r="B34" s="32"/>
      <c r="C34" s="32"/>
      <c r="D34" s="32"/>
      <c r="E34" s="32"/>
      <c r="F34" s="32"/>
      <c r="G34" s="32"/>
      <c r="H34" s="32"/>
      <c r="I34" s="2"/>
    </row>
    <row r="35" spans="1:9" ht="23.1" customHeight="1">
      <c r="A35" s="2"/>
      <c r="B35" s="4"/>
      <c r="C35" s="4"/>
      <c r="D35" s="4"/>
      <c r="E35" s="4"/>
      <c r="F35" s="4"/>
      <c r="G35" s="4"/>
      <c r="H35" s="4"/>
      <c r="I35" s="2"/>
    </row>
    <row r="36" spans="1:9" ht="23.1" customHeight="1">
      <c r="A36" s="2"/>
      <c r="B36" s="32"/>
      <c r="C36" s="32"/>
      <c r="D36" s="32"/>
      <c r="E36" s="32"/>
      <c r="F36" s="32"/>
      <c r="G36" s="32"/>
      <c r="H36" s="32"/>
      <c r="I36" s="2"/>
    </row>
    <row r="37" spans="1:9" ht="23.1" customHeight="1">
      <c r="A37" s="2"/>
      <c r="B37" s="32"/>
      <c r="C37" s="32"/>
      <c r="D37" s="32"/>
      <c r="E37" s="32"/>
      <c r="F37" s="32"/>
      <c r="G37" s="32"/>
      <c r="H37" s="32"/>
      <c r="I37" s="2"/>
    </row>
    <row r="38" spans="1:9" ht="23.1" customHeight="1">
      <c r="A38" s="2"/>
      <c r="B38" s="32"/>
      <c r="C38" s="32"/>
      <c r="D38" s="32"/>
      <c r="E38" s="32"/>
      <c r="F38" s="32"/>
      <c r="G38" s="32"/>
      <c r="H38" s="32"/>
      <c r="I38" s="2"/>
    </row>
    <row r="39" spans="1:9" ht="23.1" customHeight="1">
      <c r="A39" s="2"/>
      <c r="B39" s="4"/>
      <c r="C39" s="4"/>
      <c r="D39" s="4"/>
      <c r="E39" s="4"/>
      <c r="F39" s="4"/>
      <c r="G39" s="4"/>
      <c r="H39" s="4"/>
      <c r="I39" s="2"/>
    </row>
    <row r="40" spans="1:9" ht="23.1" customHeight="1">
      <c r="A40" s="2"/>
      <c r="B40" s="32"/>
      <c r="C40" s="32"/>
      <c r="D40" s="32"/>
      <c r="E40" s="32"/>
      <c r="F40" s="32"/>
      <c r="G40" s="32"/>
      <c r="H40" s="32"/>
      <c r="I40" s="2"/>
    </row>
    <row r="41" spans="1:9" ht="23.1" customHeight="1">
      <c r="A41" s="2"/>
      <c r="B41" s="32"/>
      <c r="C41" s="32"/>
      <c r="D41" s="32"/>
      <c r="E41" s="32"/>
      <c r="F41" s="32"/>
      <c r="G41" s="32"/>
      <c r="H41" s="32"/>
      <c r="I41" s="2"/>
    </row>
    <row r="42" spans="1:9" ht="23.1" customHeight="1">
      <c r="A42" s="2"/>
      <c r="B42" s="32"/>
      <c r="C42" s="32"/>
      <c r="D42" s="32"/>
      <c r="E42" s="32"/>
      <c r="F42" s="32"/>
      <c r="G42" s="32"/>
      <c r="H42" s="32"/>
      <c r="I42" s="2"/>
    </row>
    <row r="43" spans="1:9" ht="23.1" customHeight="1">
      <c r="A43" s="2"/>
      <c r="B43" s="4"/>
      <c r="C43" s="4"/>
      <c r="D43" s="4"/>
      <c r="E43" s="4"/>
      <c r="F43" s="4"/>
      <c r="G43" s="4"/>
      <c r="H43" s="4"/>
      <c r="I43" s="2"/>
    </row>
    <row r="44" spans="1:9" ht="23.1" customHeight="1">
      <c r="A44" s="2"/>
      <c r="B44" s="4"/>
      <c r="C44" s="4"/>
      <c r="D44" s="4"/>
      <c r="E44" s="4"/>
      <c r="F44" s="4"/>
      <c r="G44" s="4"/>
      <c r="H44" s="4"/>
      <c r="I44" s="2"/>
    </row>
    <row r="45" spans="1:9" ht="23.1" customHeight="1">
      <c r="A45" s="2"/>
      <c r="B45" s="4"/>
      <c r="C45" s="4"/>
      <c r="D45" s="4"/>
      <c r="E45" s="4"/>
      <c r="F45" s="4"/>
      <c r="G45" s="4"/>
      <c r="H45" s="4"/>
      <c r="I45" s="2"/>
    </row>
    <row r="46" spans="1:9" ht="23.1" customHeight="1">
      <c r="A46" s="2"/>
      <c r="B46" s="4"/>
      <c r="C46" s="4"/>
      <c r="D46" s="4"/>
      <c r="E46" s="4"/>
      <c r="F46" s="4"/>
      <c r="G46" s="4"/>
      <c r="H46" s="4"/>
      <c r="I46" s="2"/>
    </row>
    <row r="47" spans="1:9" ht="23.1" customHeight="1">
      <c r="A47" s="2"/>
      <c r="B47" s="4"/>
      <c r="C47" s="4"/>
      <c r="D47" s="4"/>
      <c r="E47" s="4"/>
      <c r="F47" s="4"/>
      <c r="G47" s="4"/>
      <c r="H47" s="4"/>
      <c r="I47" s="2"/>
    </row>
    <row r="48" spans="1:9" ht="23.1" customHeight="1">
      <c r="A48" s="2"/>
      <c r="B48" s="4"/>
      <c r="C48" s="4"/>
      <c r="D48" s="4"/>
      <c r="E48" s="4"/>
      <c r="F48" s="4"/>
      <c r="G48" s="4"/>
      <c r="H48" s="4"/>
      <c r="I48" s="2"/>
    </row>
    <row r="49" spans="1:9" ht="23.1" customHeight="1">
      <c r="A49" s="2"/>
      <c r="B49" s="4"/>
      <c r="C49" s="4"/>
      <c r="D49" s="4"/>
      <c r="E49" s="4"/>
      <c r="F49" s="4"/>
      <c r="G49" s="4"/>
      <c r="H49" s="4"/>
      <c r="I49" s="2"/>
    </row>
    <row r="50" spans="1:9" ht="23.1" customHeight="1">
      <c r="A50" s="2"/>
      <c r="B50" s="2"/>
      <c r="C50" s="2"/>
      <c r="D50" s="2"/>
      <c r="E50" s="2"/>
      <c r="F50" s="2"/>
      <c r="G50" s="2"/>
      <c r="H50" s="2"/>
      <c r="I50" s="2"/>
    </row>
    <row r="51" spans="1:9" ht="23.1" customHeight="1">
      <c r="A51" s="2"/>
      <c r="B51" s="2"/>
      <c r="C51" s="2"/>
      <c r="D51" s="2"/>
      <c r="E51" s="2"/>
      <c r="F51" s="2"/>
      <c r="G51" s="2"/>
      <c r="H51" s="2"/>
      <c r="I51" s="2"/>
    </row>
    <row r="52" spans="1:9" ht="23.1" customHeight="1">
      <c r="A52" s="2"/>
      <c r="B52" s="2"/>
      <c r="C52" s="2"/>
      <c r="D52" s="2"/>
      <c r="E52" s="2"/>
      <c r="F52" s="2"/>
      <c r="G52" s="2"/>
      <c r="H52" s="2"/>
      <c r="I52" s="2"/>
    </row>
  </sheetData>
  <mergeCells count="19">
    <mergeCell ref="B38:H38"/>
    <mergeCell ref="B40:H40"/>
    <mergeCell ref="B41:H41"/>
    <mergeCell ref="B42:H42"/>
    <mergeCell ref="F7:G7"/>
    <mergeCell ref="B33:H33"/>
    <mergeCell ref="B34:H34"/>
    <mergeCell ref="B36:H36"/>
    <mergeCell ref="B37:H37"/>
    <mergeCell ref="B10:H10"/>
    <mergeCell ref="B12:D12"/>
    <mergeCell ref="F12:H12"/>
    <mergeCell ref="B23:D23"/>
    <mergeCell ref="F23:H23"/>
    <mergeCell ref="B2:H2"/>
    <mergeCell ref="B3:H3"/>
    <mergeCell ref="B5:D5"/>
    <mergeCell ref="F5:H5"/>
    <mergeCell ref="F6:G6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WRC</vt:lpstr>
      <vt:lpstr>Rally2</vt:lpstr>
      <vt:lpstr>RX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2026-10-17T14:35:20Z</dcterms:modified>
</cp:coreProperties>
</file>