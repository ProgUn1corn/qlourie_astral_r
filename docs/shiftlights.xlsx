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un1corn\.codex\visualizations\2026\09\05\01a07025-ed7a-7f60-89f7-3275b6531400\shift-rpm-20261027\workbook-output\"/>
    </mc:Choice>
  </mc:AlternateContent>
  <xr:revisionPtr revIDLastSave="0" documentId="13_ncr:1_{C9B3C3E6-4BEC-4261-9D6B-E58ADB2EC54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Rally2" sheetId="1" r:id="rId1"/>
    <sheet name="WRC16" sheetId="2" r:id="rId2"/>
    <sheet name="WRC17" sheetId="3" r:id="rId3"/>
    <sheet name="Rally1" sheetId="4" r:id="rId4"/>
    <sheet name="RX1" sheetId="5" r:id="rId5"/>
    <sheet name="RX3" sheetId="6" r:id="rId6"/>
    <sheet name="Sample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6" i="7" l="1"/>
  <c r="D175" i="7"/>
  <c r="D174" i="7"/>
  <c r="D173" i="7"/>
  <c r="D172" i="7"/>
  <c r="D171" i="7"/>
  <c r="D170" i="7"/>
  <c r="D169" i="7"/>
  <c r="D168" i="7"/>
  <c r="D167" i="7"/>
  <c r="D166" i="7"/>
  <c r="D165" i="7"/>
  <c r="D164" i="7"/>
  <c r="D163" i="7"/>
  <c r="D162" i="7"/>
  <c r="D161" i="7"/>
  <c r="D160" i="7"/>
  <c r="D159" i="7"/>
  <c r="D158" i="7"/>
  <c r="D157" i="7"/>
  <c r="D146" i="7"/>
  <c r="D145" i="7"/>
  <c r="D144" i="7"/>
  <c r="D143" i="7"/>
  <c r="D142" i="7"/>
  <c r="D141" i="7"/>
  <c r="D140" i="7"/>
  <c r="D139" i="7"/>
  <c r="D138" i="7"/>
  <c r="D137" i="7"/>
  <c r="D136" i="7"/>
  <c r="D135" i="7"/>
  <c r="D134" i="7"/>
  <c r="D133" i="7"/>
  <c r="D132" i="7"/>
  <c r="D131" i="7"/>
  <c r="D130" i="7"/>
  <c r="D129" i="7"/>
  <c r="D128" i="7"/>
  <c r="D127" i="7"/>
  <c r="D116" i="7"/>
  <c r="D115" i="7"/>
  <c r="D114" i="7"/>
  <c r="D113" i="7"/>
  <c r="D112" i="7"/>
  <c r="D111" i="7"/>
  <c r="D110" i="7"/>
  <c r="D109" i="7"/>
  <c r="D108" i="7"/>
  <c r="D107" i="7"/>
  <c r="D106" i="7"/>
  <c r="D105" i="7"/>
  <c r="D104" i="7"/>
  <c r="D103" i="7"/>
  <c r="D102" i="7"/>
  <c r="D101" i="7"/>
  <c r="D100" i="7"/>
  <c r="D99" i="7"/>
  <c r="D98" i="7"/>
  <c r="D9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19" i="6"/>
  <c r="G18" i="6"/>
  <c r="F18" i="6"/>
  <c r="E18" i="6"/>
  <c r="G17" i="6"/>
  <c r="F17" i="6"/>
  <c r="E17" i="6"/>
  <c r="G16" i="6"/>
  <c r="F16" i="6"/>
  <c r="E16" i="6"/>
  <c r="G15" i="6"/>
  <c r="F15" i="6"/>
  <c r="E15" i="6"/>
  <c r="D8" i="6"/>
  <c r="D9" i="6" s="1"/>
  <c r="D20" i="5"/>
  <c r="G19" i="5"/>
  <c r="F19" i="5"/>
  <c r="E19" i="5"/>
  <c r="G18" i="5"/>
  <c r="F18" i="5"/>
  <c r="E18" i="5"/>
  <c r="G17" i="5"/>
  <c r="F17" i="5"/>
  <c r="E17" i="5"/>
  <c r="G16" i="5"/>
  <c r="F16" i="5"/>
  <c r="E16" i="5"/>
  <c r="G15" i="5"/>
  <c r="F15" i="5"/>
  <c r="E15" i="5"/>
  <c r="D8" i="5"/>
  <c r="D9" i="5" s="1"/>
  <c r="D6" i="5"/>
  <c r="D7" i="5" s="1"/>
  <c r="P23" i="4"/>
  <c r="L23" i="4"/>
  <c r="L19" i="4"/>
  <c r="D19" i="4"/>
  <c r="O18" i="4"/>
  <c r="N18" i="4"/>
  <c r="M18" i="4"/>
  <c r="G18" i="4"/>
  <c r="F18" i="4"/>
  <c r="E18" i="4"/>
  <c r="O17" i="4"/>
  <c r="N17" i="4"/>
  <c r="M17" i="4"/>
  <c r="G17" i="4"/>
  <c r="F17" i="4"/>
  <c r="E17" i="4"/>
  <c r="O16" i="4"/>
  <c r="N16" i="4"/>
  <c r="M16" i="4"/>
  <c r="G16" i="4"/>
  <c r="F16" i="4"/>
  <c r="E16" i="4"/>
  <c r="O15" i="4"/>
  <c r="N15" i="4"/>
  <c r="M15" i="4"/>
  <c r="G15" i="4"/>
  <c r="F15" i="4"/>
  <c r="E15" i="4"/>
  <c r="D8" i="4"/>
  <c r="D9" i="4" s="1"/>
  <c r="D6" i="4"/>
  <c r="D7" i="4" s="1"/>
  <c r="P23" i="3"/>
  <c r="L23" i="3"/>
  <c r="L20" i="3"/>
  <c r="D20" i="3"/>
  <c r="O19" i="3"/>
  <c r="N19" i="3"/>
  <c r="M19" i="3"/>
  <c r="G19" i="3"/>
  <c r="F19" i="3"/>
  <c r="E19" i="3"/>
  <c r="O18" i="3"/>
  <c r="N18" i="3"/>
  <c r="M18" i="3"/>
  <c r="G18" i="3"/>
  <c r="F18" i="3"/>
  <c r="E18" i="3"/>
  <c r="O17" i="3"/>
  <c r="N17" i="3"/>
  <c r="M17" i="3"/>
  <c r="G17" i="3"/>
  <c r="F17" i="3"/>
  <c r="E17" i="3"/>
  <c r="O16" i="3"/>
  <c r="N16" i="3"/>
  <c r="M16" i="3"/>
  <c r="G16" i="3"/>
  <c r="F16" i="3"/>
  <c r="E16" i="3"/>
  <c r="O15" i="3"/>
  <c r="N15" i="3"/>
  <c r="M15" i="3"/>
  <c r="G15" i="3"/>
  <c r="F15" i="3"/>
  <c r="E15" i="3"/>
  <c r="D8" i="3"/>
  <c r="D9" i="3" s="1"/>
  <c r="D6" i="3"/>
  <c r="D7" i="3" s="1"/>
  <c r="P23" i="2"/>
  <c r="L23" i="2"/>
  <c r="L20" i="2"/>
  <c r="D20" i="2"/>
  <c r="O19" i="2"/>
  <c r="N19" i="2"/>
  <c r="M19" i="2"/>
  <c r="G19" i="2"/>
  <c r="F19" i="2"/>
  <c r="E19" i="2"/>
  <c r="O18" i="2"/>
  <c r="N18" i="2"/>
  <c r="M18" i="2"/>
  <c r="G18" i="2"/>
  <c r="F18" i="2"/>
  <c r="E18" i="2"/>
  <c r="O17" i="2"/>
  <c r="N17" i="2"/>
  <c r="M17" i="2"/>
  <c r="G17" i="2"/>
  <c r="F17" i="2"/>
  <c r="E17" i="2"/>
  <c r="O16" i="2"/>
  <c r="N16" i="2"/>
  <c r="M16" i="2"/>
  <c r="G16" i="2"/>
  <c r="F16" i="2"/>
  <c r="E16" i="2"/>
  <c r="O15" i="2"/>
  <c r="N15" i="2"/>
  <c r="M15" i="2"/>
  <c r="G15" i="2"/>
  <c r="F15" i="2"/>
  <c r="E15" i="2"/>
  <c r="D8" i="2"/>
  <c r="D9" i="2" s="1"/>
  <c r="P23" i="1"/>
  <c r="L23" i="1"/>
  <c r="L19" i="1"/>
  <c r="D19" i="1"/>
  <c r="O18" i="1"/>
  <c r="N18" i="1"/>
  <c r="M18" i="1"/>
  <c r="G18" i="1"/>
  <c r="F18" i="1"/>
  <c r="E18" i="1"/>
  <c r="O17" i="1"/>
  <c r="N17" i="1"/>
  <c r="M17" i="1"/>
  <c r="G17" i="1"/>
  <c r="F17" i="1"/>
  <c r="E17" i="1"/>
  <c r="O16" i="1"/>
  <c r="N16" i="1"/>
  <c r="M16" i="1"/>
  <c r="G16" i="1"/>
  <c r="F16" i="1"/>
  <c r="E16" i="1"/>
  <c r="O15" i="1"/>
  <c r="N15" i="1"/>
  <c r="M15" i="1"/>
  <c r="G15" i="1"/>
  <c r="F15" i="1"/>
  <c r="E15" i="1"/>
  <c r="D8" i="1"/>
  <c r="D9" i="1" s="1"/>
  <c r="D6" i="1"/>
  <c r="D7" i="1" s="1"/>
  <c r="D6" i="6" l="1"/>
  <c r="D7" i="6" s="1"/>
  <c r="D6" i="2"/>
  <c r="D7" i="2" s="1"/>
  <c r="F19" i="4"/>
  <c r="G19" i="4"/>
  <c r="G19" i="1"/>
  <c r="F19" i="1"/>
  <c r="G19" i="6"/>
  <c r="F19" i="6"/>
  <c r="G20" i="5"/>
  <c r="F20" i="5"/>
  <c r="N19" i="4"/>
  <c r="O19" i="4"/>
  <c r="N20" i="3"/>
  <c r="O20" i="3"/>
  <c r="G20" i="3"/>
  <c r="F20" i="3"/>
  <c r="O20" i="2"/>
  <c r="N20" i="2"/>
  <c r="G20" i="2"/>
  <c r="F20" i="2"/>
  <c r="O19" i="1"/>
  <c r="N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tc={6571DE06-251A-4D4A-8127-7E3134D3E29F}</author>
  </authors>
  <commentList>
    <comment ref="B2" authorId="0" shapeId="0" xr:uid="{00000000-0006-0000-0600-000001000000}">
      <text>
        <t>[线程批注]
你的Excel版本可读取此线程批注; 但如果在更新版本的Excel中打开文件，则对批注所作的任何改动都将被删除。了解详细信息: https://go.microsoft.com/fwlink/?linkid=870924
注释:
    Source: Astral JBeam at c209001. Net torque samples are for the normal full-boost curve. Power is mechanical hp: Nm × rpm × 2π / (60 × 745.69987158227). Flash thresholds are recorded calibration inputs, previously calculated with rotational inertia and the separate first-gear boost cap; this workbook does not rerun that solver. RX3 is an RX1 placeholder.</t>
      </text>
    </comment>
  </commentList>
</comments>
</file>

<file path=xl/sharedStrings.xml><?xml version="1.0" encoding="utf-8"?>
<sst xmlns="http://schemas.openxmlformats.org/spreadsheetml/2006/main" count="315" uniqueCount="52">
  <si>
    <t>Rally2 · Shift lights</t>
  </si>
  <si>
    <t>Engine curve</t>
  </si>
  <si>
    <t>Calibration basis</t>
  </si>
  <si>
    <t>Shift lights</t>
  </si>
  <si>
    <t>Peak power (hp)</t>
  </si>
  <si>
    <t>Running mass (kg)</t>
  </si>
  <si>
    <t>Neutral flash (rpm)</t>
  </si>
  <si>
    <t>Power peak (rpm)</t>
  </si>
  <si>
    <t>Engine + flywheel I (kg m²)</t>
  </si>
  <si>
    <t>Top gear / limiter (rpm)</t>
  </si>
  <si>
    <t>Peak torque (Nm)</t>
  </si>
  <si>
    <t>Final drive</t>
  </si>
  <si>
    <t>Light range (rpm)</t>
  </si>
  <si>
    <t>Torque peak (rpm)</t>
  </si>
  <si>
    <t>Gearbox torque loss</t>
  </si>
  <si>
    <t>Rounding (rpm)</t>
  </si>
  <si>
    <t>黄色单元格为手动输入。</t>
  </si>
  <si>
    <t>Group 1 · Type-A / Tarmac</t>
  </si>
  <si>
    <t>Group 2 · Type-B / Gravel</t>
  </si>
  <si>
    <t>Gear</t>
  </si>
  <si>
    <t>Ratio</t>
  </si>
  <si>
    <t>Flash
(rpm)</t>
  </si>
  <si>
    <t>After shift
(rpm)</t>
  </si>
  <si>
    <t>Speed
(km/h)</t>
  </si>
  <si>
    <t>First light
(rpm)</t>
  </si>
  <si>
    <t>Trigger</t>
  </si>
  <si>
    <t>Shift</t>
  </si>
  <si>
    <t>—</t>
  </si>
  <si>
    <t>Limiter</t>
  </si>
  <si>
    <t>Tyre radius (m)</t>
  </si>
  <si>
    <t>Wheel I (kg m²)</t>
  </si>
  <si>
    <t>GB friction (Nm)</t>
  </si>
  <si>
    <t>GB dyn. (Nm s)</t>
  </si>
  <si>
    <t>WRC16 · Shift lights</t>
  </si>
  <si>
    <t>WRC17 · Shift lights</t>
  </si>
  <si>
    <t>Rally1 · Shift lights</t>
  </si>
  <si>
    <t>2025 calibration · shared with 2022</t>
  </si>
  <si>
    <t>RX1 · Shift lights</t>
  </si>
  <si>
    <t>Group 1 · RX1</t>
  </si>
  <si>
    <t>RX3 · Shift lights</t>
  </si>
  <si>
    <t>RX1 placeholder · five-speed</t>
  </si>
  <si>
    <t>Engine curve samples</t>
  </si>
  <si>
    <t>500 rpm spacing · peak points retained</t>
  </si>
  <si>
    <t>Rally2</t>
  </si>
  <si>
    <t>RPM</t>
  </si>
  <si>
    <t>Torque (Nm)</t>
  </si>
  <si>
    <t>Power (hp)</t>
  </si>
  <si>
    <t>WRC16</t>
  </si>
  <si>
    <t>WRC17</t>
  </si>
  <si>
    <t>Rally1</t>
  </si>
  <si>
    <t>RX1</t>
  </si>
  <si>
    <t>RX3 · RX1 placeholder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</si>
</sst>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"/>
    <numFmt numFmtId="177" formatCode="0.000000"/>
    <numFmt numFmtId="178" formatCode="0.0000"/>
    <numFmt numFmtId="179" formatCode="0.0%"/>
    <numFmt numFmtId="180" formatCode="0.000"/>
    <numFmt numFmtId="181" formatCode="0.00000"/>
  </numFmts>
  <fonts count="10">
    <font>
      <sz val="11"/>
      <name val="Carlito"/>
    </font>
    <font>
      <sz val="11"/>
      <color rgb="FF283C50"/>
      <name val="Arial"/>
      <family val="2"/>
    </font>
    <font>
      <b/>
      <sz val="16"/>
      <color rgb="FF283C50"/>
      <name val="Arial"/>
      <family val="2"/>
    </font>
    <font>
      <sz val="11"/>
      <color rgb="FF667B91"/>
      <name val="Arial"/>
      <family val="2"/>
    </font>
    <font>
      <b/>
      <sz val="12"/>
      <color rgb="FFFFFFFF"/>
      <name val="Arial"/>
      <family val="2"/>
    </font>
    <font>
      <sz val="11"/>
      <color rgb="FF195DB1"/>
      <name val="Arial"/>
      <family val="2"/>
    </font>
    <font>
      <b/>
      <sz val="20"/>
      <color rgb="FF283C50"/>
      <name val="Arial"/>
      <family val="2"/>
    </font>
    <font>
      <sz val="11"/>
      <color rgb="FF667B91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31475E"/>
      </patternFill>
    </fill>
    <fill>
      <patternFill patternType="solid">
        <fgColor rgb="FFFFF2CC"/>
      </patternFill>
    </fill>
    <fill>
      <patternFill patternType="solid">
        <fgColor rgb="FFF5F7F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CE4EB"/>
      </bottom>
      <diagonal/>
    </border>
  </borders>
  <cellStyleXfs count="2">
    <xf numFmtId="0" fontId="0" fillId="0" borderId="0"/>
    <xf numFmtId="0" fontId="8" fillId="0" borderId="0"/>
  </cellStyleXfs>
  <cellXfs count="33">
    <xf numFmtId="0" fontId="0" fillId="0" borderId="0" xfId="0"/>
    <xf numFmtId="0" fontId="1" fillId="0" borderId="0" xfId="1" applyFont="1" applyAlignment="1">
      <alignment vertical="center"/>
    </xf>
    <xf numFmtId="0" fontId="4" fillId="2" borderId="0" xfId="1" applyFont="1" applyFill="1" applyAlignment="1">
      <alignment horizontal="center" vertical="center" wrapText="1"/>
    </xf>
    <xf numFmtId="2" fontId="5" fillId="3" borderId="0" xfId="1" applyNumberFormat="1" applyFont="1" applyFill="1" applyAlignment="1">
      <alignment vertical="center"/>
    </xf>
    <xf numFmtId="176" fontId="1" fillId="0" borderId="0" xfId="1" applyNumberFormat="1" applyFont="1" applyAlignment="1">
      <alignment vertical="center"/>
    </xf>
    <xf numFmtId="0" fontId="1" fillId="0" borderId="1" xfId="1" applyFont="1" applyBorder="1" applyAlignment="1">
      <alignment vertical="center"/>
    </xf>
    <xf numFmtId="176" fontId="1" fillId="4" borderId="1" xfId="1" applyNumberFormat="1" applyFont="1" applyFill="1" applyBorder="1" applyAlignment="1">
      <alignment vertical="center"/>
    </xf>
    <xf numFmtId="2" fontId="1" fillId="4" borderId="1" xfId="1" applyNumberFormat="1" applyFont="1" applyFill="1" applyBorder="1" applyAlignment="1">
      <alignment vertical="center"/>
    </xf>
    <xf numFmtId="177" fontId="1" fillId="0" borderId="1" xfId="1" applyNumberFormat="1" applyFont="1" applyBorder="1" applyAlignment="1">
      <alignment vertical="center"/>
    </xf>
    <xf numFmtId="178" fontId="5" fillId="3" borderId="1" xfId="1" applyNumberFormat="1" applyFont="1" applyFill="1" applyBorder="1" applyAlignment="1">
      <alignment vertical="center"/>
    </xf>
    <xf numFmtId="179" fontId="1" fillId="0" borderId="1" xfId="1" applyNumberFormat="1" applyFont="1" applyBorder="1" applyAlignment="1">
      <alignment vertical="center"/>
    </xf>
    <xf numFmtId="0" fontId="1" fillId="4" borderId="1" xfId="1" applyFont="1" applyFill="1" applyBorder="1" applyAlignment="1">
      <alignment horizontal="center" vertical="center"/>
    </xf>
    <xf numFmtId="180" fontId="5" fillId="3" borderId="1" xfId="1" applyNumberFormat="1" applyFont="1" applyFill="1" applyBorder="1" applyAlignment="1">
      <alignment horizontal="center" vertical="center"/>
    </xf>
    <xf numFmtId="1" fontId="1" fillId="4" borderId="1" xfId="1" applyNumberFormat="1" applyFont="1" applyFill="1" applyBorder="1" applyAlignment="1">
      <alignment horizontal="center" vertical="center"/>
    </xf>
    <xf numFmtId="176" fontId="1" fillId="4" borderId="1" xfId="1" applyNumberFormat="1" applyFont="1" applyFill="1" applyBorder="1" applyAlignment="1">
      <alignment horizontal="center" vertical="center"/>
    </xf>
    <xf numFmtId="0" fontId="1" fillId="5" borderId="1" xfId="1" applyFont="1" applyFill="1" applyBorder="1" applyAlignment="1">
      <alignment horizontal="center" vertical="center"/>
    </xf>
    <xf numFmtId="1" fontId="1" fillId="5" borderId="1" xfId="1" applyNumberFormat="1" applyFont="1" applyFill="1" applyBorder="1" applyAlignment="1">
      <alignment horizontal="center" vertical="center"/>
    </xf>
    <xf numFmtId="176" fontId="1" fillId="5" borderId="1" xfId="1" applyNumberFormat="1" applyFont="1" applyFill="1" applyBorder="1" applyAlignment="1">
      <alignment horizontal="center" vertical="center"/>
    </xf>
    <xf numFmtId="180" fontId="5" fillId="3" borderId="0" xfId="1" applyNumberFormat="1" applyFont="1" applyFill="1" applyAlignment="1">
      <alignment vertical="center"/>
    </xf>
    <xf numFmtId="177" fontId="1" fillId="0" borderId="0" xfId="1" applyNumberFormat="1" applyFont="1" applyAlignment="1">
      <alignment vertical="center"/>
    </xf>
    <xf numFmtId="2" fontId="1" fillId="0" borderId="0" xfId="1" applyNumberFormat="1" applyFont="1" applyAlignment="1">
      <alignment vertical="center"/>
    </xf>
    <xf numFmtId="181" fontId="1" fillId="0" borderId="0" xfId="1" applyNumberFormat="1" applyFont="1" applyAlignment="1">
      <alignment vertical="center"/>
    </xf>
    <xf numFmtId="1" fontId="5" fillId="3" borderId="1" xfId="1" applyNumberFormat="1" applyFont="1" applyFill="1" applyBorder="1" applyAlignment="1">
      <alignment horizontal="center" vertical="center"/>
    </xf>
    <xf numFmtId="0" fontId="6" fillId="0" borderId="0" xfId="1" applyFont="1" applyAlignment="1">
      <alignment vertical="center"/>
    </xf>
    <xf numFmtId="0" fontId="4" fillId="2" borderId="0" xfId="1" applyFont="1" applyFill="1" applyAlignment="1">
      <alignment horizontal="center" vertical="center" wrapText="1"/>
    </xf>
    <xf numFmtId="0" fontId="1" fillId="4" borderId="1" xfId="1" applyFont="1" applyFill="1" applyBorder="1" applyAlignment="1">
      <alignment vertical="center"/>
    </xf>
    <xf numFmtId="1" fontId="5" fillId="3" borderId="1" xfId="1" applyNumberFormat="1" applyFont="1" applyFill="1" applyBorder="1" applyAlignment="1">
      <alignment vertical="center"/>
    </xf>
    <xf numFmtId="0" fontId="1" fillId="0" borderId="1" xfId="1" applyFont="1" applyBorder="1" applyAlignment="1">
      <alignment vertical="center"/>
    </xf>
    <xf numFmtId="0" fontId="7" fillId="0" borderId="0" xfId="1" applyFont="1" applyAlignment="1">
      <alignment vertical="center"/>
    </xf>
    <xf numFmtId="0" fontId="1" fillId="0" borderId="0" xfId="1" applyFont="1" applyAlignment="1">
      <alignment vertical="center"/>
    </xf>
    <xf numFmtId="0" fontId="3" fillId="0" borderId="1" xfId="1" applyFont="1" applyBorder="1" applyAlignment="1">
      <alignment vertical="center"/>
    </xf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US" sz="1350">
                <a:latin typeface="Arial"/>
                <a:ea typeface="Arial"/>
                <a:cs typeface="Arial"/>
              </a:rPr>
              <a:t>Torque and power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Torque (Nm)</c:v>
          </c:tx>
          <c:spPr>
            <a:ln w="19050">
              <a:solidFill>
                <a:srgbClr val="426F9B"/>
              </a:solidFill>
              <a:prstDash val="solid"/>
            </a:ln>
          </c:spPr>
          <c:marker>
            <c:symbol val="none"/>
          </c:marker>
          <c:xVal>
            <c:numRef>
              <c:f>Samples!$B$7:$B$24</c:f>
              <c:numCache>
                <c:formatCode>General</c:formatCode>
                <c:ptCount val="18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3740</c:v>
                </c:pt>
                <c:pt idx="9">
                  <c:v>4000</c:v>
                </c:pt>
                <c:pt idx="10">
                  <c:v>4500</c:v>
                </c:pt>
                <c:pt idx="11">
                  <c:v>5000</c:v>
                </c:pt>
                <c:pt idx="12">
                  <c:v>5500</c:v>
                </c:pt>
                <c:pt idx="13">
                  <c:v>5610</c:v>
                </c:pt>
                <c:pt idx="14">
                  <c:v>6000</c:v>
                </c:pt>
                <c:pt idx="15">
                  <c:v>6500</c:v>
                </c:pt>
                <c:pt idx="16">
                  <c:v>7000</c:v>
                </c:pt>
                <c:pt idx="17">
                  <c:v>7499</c:v>
                </c:pt>
              </c:numCache>
            </c:numRef>
          </c:xVal>
          <c:yVal>
            <c:numRef>
              <c:f>Samples!$C$7:$C$24</c:f>
              <c:numCache>
                <c:formatCode>0.00</c:formatCode>
                <c:ptCount val="18"/>
                <c:pt idx="0">
                  <c:v>-11.700000000000001</c:v>
                </c:pt>
                <c:pt idx="1">
                  <c:v>38.005559657208096</c:v>
                </c:pt>
                <c:pt idx="2">
                  <c:v>144.68644472051628</c:v>
                </c:pt>
                <c:pt idx="3">
                  <c:v>295.31452770142562</c:v>
                </c:pt>
                <c:pt idx="4">
                  <c:v>372.0321421528443</c:v>
                </c:pt>
                <c:pt idx="5">
                  <c:v>390.99388862528957</c:v>
                </c:pt>
                <c:pt idx="6">
                  <c:v>411.25036500210729</c:v>
                </c:pt>
                <c:pt idx="7">
                  <c:v>423.80703475739853</c:v>
                </c:pt>
                <c:pt idx="8">
                  <c:v>425.214197164935</c:v>
                </c:pt>
                <c:pt idx="9">
                  <c:v>424.44212471320429</c:v>
                </c:pt>
                <c:pt idx="10">
                  <c:v>419.64479082879961</c:v>
                </c:pt>
                <c:pt idx="11">
                  <c:v>409.78589785572836</c:v>
                </c:pt>
                <c:pt idx="12">
                  <c:v>379.00168763410392</c:v>
                </c:pt>
                <c:pt idx="13">
                  <c:v>371.80174077831521</c:v>
                </c:pt>
                <c:pt idx="14">
                  <c:v>345.49564491030742</c:v>
                </c:pt>
                <c:pt idx="15">
                  <c:v>311.30536651597919</c:v>
                </c:pt>
                <c:pt idx="16">
                  <c:v>277.93279486233178</c:v>
                </c:pt>
                <c:pt idx="17">
                  <c:v>238.59697013590574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DD-4A8D-98A1-42FE228D8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scatterChart>
        <c:scatterStyle val="lineMarker"/>
        <c:varyColors val="0"/>
        <c:ser>
          <c:idx val="1"/>
          <c:order val="1"/>
          <c:tx>
            <c:v>Power (hp)</c:v>
          </c:tx>
          <c:spPr>
            <a:ln w="19050">
              <a:solidFill>
                <a:srgbClr val="C95745"/>
              </a:solidFill>
              <a:prstDash val="solid"/>
            </a:ln>
          </c:spPr>
          <c:marker>
            <c:symbol val="none"/>
          </c:marker>
          <c:xVal>
            <c:numRef>
              <c:f>Samples!$B$7:$B$24</c:f>
              <c:numCache>
                <c:formatCode>General</c:formatCode>
                <c:ptCount val="18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3740</c:v>
                </c:pt>
                <c:pt idx="9">
                  <c:v>4000</c:v>
                </c:pt>
                <c:pt idx="10">
                  <c:v>4500</c:v>
                </c:pt>
                <c:pt idx="11">
                  <c:v>5000</c:v>
                </c:pt>
                <c:pt idx="12">
                  <c:v>5500</c:v>
                </c:pt>
                <c:pt idx="13">
                  <c:v>5610</c:v>
                </c:pt>
                <c:pt idx="14">
                  <c:v>6000</c:v>
                </c:pt>
                <c:pt idx="15">
                  <c:v>6500</c:v>
                </c:pt>
                <c:pt idx="16">
                  <c:v>7000</c:v>
                </c:pt>
                <c:pt idx="17">
                  <c:v>7499</c:v>
                </c:pt>
              </c:numCache>
            </c:numRef>
          </c:xVal>
          <c:yVal>
            <c:numRef>
              <c:f>Samples!$D$7:$D$24</c:f>
              <c:numCache>
                <c:formatCode>0.0</c:formatCode>
                <c:ptCount val="18"/>
                <c:pt idx="0">
                  <c:v>0</c:v>
                </c:pt>
                <c:pt idx="1">
                  <c:v>2.6685889673305132</c:v>
                </c:pt>
                <c:pt idx="2">
                  <c:v>20.318535160958582</c:v>
                </c:pt>
                <c:pt idx="3">
                  <c:v>62.207195285991304</c:v>
                </c:pt>
                <c:pt idx="4">
                  <c:v>104.49006713712463</c:v>
                </c:pt>
                <c:pt idx="5">
                  <c:v>137.26965039984785</c:v>
                </c:pt>
                <c:pt idx="6">
                  <c:v>173.25752286041558</c:v>
                </c:pt>
                <c:pt idx="7">
                  <c:v>208.30550877345351</c:v>
                </c:pt>
                <c:pt idx="8">
                  <c:v>223.32837624413057</c:v>
                </c:pt>
                <c:pt idx="9">
                  <c:v>238.42018515102365</c:v>
                </c:pt>
                <c:pt idx="10">
                  <c:v>265.19107262033378</c:v>
                </c:pt>
                <c:pt idx="11">
                  <c:v>287.73425147497431</c:v>
                </c:pt>
                <c:pt idx="12">
                  <c:v>292.73077530671583</c:v>
                </c:pt>
                <c:pt idx="13">
                  <c:v>292.91312333776995</c:v>
                </c:pt>
                <c:pt idx="14">
                  <c:v>291.11083996686489</c:v>
                </c:pt>
                <c:pt idx="15">
                  <c:v>284.16102703465776</c:v>
                </c:pt>
                <c:pt idx="16">
                  <c:v>273.21364437363303</c:v>
                </c:pt>
                <c:pt idx="17">
                  <c:v>251.26548020329068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DD-4A8D-98A1-42FE228D8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4756207"/>
        <c:axId val="1694752367"/>
      </c:scatterChart>
      <c:valAx>
        <c:axId val="48672768"/>
        <c:scaling>
          <c:orientation val="minMax"/>
          <c:max val="500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Torque (Nm)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1000">
                <a:latin typeface="Arial"/>
                <a:ea typeface="Arial"/>
                <a:cs typeface="Arial"/>
              </a:defRPr>
            </a:pPr>
            <a:endParaRPr lang="zh-CN"/>
          </a:p>
        </c:txPr>
        <c:crossAx val="48650112"/>
        <c:crosses val="autoZero"/>
        <c:crossBetween val="midCat"/>
        <c:majorUnit val="100"/>
      </c:valAx>
      <c:valAx>
        <c:axId val="48650112"/>
        <c:scaling>
          <c:orientation val="minMax"/>
          <c:max val="8000"/>
          <c:min val="0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Engine speed (rpm)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1000">
                <a:latin typeface="Arial"/>
                <a:ea typeface="Arial"/>
                <a:cs typeface="Arial"/>
              </a:defRPr>
            </a:pPr>
            <a:endParaRPr lang="zh-CN"/>
          </a:p>
        </c:txPr>
        <c:crossAx val="48672768"/>
        <c:crosses val="autoZero"/>
        <c:crossBetween val="midCat"/>
        <c:majorUnit val="1000"/>
      </c:valAx>
      <c:valAx>
        <c:axId val="1694752367"/>
        <c:scaling>
          <c:orientation val="minMax"/>
          <c:max val="500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altLang="zh-CN" sz="110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Power (hp)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Arial"/>
                <a:ea typeface="Arial"/>
                <a:cs typeface="Arial"/>
              </a:defRPr>
            </a:pPr>
            <a:endParaRPr lang="zh-CN"/>
          </a:p>
        </c:txPr>
        <c:crossAx val="1694756207"/>
        <c:crosses val="max"/>
        <c:crossBetween val="midCat"/>
        <c:majorUnit val="100"/>
      </c:valAx>
      <c:valAx>
        <c:axId val="169475620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94752367"/>
        <c:crossBetween val="midCat"/>
      </c:valAx>
    </c:plotArea>
    <c:legend>
      <c:legendPos val="t"/>
      <c:overlay val="0"/>
      <c:txPr>
        <a:bodyPr anchorCtr="1"/>
        <a:lstStyle/>
        <a:p>
          <a:pPr>
            <a:defRPr sz="1100">
              <a:latin typeface="Arial"/>
              <a:ea typeface="Arial"/>
              <a:cs typeface="Arial"/>
            </a:defRPr>
          </a:pPr>
          <a:endParaRPr lang="zh-CN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US" sz="1350">
                <a:latin typeface="Arial"/>
                <a:ea typeface="Arial"/>
                <a:cs typeface="Arial"/>
              </a:rPr>
              <a:t>Torque and power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Torque (Nm)</c:v>
          </c:tx>
          <c:spPr>
            <a:ln w="19050">
              <a:solidFill>
                <a:srgbClr val="426F9B"/>
              </a:solidFill>
              <a:prstDash val="solid"/>
            </a:ln>
          </c:spPr>
          <c:marker>
            <c:symbol val="none"/>
          </c:marker>
          <c:xVal>
            <c:numRef>
              <c:f>Samples!$B$37:$B$55</c:f>
              <c:numCache>
                <c:formatCode>General</c:formatCode>
                <c:ptCount val="19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4170</c:v>
                </c:pt>
                <c:pt idx="10">
                  <c:v>4500</c:v>
                </c:pt>
                <c:pt idx="11">
                  <c:v>5000</c:v>
                </c:pt>
                <c:pt idx="12">
                  <c:v>5500</c:v>
                </c:pt>
                <c:pt idx="13">
                  <c:v>5960</c:v>
                </c:pt>
                <c:pt idx="14">
                  <c:v>6000</c:v>
                </c:pt>
                <c:pt idx="15">
                  <c:v>6500</c:v>
                </c:pt>
                <c:pt idx="16">
                  <c:v>7000</c:v>
                </c:pt>
                <c:pt idx="17">
                  <c:v>7500</c:v>
                </c:pt>
                <c:pt idx="18">
                  <c:v>7649</c:v>
                </c:pt>
              </c:numCache>
            </c:numRef>
          </c:xVal>
          <c:yVal>
            <c:numRef>
              <c:f>Samples!$C$37:$C$55</c:f>
              <c:numCache>
                <c:formatCode>0.00</c:formatCode>
                <c:ptCount val="19"/>
                <c:pt idx="0">
                  <c:v>-12.15</c:v>
                </c:pt>
                <c:pt idx="1">
                  <c:v>37.607653353450431</c:v>
                </c:pt>
                <c:pt idx="2">
                  <c:v>141.5610188906123</c:v>
                </c:pt>
                <c:pt idx="3">
                  <c:v>283.07918475481819</c:v>
                </c:pt>
                <c:pt idx="4">
                  <c:v>357.87665214001487</c:v>
                </c:pt>
                <c:pt idx="5">
                  <c:v>375.53879897634943</c:v>
                </c:pt>
                <c:pt idx="6">
                  <c:v>393.47429935069022</c:v>
                </c:pt>
                <c:pt idx="7">
                  <c:v>403.52794743805384</c:v>
                </c:pt>
                <c:pt idx="8">
                  <c:v>409.35787494570224</c:v>
                </c:pt>
                <c:pt idx="9">
                  <c:v>409.78852677824824</c:v>
                </c:pt>
                <c:pt idx="10">
                  <c:v>409.12826663235899</c:v>
                </c:pt>
                <c:pt idx="11">
                  <c:v>407.45143756593717</c:v>
                </c:pt>
                <c:pt idx="12">
                  <c:v>392.988467409279</c:v>
                </c:pt>
                <c:pt idx="13">
                  <c:v>368.1507684624786</c:v>
                </c:pt>
                <c:pt idx="14">
                  <c:v>365.66509947073672</c:v>
                </c:pt>
                <c:pt idx="15">
                  <c:v>330.89179093017987</c:v>
                </c:pt>
                <c:pt idx="16">
                  <c:v>293.07421988662304</c:v>
                </c:pt>
                <c:pt idx="17">
                  <c:v>251.2516279317727</c:v>
                </c:pt>
                <c:pt idx="18">
                  <c:v>238.07887199367764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C7-44BC-9C65-4CE00D5BE0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scatterChart>
        <c:scatterStyle val="lineMarker"/>
        <c:varyColors val="0"/>
        <c:ser>
          <c:idx val="1"/>
          <c:order val="1"/>
          <c:tx>
            <c:v>Power (hp)</c:v>
          </c:tx>
          <c:spPr>
            <a:ln w="19050">
              <a:solidFill>
                <a:srgbClr val="C95745"/>
              </a:solidFill>
              <a:prstDash val="solid"/>
            </a:ln>
          </c:spPr>
          <c:marker>
            <c:symbol val="none"/>
          </c:marker>
          <c:xVal>
            <c:numRef>
              <c:f>Samples!$B$37:$B$55</c:f>
              <c:numCache>
                <c:formatCode>General</c:formatCode>
                <c:ptCount val="19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4170</c:v>
                </c:pt>
                <c:pt idx="10">
                  <c:v>4500</c:v>
                </c:pt>
                <c:pt idx="11">
                  <c:v>5000</c:v>
                </c:pt>
                <c:pt idx="12">
                  <c:v>5500</c:v>
                </c:pt>
                <c:pt idx="13">
                  <c:v>5960</c:v>
                </c:pt>
                <c:pt idx="14">
                  <c:v>6000</c:v>
                </c:pt>
                <c:pt idx="15">
                  <c:v>6500</c:v>
                </c:pt>
                <c:pt idx="16">
                  <c:v>7000</c:v>
                </c:pt>
                <c:pt idx="17">
                  <c:v>7500</c:v>
                </c:pt>
                <c:pt idx="18">
                  <c:v>7649</c:v>
                </c:pt>
              </c:numCache>
            </c:numRef>
          </c:xVal>
          <c:yVal>
            <c:numRef>
              <c:f>Samples!$D$37:$D$55</c:f>
              <c:numCache>
                <c:formatCode>0.0</c:formatCode>
                <c:ptCount val="19"/>
                <c:pt idx="0">
                  <c:v>0</c:v>
                </c:pt>
                <c:pt idx="1">
                  <c:v>2.6406496768210106</c:v>
                </c:pt>
                <c:pt idx="2">
                  <c:v>19.879626908422974</c:v>
                </c:pt>
                <c:pt idx="3">
                  <c:v>59.629853852791598</c:v>
                </c:pt>
                <c:pt idx="4">
                  <c:v>100.51431360884006</c:v>
                </c:pt>
                <c:pt idx="5">
                  <c:v>131.84369665804527</c:v>
                </c:pt>
                <c:pt idx="6">
                  <c:v>165.76856391212905</c:v>
                </c:pt>
                <c:pt idx="7">
                  <c:v>198.33812915235899</c:v>
                </c:pt>
                <c:pt idx="8">
                  <c:v>229.94696957454855</c:v>
                </c:pt>
                <c:pt idx="9">
                  <c:v>239.97190522551352</c:v>
                </c:pt>
                <c:pt idx="10">
                  <c:v>258.54524168702534</c:v>
                </c:pt>
                <c:pt idx="11">
                  <c:v>286.09509261763952</c:v>
                </c:pt>
                <c:pt idx="12">
                  <c:v>303.53379023044903</c:v>
                </c:pt>
                <c:pt idx="13">
                  <c:v>308.13179986562693</c:v>
                </c:pt>
                <c:pt idx="14">
                  <c:v>308.10540110028921</c:v>
                </c:pt>
                <c:pt idx="15">
                  <c:v>302.03960889068333</c:v>
                </c:pt>
                <c:pt idx="16">
                  <c:v>288.09797608391517</c:v>
                </c:pt>
                <c:pt idx="17">
                  <c:v>264.62733151545461</c:v>
                </c:pt>
                <c:pt idx="18">
                  <c:v>255.73493933679504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C7-44BC-9C65-4CE00D5BE0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4741327"/>
        <c:axId val="1694748047"/>
      </c:scatterChart>
      <c:valAx>
        <c:axId val="48672768"/>
        <c:scaling>
          <c:orientation val="minMax"/>
          <c:max val="500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Torque (Nm)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1000">
                <a:latin typeface="Arial"/>
                <a:ea typeface="Arial"/>
                <a:cs typeface="Arial"/>
              </a:defRPr>
            </a:pPr>
            <a:endParaRPr lang="zh-CN"/>
          </a:p>
        </c:txPr>
        <c:crossAx val="48650112"/>
        <c:crosses val="autoZero"/>
        <c:crossBetween val="midCat"/>
        <c:majorUnit val="100"/>
      </c:valAx>
      <c:valAx>
        <c:axId val="48650112"/>
        <c:scaling>
          <c:orientation val="minMax"/>
          <c:max val="8000"/>
          <c:min val="0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Engine speed (rpm)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1000">
                <a:latin typeface="Arial"/>
                <a:ea typeface="Arial"/>
                <a:cs typeface="Arial"/>
              </a:defRPr>
            </a:pPr>
            <a:endParaRPr lang="zh-CN"/>
          </a:p>
        </c:txPr>
        <c:crossAx val="48672768"/>
        <c:crosses val="autoZero"/>
        <c:crossBetween val="midCat"/>
        <c:majorUnit val="1000"/>
      </c:valAx>
      <c:valAx>
        <c:axId val="1694748047"/>
        <c:scaling>
          <c:orientation val="minMax"/>
          <c:max val="500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altLang="zh-CN" sz="110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Power (hp)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Arial"/>
                <a:ea typeface="Arial"/>
                <a:cs typeface="Arial"/>
              </a:defRPr>
            </a:pPr>
            <a:endParaRPr lang="zh-CN"/>
          </a:p>
        </c:txPr>
        <c:crossAx val="1694741327"/>
        <c:crosses val="max"/>
        <c:crossBetween val="midCat"/>
        <c:majorUnit val="100"/>
      </c:valAx>
      <c:valAx>
        <c:axId val="169474132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94748047"/>
        <c:crossBetween val="midCat"/>
      </c:valAx>
    </c:plotArea>
    <c:legend>
      <c:legendPos val="t"/>
      <c:overlay val="0"/>
      <c:txPr>
        <a:bodyPr anchorCtr="1"/>
        <a:lstStyle/>
        <a:p>
          <a:pPr>
            <a:defRPr sz="1100">
              <a:latin typeface="Arial"/>
              <a:ea typeface="Arial"/>
              <a:cs typeface="Arial"/>
            </a:defRPr>
          </a:pPr>
          <a:endParaRPr lang="zh-CN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US" sz="1350">
                <a:latin typeface="Arial"/>
                <a:ea typeface="Arial"/>
                <a:cs typeface="Arial"/>
              </a:rPr>
              <a:t>Torque and power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Torque (Nm)</c:v>
          </c:tx>
          <c:spPr>
            <a:ln w="19050">
              <a:solidFill>
                <a:srgbClr val="426F9B"/>
              </a:solidFill>
              <a:prstDash val="solid"/>
            </a:ln>
          </c:spPr>
          <c:marker>
            <c:symbol val="none"/>
          </c:marker>
          <c:xVal>
            <c:numRef>
              <c:f>Samples!$B$67:$B$86</c:f>
              <c:numCache>
                <c:formatCode>General</c:formatCode>
                <c:ptCount val="20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4500</c:v>
                </c:pt>
                <c:pt idx="10">
                  <c:v>4760</c:v>
                </c:pt>
                <c:pt idx="11">
                  <c:v>5000</c:v>
                </c:pt>
                <c:pt idx="12">
                  <c:v>5500</c:v>
                </c:pt>
                <c:pt idx="13">
                  <c:v>6000</c:v>
                </c:pt>
                <c:pt idx="14">
                  <c:v>6500</c:v>
                </c:pt>
                <c:pt idx="15">
                  <c:v>6840</c:v>
                </c:pt>
                <c:pt idx="16">
                  <c:v>7000</c:v>
                </c:pt>
                <c:pt idx="17">
                  <c:v>7500</c:v>
                </c:pt>
                <c:pt idx="18">
                  <c:v>8000</c:v>
                </c:pt>
                <c:pt idx="19">
                  <c:v>8499</c:v>
                </c:pt>
              </c:numCache>
            </c:numRef>
          </c:xVal>
          <c:yVal>
            <c:numRef>
              <c:f>Samples!$C$67:$C$86</c:f>
              <c:numCache>
                <c:formatCode>0.00</c:formatCode>
                <c:ptCount val="20"/>
                <c:pt idx="0">
                  <c:v>-12.15</c:v>
                </c:pt>
                <c:pt idx="1">
                  <c:v>37.607959843714411</c:v>
                </c:pt>
                <c:pt idx="2">
                  <c:v>141.03569204279131</c:v>
                </c:pt>
                <c:pt idx="3">
                  <c:v>278.88278637512616</c:v>
                </c:pt>
                <c:pt idx="4">
                  <c:v>377.97203339025481</c:v>
                </c:pt>
                <c:pt idx="5">
                  <c:v>401.0745188774066</c:v>
                </c:pt>
                <c:pt idx="6">
                  <c:v>420.15432677720401</c:v>
                </c:pt>
                <c:pt idx="7">
                  <c:v>434.59516013261145</c:v>
                </c:pt>
                <c:pt idx="8">
                  <c:v>442.89770491258372</c:v>
                </c:pt>
                <c:pt idx="9">
                  <c:v>447.64206079947775</c:v>
                </c:pt>
                <c:pt idx="10">
                  <c:v>448.23569782092903</c:v>
                </c:pt>
                <c:pt idx="11">
                  <c:v>447.92621648884773</c:v>
                </c:pt>
                <c:pt idx="12">
                  <c:v>445.55952378227533</c:v>
                </c:pt>
                <c:pt idx="13">
                  <c:v>437.9255436520225</c:v>
                </c:pt>
                <c:pt idx="14">
                  <c:v>419.37327085245357</c:v>
                </c:pt>
                <c:pt idx="15">
                  <c:v>401.1180324483995</c:v>
                </c:pt>
                <c:pt idx="16">
                  <c:v>391.58756157870539</c:v>
                </c:pt>
                <c:pt idx="17">
                  <c:v>359.55425365765126</c:v>
                </c:pt>
                <c:pt idx="18">
                  <c:v>319.71543607804244</c:v>
                </c:pt>
                <c:pt idx="19">
                  <c:v>271.36793150569207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CD-415A-88C8-562C6867FE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scatterChart>
        <c:scatterStyle val="lineMarker"/>
        <c:varyColors val="0"/>
        <c:ser>
          <c:idx val="1"/>
          <c:order val="1"/>
          <c:tx>
            <c:v>Power (hp)</c:v>
          </c:tx>
          <c:spPr>
            <a:ln w="19050">
              <a:solidFill>
                <a:srgbClr val="C95745"/>
              </a:solidFill>
              <a:prstDash val="solid"/>
            </a:ln>
          </c:spPr>
          <c:marker>
            <c:symbol val="none"/>
          </c:marker>
          <c:xVal>
            <c:numRef>
              <c:f>Samples!$B$67:$B$86</c:f>
              <c:numCache>
                <c:formatCode>General</c:formatCode>
                <c:ptCount val="20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4500</c:v>
                </c:pt>
                <c:pt idx="10">
                  <c:v>4760</c:v>
                </c:pt>
                <c:pt idx="11">
                  <c:v>5000</c:v>
                </c:pt>
                <c:pt idx="12">
                  <c:v>5500</c:v>
                </c:pt>
                <c:pt idx="13">
                  <c:v>6000</c:v>
                </c:pt>
                <c:pt idx="14">
                  <c:v>6500</c:v>
                </c:pt>
                <c:pt idx="15">
                  <c:v>6840</c:v>
                </c:pt>
                <c:pt idx="16">
                  <c:v>7000</c:v>
                </c:pt>
                <c:pt idx="17">
                  <c:v>7500</c:v>
                </c:pt>
                <c:pt idx="18">
                  <c:v>8000</c:v>
                </c:pt>
                <c:pt idx="19">
                  <c:v>8499</c:v>
                </c:pt>
              </c:numCache>
            </c:numRef>
          </c:xVal>
          <c:yVal>
            <c:numRef>
              <c:f>Samples!$D$67:$D$86</c:f>
              <c:numCache>
                <c:formatCode>0.0</c:formatCode>
                <c:ptCount val="20"/>
                <c:pt idx="0">
                  <c:v>0</c:v>
                </c:pt>
                <c:pt idx="1">
                  <c:v>2.6406711972655037</c:v>
                </c:pt>
                <c:pt idx="2">
                  <c:v>19.805854468654587</c:v>
                </c:pt>
                <c:pt idx="3">
                  <c:v>58.74589404378672</c:v>
                </c:pt>
                <c:pt idx="4">
                  <c:v>106.15836286714588</c:v>
                </c:pt>
                <c:pt idx="5">
                  <c:v>140.8087455897585</c:v>
                </c:pt>
                <c:pt idx="6">
                  <c:v>177.0087131135578</c:v>
                </c:pt>
                <c:pt idx="7">
                  <c:v>213.60798315612135</c:v>
                </c:pt>
                <c:pt idx="8">
                  <c:v>248.78716475084263</c:v>
                </c:pt>
                <c:pt idx="9">
                  <c:v>282.88371700965536</c:v>
                </c:pt>
                <c:pt idx="10">
                  <c:v>299.62492856756506</c:v>
                </c:pt>
                <c:pt idx="11">
                  <c:v>314.5147631771639</c:v>
                </c:pt>
                <c:pt idx="12">
                  <c:v>344.13826929445071</c:v>
                </c:pt>
                <c:pt idx="13">
                  <c:v>368.99125859772272</c:v>
                </c:pt>
                <c:pt idx="14">
                  <c:v>382.80592683004716</c:v>
                </c:pt>
                <c:pt idx="15">
                  <c:v>385.29452495916468</c:v>
                </c:pt>
                <c:pt idx="16">
                  <c:v>384.93861382315947</c:v>
                </c:pt>
                <c:pt idx="17">
                  <c:v>378.69558682538178</c:v>
                </c:pt>
                <c:pt idx="18">
                  <c:v>359.1849584528091</c:v>
                </c:pt>
                <c:pt idx="19">
                  <c:v>323.88505076222094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CD-415A-88C8-562C6867FE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4742767"/>
        <c:axId val="1694745167"/>
      </c:scatterChart>
      <c:valAx>
        <c:axId val="48672768"/>
        <c:scaling>
          <c:orientation val="minMax"/>
          <c:max val="500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Torque (Nm)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1000">
                <a:latin typeface="Arial"/>
                <a:ea typeface="Arial"/>
                <a:cs typeface="Arial"/>
              </a:defRPr>
            </a:pPr>
            <a:endParaRPr lang="zh-CN"/>
          </a:p>
        </c:txPr>
        <c:crossAx val="48650112"/>
        <c:crosses val="autoZero"/>
        <c:crossBetween val="midCat"/>
        <c:majorUnit val="100"/>
      </c:valAx>
      <c:valAx>
        <c:axId val="48650112"/>
        <c:scaling>
          <c:orientation val="minMax"/>
          <c:max val="9000"/>
          <c:min val="0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Engine speed (rpm)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1000">
                <a:latin typeface="Arial"/>
                <a:ea typeface="Arial"/>
                <a:cs typeface="Arial"/>
              </a:defRPr>
            </a:pPr>
            <a:endParaRPr lang="zh-CN"/>
          </a:p>
        </c:txPr>
        <c:crossAx val="48672768"/>
        <c:crosses val="autoZero"/>
        <c:crossBetween val="midCat"/>
        <c:majorUnit val="1000"/>
      </c:valAx>
      <c:valAx>
        <c:axId val="1694745167"/>
        <c:scaling>
          <c:orientation val="minMax"/>
          <c:max val="500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altLang="zh-CN" sz="110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Power (hp)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Arial"/>
                <a:ea typeface="Arial"/>
                <a:cs typeface="Arial"/>
              </a:defRPr>
            </a:pPr>
            <a:endParaRPr lang="zh-CN"/>
          </a:p>
        </c:txPr>
        <c:crossAx val="1694742767"/>
        <c:crosses val="max"/>
        <c:crossBetween val="midCat"/>
        <c:majorUnit val="100"/>
      </c:valAx>
      <c:valAx>
        <c:axId val="16947427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94745167"/>
        <c:crossBetween val="midCat"/>
      </c:valAx>
    </c:plotArea>
    <c:legend>
      <c:legendPos val="t"/>
      <c:overlay val="0"/>
      <c:txPr>
        <a:bodyPr anchorCtr="1"/>
        <a:lstStyle/>
        <a:p>
          <a:pPr>
            <a:defRPr sz="1100">
              <a:latin typeface="Arial"/>
              <a:ea typeface="Arial"/>
              <a:cs typeface="Arial"/>
            </a:defRPr>
          </a:pPr>
          <a:endParaRPr lang="zh-CN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US" sz="1350">
                <a:latin typeface="Arial"/>
                <a:ea typeface="Arial"/>
                <a:cs typeface="Arial"/>
              </a:rPr>
              <a:t>Torque and power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Torque (Nm)</c:v>
          </c:tx>
          <c:spPr>
            <a:ln w="19050">
              <a:solidFill>
                <a:srgbClr val="426F9B"/>
              </a:solidFill>
              <a:prstDash val="solid"/>
            </a:ln>
          </c:spPr>
          <c:marker>
            <c:symbol val="none"/>
          </c:marker>
          <c:xVal>
            <c:numRef>
              <c:f>Samples!$B$97:$B$116</c:f>
              <c:numCache>
                <c:formatCode>General</c:formatCode>
                <c:ptCount val="20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4500</c:v>
                </c:pt>
                <c:pt idx="10">
                  <c:v>4860</c:v>
                </c:pt>
                <c:pt idx="11">
                  <c:v>5000</c:v>
                </c:pt>
                <c:pt idx="12">
                  <c:v>5500</c:v>
                </c:pt>
                <c:pt idx="13">
                  <c:v>6000</c:v>
                </c:pt>
                <c:pt idx="14">
                  <c:v>6500</c:v>
                </c:pt>
                <c:pt idx="15">
                  <c:v>6670</c:v>
                </c:pt>
                <c:pt idx="16">
                  <c:v>7000</c:v>
                </c:pt>
                <c:pt idx="17">
                  <c:v>7500</c:v>
                </c:pt>
                <c:pt idx="18">
                  <c:v>8000</c:v>
                </c:pt>
                <c:pt idx="19">
                  <c:v>8499</c:v>
                </c:pt>
              </c:numCache>
            </c:numRef>
          </c:xVal>
          <c:yVal>
            <c:numRef>
              <c:f>Samples!$C$97:$C$116</c:f>
              <c:numCache>
                <c:formatCode>0.00</c:formatCode>
                <c:ptCount val="20"/>
                <c:pt idx="0">
                  <c:v>-12.15</c:v>
                </c:pt>
                <c:pt idx="1">
                  <c:v>37.607959843714411</c:v>
                </c:pt>
                <c:pt idx="2">
                  <c:v>141.03569204279131</c:v>
                </c:pt>
                <c:pt idx="3">
                  <c:v>278.88278637512616</c:v>
                </c:pt>
                <c:pt idx="4">
                  <c:v>377.97203339025481</c:v>
                </c:pt>
                <c:pt idx="5">
                  <c:v>401.0745188774066</c:v>
                </c:pt>
                <c:pt idx="6">
                  <c:v>420.15432677720401</c:v>
                </c:pt>
                <c:pt idx="7">
                  <c:v>434.59643200985198</c:v>
                </c:pt>
                <c:pt idx="8">
                  <c:v>441.61027704675757</c:v>
                </c:pt>
                <c:pt idx="9">
                  <c:v>445.04988072588696</c:v>
                </c:pt>
                <c:pt idx="10">
                  <c:v>445.97739055382596</c:v>
                </c:pt>
                <c:pt idx="11">
                  <c:v>445.78790313598341</c:v>
                </c:pt>
                <c:pt idx="12">
                  <c:v>442.17584901438272</c:v>
                </c:pt>
                <c:pt idx="13">
                  <c:v>431.71057345825471</c:v>
                </c:pt>
                <c:pt idx="14">
                  <c:v>409.39327523553129</c:v>
                </c:pt>
                <c:pt idx="15">
                  <c:v>399.74936902349452</c:v>
                </c:pt>
                <c:pt idx="16">
                  <c:v>378.66221654161524</c:v>
                </c:pt>
                <c:pt idx="17">
                  <c:v>342.718175202944</c:v>
                </c:pt>
                <c:pt idx="18">
                  <c:v>299.11076922716995</c:v>
                </c:pt>
                <c:pt idx="19">
                  <c:v>249.98546670258065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7E-43A3-AD50-998633BC2A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scatterChart>
        <c:scatterStyle val="lineMarker"/>
        <c:varyColors val="0"/>
        <c:ser>
          <c:idx val="1"/>
          <c:order val="1"/>
          <c:tx>
            <c:v>Power (hp)</c:v>
          </c:tx>
          <c:spPr>
            <a:ln w="19050">
              <a:solidFill>
                <a:srgbClr val="C95745"/>
              </a:solidFill>
              <a:prstDash val="solid"/>
            </a:ln>
          </c:spPr>
          <c:marker>
            <c:symbol val="none"/>
          </c:marker>
          <c:xVal>
            <c:numRef>
              <c:f>Samples!$B$97:$B$116</c:f>
              <c:numCache>
                <c:formatCode>General</c:formatCode>
                <c:ptCount val="20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4500</c:v>
                </c:pt>
                <c:pt idx="10">
                  <c:v>4860</c:v>
                </c:pt>
                <c:pt idx="11">
                  <c:v>5000</c:v>
                </c:pt>
                <c:pt idx="12">
                  <c:v>5500</c:v>
                </c:pt>
                <c:pt idx="13">
                  <c:v>6000</c:v>
                </c:pt>
                <c:pt idx="14">
                  <c:v>6500</c:v>
                </c:pt>
                <c:pt idx="15">
                  <c:v>6670</c:v>
                </c:pt>
                <c:pt idx="16">
                  <c:v>7000</c:v>
                </c:pt>
                <c:pt idx="17">
                  <c:v>7500</c:v>
                </c:pt>
                <c:pt idx="18">
                  <c:v>8000</c:v>
                </c:pt>
                <c:pt idx="19">
                  <c:v>8499</c:v>
                </c:pt>
              </c:numCache>
            </c:numRef>
          </c:xVal>
          <c:yVal>
            <c:numRef>
              <c:f>Samples!$D$97:$D$116</c:f>
              <c:numCache>
                <c:formatCode>0.0</c:formatCode>
                <c:ptCount val="20"/>
                <c:pt idx="0">
                  <c:v>0</c:v>
                </c:pt>
                <c:pt idx="1">
                  <c:v>2.6406711972655037</c:v>
                </c:pt>
                <c:pt idx="2">
                  <c:v>19.805854468654587</c:v>
                </c:pt>
                <c:pt idx="3">
                  <c:v>58.74589404378672</c:v>
                </c:pt>
                <c:pt idx="4">
                  <c:v>106.15836286714588</c:v>
                </c:pt>
                <c:pt idx="5">
                  <c:v>140.8087455897585</c:v>
                </c:pt>
                <c:pt idx="6">
                  <c:v>177.0087131135578</c:v>
                </c:pt>
                <c:pt idx="7">
                  <c:v>213.6086082968433</c:v>
                </c:pt>
                <c:pt idx="8">
                  <c:v>248.06398302059785</c:v>
                </c:pt>
                <c:pt idx="9">
                  <c:v>281.24561014126573</c:v>
                </c:pt>
                <c:pt idx="10">
                  <c:v>304.37828173286493</c:v>
                </c:pt>
                <c:pt idx="11">
                  <c:v>313.01333036743364</c:v>
                </c:pt>
                <c:pt idx="12">
                  <c:v>341.52480932709761</c:v>
                </c:pt>
                <c:pt idx="13">
                  <c:v>363.75459289692509</c:v>
                </c:pt>
                <c:pt idx="14">
                  <c:v>373.69613911246063</c:v>
                </c:pt>
                <c:pt idx="15">
                  <c:v>374.43649433675955</c:v>
                </c:pt>
                <c:pt idx="16">
                  <c:v>372.23273424489935</c:v>
                </c:pt>
                <c:pt idx="17">
                  <c:v>360.96321807884431</c:v>
                </c:pt>
                <c:pt idx="18">
                  <c:v>336.03660347329526</c:v>
                </c:pt>
                <c:pt idx="19">
                  <c:v>298.36449400464443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7E-43A3-AD50-998633BC2A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4754287"/>
        <c:axId val="1694755727"/>
      </c:scatterChart>
      <c:valAx>
        <c:axId val="48672768"/>
        <c:scaling>
          <c:orientation val="minMax"/>
          <c:max val="500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Torque (Nm)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1000">
                <a:latin typeface="Arial"/>
                <a:ea typeface="Arial"/>
                <a:cs typeface="Arial"/>
              </a:defRPr>
            </a:pPr>
            <a:endParaRPr lang="zh-CN"/>
          </a:p>
        </c:txPr>
        <c:crossAx val="48650112"/>
        <c:crosses val="autoZero"/>
        <c:crossBetween val="midCat"/>
        <c:majorUnit val="100"/>
      </c:valAx>
      <c:valAx>
        <c:axId val="48650112"/>
        <c:scaling>
          <c:orientation val="minMax"/>
          <c:max val="9000"/>
          <c:min val="0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Engine speed (rpm)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1000">
                <a:latin typeface="Arial"/>
                <a:ea typeface="Arial"/>
                <a:cs typeface="Arial"/>
              </a:defRPr>
            </a:pPr>
            <a:endParaRPr lang="zh-CN"/>
          </a:p>
        </c:txPr>
        <c:crossAx val="48672768"/>
        <c:crosses val="autoZero"/>
        <c:crossBetween val="midCat"/>
        <c:majorUnit val="1000"/>
      </c:valAx>
      <c:valAx>
        <c:axId val="1694755727"/>
        <c:scaling>
          <c:orientation val="minMax"/>
          <c:max val="500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altLang="zh-CN" sz="110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Power (hp)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Arial"/>
                <a:ea typeface="Arial"/>
                <a:cs typeface="Arial"/>
              </a:defRPr>
            </a:pPr>
            <a:endParaRPr lang="zh-CN"/>
          </a:p>
        </c:txPr>
        <c:crossAx val="1694754287"/>
        <c:crosses val="max"/>
        <c:crossBetween val="midCat"/>
        <c:majorUnit val="100"/>
      </c:valAx>
      <c:valAx>
        <c:axId val="169475428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94755727"/>
        <c:crossBetween val="midCat"/>
      </c:valAx>
    </c:plotArea>
    <c:legend>
      <c:legendPos val="t"/>
      <c:overlay val="0"/>
      <c:txPr>
        <a:bodyPr anchorCtr="1"/>
        <a:lstStyle/>
        <a:p>
          <a:pPr>
            <a:defRPr sz="1100">
              <a:latin typeface="Arial"/>
              <a:ea typeface="Arial"/>
              <a:cs typeface="Arial"/>
            </a:defRPr>
          </a:pPr>
          <a:endParaRPr lang="zh-CN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US" sz="1350">
                <a:latin typeface="Arial"/>
                <a:ea typeface="Arial"/>
                <a:cs typeface="Arial"/>
              </a:rPr>
              <a:t>Torque and power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Torque (Nm)</c:v>
          </c:tx>
          <c:spPr>
            <a:ln w="19050">
              <a:solidFill>
                <a:srgbClr val="426F9B"/>
              </a:solidFill>
              <a:prstDash val="solid"/>
            </a:ln>
          </c:spPr>
          <c:marker>
            <c:symbol val="none"/>
          </c:marker>
          <c:xVal>
            <c:numRef>
              <c:f>Samples!$B$127:$B$146</c:f>
              <c:numCache>
                <c:formatCode>General</c:formatCode>
                <c:ptCount val="20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4140</c:v>
                </c:pt>
                <c:pt idx="10">
                  <c:v>4500</c:v>
                </c:pt>
                <c:pt idx="11">
                  <c:v>5000</c:v>
                </c:pt>
                <c:pt idx="12">
                  <c:v>5500</c:v>
                </c:pt>
                <c:pt idx="13">
                  <c:v>5690</c:v>
                </c:pt>
                <c:pt idx="14">
                  <c:v>6000</c:v>
                </c:pt>
                <c:pt idx="15">
                  <c:v>6500</c:v>
                </c:pt>
                <c:pt idx="16">
                  <c:v>7000</c:v>
                </c:pt>
                <c:pt idx="17">
                  <c:v>7500</c:v>
                </c:pt>
                <c:pt idx="18">
                  <c:v>8000</c:v>
                </c:pt>
                <c:pt idx="19">
                  <c:v>8499</c:v>
                </c:pt>
              </c:numCache>
            </c:numRef>
          </c:xVal>
          <c:yVal>
            <c:numRef>
              <c:f>Samples!$C$127:$C$146</c:f>
              <c:numCache>
                <c:formatCode>0.00</c:formatCode>
                <c:ptCount val="20"/>
                <c:pt idx="0">
                  <c:v>-13.230000000000002</c:v>
                </c:pt>
                <c:pt idx="1">
                  <c:v>63.244986096004553</c:v>
                </c:pt>
                <c:pt idx="2">
                  <c:v>200.69013367948659</c:v>
                </c:pt>
                <c:pt idx="3">
                  <c:v>437.72909021486583</c:v>
                </c:pt>
                <c:pt idx="4">
                  <c:v>701.08596562095306</c:v>
                </c:pt>
                <c:pt idx="5">
                  <c:v>781.33066324650258</c:v>
                </c:pt>
                <c:pt idx="6">
                  <c:v>815.57038116415981</c:v>
                </c:pt>
                <c:pt idx="7">
                  <c:v>839.3101465704458</c:v>
                </c:pt>
                <c:pt idx="8">
                  <c:v>849.15980914838872</c:v>
                </c:pt>
                <c:pt idx="9">
                  <c:v>849.65873074466481</c:v>
                </c:pt>
                <c:pt idx="10">
                  <c:v>846.29454015823137</c:v>
                </c:pt>
                <c:pt idx="11">
                  <c:v>830.31349416463172</c:v>
                </c:pt>
                <c:pt idx="12">
                  <c:v>778.94554940973444</c:v>
                </c:pt>
                <c:pt idx="13">
                  <c:v>754.97659458085627</c:v>
                </c:pt>
                <c:pt idx="14">
                  <c:v>713.52169730177775</c:v>
                </c:pt>
                <c:pt idx="15">
                  <c:v>650.00524403360237</c:v>
                </c:pt>
                <c:pt idx="16">
                  <c:v>590.16355423147775</c:v>
                </c:pt>
                <c:pt idx="17">
                  <c:v>529.20441938131887</c:v>
                </c:pt>
                <c:pt idx="18">
                  <c:v>466.50031942689958</c:v>
                </c:pt>
                <c:pt idx="19">
                  <c:v>397.78844881517381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2E-4EB7-8927-535093AF6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scatterChart>
        <c:scatterStyle val="lineMarker"/>
        <c:varyColors val="0"/>
        <c:ser>
          <c:idx val="1"/>
          <c:order val="1"/>
          <c:tx>
            <c:v>Power (hp)</c:v>
          </c:tx>
          <c:spPr>
            <a:ln w="19050">
              <a:solidFill>
                <a:srgbClr val="C95745"/>
              </a:solidFill>
              <a:prstDash val="solid"/>
            </a:ln>
          </c:spPr>
          <c:marker>
            <c:symbol val="none"/>
          </c:marker>
          <c:xVal>
            <c:numRef>
              <c:f>Samples!$B$127:$B$146</c:f>
              <c:numCache>
                <c:formatCode>General</c:formatCode>
                <c:ptCount val="20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4140</c:v>
                </c:pt>
                <c:pt idx="10">
                  <c:v>4500</c:v>
                </c:pt>
                <c:pt idx="11">
                  <c:v>5000</c:v>
                </c:pt>
                <c:pt idx="12">
                  <c:v>5500</c:v>
                </c:pt>
                <c:pt idx="13">
                  <c:v>5690</c:v>
                </c:pt>
                <c:pt idx="14">
                  <c:v>6000</c:v>
                </c:pt>
                <c:pt idx="15">
                  <c:v>6500</c:v>
                </c:pt>
                <c:pt idx="16">
                  <c:v>7000</c:v>
                </c:pt>
                <c:pt idx="17">
                  <c:v>7500</c:v>
                </c:pt>
                <c:pt idx="18">
                  <c:v>8000</c:v>
                </c:pt>
                <c:pt idx="19">
                  <c:v>8499</c:v>
                </c:pt>
              </c:numCache>
            </c:numRef>
          </c:xVal>
          <c:yVal>
            <c:numRef>
              <c:f>Samples!$D$127:$D$146</c:f>
              <c:numCache>
                <c:formatCode>0.0</c:formatCode>
                <c:ptCount val="20"/>
                <c:pt idx="0">
                  <c:v>0</c:v>
                </c:pt>
                <c:pt idx="1">
                  <c:v>4.4407942852845155</c:v>
                </c:pt>
                <c:pt idx="2">
                  <c:v>28.183217477635015</c:v>
                </c:pt>
                <c:pt idx="3">
                  <c:v>92.206432271716551</c:v>
                </c:pt>
                <c:pt idx="4">
                  <c:v>196.90911433811758</c:v>
                </c:pt>
                <c:pt idx="5">
                  <c:v>274.30860202859827</c:v>
                </c:pt>
                <c:pt idx="6">
                  <c:v>343.59532777096314</c:v>
                </c:pt>
                <c:pt idx="7">
                  <c:v>412.5295541640993</c:v>
                </c:pt>
                <c:pt idx="8">
                  <c:v>476.99515936776282</c:v>
                </c:pt>
                <c:pt idx="9">
                  <c:v>493.98005619134659</c:v>
                </c:pt>
                <c:pt idx="10">
                  <c:v>534.80887112656421</c:v>
                </c:pt>
                <c:pt idx="11">
                  <c:v>583.01086734112721</c:v>
                </c:pt>
                <c:pt idx="12">
                  <c:v>601.63672627379901</c:v>
                </c:pt>
                <c:pt idx="13">
                  <c:v>603.26802096160782</c:v>
                </c:pt>
                <c:pt idx="14">
                  <c:v>601.20555409613723</c:v>
                </c:pt>
                <c:pt idx="15">
                  <c:v>593.32789469602972</c:v>
                </c:pt>
                <c:pt idx="16">
                  <c:v>580.14289212593815</c:v>
                </c:pt>
                <c:pt idx="17">
                  <c:v>557.37729733274523</c:v>
                </c:pt>
                <c:pt idx="18">
                  <c:v>524.09073489548939</c:v>
                </c:pt>
                <c:pt idx="19">
                  <c:v>474.77139698220111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2E-4EB7-8927-535093AF6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4753807"/>
        <c:axId val="1694756687"/>
      </c:scatterChart>
      <c:valAx>
        <c:axId val="48672768"/>
        <c:scaling>
          <c:orientation val="minMax"/>
          <c:max val="900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Torque (Nm)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1000">
                <a:latin typeface="Arial"/>
                <a:ea typeface="Arial"/>
                <a:cs typeface="Arial"/>
              </a:defRPr>
            </a:pPr>
            <a:endParaRPr lang="zh-CN"/>
          </a:p>
        </c:txPr>
        <c:crossAx val="48650112"/>
        <c:crosses val="autoZero"/>
        <c:crossBetween val="midCat"/>
        <c:majorUnit val="100"/>
      </c:valAx>
      <c:valAx>
        <c:axId val="48650112"/>
        <c:scaling>
          <c:orientation val="minMax"/>
          <c:max val="9000"/>
          <c:min val="0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Engine speed (rpm)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1000">
                <a:latin typeface="Arial"/>
                <a:ea typeface="Arial"/>
                <a:cs typeface="Arial"/>
              </a:defRPr>
            </a:pPr>
            <a:endParaRPr lang="zh-CN"/>
          </a:p>
        </c:txPr>
        <c:crossAx val="48672768"/>
        <c:crosses val="autoZero"/>
        <c:crossBetween val="midCat"/>
        <c:majorUnit val="1000"/>
      </c:valAx>
      <c:valAx>
        <c:axId val="1694756687"/>
        <c:scaling>
          <c:orientation val="minMax"/>
          <c:max val="900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altLang="zh-CN" sz="110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Power (hp)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Arial"/>
                <a:ea typeface="Arial"/>
                <a:cs typeface="Arial"/>
              </a:defRPr>
            </a:pPr>
            <a:endParaRPr lang="zh-CN"/>
          </a:p>
        </c:txPr>
        <c:crossAx val="1694753807"/>
        <c:crosses val="max"/>
        <c:crossBetween val="midCat"/>
        <c:majorUnit val="100"/>
      </c:valAx>
      <c:valAx>
        <c:axId val="169475380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94756687"/>
        <c:crossBetween val="midCat"/>
      </c:valAx>
    </c:plotArea>
    <c:legend>
      <c:legendPos val="t"/>
      <c:overlay val="0"/>
      <c:txPr>
        <a:bodyPr anchorCtr="1"/>
        <a:lstStyle/>
        <a:p>
          <a:pPr>
            <a:defRPr sz="1100">
              <a:latin typeface="Arial"/>
              <a:ea typeface="Arial"/>
              <a:cs typeface="Arial"/>
            </a:defRPr>
          </a:pPr>
          <a:endParaRPr lang="zh-CN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US" sz="1350">
                <a:latin typeface="Arial"/>
                <a:ea typeface="Arial"/>
                <a:cs typeface="Arial"/>
              </a:rPr>
              <a:t>Torque and power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Torque (Nm)</c:v>
          </c:tx>
          <c:spPr>
            <a:ln w="19050">
              <a:solidFill>
                <a:srgbClr val="426F9B"/>
              </a:solidFill>
              <a:prstDash val="solid"/>
            </a:ln>
          </c:spPr>
          <c:marker>
            <c:symbol val="none"/>
          </c:marker>
          <c:xVal>
            <c:numRef>
              <c:f>Samples!$B$157:$B$176</c:f>
              <c:numCache>
                <c:formatCode>General</c:formatCode>
                <c:ptCount val="20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4140</c:v>
                </c:pt>
                <c:pt idx="10">
                  <c:v>4500</c:v>
                </c:pt>
                <c:pt idx="11">
                  <c:v>5000</c:v>
                </c:pt>
                <c:pt idx="12">
                  <c:v>5500</c:v>
                </c:pt>
                <c:pt idx="13">
                  <c:v>5690</c:v>
                </c:pt>
                <c:pt idx="14">
                  <c:v>6000</c:v>
                </c:pt>
                <c:pt idx="15">
                  <c:v>6500</c:v>
                </c:pt>
                <c:pt idx="16">
                  <c:v>7000</c:v>
                </c:pt>
                <c:pt idx="17">
                  <c:v>7500</c:v>
                </c:pt>
                <c:pt idx="18">
                  <c:v>8000</c:v>
                </c:pt>
                <c:pt idx="19">
                  <c:v>8499</c:v>
                </c:pt>
              </c:numCache>
            </c:numRef>
          </c:xVal>
          <c:yVal>
            <c:numRef>
              <c:f>Samples!$C$157:$C$176</c:f>
              <c:numCache>
                <c:formatCode>0.00</c:formatCode>
                <c:ptCount val="20"/>
                <c:pt idx="0">
                  <c:v>-13.230000000000002</c:v>
                </c:pt>
                <c:pt idx="1">
                  <c:v>63.244986096004553</c:v>
                </c:pt>
                <c:pt idx="2">
                  <c:v>200.69013367948659</c:v>
                </c:pt>
                <c:pt idx="3">
                  <c:v>437.72909021486583</c:v>
                </c:pt>
                <c:pt idx="4">
                  <c:v>701.08596562095306</c:v>
                </c:pt>
                <c:pt idx="5">
                  <c:v>781.33066324650258</c:v>
                </c:pt>
                <c:pt idx="6">
                  <c:v>815.57038116415981</c:v>
                </c:pt>
                <c:pt idx="7">
                  <c:v>839.3101465704458</c:v>
                </c:pt>
                <c:pt idx="8">
                  <c:v>849.15980914838872</c:v>
                </c:pt>
                <c:pt idx="9">
                  <c:v>849.65873074466481</c:v>
                </c:pt>
                <c:pt idx="10">
                  <c:v>846.29454015823137</c:v>
                </c:pt>
                <c:pt idx="11">
                  <c:v>830.31349416463172</c:v>
                </c:pt>
                <c:pt idx="12">
                  <c:v>778.94554940973444</c:v>
                </c:pt>
                <c:pt idx="13">
                  <c:v>754.97659458085627</c:v>
                </c:pt>
                <c:pt idx="14">
                  <c:v>713.52169730177775</c:v>
                </c:pt>
                <c:pt idx="15">
                  <c:v>650.00524403360237</c:v>
                </c:pt>
                <c:pt idx="16">
                  <c:v>590.16355423147775</c:v>
                </c:pt>
                <c:pt idx="17">
                  <c:v>529.20441938131887</c:v>
                </c:pt>
                <c:pt idx="18">
                  <c:v>466.50031942689958</c:v>
                </c:pt>
                <c:pt idx="19">
                  <c:v>397.78844881517381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65-43C4-9FC7-4345691D61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scatterChart>
        <c:scatterStyle val="lineMarker"/>
        <c:varyColors val="0"/>
        <c:ser>
          <c:idx val="1"/>
          <c:order val="1"/>
          <c:tx>
            <c:v>Power (hp)</c:v>
          </c:tx>
          <c:spPr>
            <a:ln w="19050">
              <a:solidFill>
                <a:srgbClr val="C95745"/>
              </a:solidFill>
              <a:prstDash val="solid"/>
            </a:ln>
          </c:spPr>
          <c:marker>
            <c:symbol val="none"/>
          </c:marker>
          <c:xVal>
            <c:numRef>
              <c:f>Samples!$B$157:$B$176</c:f>
              <c:numCache>
                <c:formatCode>General</c:formatCode>
                <c:ptCount val="20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4140</c:v>
                </c:pt>
                <c:pt idx="10">
                  <c:v>4500</c:v>
                </c:pt>
                <c:pt idx="11">
                  <c:v>5000</c:v>
                </c:pt>
                <c:pt idx="12">
                  <c:v>5500</c:v>
                </c:pt>
                <c:pt idx="13">
                  <c:v>5690</c:v>
                </c:pt>
                <c:pt idx="14">
                  <c:v>6000</c:v>
                </c:pt>
                <c:pt idx="15">
                  <c:v>6500</c:v>
                </c:pt>
                <c:pt idx="16">
                  <c:v>7000</c:v>
                </c:pt>
                <c:pt idx="17">
                  <c:v>7500</c:v>
                </c:pt>
                <c:pt idx="18">
                  <c:v>8000</c:v>
                </c:pt>
                <c:pt idx="19">
                  <c:v>8499</c:v>
                </c:pt>
              </c:numCache>
            </c:numRef>
          </c:xVal>
          <c:yVal>
            <c:numRef>
              <c:f>Samples!$D$157:$D$176</c:f>
              <c:numCache>
                <c:formatCode>0.0</c:formatCode>
                <c:ptCount val="20"/>
                <c:pt idx="0">
                  <c:v>0</c:v>
                </c:pt>
                <c:pt idx="1">
                  <c:v>4.4407942852845155</c:v>
                </c:pt>
                <c:pt idx="2">
                  <c:v>28.183217477635015</c:v>
                </c:pt>
                <c:pt idx="3">
                  <c:v>92.206432271716551</c:v>
                </c:pt>
                <c:pt idx="4">
                  <c:v>196.90911433811758</c:v>
                </c:pt>
                <c:pt idx="5">
                  <c:v>274.30860202859827</c:v>
                </c:pt>
                <c:pt idx="6">
                  <c:v>343.59532777096314</c:v>
                </c:pt>
                <c:pt idx="7">
                  <c:v>412.5295541640993</c:v>
                </c:pt>
                <c:pt idx="8">
                  <c:v>476.99515936776282</c:v>
                </c:pt>
                <c:pt idx="9">
                  <c:v>493.98005619134659</c:v>
                </c:pt>
                <c:pt idx="10">
                  <c:v>534.80887112656421</c:v>
                </c:pt>
                <c:pt idx="11">
                  <c:v>583.01086734112721</c:v>
                </c:pt>
                <c:pt idx="12">
                  <c:v>601.63672627379901</c:v>
                </c:pt>
                <c:pt idx="13">
                  <c:v>603.26802096160782</c:v>
                </c:pt>
                <c:pt idx="14">
                  <c:v>601.20555409613723</c:v>
                </c:pt>
                <c:pt idx="15">
                  <c:v>593.32789469602972</c:v>
                </c:pt>
                <c:pt idx="16">
                  <c:v>580.14289212593815</c:v>
                </c:pt>
                <c:pt idx="17">
                  <c:v>557.37729733274523</c:v>
                </c:pt>
                <c:pt idx="18">
                  <c:v>524.09073489548939</c:v>
                </c:pt>
                <c:pt idx="19">
                  <c:v>474.77139698220111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65-43C4-9FC7-4345691D61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4738927"/>
        <c:axId val="1694739407"/>
      </c:scatterChart>
      <c:valAx>
        <c:axId val="48672768"/>
        <c:scaling>
          <c:orientation val="minMax"/>
          <c:max val="900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Torque (Nm)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1000">
                <a:latin typeface="Arial"/>
                <a:ea typeface="Arial"/>
                <a:cs typeface="Arial"/>
              </a:defRPr>
            </a:pPr>
            <a:endParaRPr lang="zh-CN"/>
          </a:p>
        </c:txPr>
        <c:crossAx val="48650112"/>
        <c:crosses val="autoZero"/>
        <c:crossBetween val="midCat"/>
        <c:majorUnit val="100"/>
      </c:valAx>
      <c:valAx>
        <c:axId val="48650112"/>
        <c:scaling>
          <c:orientation val="minMax"/>
          <c:max val="9000"/>
          <c:min val="0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Engine speed (rpm)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1000">
                <a:latin typeface="Arial"/>
                <a:ea typeface="Arial"/>
                <a:cs typeface="Arial"/>
              </a:defRPr>
            </a:pPr>
            <a:endParaRPr lang="zh-CN"/>
          </a:p>
        </c:txPr>
        <c:crossAx val="48672768"/>
        <c:crosses val="autoZero"/>
        <c:crossBetween val="midCat"/>
        <c:majorUnit val="1000"/>
      </c:valAx>
      <c:valAx>
        <c:axId val="1694739407"/>
        <c:scaling>
          <c:orientation val="minMax"/>
          <c:max val="900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altLang="zh-CN" sz="110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Power (hp)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Arial"/>
                <a:ea typeface="Arial"/>
                <a:cs typeface="Arial"/>
              </a:defRPr>
            </a:pPr>
            <a:endParaRPr lang="zh-CN"/>
          </a:p>
        </c:txPr>
        <c:crossAx val="1694738927"/>
        <c:crosses val="max"/>
        <c:crossBetween val="midCat"/>
        <c:majorUnit val="100"/>
      </c:valAx>
      <c:valAx>
        <c:axId val="169473892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94739407"/>
        <c:crossBetween val="midCat"/>
      </c:valAx>
    </c:plotArea>
    <c:legend>
      <c:legendPos val="t"/>
      <c:overlay val="0"/>
      <c:txPr>
        <a:bodyPr anchorCtr="1"/>
        <a:lstStyle/>
        <a:p>
          <a:pPr>
            <a:defRPr sz="1100">
              <a:latin typeface="Arial"/>
              <a:ea typeface="Arial"/>
              <a:cs typeface="Arial"/>
            </a:defRPr>
          </a:pPr>
          <a:endParaRPr lang="zh-CN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25</xdr:row>
      <xdr:rowOff>0</xdr:rowOff>
    </xdr:from>
    <xdr:ext cx="13716000" cy="6858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25</xdr:row>
      <xdr:rowOff>0</xdr:rowOff>
    </xdr:from>
    <xdr:ext cx="13716000" cy="6858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25</xdr:row>
      <xdr:rowOff>0</xdr:rowOff>
    </xdr:from>
    <xdr:ext cx="13716000" cy="6858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25</xdr:row>
      <xdr:rowOff>0</xdr:rowOff>
    </xdr:from>
    <xdr:ext cx="13716000" cy="6858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25</xdr:row>
      <xdr:rowOff>0</xdr:rowOff>
    </xdr:from>
    <xdr:ext cx="13716000" cy="6858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25</xdr:row>
      <xdr:rowOff>0</xdr:rowOff>
    </xdr:from>
    <xdr:ext cx="13716000" cy="6858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203200</xdr:colOff>
      <xdr:row>21</xdr:row>
      <xdr:rowOff>107950</xdr:rowOff>
    </xdr:to>
    <xdr:sp macro="" textlink="">
      <xdr:nvSpPr>
        <xdr:cNvPr id="7170" name="Text Box 2" hidden="1">
          <a:extLst>
            <a:ext uri="{FF2B5EF4-FFF2-40B4-BE49-F238E27FC236}">
              <a16:creationId xmlns:a16="http://schemas.microsoft.com/office/drawing/2014/main" id="{FD3A6C4C-7123-B414-8F69-4336D8BFECA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odex" id="{275C4A24-9D8A-465A-927A-5A5784EAB8AC}" userId="" providerId=""/>
</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6-10-27T02:56:03.03" personId="{275C4A24-9D8A-465A-927A-5A5784EAB8AC}" id="{6571DE06-251A-4D4A-8127-7E3134D3E29F}">
    <text>Source: Astral JBeam at c209001. Net torque samples are for the normal full-boost curve. Power is mechanical hp: Nm × rpm × 2π / (60 × 745.69987158227). Flash thresholds are recorded calibration inputs, previously calculated with rotational inertia and the separate first-gear boost cap; this workbook does not rerun that solver. RX3 is an RX1 placeholder.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7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showGridLines="0" tabSelected="1" workbookViewId="0"/>
  </sheetViews>
  <sheetFormatPr defaultRowHeight="14"/>
  <cols>
    <col min="1" max="1" width="3" customWidth="1"/>
    <col min="2" max="16" width="12" customWidth="1"/>
    <col min="17" max="17" width="3" customWidth="1"/>
  </cols>
  <sheetData>
    <row r="1" spans="1:17" ht="22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34" customHeight="1">
      <c r="A2" s="1"/>
      <c r="B2" s="23" t="s">
        <v>0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1"/>
    </row>
    <row r="3" spans="1:17" ht="22.5" customHeight="1">
      <c r="A3" s="1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1"/>
    </row>
    <row r="4" spans="1:17" ht="22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32" customHeight="1">
      <c r="A5" s="1"/>
      <c r="B5" s="24" t="s">
        <v>1</v>
      </c>
      <c r="C5" s="24"/>
      <c r="D5" s="24"/>
      <c r="E5" s="1"/>
      <c r="F5" s="24" t="s">
        <v>2</v>
      </c>
      <c r="G5" s="24"/>
      <c r="H5" s="24"/>
      <c r="I5" s="24"/>
      <c r="J5" s="1"/>
      <c r="K5" s="24" t="s">
        <v>3</v>
      </c>
      <c r="L5" s="24"/>
      <c r="M5" s="24"/>
      <c r="N5" s="24"/>
      <c r="O5" s="24"/>
      <c r="P5" s="24"/>
      <c r="Q5" s="1"/>
    </row>
    <row r="6" spans="1:17" ht="22.5" customHeight="1">
      <c r="A6" s="1"/>
      <c r="B6" s="25" t="s">
        <v>4</v>
      </c>
      <c r="C6" s="25"/>
      <c r="D6" s="6">
        <f>MAX(Samples!$D$7:$D$24)</f>
        <v>292.91312333776995</v>
      </c>
      <c r="E6" s="1"/>
      <c r="F6" s="25" t="s">
        <v>5</v>
      </c>
      <c r="G6" s="25"/>
      <c r="H6" s="25"/>
      <c r="I6" s="7">
        <v>1420.59</v>
      </c>
      <c r="J6" s="1"/>
      <c r="K6" s="25" t="s">
        <v>6</v>
      </c>
      <c r="L6" s="25"/>
      <c r="M6" s="25"/>
      <c r="N6" s="25"/>
      <c r="O6" s="26">
        <v>6000</v>
      </c>
      <c r="P6" s="26"/>
      <c r="Q6" s="1"/>
    </row>
    <row r="7" spans="1:17" ht="22.5" customHeight="1">
      <c r="A7" s="1"/>
      <c r="B7" s="27" t="s">
        <v>7</v>
      </c>
      <c r="C7" s="27"/>
      <c r="D7" s="5">
        <f>INDEX(Samples!$B$7:$B$24,MATCH(D6,Samples!$D$7:$D$24,0))</f>
        <v>5610</v>
      </c>
      <c r="E7" s="1"/>
      <c r="F7" s="27" t="s">
        <v>8</v>
      </c>
      <c r="G7" s="27"/>
      <c r="H7" s="27"/>
      <c r="I7" s="8">
        <v>0.12343999999999999</v>
      </c>
      <c r="J7" s="1"/>
      <c r="K7" s="27" t="s">
        <v>9</v>
      </c>
      <c r="L7" s="27"/>
      <c r="M7" s="27"/>
      <c r="N7" s="27"/>
      <c r="O7" s="27">
        <v>7500</v>
      </c>
      <c r="P7" s="27"/>
      <c r="Q7" s="1"/>
    </row>
    <row r="8" spans="1:17" ht="22.5" customHeight="1">
      <c r="A8" s="1"/>
      <c r="B8" s="25" t="s">
        <v>10</v>
      </c>
      <c r="C8" s="25"/>
      <c r="D8" s="6">
        <f>MAX(Samples!$C$7:$C$24)</f>
        <v>425.214197164935</v>
      </c>
      <c r="E8" s="1"/>
      <c r="F8" s="25" t="s">
        <v>11</v>
      </c>
      <c r="G8" s="25"/>
      <c r="H8" s="25"/>
      <c r="I8" s="9">
        <v>4.1333333333333337</v>
      </c>
      <c r="J8" s="1"/>
      <c r="K8" s="25" t="s">
        <v>12</v>
      </c>
      <c r="L8" s="25"/>
      <c r="M8" s="25"/>
      <c r="N8" s="25"/>
      <c r="O8" s="26">
        <v>800</v>
      </c>
      <c r="P8" s="26"/>
      <c r="Q8" s="1"/>
    </row>
    <row r="9" spans="1:17" ht="22.5" customHeight="1">
      <c r="A9" s="1"/>
      <c r="B9" s="27" t="s">
        <v>13</v>
      </c>
      <c r="C9" s="27"/>
      <c r="D9" s="5">
        <f>INDEX(Samples!$B$7:$B$24,MATCH(D8,Samples!$C$7:$C$24,0))</f>
        <v>3740</v>
      </c>
      <c r="E9" s="1"/>
      <c r="F9" s="27" t="s">
        <v>14</v>
      </c>
      <c r="G9" s="27"/>
      <c r="H9" s="27"/>
      <c r="I9" s="10">
        <v>1.0999999999999999E-2</v>
      </c>
      <c r="J9" s="1"/>
      <c r="K9" s="27" t="s">
        <v>15</v>
      </c>
      <c r="L9" s="27"/>
      <c r="M9" s="27"/>
      <c r="N9" s="27"/>
      <c r="O9" s="27">
        <v>10</v>
      </c>
      <c r="P9" s="27"/>
      <c r="Q9" s="1"/>
    </row>
    <row r="10" spans="1:17" ht="22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22.5" customHeight="1">
      <c r="A11" s="1"/>
      <c r="B11" s="28" t="s">
        <v>16</v>
      </c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1"/>
    </row>
    <row r="12" spans="1:17" ht="22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32" customHeight="1">
      <c r="A13" s="1"/>
      <c r="B13" s="24" t="s">
        <v>17</v>
      </c>
      <c r="C13" s="24"/>
      <c r="D13" s="24"/>
      <c r="E13" s="24"/>
      <c r="F13" s="24"/>
      <c r="G13" s="24"/>
      <c r="H13" s="24"/>
      <c r="I13" s="1"/>
      <c r="J13" s="24" t="s">
        <v>18</v>
      </c>
      <c r="K13" s="24"/>
      <c r="L13" s="24"/>
      <c r="M13" s="24"/>
      <c r="N13" s="24"/>
      <c r="O13" s="24"/>
      <c r="P13" s="24"/>
      <c r="Q13" s="1"/>
    </row>
    <row r="14" spans="1:17" ht="32" customHeight="1">
      <c r="A14" s="1"/>
      <c r="B14" s="2" t="s">
        <v>19</v>
      </c>
      <c r="C14" s="2" t="s">
        <v>20</v>
      </c>
      <c r="D14" s="2" t="s">
        <v>21</v>
      </c>
      <c r="E14" s="2" t="s">
        <v>22</v>
      </c>
      <c r="F14" s="2" t="s">
        <v>23</v>
      </c>
      <c r="G14" s="2" t="s">
        <v>24</v>
      </c>
      <c r="H14" s="2" t="s">
        <v>25</v>
      </c>
      <c r="I14" s="1"/>
      <c r="J14" s="2" t="s">
        <v>19</v>
      </c>
      <c r="K14" s="2" t="s">
        <v>20</v>
      </c>
      <c r="L14" s="2" t="s">
        <v>21</v>
      </c>
      <c r="M14" s="2" t="s">
        <v>22</v>
      </c>
      <c r="N14" s="2" t="s">
        <v>23</v>
      </c>
      <c r="O14" s="2" t="s">
        <v>24</v>
      </c>
      <c r="P14" s="2" t="s">
        <v>25</v>
      </c>
      <c r="Q14" s="1"/>
    </row>
    <row r="15" spans="1:17" ht="22.5" customHeight="1">
      <c r="A15" s="1"/>
      <c r="B15" s="11">
        <v>1</v>
      </c>
      <c r="C15" s="12">
        <v>3.762</v>
      </c>
      <c r="D15" s="22">
        <v>6250</v>
      </c>
      <c r="E15" s="13">
        <f>D15*C16/C15</f>
        <v>4469.0324295587452</v>
      </c>
      <c r="F15" s="14">
        <f>D15*2*PI()/60*$D$22/(C15*$I$8)*3.6</f>
        <v>49.246489254547519</v>
      </c>
      <c r="G15" s="13">
        <f>MAX(0,D15-$O$8)</f>
        <v>5450</v>
      </c>
      <c r="H15" s="11" t="s">
        <v>26</v>
      </c>
      <c r="I15" s="1"/>
      <c r="J15" s="11">
        <v>1</v>
      </c>
      <c r="K15" s="12">
        <v>3.3650000000000002</v>
      </c>
      <c r="L15" s="22">
        <v>6490</v>
      </c>
      <c r="M15" s="13">
        <f>L15*K16/K15</f>
        <v>4443.6731054977708</v>
      </c>
      <c r="N15" s="14">
        <f>L15*2*PI()/60*$L$22/(K15*$I$8)*3.6</f>
        <v>56.994812169258736</v>
      </c>
      <c r="O15" s="13">
        <f>MAX(0,L15-$O$8)</f>
        <v>5690</v>
      </c>
      <c r="P15" s="11" t="s">
        <v>26</v>
      </c>
      <c r="Q15" s="1"/>
    </row>
    <row r="16" spans="1:17" ht="22.5" customHeight="1">
      <c r="A16" s="1"/>
      <c r="B16" s="15">
        <v>2</v>
      </c>
      <c r="C16" s="12">
        <v>2.69</v>
      </c>
      <c r="D16" s="22">
        <v>6400</v>
      </c>
      <c r="E16" s="16">
        <f>D16*C17/C16</f>
        <v>4665.5762081784387</v>
      </c>
      <c r="F16" s="17">
        <f>D16*2*PI()/60*$D$22/(C16*$I$8)*3.6</f>
        <v>70.524780519487848</v>
      </c>
      <c r="G16" s="16">
        <f>MAX(0,D16-$O$8)</f>
        <v>5600</v>
      </c>
      <c r="H16" s="15" t="s">
        <v>26</v>
      </c>
      <c r="I16" s="1"/>
      <c r="J16" s="15">
        <v>2</v>
      </c>
      <c r="K16" s="12">
        <v>2.3039999999999998</v>
      </c>
      <c r="L16" s="22">
        <v>6270</v>
      </c>
      <c r="M16" s="16">
        <f>L16*K17/K16</f>
        <v>4784.140625</v>
      </c>
      <c r="N16" s="17">
        <f>L16*2*PI()/60*$L$22/(K16*$I$8)*3.6</f>
        <v>80.419388154165745</v>
      </c>
      <c r="O16" s="16">
        <f>MAX(0,L16-$O$8)</f>
        <v>5470</v>
      </c>
      <c r="P16" s="15" t="s">
        <v>26</v>
      </c>
      <c r="Q16" s="1"/>
    </row>
    <row r="17" spans="1:17" ht="22.5" customHeight="1">
      <c r="A17" s="1"/>
      <c r="B17" s="11">
        <v>3</v>
      </c>
      <c r="C17" s="12">
        <v>1.9610000000000001</v>
      </c>
      <c r="D17" s="22">
        <v>6330</v>
      </c>
      <c r="E17" s="13">
        <f>D17*C18/C17</f>
        <v>4809.637939826619</v>
      </c>
      <c r="F17" s="14">
        <f>D17*2*PI()/60*$D$22/(C17*$I$8)*3.6</f>
        <v>95.684185783057387</v>
      </c>
      <c r="G17" s="13">
        <f>MAX(0,D17-$O$8)</f>
        <v>5530</v>
      </c>
      <c r="H17" s="11" t="s">
        <v>26</v>
      </c>
      <c r="I17" s="1"/>
      <c r="J17" s="11">
        <v>3</v>
      </c>
      <c r="K17" s="12">
        <v>1.758</v>
      </c>
      <c r="L17" s="22">
        <v>6210</v>
      </c>
      <c r="M17" s="13">
        <f>L17*K18/K17</f>
        <v>4885.3412969283281</v>
      </c>
      <c r="N17" s="14">
        <f>L17*2*PI()/60*$L$22/(K17*$I$8)*3.6</f>
        <v>104.38748347564912</v>
      </c>
      <c r="O17" s="13">
        <f>MAX(0,L17-$O$8)</f>
        <v>5410</v>
      </c>
      <c r="P17" s="11" t="s">
        <v>26</v>
      </c>
      <c r="Q17" s="1"/>
    </row>
    <row r="18" spans="1:17" ht="22.5" customHeight="1">
      <c r="A18" s="1"/>
      <c r="B18" s="15">
        <v>4</v>
      </c>
      <c r="C18" s="12">
        <v>1.49</v>
      </c>
      <c r="D18" s="22">
        <v>6190</v>
      </c>
      <c r="E18" s="16">
        <f>D18*C19/C18</f>
        <v>4939.5369127516788</v>
      </c>
      <c r="F18" s="17">
        <f>D18*2*PI()/60*$D$22/(C18*$I$8)*3.6</f>
        <v>123.14546695763887</v>
      </c>
      <c r="G18" s="16">
        <f>MAX(0,D18-$O$8)</f>
        <v>5390</v>
      </c>
      <c r="H18" s="15" t="s">
        <v>26</v>
      </c>
      <c r="I18" s="1"/>
      <c r="J18" s="15">
        <v>4</v>
      </c>
      <c r="K18" s="12">
        <v>1.383</v>
      </c>
      <c r="L18" s="22">
        <v>6160</v>
      </c>
      <c r="M18" s="16">
        <f>L18*K19/K18</f>
        <v>4961.8510484454091</v>
      </c>
      <c r="N18" s="17">
        <f>L18*2*PI()/60*$L$22/(K18*$I$8)*3.6</f>
        <v>131.62374113233474</v>
      </c>
      <c r="O18" s="16">
        <f>MAX(0,L18-$O$8)</f>
        <v>5360</v>
      </c>
      <c r="P18" s="15" t="s">
        <v>26</v>
      </c>
      <c r="Q18" s="1"/>
    </row>
    <row r="19" spans="1:17" ht="22.5" customHeight="1">
      <c r="A19" s="1"/>
      <c r="B19" s="11">
        <v>5</v>
      </c>
      <c r="C19" s="12">
        <v>1.1890000000000001</v>
      </c>
      <c r="D19" s="13">
        <f>$O$7</f>
        <v>7500</v>
      </c>
      <c r="E19" s="13" t="s">
        <v>27</v>
      </c>
      <c r="F19" s="14">
        <f>D19*2*PI()/60*$D$22/(C19*$I$8)*3.6</f>
        <v>186.97926921003307</v>
      </c>
      <c r="G19" s="13">
        <f>MAX(0,D19-$O$8)</f>
        <v>6700</v>
      </c>
      <c r="H19" s="11" t="s">
        <v>28</v>
      </c>
      <c r="I19" s="1"/>
      <c r="J19" s="11">
        <v>5</v>
      </c>
      <c r="K19" s="12">
        <v>1.1140000000000001</v>
      </c>
      <c r="L19" s="13">
        <f>$O$7</f>
        <v>7500</v>
      </c>
      <c r="M19" s="13" t="s">
        <v>27</v>
      </c>
      <c r="N19" s="14">
        <f>L19*2*PI()/60*$L$22/(K19*$I$8)*3.6</f>
        <v>198.95358584006709</v>
      </c>
      <c r="O19" s="13">
        <f>MAX(0,L19-$O$8)</f>
        <v>6700</v>
      </c>
      <c r="P19" s="11" t="s">
        <v>28</v>
      </c>
      <c r="Q19" s="1"/>
    </row>
    <row r="20" spans="1:17" ht="22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22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22.5" customHeight="1">
      <c r="A22" s="1"/>
      <c r="B22" s="29" t="s">
        <v>29</v>
      </c>
      <c r="C22" s="29"/>
      <c r="D22" s="18">
        <v>0.32500000000000001</v>
      </c>
      <c r="E22" s="1"/>
      <c r="F22" s="29" t="s">
        <v>30</v>
      </c>
      <c r="G22" s="29"/>
      <c r="H22" s="19">
        <v>5.4748128000000005</v>
      </c>
      <c r="I22" s="1"/>
      <c r="J22" s="29" t="s">
        <v>29</v>
      </c>
      <c r="K22" s="29"/>
      <c r="L22" s="18">
        <v>0.32400000000000001</v>
      </c>
      <c r="M22" s="1"/>
      <c r="N22" s="29" t="s">
        <v>30</v>
      </c>
      <c r="O22" s="29"/>
      <c r="P22" s="19">
        <v>5.7898434559999998</v>
      </c>
      <c r="Q22" s="1"/>
    </row>
    <row r="23" spans="1:17" ht="22.5" customHeight="1">
      <c r="A23" s="1"/>
      <c r="B23" s="29" t="s">
        <v>31</v>
      </c>
      <c r="C23" s="29"/>
      <c r="D23" s="20">
        <v>1.65</v>
      </c>
      <c r="E23" s="1"/>
      <c r="F23" s="29" t="s">
        <v>32</v>
      </c>
      <c r="G23" s="29"/>
      <c r="H23" s="21">
        <v>7.7999999999999999E-4</v>
      </c>
      <c r="I23" s="1"/>
      <c r="J23" s="29" t="s">
        <v>31</v>
      </c>
      <c r="K23" s="29"/>
      <c r="L23" s="20">
        <f>$D$23</f>
        <v>1.65</v>
      </c>
      <c r="M23" s="1"/>
      <c r="N23" s="29" t="s">
        <v>32</v>
      </c>
      <c r="O23" s="29"/>
      <c r="P23" s="21">
        <f>$H$23</f>
        <v>7.7999999999999999E-4</v>
      </c>
      <c r="Q23" s="1"/>
    </row>
    <row r="24" spans="1:17" ht="22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22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22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22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22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22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22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22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22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22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22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22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22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22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22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22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22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22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22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22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22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22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22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22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22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22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22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22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</sheetData>
  <mergeCells count="31">
    <mergeCell ref="J13:P13"/>
    <mergeCell ref="J22:K22"/>
    <mergeCell ref="N22:O22"/>
    <mergeCell ref="J23:K23"/>
    <mergeCell ref="N23:O23"/>
    <mergeCell ref="B13:H13"/>
    <mergeCell ref="B22:C22"/>
    <mergeCell ref="F22:G22"/>
    <mergeCell ref="B23:C23"/>
    <mergeCell ref="F23:G23"/>
    <mergeCell ref="B9:C9"/>
    <mergeCell ref="F9:H9"/>
    <mergeCell ref="K9:N9"/>
    <mergeCell ref="O9:P9"/>
    <mergeCell ref="B11:P11"/>
    <mergeCell ref="B7:C7"/>
    <mergeCell ref="F7:H7"/>
    <mergeCell ref="K7:N7"/>
    <mergeCell ref="O7:P7"/>
    <mergeCell ref="B8:C8"/>
    <mergeCell ref="F8:H8"/>
    <mergeCell ref="K8:N8"/>
    <mergeCell ref="O8:P8"/>
    <mergeCell ref="B2:P2"/>
    <mergeCell ref="B5:D5"/>
    <mergeCell ref="F5:I5"/>
    <mergeCell ref="K5:P5"/>
    <mergeCell ref="B6:C6"/>
    <mergeCell ref="F6:H6"/>
    <mergeCell ref="K6:N6"/>
    <mergeCell ref="O6:P6"/>
  </mergeCells>
  <phoneticPr fontId="9" type="noConversion"/>
  <dataValidations count="3">
    <dataValidation type="decimal" operator="greaterThan" sqref="I6:I8" xr:uid="{00000000-0002-0000-0000-000000000000}">
      <formula1>0</formula1>
    </dataValidation>
    <dataValidation type="decimal" sqref="I9" xr:uid="{00000000-0002-0000-0000-000003000000}">
      <formula1>0</formula1>
      <formula2>0.9</formula2>
    </dataValidation>
    <dataValidation type="decimal" sqref="K15:K19 C15:C19" xr:uid="{00000000-0002-0000-0000-000004000000}">
      <formula1>0.1</formula1>
      <formula2>8</formula2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1"/>
  <sheetViews>
    <sheetView showGridLines="0" workbookViewId="0"/>
  </sheetViews>
  <sheetFormatPr defaultRowHeight="14"/>
  <cols>
    <col min="1" max="1" width="3" customWidth="1"/>
    <col min="2" max="16" width="12" customWidth="1"/>
    <col min="17" max="17" width="3" customWidth="1"/>
  </cols>
  <sheetData>
    <row r="1" spans="1:17" ht="22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34" customHeight="1">
      <c r="A2" s="1"/>
      <c r="B2" s="23" t="s">
        <v>33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1"/>
    </row>
    <row r="3" spans="1:17" ht="22.5" customHeight="1">
      <c r="A3" s="1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1"/>
    </row>
    <row r="4" spans="1:17" ht="22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32" customHeight="1">
      <c r="A5" s="1"/>
      <c r="B5" s="24" t="s">
        <v>1</v>
      </c>
      <c r="C5" s="24"/>
      <c r="D5" s="24"/>
      <c r="E5" s="1"/>
      <c r="F5" s="24" t="s">
        <v>2</v>
      </c>
      <c r="G5" s="24"/>
      <c r="H5" s="24"/>
      <c r="I5" s="24"/>
      <c r="J5" s="1"/>
      <c r="K5" s="24" t="s">
        <v>3</v>
      </c>
      <c r="L5" s="24"/>
      <c r="M5" s="24"/>
      <c r="N5" s="24"/>
      <c r="O5" s="24"/>
      <c r="P5" s="24"/>
      <c r="Q5" s="1"/>
    </row>
    <row r="6" spans="1:17" ht="22.5" customHeight="1">
      <c r="A6" s="1"/>
      <c r="B6" s="25" t="s">
        <v>4</v>
      </c>
      <c r="C6" s="25"/>
      <c r="D6" s="6">
        <f>MAX(Samples!$D$37:$D$55)</f>
        <v>308.13179986562693</v>
      </c>
      <c r="E6" s="1"/>
      <c r="F6" s="25" t="s">
        <v>5</v>
      </c>
      <c r="G6" s="25"/>
      <c r="H6" s="25"/>
      <c r="I6" s="7">
        <v>1390</v>
      </c>
      <c r="J6" s="1"/>
      <c r="K6" s="25" t="s">
        <v>6</v>
      </c>
      <c r="L6" s="25"/>
      <c r="M6" s="25"/>
      <c r="N6" s="25"/>
      <c r="O6" s="26">
        <v>6350</v>
      </c>
      <c r="P6" s="26"/>
      <c r="Q6" s="1"/>
    </row>
    <row r="7" spans="1:17" ht="22.5" customHeight="1">
      <c r="A7" s="1"/>
      <c r="B7" s="27" t="s">
        <v>7</v>
      </c>
      <c r="C7" s="27"/>
      <c r="D7" s="5">
        <f>INDEX(Samples!$B$37:$B$55,MATCH(D6,Samples!$D$37:$D$55,0))</f>
        <v>5960</v>
      </c>
      <c r="E7" s="1"/>
      <c r="F7" s="27" t="s">
        <v>8</v>
      </c>
      <c r="G7" s="27"/>
      <c r="H7" s="27"/>
      <c r="I7" s="8">
        <v>0.12171599999999999</v>
      </c>
      <c r="J7" s="1"/>
      <c r="K7" s="27" t="s">
        <v>9</v>
      </c>
      <c r="L7" s="27"/>
      <c r="M7" s="27"/>
      <c r="N7" s="27"/>
      <c r="O7" s="27">
        <v>7650</v>
      </c>
      <c r="P7" s="27"/>
      <c r="Q7" s="1"/>
    </row>
    <row r="8" spans="1:17" ht="22.5" customHeight="1">
      <c r="A8" s="1"/>
      <c r="B8" s="25" t="s">
        <v>10</v>
      </c>
      <c r="C8" s="25"/>
      <c r="D8" s="6">
        <f>MAX(Samples!$C$37:$C$55)</f>
        <v>409.78852677824824</v>
      </c>
      <c r="E8" s="1"/>
      <c r="F8" s="25" t="s">
        <v>11</v>
      </c>
      <c r="G8" s="25"/>
      <c r="H8" s="25"/>
      <c r="I8" s="9">
        <v>4.1333333333333337</v>
      </c>
      <c r="J8" s="1"/>
      <c r="K8" s="25" t="s">
        <v>12</v>
      </c>
      <c r="L8" s="25"/>
      <c r="M8" s="25"/>
      <c r="N8" s="25"/>
      <c r="O8" s="26">
        <v>800</v>
      </c>
      <c r="P8" s="26"/>
      <c r="Q8" s="1"/>
    </row>
    <row r="9" spans="1:17" ht="22.5" customHeight="1">
      <c r="A9" s="1"/>
      <c r="B9" s="27" t="s">
        <v>13</v>
      </c>
      <c r="C9" s="27"/>
      <c r="D9" s="5">
        <f>INDEX(Samples!$B$37:$B$55,MATCH(D8,Samples!$C$37:$C$55,0))</f>
        <v>4170</v>
      </c>
      <c r="E9" s="1"/>
      <c r="F9" s="27" t="s">
        <v>14</v>
      </c>
      <c r="G9" s="27"/>
      <c r="H9" s="27"/>
      <c r="I9" s="10">
        <v>1.2E-2</v>
      </c>
      <c r="J9" s="1"/>
      <c r="K9" s="27" t="s">
        <v>15</v>
      </c>
      <c r="L9" s="27"/>
      <c r="M9" s="27"/>
      <c r="N9" s="27"/>
      <c r="O9" s="27">
        <v>10</v>
      </c>
      <c r="P9" s="27"/>
      <c r="Q9" s="1"/>
    </row>
    <row r="10" spans="1:17" ht="22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22.5" customHeight="1">
      <c r="A11" s="1"/>
      <c r="B11" s="28" t="s">
        <v>16</v>
      </c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1"/>
    </row>
    <row r="12" spans="1:17" ht="22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32" customHeight="1">
      <c r="A13" s="1"/>
      <c r="B13" s="24" t="s">
        <v>17</v>
      </c>
      <c r="C13" s="24"/>
      <c r="D13" s="24"/>
      <c r="E13" s="24"/>
      <c r="F13" s="24"/>
      <c r="G13" s="24"/>
      <c r="H13" s="24"/>
      <c r="I13" s="1"/>
      <c r="J13" s="24" t="s">
        <v>18</v>
      </c>
      <c r="K13" s="24"/>
      <c r="L13" s="24"/>
      <c r="M13" s="24"/>
      <c r="N13" s="24"/>
      <c r="O13" s="24"/>
      <c r="P13" s="24"/>
      <c r="Q13" s="1"/>
    </row>
    <row r="14" spans="1:17" ht="32" customHeight="1">
      <c r="A14" s="1"/>
      <c r="B14" s="2" t="s">
        <v>19</v>
      </c>
      <c r="C14" s="2" t="s">
        <v>20</v>
      </c>
      <c r="D14" s="2" t="s">
        <v>21</v>
      </c>
      <c r="E14" s="2" t="s">
        <v>22</v>
      </c>
      <c r="F14" s="2" t="s">
        <v>23</v>
      </c>
      <c r="G14" s="2" t="s">
        <v>24</v>
      </c>
      <c r="H14" s="2" t="s">
        <v>25</v>
      </c>
      <c r="I14" s="1"/>
      <c r="J14" s="2" t="s">
        <v>19</v>
      </c>
      <c r="K14" s="2" t="s">
        <v>20</v>
      </c>
      <c r="L14" s="2" t="s">
        <v>21</v>
      </c>
      <c r="M14" s="2" t="s">
        <v>22</v>
      </c>
      <c r="N14" s="2" t="s">
        <v>23</v>
      </c>
      <c r="O14" s="2" t="s">
        <v>24</v>
      </c>
      <c r="P14" s="2" t="s">
        <v>25</v>
      </c>
      <c r="Q14" s="1"/>
    </row>
    <row r="15" spans="1:17" ht="22.5" customHeight="1">
      <c r="A15" s="1"/>
      <c r="B15" s="11">
        <v>1</v>
      </c>
      <c r="C15" s="12">
        <v>3.7970000000000002</v>
      </c>
      <c r="D15" s="22">
        <v>6190</v>
      </c>
      <c r="E15" s="13">
        <f>D15*C16/C15</f>
        <v>5037.4242823281529</v>
      </c>
      <c r="F15" s="14">
        <f t="shared" ref="F15:F20" si="0">D15*2*PI()/60*$D$22/(C15*$I$8)*3.6</f>
        <v>48.324136362096894</v>
      </c>
      <c r="G15" s="13">
        <f t="shared" ref="G15:G20" si="1">MAX(0,D15-$O$8)</f>
        <v>5390</v>
      </c>
      <c r="H15" s="11" t="s">
        <v>26</v>
      </c>
      <c r="I15" s="1"/>
      <c r="J15" s="11">
        <v>1</v>
      </c>
      <c r="K15" s="12">
        <v>3.4910000000000001</v>
      </c>
      <c r="L15" s="22">
        <v>6290</v>
      </c>
      <c r="M15" s="13">
        <f>L15*K16/K15</f>
        <v>5043.1710111715838</v>
      </c>
      <c r="N15" s="14">
        <f t="shared" ref="N15:N20" si="2">L15*2*PI()/60*$L$22/(K15*$I$8)*3.6</f>
        <v>53.244713575728085</v>
      </c>
      <c r="O15" s="13">
        <f t="shared" ref="O15:O20" si="3">MAX(0,L15-$O$8)</f>
        <v>5490</v>
      </c>
      <c r="P15" s="11" t="s">
        <v>26</v>
      </c>
      <c r="Q15" s="1"/>
    </row>
    <row r="16" spans="1:17" ht="22.5" customHeight="1">
      <c r="A16" s="1"/>
      <c r="B16" s="15">
        <v>2</v>
      </c>
      <c r="C16" s="12">
        <v>3.09</v>
      </c>
      <c r="D16" s="22">
        <v>6380</v>
      </c>
      <c r="E16" s="16">
        <f>D16*C17/C16</f>
        <v>5118.4530744336571</v>
      </c>
      <c r="F16" s="17">
        <f t="shared" si="0"/>
        <v>61.203498595851272</v>
      </c>
      <c r="G16" s="16">
        <f t="shared" si="1"/>
        <v>5580</v>
      </c>
      <c r="H16" s="15" t="s">
        <v>26</v>
      </c>
      <c r="I16" s="1"/>
      <c r="J16" s="15">
        <v>2</v>
      </c>
      <c r="K16" s="12">
        <v>2.7989999999999999</v>
      </c>
      <c r="L16" s="22">
        <v>6420</v>
      </c>
      <c r="M16" s="16">
        <f>L16*K17/K16</f>
        <v>5149.3033226152202</v>
      </c>
      <c r="N16" s="17">
        <f t="shared" si="2"/>
        <v>67.780977563313513</v>
      </c>
      <c r="O16" s="16">
        <f t="shared" si="3"/>
        <v>5620</v>
      </c>
      <c r="P16" s="15" t="s">
        <v>26</v>
      </c>
      <c r="Q16" s="1"/>
    </row>
    <row r="17" spans="1:17" ht="22.5" customHeight="1">
      <c r="A17" s="1"/>
      <c r="B17" s="11">
        <v>3</v>
      </c>
      <c r="C17" s="12">
        <v>2.4790000000000001</v>
      </c>
      <c r="D17" s="22">
        <v>6450</v>
      </c>
      <c r="E17" s="13">
        <f>D17*C18/C17</f>
        <v>5195.9056070996376</v>
      </c>
      <c r="F17" s="14">
        <f t="shared" si="0"/>
        <v>77.125365848336912</v>
      </c>
      <c r="G17" s="13">
        <f t="shared" si="1"/>
        <v>5650</v>
      </c>
      <c r="H17" s="11" t="s">
        <v>26</v>
      </c>
      <c r="I17" s="1"/>
      <c r="J17" s="11">
        <v>3</v>
      </c>
      <c r="K17" s="12">
        <v>2.2450000000000001</v>
      </c>
      <c r="L17" s="22">
        <v>6460</v>
      </c>
      <c r="M17" s="13">
        <f>L17*K18/K17</f>
        <v>5234.1826280623609</v>
      </c>
      <c r="N17" s="14">
        <f t="shared" si="2"/>
        <v>85.033855577306156</v>
      </c>
      <c r="O17" s="13">
        <f t="shared" si="3"/>
        <v>5660</v>
      </c>
      <c r="P17" s="11" t="s">
        <v>26</v>
      </c>
      <c r="Q17" s="1"/>
    </row>
    <row r="18" spans="1:17" ht="22.5" customHeight="1">
      <c r="A18" s="1"/>
      <c r="B18" s="15">
        <v>4</v>
      </c>
      <c r="C18" s="12">
        <v>1.9970000000000001</v>
      </c>
      <c r="D18" s="22">
        <v>6500</v>
      </c>
      <c r="E18" s="16">
        <f>D18*C19/C18</f>
        <v>5243.6154231347018</v>
      </c>
      <c r="F18" s="17">
        <f t="shared" si="0"/>
        <v>96.48267615354635</v>
      </c>
      <c r="G18" s="16">
        <f t="shared" si="1"/>
        <v>5700</v>
      </c>
      <c r="H18" s="15" t="s">
        <v>26</v>
      </c>
      <c r="I18" s="1"/>
      <c r="J18" s="15">
        <v>4</v>
      </c>
      <c r="K18" s="12">
        <v>1.819</v>
      </c>
      <c r="L18" s="22">
        <v>6470</v>
      </c>
      <c r="M18" s="16">
        <f>L18*K19/K18</f>
        <v>5292.6663001649258</v>
      </c>
      <c r="N18" s="17">
        <f t="shared" si="2"/>
        <v>105.11078513682615</v>
      </c>
      <c r="O18" s="16">
        <f t="shared" si="3"/>
        <v>5670</v>
      </c>
      <c r="P18" s="15" t="s">
        <v>26</v>
      </c>
      <c r="Q18" s="1"/>
    </row>
    <row r="19" spans="1:17" ht="22.5" customHeight="1">
      <c r="A19" s="1"/>
      <c r="B19" s="11">
        <v>5</v>
      </c>
      <c r="C19" s="12">
        <v>1.611</v>
      </c>
      <c r="D19" s="22">
        <v>6500</v>
      </c>
      <c r="E19" s="13">
        <f>D19*C20/C19</f>
        <v>5309.745499689634</v>
      </c>
      <c r="F19" s="14">
        <f t="shared" si="0"/>
        <v>119.60018887562514</v>
      </c>
      <c r="G19" s="13">
        <f t="shared" si="1"/>
        <v>5700</v>
      </c>
      <c r="H19" s="11" t="s">
        <v>26</v>
      </c>
      <c r="I19" s="1"/>
      <c r="J19" s="11">
        <v>5</v>
      </c>
      <c r="K19" s="12">
        <v>1.488</v>
      </c>
      <c r="L19" s="22">
        <v>6480</v>
      </c>
      <c r="M19" s="13">
        <f>L19*K20/K19</f>
        <v>5343.3870967741941</v>
      </c>
      <c r="N19" s="14">
        <f t="shared" si="2"/>
        <v>128.69088075048469</v>
      </c>
      <c r="O19" s="13">
        <f t="shared" si="3"/>
        <v>5680</v>
      </c>
      <c r="P19" s="11" t="s">
        <v>26</v>
      </c>
      <c r="Q19" s="1"/>
    </row>
    <row r="20" spans="1:17" ht="22.5" customHeight="1">
      <c r="A20" s="1"/>
      <c r="B20" s="15">
        <v>6</v>
      </c>
      <c r="C20" s="12">
        <v>1.3160000000000001</v>
      </c>
      <c r="D20" s="16">
        <f>$O$7</f>
        <v>7650</v>
      </c>
      <c r="E20" s="16" t="s">
        <v>27</v>
      </c>
      <c r="F20" s="17">
        <f t="shared" si="0"/>
        <v>172.31361558703946</v>
      </c>
      <c r="G20" s="16">
        <f t="shared" si="1"/>
        <v>6850</v>
      </c>
      <c r="H20" s="15" t="s">
        <v>28</v>
      </c>
      <c r="I20" s="1"/>
      <c r="J20" s="15">
        <v>6</v>
      </c>
      <c r="K20" s="12">
        <v>1.2270000000000001</v>
      </c>
      <c r="L20" s="16">
        <f>$O$7</f>
        <v>7650</v>
      </c>
      <c r="M20" s="16" t="s">
        <v>27</v>
      </c>
      <c r="N20" s="17">
        <f t="shared" si="2"/>
        <v>184.24366790411688</v>
      </c>
      <c r="O20" s="16">
        <f t="shared" si="3"/>
        <v>6850</v>
      </c>
      <c r="P20" s="15" t="s">
        <v>28</v>
      </c>
      <c r="Q20" s="1"/>
    </row>
    <row r="21" spans="1:17" ht="22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22.5" customHeight="1">
      <c r="A22" s="1"/>
      <c r="B22" s="29" t="s">
        <v>29</v>
      </c>
      <c r="C22" s="29"/>
      <c r="D22" s="18">
        <v>0.32500000000000001</v>
      </c>
      <c r="E22" s="1"/>
      <c r="F22" s="29" t="s">
        <v>30</v>
      </c>
      <c r="G22" s="29"/>
      <c r="H22" s="19">
        <v>5.4748128000000005</v>
      </c>
      <c r="I22" s="1"/>
      <c r="J22" s="29" t="s">
        <v>29</v>
      </c>
      <c r="K22" s="29"/>
      <c r="L22" s="18">
        <v>0.32400000000000001</v>
      </c>
      <c r="M22" s="1"/>
      <c r="N22" s="29" t="s">
        <v>30</v>
      </c>
      <c r="O22" s="29"/>
      <c r="P22" s="19">
        <v>5.7898434559999998</v>
      </c>
      <c r="Q22" s="1"/>
    </row>
    <row r="23" spans="1:17" ht="22.5" customHeight="1">
      <c r="A23" s="1"/>
      <c r="B23" s="29" t="s">
        <v>31</v>
      </c>
      <c r="C23" s="29"/>
      <c r="D23" s="20">
        <v>1.85</v>
      </c>
      <c r="E23" s="1"/>
      <c r="F23" s="29" t="s">
        <v>32</v>
      </c>
      <c r="G23" s="29"/>
      <c r="H23" s="21">
        <v>9.7999999999999997E-4</v>
      </c>
      <c r="I23" s="1"/>
      <c r="J23" s="29" t="s">
        <v>31</v>
      </c>
      <c r="K23" s="29"/>
      <c r="L23" s="20">
        <f>$D$23</f>
        <v>1.85</v>
      </c>
      <c r="M23" s="1"/>
      <c r="N23" s="29" t="s">
        <v>32</v>
      </c>
      <c r="O23" s="29"/>
      <c r="P23" s="21">
        <f>$H$23</f>
        <v>9.7999999999999997E-4</v>
      </c>
      <c r="Q23" s="1"/>
    </row>
    <row r="24" spans="1:17" ht="22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22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22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22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22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22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22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22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22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22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22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22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22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22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22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22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22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22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22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22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22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22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22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22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22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22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22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22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</sheetData>
  <mergeCells count="31">
    <mergeCell ref="J13:P13"/>
    <mergeCell ref="J22:K22"/>
    <mergeCell ref="N22:O22"/>
    <mergeCell ref="J23:K23"/>
    <mergeCell ref="N23:O23"/>
    <mergeCell ref="B13:H13"/>
    <mergeCell ref="B22:C22"/>
    <mergeCell ref="F22:G22"/>
    <mergeCell ref="B23:C23"/>
    <mergeCell ref="F23:G23"/>
    <mergeCell ref="B9:C9"/>
    <mergeCell ref="F9:H9"/>
    <mergeCell ref="K9:N9"/>
    <mergeCell ref="O9:P9"/>
    <mergeCell ref="B11:P11"/>
    <mergeCell ref="B7:C7"/>
    <mergeCell ref="F7:H7"/>
    <mergeCell ref="K7:N7"/>
    <mergeCell ref="O7:P7"/>
    <mergeCell ref="B8:C8"/>
    <mergeCell ref="F8:H8"/>
    <mergeCell ref="K8:N8"/>
    <mergeCell ref="O8:P8"/>
    <mergeCell ref="B2:P2"/>
    <mergeCell ref="B5:D5"/>
    <mergeCell ref="F5:I5"/>
    <mergeCell ref="K5:P5"/>
    <mergeCell ref="B6:C6"/>
    <mergeCell ref="F6:H6"/>
    <mergeCell ref="K6:N6"/>
    <mergeCell ref="O6:P6"/>
  </mergeCells>
  <phoneticPr fontId="9" type="noConversion"/>
  <dataValidations count="3">
    <dataValidation type="decimal" operator="greaterThan" sqref="I6:I8" xr:uid="{00000000-0002-0000-0100-000000000000}">
      <formula1>0</formula1>
    </dataValidation>
    <dataValidation type="decimal" sqref="I9" xr:uid="{00000000-0002-0000-0100-000003000000}">
      <formula1>0</formula1>
      <formula2>0.9</formula2>
    </dataValidation>
    <dataValidation type="decimal" sqref="K15:K20 C15:C20" xr:uid="{00000000-0002-0000-0100-000004000000}">
      <formula1>0.1</formula1>
      <formula2>8</formula2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1"/>
  <sheetViews>
    <sheetView showGridLines="0" workbookViewId="0"/>
  </sheetViews>
  <sheetFormatPr defaultRowHeight="14"/>
  <cols>
    <col min="1" max="1" width="3" customWidth="1"/>
    <col min="2" max="16" width="12" customWidth="1"/>
    <col min="17" max="17" width="3" customWidth="1"/>
  </cols>
  <sheetData>
    <row r="1" spans="1:17" ht="22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34" customHeight="1">
      <c r="A2" s="1"/>
      <c r="B2" s="23" t="s">
        <v>34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1"/>
    </row>
    <row r="3" spans="1:17" ht="22.5" customHeight="1">
      <c r="A3" s="1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1"/>
    </row>
    <row r="4" spans="1:17" ht="22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32" customHeight="1">
      <c r="A5" s="1"/>
      <c r="B5" s="24" t="s">
        <v>1</v>
      </c>
      <c r="C5" s="24"/>
      <c r="D5" s="24"/>
      <c r="E5" s="1"/>
      <c r="F5" s="24" t="s">
        <v>2</v>
      </c>
      <c r="G5" s="24"/>
      <c r="H5" s="24"/>
      <c r="I5" s="24"/>
      <c r="J5" s="1"/>
      <c r="K5" s="24" t="s">
        <v>3</v>
      </c>
      <c r="L5" s="24"/>
      <c r="M5" s="24"/>
      <c r="N5" s="24"/>
      <c r="O5" s="24"/>
      <c r="P5" s="24"/>
      <c r="Q5" s="1"/>
    </row>
    <row r="6" spans="1:17" ht="22.5" customHeight="1">
      <c r="A6" s="1"/>
      <c r="B6" s="25" t="s">
        <v>4</v>
      </c>
      <c r="C6" s="25"/>
      <c r="D6" s="6">
        <f>MAX(Samples!$D$67:$D$86)</f>
        <v>385.29452495916468</v>
      </c>
      <c r="E6" s="1"/>
      <c r="F6" s="25" t="s">
        <v>5</v>
      </c>
      <c r="G6" s="25"/>
      <c r="H6" s="25"/>
      <c r="I6" s="7">
        <v>1391.01</v>
      </c>
      <c r="J6" s="1"/>
      <c r="K6" s="25" t="s">
        <v>6</v>
      </c>
      <c r="L6" s="25"/>
      <c r="M6" s="25"/>
      <c r="N6" s="25"/>
      <c r="O6" s="26">
        <v>7100</v>
      </c>
      <c r="P6" s="26"/>
      <c r="Q6" s="1"/>
    </row>
    <row r="7" spans="1:17" ht="22.5" customHeight="1">
      <c r="A7" s="1"/>
      <c r="B7" s="27" t="s">
        <v>7</v>
      </c>
      <c r="C7" s="27"/>
      <c r="D7" s="5">
        <f>INDEX(Samples!$B$67:$B$86,MATCH(D6,Samples!$D$67:$D$86,0))</f>
        <v>6840</v>
      </c>
      <c r="E7" s="1"/>
      <c r="F7" s="27" t="s">
        <v>8</v>
      </c>
      <c r="G7" s="27"/>
      <c r="H7" s="27"/>
      <c r="I7" s="8">
        <v>0.12171599999999999</v>
      </c>
      <c r="J7" s="1"/>
      <c r="K7" s="27" t="s">
        <v>9</v>
      </c>
      <c r="L7" s="27"/>
      <c r="M7" s="27"/>
      <c r="N7" s="27"/>
      <c r="O7" s="27">
        <v>8500</v>
      </c>
      <c r="P7" s="27"/>
      <c r="Q7" s="1"/>
    </row>
    <row r="8" spans="1:17" ht="22.5" customHeight="1">
      <c r="A8" s="1"/>
      <c r="B8" s="25" t="s">
        <v>10</v>
      </c>
      <c r="C8" s="25"/>
      <c r="D8" s="6">
        <f>MAX(Samples!$C$67:$C$86)</f>
        <v>448.23569782092903</v>
      </c>
      <c r="E8" s="1"/>
      <c r="F8" s="25" t="s">
        <v>11</v>
      </c>
      <c r="G8" s="25"/>
      <c r="H8" s="25"/>
      <c r="I8" s="9">
        <v>4.4666666666666668</v>
      </c>
      <c r="J8" s="1"/>
      <c r="K8" s="25" t="s">
        <v>12</v>
      </c>
      <c r="L8" s="25"/>
      <c r="M8" s="25"/>
      <c r="N8" s="25"/>
      <c r="O8" s="26">
        <v>800</v>
      </c>
      <c r="P8" s="26"/>
      <c r="Q8" s="1"/>
    </row>
    <row r="9" spans="1:17" ht="22.5" customHeight="1">
      <c r="A9" s="1"/>
      <c r="B9" s="27" t="s">
        <v>13</v>
      </c>
      <c r="C9" s="27"/>
      <c r="D9" s="5">
        <f>INDEX(Samples!$B$67:$B$86,MATCH(D8,Samples!$C$67:$C$86,0))</f>
        <v>4760</v>
      </c>
      <c r="E9" s="1"/>
      <c r="F9" s="27" t="s">
        <v>14</v>
      </c>
      <c r="G9" s="27"/>
      <c r="H9" s="27"/>
      <c r="I9" s="10">
        <v>1.2E-2</v>
      </c>
      <c r="J9" s="1"/>
      <c r="K9" s="27" t="s">
        <v>15</v>
      </c>
      <c r="L9" s="27"/>
      <c r="M9" s="27"/>
      <c r="N9" s="27"/>
      <c r="O9" s="27">
        <v>10</v>
      </c>
      <c r="P9" s="27"/>
      <c r="Q9" s="1"/>
    </row>
    <row r="10" spans="1:17" ht="22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22.5" customHeight="1">
      <c r="A11" s="1"/>
      <c r="B11" s="28" t="s">
        <v>16</v>
      </c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1"/>
    </row>
    <row r="12" spans="1:17" ht="22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32" customHeight="1">
      <c r="A13" s="1"/>
      <c r="B13" s="24" t="s">
        <v>17</v>
      </c>
      <c r="C13" s="24"/>
      <c r="D13" s="24"/>
      <c r="E13" s="24"/>
      <c r="F13" s="24"/>
      <c r="G13" s="24"/>
      <c r="H13" s="24"/>
      <c r="I13" s="1"/>
      <c r="J13" s="24" t="s">
        <v>18</v>
      </c>
      <c r="K13" s="24"/>
      <c r="L13" s="24"/>
      <c r="M13" s="24"/>
      <c r="N13" s="24"/>
      <c r="O13" s="24"/>
      <c r="P13" s="24"/>
      <c r="Q13" s="1"/>
    </row>
    <row r="14" spans="1:17" ht="32" customHeight="1">
      <c r="A14" s="1"/>
      <c r="B14" s="2" t="s">
        <v>19</v>
      </c>
      <c r="C14" s="2" t="s">
        <v>20</v>
      </c>
      <c r="D14" s="2" t="s">
        <v>21</v>
      </c>
      <c r="E14" s="2" t="s">
        <v>22</v>
      </c>
      <c r="F14" s="2" t="s">
        <v>23</v>
      </c>
      <c r="G14" s="2" t="s">
        <v>24</v>
      </c>
      <c r="H14" s="2" t="s">
        <v>25</v>
      </c>
      <c r="I14" s="1"/>
      <c r="J14" s="2" t="s">
        <v>19</v>
      </c>
      <c r="K14" s="2" t="s">
        <v>20</v>
      </c>
      <c r="L14" s="2" t="s">
        <v>21</v>
      </c>
      <c r="M14" s="2" t="s">
        <v>22</v>
      </c>
      <c r="N14" s="2" t="s">
        <v>23</v>
      </c>
      <c r="O14" s="2" t="s">
        <v>24</v>
      </c>
      <c r="P14" s="2" t="s">
        <v>25</v>
      </c>
      <c r="Q14" s="1"/>
    </row>
    <row r="15" spans="1:17" ht="22.5" customHeight="1">
      <c r="A15" s="1"/>
      <c r="B15" s="11">
        <v>1</v>
      </c>
      <c r="C15" s="12">
        <v>3.5150000000000001</v>
      </c>
      <c r="D15" s="22">
        <v>7130</v>
      </c>
      <c r="E15" s="13">
        <f>D15*C16/C15</f>
        <v>5801.3655761024174</v>
      </c>
      <c r="F15" s="14">
        <f t="shared" ref="F15:F20" si="0">D15*2*PI()/60*$D$22/(C15*$I$8)*3.6</f>
        <v>55.641026890111483</v>
      </c>
      <c r="G15" s="13">
        <f t="shared" ref="G15:G20" si="1">MAX(0,D15-$O$8)</f>
        <v>6330</v>
      </c>
      <c r="H15" s="11" t="s">
        <v>26</v>
      </c>
      <c r="I15" s="1"/>
      <c r="J15" s="11">
        <v>1</v>
      </c>
      <c r="K15" s="12">
        <v>3.2349999999999999</v>
      </c>
      <c r="L15" s="22">
        <v>7250</v>
      </c>
      <c r="M15" s="13">
        <f>L15*K16/K15</f>
        <v>5815.6877897990726</v>
      </c>
      <c r="N15" s="14">
        <f t="shared" ref="N15:N20" si="2">L15*2*PI()/60*$L$22/(K15*$I$8)*3.6</f>
        <v>61.28529865929255</v>
      </c>
      <c r="O15" s="13">
        <f t="shared" ref="O15:O20" si="3">MAX(0,L15-$O$8)</f>
        <v>6450</v>
      </c>
      <c r="P15" s="11" t="s">
        <v>26</v>
      </c>
      <c r="Q15" s="1"/>
    </row>
    <row r="16" spans="1:17" ht="22.5" customHeight="1">
      <c r="A16" s="1"/>
      <c r="B16" s="15">
        <v>2</v>
      </c>
      <c r="C16" s="12">
        <v>2.86</v>
      </c>
      <c r="D16" s="22">
        <v>7370</v>
      </c>
      <c r="E16" s="16">
        <f>D16*C17/C16</f>
        <v>5914.038461538461</v>
      </c>
      <c r="F16" s="17">
        <f t="shared" si="0"/>
        <v>70.685834705770347</v>
      </c>
      <c r="G16" s="16">
        <f t="shared" si="1"/>
        <v>6570</v>
      </c>
      <c r="H16" s="15" t="s">
        <v>26</v>
      </c>
      <c r="I16" s="1"/>
      <c r="J16" s="15">
        <v>2</v>
      </c>
      <c r="K16" s="12">
        <v>2.5950000000000002</v>
      </c>
      <c r="L16" s="22">
        <v>7410</v>
      </c>
      <c r="M16" s="16">
        <f>L16*K17/K16</f>
        <v>5947.9884393063585</v>
      </c>
      <c r="N16" s="17">
        <f t="shared" si="2"/>
        <v>78.086045791850779</v>
      </c>
      <c r="O16" s="16">
        <f t="shared" si="3"/>
        <v>6610</v>
      </c>
      <c r="P16" s="15" t="s">
        <v>26</v>
      </c>
      <c r="Q16" s="1"/>
    </row>
    <row r="17" spans="1:17" ht="22.5" customHeight="1">
      <c r="A17" s="1"/>
      <c r="B17" s="11">
        <v>3</v>
      </c>
      <c r="C17" s="12">
        <v>2.2949999999999999</v>
      </c>
      <c r="D17" s="22">
        <v>7450</v>
      </c>
      <c r="E17" s="13">
        <f>D17*C18/C17</f>
        <v>5998.9542483660134</v>
      </c>
      <c r="F17" s="14">
        <f t="shared" si="0"/>
        <v>89.043970880939852</v>
      </c>
      <c r="G17" s="13">
        <f t="shared" si="1"/>
        <v>6650</v>
      </c>
      <c r="H17" s="11" t="s">
        <v>26</v>
      </c>
      <c r="I17" s="1"/>
      <c r="J17" s="11">
        <v>3</v>
      </c>
      <c r="K17" s="12">
        <v>2.0830000000000002</v>
      </c>
      <c r="L17" s="22">
        <v>7460</v>
      </c>
      <c r="M17" s="13">
        <f>L17*K18/K17</f>
        <v>6041.7762842054726</v>
      </c>
      <c r="N17" s="14">
        <f t="shared" si="2"/>
        <v>97.935950540471978</v>
      </c>
      <c r="O17" s="13">
        <f t="shared" si="3"/>
        <v>6660</v>
      </c>
      <c r="P17" s="11" t="s">
        <v>26</v>
      </c>
      <c r="Q17" s="1"/>
    </row>
    <row r="18" spans="1:17" ht="22.5" customHeight="1">
      <c r="A18" s="1"/>
      <c r="B18" s="15">
        <v>4</v>
      </c>
      <c r="C18" s="12">
        <v>1.8480000000000001</v>
      </c>
      <c r="D18" s="22">
        <v>7510</v>
      </c>
      <c r="E18" s="16">
        <f>D18*C19/C18</f>
        <v>6059.204545454546</v>
      </c>
      <c r="F18" s="17">
        <f t="shared" si="0"/>
        <v>111.47279902959809</v>
      </c>
      <c r="G18" s="16">
        <f t="shared" si="1"/>
        <v>6710</v>
      </c>
      <c r="H18" s="15" t="s">
        <v>26</v>
      </c>
      <c r="I18" s="1"/>
      <c r="J18" s="15">
        <v>4</v>
      </c>
      <c r="K18" s="12">
        <v>1.6870000000000001</v>
      </c>
      <c r="L18" s="22">
        <v>7480</v>
      </c>
      <c r="M18" s="16">
        <f>L18*K19/K18</f>
        <v>6118.7907528156484</v>
      </c>
      <c r="N18" s="17">
        <f t="shared" si="2"/>
        <v>121.24926107539024</v>
      </c>
      <c r="O18" s="16">
        <f t="shared" si="3"/>
        <v>6680</v>
      </c>
      <c r="P18" s="15" t="s">
        <v>26</v>
      </c>
      <c r="Q18" s="1"/>
    </row>
    <row r="19" spans="1:17" ht="22.5" customHeight="1">
      <c r="A19" s="1"/>
      <c r="B19" s="11">
        <v>5</v>
      </c>
      <c r="C19" s="12">
        <v>1.4910000000000001</v>
      </c>
      <c r="D19" s="22">
        <v>7500</v>
      </c>
      <c r="E19" s="13">
        <f>D19*C20/C19</f>
        <v>6126.7605633802814</v>
      </c>
      <c r="F19" s="14">
        <f t="shared" si="0"/>
        <v>137.97949655770663</v>
      </c>
      <c r="G19" s="13">
        <f t="shared" si="1"/>
        <v>6700</v>
      </c>
      <c r="H19" s="11" t="s">
        <v>26</v>
      </c>
      <c r="I19" s="1"/>
      <c r="J19" s="11">
        <v>5</v>
      </c>
      <c r="K19" s="12">
        <v>1.38</v>
      </c>
      <c r="L19" s="22">
        <v>7480</v>
      </c>
      <c r="M19" s="13">
        <f>L19*K20/K19</f>
        <v>6168.289855072464</v>
      </c>
      <c r="N19" s="14">
        <f t="shared" si="2"/>
        <v>148.22282857549519</v>
      </c>
      <c r="O19" s="13">
        <f t="shared" si="3"/>
        <v>6680</v>
      </c>
      <c r="P19" s="11" t="s">
        <v>26</v>
      </c>
      <c r="Q19" s="1"/>
    </row>
    <row r="20" spans="1:17" ht="22.5" customHeight="1">
      <c r="A20" s="1"/>
      <c r="B20" s="15">
        <v>6</v>
      </c>
      <c r="C20" s="12">
        <v>1.218</v>
      </c>
      <c r="D20" s="16">
        <f>$O$7</f>
        <v>8500</v>
      </c>
      <c r="E20" s="16" t="s">
        <v>27</v>
      </c>
      <c r="F20" s="17">
        <f t="shared" si="0"/>
        <v>191.4267268335079</v>
      </c>
      <c r="G20" s="16">
        <f t="shared" si="1"/>
        <v>7700</v>
      </c>
      <c r="H20" s="15" t="s">
        <v>28</v>
      </c>
      <c r="I20" s="1"/>
      <c r="J20" s="15">
        <v>6</v>
      </c>
      <c r="K20" s="12">
        <v>1.1379999999999999</v>
      </c>
      <c r="L20" s="16">
        <f>$O$7</f>
        <v>8500</v>
      </c>
      <c r="M20" s="16" t="s">
        <v>27</v>
      </c>
      <c r="N20" s="17">
        <f t="shared" si="2"/>
        <v>204.25337856904392</v>
      </c>
      <c r="O20" s="16">
        <f t="shared" si="3"/>
        <v>7700</v>
      </c>
      <c r="P20" s="15" t="s">
        <v>28</v>
      </c>
      <c r="Q20" s="1"/>
    </row>
    <row r="21" spans="1:17" ht="22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22.5" customHeight="1">
      <c r="A22" s="1"/>
      <c r="B22" s="29" t="s">
        <v>29</v>
      </c>
      <c r="C22" s="29"/>
      <c r="D22" s="18">
        <v>0.32500000000000001</v>
      </c>
      <c r="E22" s="1"/>
      <c r="F22" s="29" t="s">
        <v>30</v>
      </c>
      <c r="G22" s="29"/>
      <c r="H22" s="19">
        <v>5.4748128000000005</v>
      </c>
      <c r="I22" s="1"/>
      <c r="J22" s="29" t="s">
        <v>29</v>
      </c>
      <c r="K22" s="29"/>
      <c r="L22" s="18">
        <v>0.32400000000000001</v>
      </c>
      <c r="M22" s="1"/>
      <c r="N22" s="29" t="s">
        <v>30</v>
      </c>
      <c r="O22" s="29"/>
      <c r="P22" s="19">
        <v>5.7898434559999998</v>
      </c>
      <c r="Q22" s="1"/>
    </row>
    <row r="23" spans="1:17" ht="22.5" customHeight="1">
      <c r="A23" s="1"/>
      <c r="B23" s="29" t="s">
        <v>31</v>
      </c>
      <c r="C23" s="29"/>
      <c r="D23" s="20">
        <v>1.85</v>
      </c>
      <c r="E23" s="1"/>
      <c r="F23" s="29" t="s">
        <v>32</v>
      </c>
      <c r="G23" s="29"/>
      <c r="H23" s="21">
        <v>9.7999999999999997E-4</v>
      </c>
      <c r="I23" s="1"/>
      <c r="J23" s="29" t="s">
        <v>31</v>
      </c>
      <c r="K23" s="29"/>
      <c r="L23" s="20">
        <f>$D$23</f>
        <v>1.85</v>
      </c>
      <c r="M23" s="1"/>
      <c r="N23" s="29" t="s">
        <v>32</v>
      </c>
      <c r="O23" s="29"/>
      <c r="P23" s="21">
        <f>$H$23</f>
        <v>9.7999999999999997E-4</v>
      </c>
      <c r="Q23" s="1"/>
    </row>
    <row r="24" spans="1:17" ht="22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22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22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22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22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22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22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22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22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22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22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22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22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22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22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22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22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22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22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22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22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22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22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22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22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22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22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22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</sheetData>
  <mergeCells count="31">
    <mergeCell ref="J13:P13"/>
    <mergeCell ref="J22:K22"/>
    <mergeCell ref="N22:O22"/>
    <mergeCell ref="J23:K23"/>
    <mergeCell ref="N23:O23"/>
    <mergeCell ref="B13:H13"/>
    <mergeCell ref="B22:C22"/>
    <mergeCell ref="F22:G22"/>
    <mergeCell ref="B23:C23"/>
    <mergeCell ref="F23:G23"/>
    <mergeCell ref="B9:C9"/>
    <mergeCell ref="F9:H9"/>
    <mergeCell ref="K9:N9"/>
    <mergeCell ref="O9:P9"/>
    <mergeCell ref="B11:P11"/>
    <mergeCell ref="B7:C7"/>
    <mergeCell ref="F7:H7"/>
    <mergeCell ref="K7:N7"/>
    <mergeCell ref="O7:P7"/>
    <mergeCell ref="B8:C8"/>
    <mergeCell ref="F8:H8"/>
    <mergeCell ref="K8:N8"/>
    <mergeCell ref="O8:P8"/>
    <mergeCell ref="B2:P2"/>
    <mergeCell ref="B5:D5"/>
    <mergeCell ref="F5:I5"/>
    <mergeCell ref="K5:P5"/>
    <mergeCell ref="B6:C6"/>
    <mergeCell ref="F6:H6"/>
    <mergeCell ref="K6:N6"/>
    <mergeCell ref="O6:P6"/>
  </mergeCells>
  <phoneticPr fontId="9" type="noConversion"/>
  <dataValidations count="3">
    <dataValidation type="decimal" operator="greaterThan" sqref="I6:I8" xr:uid="{00000000-0002-0000-0200-000000000000}">
      <formula1>0</formula1>
    </dataValidation>
    <dataValidation type="decimal" sqref="I9" xr:uid="{00000000-0002-0000-0200-000003000000}">
      <formula1>0</formula1>
      <formula2>0.9</formula2>
    </dataValidation>
    <dataValidation type="decimal" sqref="K15:K20 C15:C20" xr:uid="{00000000-0002-0000-0200-000004000000}">
      <formula1>0.1</formula1>
      <formula2>8</formula2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51"/>
  <sheetViews>
    <sheetView showGridLines="0" workbookViewId="0"/>
  </sheetViews>
  <sheetFormatPr defaultRowHeight="14"/>
  <cols>
    <col min="1" max="1" width="3" customWidth="1"/>
    <col min="2" max="16" width="12" customWidth="1"/>
    <col min="17" max="17" width="3" customWidth="1"/>
  </cols>
  <sheetData>
    <row r="1" spans="1:17" ht="22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34" customHeight="1">
      <c r="A2" s="1"/>
      <c r="B2" s="23" t="s">
        <v>35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1"/>
    </row>
    <row r="3" spans="1:17" ht="22.5" customHeight="1">
      <c r="A3" s="1"/>
      <c r="B3" s="30" t="s">
        <v>36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1"/>
    </row>
    <row r="4" spans="1:17" ht="22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32" customHeight="1">
      <c r="A5" s="1"/>
      <c r="B5" s="24" t="s">
        <v>1</v>
      </c>
      <c r="C5" s="24"/>
      <c r="D5" s="24"/>
      <c r="E5" s="1"/>
      <c r="F5" s="24" t="s">
        <v>2</v>
      </c>
      <c r="G5" s="24"/>
      <c r="H5" s="24"/>
      <c r="I5" s="24"/>
      <c r="J5" s="1"/>
      <c r="K5" s="24" t="s">
        <v>3</v>
      </c>
      <c r="L5" s="24"/>
      <c r="M5" s="24"/>
      <c r="N5" s="24"/>
      <c r="O5" s="24"/>
      <c r="P5" s="24"/>
      <c r="Q5" s="1"/>
    </row>
    <row r="6" spans="1:17" ht="22.5" customHeight="1">
      <c r="A6" s="1"/>
      <c r="B6" s="25" t="s">
        <v>4</v>
      </c>
      <c r="C6" s="25"/>
      <c r="D6" s="6">
        <f>MAX(Samples!$D$97:$D$116)</f>
        <v>374.43649433675955</v>
      </c>
      <c r="E6" s="1"/>
      <c r="F6" s="25" t="s">
        <v>5</v>
      </c>
      <c r="G6" s="25"/>
      <c r="H6" s="25"/>
      <c r="I6" s="7">
        <v>1380</v>
      </c>
      <c r="J6" s="1"/>
      <c r="K6" s="25" t="s">
        <v>6</v>
      </c>
      <c r="L6" s="25"/>
      <c r="M6" s="25"/>
      <c r="N6" s="25"/>
      <c r="O6" s="26">
        <v>7650</v>
      </c>
      <c r="P6" s="26"/>
      <c r="Q6" s="1"/>
    </row>
    <row r="7" spans="1:17" ht="22.5" customHeight="1">
      <c r="A7" s="1"/>
      <c r="B7" s="27" t="s">
        <v>7</v>
      </c>
      <c r="C7" s="27"/>
      <c r="D7" s="5">
        <f>INDEX(Samples!$B$97:$B$116,MATCH(D6,Samples!$D$97:$D$116,0))</f>
        <v>6670</v>
      </c>
      <c r="E7" s="1"/>
      <c r="F7" s="27" t="s">
        <v>8</v>
      </c>
      <c r="G7" s="27"/>
      <c r="H7" s="27"/>
      <c r="I7" s="8">
        <v>0.12171599999999999</v>
      </c>
      <c r="J7" s="1"/>
      <c r="K7" s="27" t="s">
        <v>9</v>
      </c>
      <c r="L7" s="27"/>
      <c r="M7" s="27"/>
      <c r="N7" s="27"/>
      <c r="O7" s="27">
        <v>8500</v>
      </c>
      <c r="P7" s="27"/>
      <c r="Q7" s="1"/>
    </row>
    <row r="8" spans="1:17" ht="22.5" customHeight="1">
      <c r="A8" s="1"/>
      <c r="B8" s="25" t="s">
        <v>10</v>
      </c>
      <c r="C8" s="25"/>
      <c r="D8" s="6">
        <f>MAX(Samples!$C$97:$C$116)</f>
        <v>445.97739055382596</v>
      </c>
      <c r="E8" s="1"/>
      <c r="F8" s="25" t="s">
        <v>11</v>
      </c>
      <c r="G8" s="25"/>
      <c r="H8" s="25"/>
      <c r="I8" s="9">
        <v>4.1333333333333337</v>
      </c>
      <c r="J8" s="1"/>
      <c r="K8" s="25" t="s">
        <v>12</v>
      </c>
      <c r="L8" s="25"/>
      <c r="M8" s="25"/>
      <c r="N8" s="25"/>
      <c r="O8" s="26">
        <v>800</v>
      </c>
      <c r="P8" s="26"/>
      <c r="Q8" s="1"/>
    </row>
    <row r="9" spans="1:17" ht="22.5" customHeight="1">
      <c r="A9" s="1"/>
      <c r="B9" s="27" t="s">
        <v>13</v>
      </c>
      <c r="C9" s="27"/>
      <c r="D9" s="5">
        <f>INDEX(Samples!$B$97:$B$116,MATCH(D8,Samples!$C$97:$C$116,0))</f>
        <v>4860</v>
      </c>
      <c r="E9" s="1"/>
      <c r="F9" s="27" t="s">
        <v>14</v>
      </c>
      <c r="G9" s="27"/>
      <c r="H9" s="27"/>
      <c r="I9" s="10">
        <v>1.0999999999999999E-2</v>
      </c>
      <c r="J9" s="1"/>
      <c r="K9" s="27" t="s">
        <v>15</v>
      </c>
      <c r="L9" s="27"/>
      <c r="M9" s="27"/>
      <c r="N9" s="27"/>
      <c r="O9" s="27">
        <v>10</v>
      </c>
      <c r="P9" s="27"/>
      <c r="Q9" s="1"/>
    </row>
    <row r="10" spans="1:17" ht="22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22.5" customHeight="1">
      <c r="A11" s="1"/>
      <c r="B11" s="28" t="s">
        <v>16</v>
      </c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1"/>
    </row>
    <row r="12" spans="1:17" ht="22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32" customHeight="1">
      <c r="A13" s="1"/>
      <c r="B13" s="24" t="s">
        <v>17</v>
      </c>
      <c r="C13" s="24"/>
      <c r="D13" s="24"/>
      <c r="E13" s="24"/>
      <c r="F13" s="24"/>
      <c r="G13" s="24"/>
      <c r="H13" s="24"/>
      <c r="I13" s="1"/>
      <c r="J13" s="24" t="s">
        <v>18</v>
      </c>
      <c r="K13" s="24"/>
      <c r="L13" s="24"/>
      <c r="M13" s="24"/>
      <c r="N13" s="24"/>
      <c r="O13" s="24"/>
      <c r="P13" s="24"/>
      <c r="Q13" s="1"/>
    </row>
    <row r="14" spans="1:17" ht="32" customHeight="1">
      <c r="A14" s="1"/>
      <c r="B14" s="2" t="s">
        <v>19</v>
      </c>
      <c r="C14" s="2" t="s">
        <v>20</v>
      </c>
      <c r="D14" s="2" t="s">
        <v>21</v>
      </c>
      <c r="E14" s="2" t="s">
        <v>22</v>
      </c>
      <c r="F14" s="2" t="s">
        <v>23</v>
      </c>
      <c r="G14" s="2" t="s">
        <v>24</v>
      </c>
      <c r="H14" s="2" t="s">
        <v>25</v>
      </c>
      <c r="I14" s="1"/>
      <c r="J14" s="2" t="s">
        <v>19</v>
      </c>
      <c r="K14" s="2" t="s">
        <v>20</v>
      </c>
      <c r="L14" s="2" t="s">
        <v>21</v>
      </c>
      <c r="M14" s="2" t="s">
        <v>22</v>
      </c>
      <c r="N14" s="2" t="s">
        <v>23</v>
      </c>
      <c r="O14" s="2" t="s">
        <v>24</v>
      </c>
      <c r="P14" s="2" t="s">
        <v>25</v>
      </c>
      <c r="Q14" s="1"/>
    </row>
    <row r="15" spans="1:17" ht="22.5" customHeight="1">
      <c r="A15" s="1"/>
      <c r="B15" s="11">
        <v>1</v>
      </c>
      <c r="C15" s="12">
        <v>4.2530000000000001</v>
      </c>
      <c r="D15" s="22">
        <v>7340</v>
      </c>
      <c r="E15" s="13">
        <f>D15*C16/C15</f>
        <v>5244.8295320949919</v>
      </c>
      <c r="F15" s="14">
        <f>D15*2*PI()/60*$D$22/(C15*$I$8)*3.6</f>
        <v>51.158137691228248</v>
      </c>
      <c r="G15" s="13">
        <f>MAX(0,D15-$O$8)</f>
        <v>6540</v>
      </c>
      <c r="H15" s="11" t="s">
        <v>26</v>
      </c>
      <c r="I15" s="1"/>
      <c r="J15" s="11">
        <v>1</v>
      </c>
      <c r="K15" s="12">
        <v>3.6890000000000001</v>
      </c>
      <c r="L15" s="22">
        <v>7590</v>
      </c>
      <c r="M15" s="13">
        <f>L15*K16/K15</f>
        <v>5197.1645432366495</v>
      </c>
      <c r="N15" s="14">
        <f>L15*2*PI()/60*$L$22/(K15*$I$8)*3.6</f>
        <v>60.800733575859248</v>
      </c>
      <c r="O15" s="13">
        <f>MAX(0,L15-$O$8)</f>
        <v>6790</v>
      </c>
      <c r="P15" s="11" t="s">
        <v>26</v>
      </c>
      <c r="Q15" s="1"/>
    </row>
    <row r="16" spans="1:17" ht="22.5" customHeight="1">
      <c r="A16" s="1"/>
      <c r="B16" s="15">
        <v>2</v>
      </c>
      <c r="C16" s="12">
        <v>3.0390000000000001</v>
      </c>
      <c r="D16" s="22">
        <v>7520</v>
      </c>
      <c r="E16" s="16">
        <f>D16*C17/C16</f>
        <v>5485.9624876604148</v>
      </c>
      <c r="F16" s="17">
        <f>D16*2*PI()/60*$D$22/(C16*$I$8)*3.6</f>
        <v>73.350180989460753</v>
      </c>
      <c r="G16" s="16">
        <f>MAX(0,D16-$O$8)</f>
        <v>6720</v>
      </c>
      <c r="H16" s="15" t="s">
        <v>26</v>
      </c>
      <c r="I16" s="1"/>
      <c r="J16" s="15">
        <v>2</v>
      </c>
      <c r="K16" s="12">
        <v>2.5259999999999998</v>
      </c>
      <c r="L16" s="22">
        <v>7500</v>
      </c>
      <c r="M16" s="16">
        <f>L16*K17/K16</f>
        <v>5620.5463182897865</v>
      </c>
      <c r="N16" s="17">
        <f>L16*2*PI()/60*$L$22/(K16*$I$8)*3.6</f>
        <v>87.741209273885502</v>
      </c>
      <c r="O16" s="16">
        <f>MAX(0,L16-$O$8)</f>
        <v>6700</v>
      </c>
      <c r="P16" s="15" t="s">
        <v>26</v>
      </c>
      <c r="Q16" s="1"/>
    </row>
    <row r="17" spans="1:17" ht="22.5" customHeight="1">
      <c r="A17" s="1"/>
      <c r="B17" s="11">
        <v>3</v>
      </c>
      <c r="C17" s="12">
        <v>2.2170000000000001</v>
      </c>
      <c r="D17" s="22">
        <v>7340</v>
      </c>
      <c r="E17" s="13">
        <f>D17*C18/C17</f>
        <v>5820.351826792963</v>
      </c>
      <c r="F17" s="14">
        <f>D17*2*PI()/60*$D$22/(C17*$I$8)*3.6</f>
        <v>98.139629950741437</v>
      </c>
      <c r="G17" s="13">
        <f>MAX(0,D17-$O$8)</f>
        <v>6540</v>
      </c>
      <c r="H17" s="11" t="s">
        <v>26</v>
      </c>
      <c r="I17" s="1"/>
      <c r="J17" s="11">
        <v>3</v>
      </c>
      <c r="K17" s="12">
        <v>1.893</v>
      </c>
      <c r="L17" s="22">
        <v>7340</v>
      </c>
      <c r="M17" s="13">
        <f>L17*K18/K17</f>
        <v>5878.2039091389333</v>
      </c>
      <c r="N17" s="14">
        <f>L17*2*PI()/60*$L$22/(K17*$I$8)*3.6</f>
        <v>114.58325216084711</v>
      </c>
      <c r="O17" s="13">
        <f>MAX(0,L17-$O$8)</f>
        <v>6540</v>
      </c>
      <c r="P17" s="11" t="s">
        <v>26</v>
      </c>
      <c r="Q17" s="1"/>
    </row>
    <row r="18" spans="1:17" ht="22.5" customHeight="1">
      <c r="A18" s="1"/>
      <c r="B18" s="15">
        <v>4</v>
      </c>
      <c r="C18" s="12">
        <v>1.758</v>
      </c>
      <c r="D18" s="22">
        <v>7520</v>
      </c>
      <c r="E18" s="16">
        <f>D18*C19/C18</f>
        <v>5749.0784982935156</v>
      </c>
      <c r="F18" s="17">
        <f>D18*2*PI()/60*$D$22/(C18*$I$8)*3.6</f>
        <v>126.7981797650576</v>
      </c>
      <c r="G18" s="16">
        <f>MAX(0,D18-$O$8)</f>
        <v>6720</v>
      </c>
      <c r="H18" s="15" t="s">
        <v>26</v>
      </c>
      <c r="I18" s="1"/>
      <c r="J18" s="15">
        <v>4</v>
      </c>
      <c r="K18" s="12">
        <v>1.516</v>
      </c>
      <c r="L18" s="22">
        <v>7350</v>
      </c>
      <c r="M18" s="16">
        <f>L18*K19/K18</f>
        <v>5924.6042216358828</v>
      </c>
      <c r="N18" s="17">
        <f>L18*2*PI()/60*$L$22/(K18*$I$8)*3.6</f>
        <v>143.27282897976124</v>
      </c>
      <c r="O18" s="16">
        <f>MAX(0,L18-$O$8)</f>
        <v>6550</v>
      </c>
      <c r="P18" s="15" t="s">
        <v>26</v>
      </c>
      <c r="Q18" s="1"/>
    </row>
    <row r="19" spans="1:17" ht="22.5" customHeight="1">
      <c r="A19" s="1"/>
      <c r="B19" s="11">
        <v>5</v>
      </c>
      <c r="C19" s="12">
        <v>1.3440000000000001</v>
      </c>
      <c r="D19" s="13">
        <f>$O$7</f>
        <v>8500</v>
      </c>
      <c r="E19" s="13" t="s">
        <v>27</v>
      </c>
      <c r="F19" s="14">
        <f>D19*2*PI()/60*$D$22/(C19*$I$8)*3.6</f>
        <v>187.47083177293638</v>
      </c>
      <c r="G19" s="13">
        <f>MAX(0,D19-$O$8)</f>
        <v>7700</v>
      </c>
      <c r="H19" s="11" t="s">
        <v>28</v>
      </c>
      <c r="I19" s="1"/>
      <c r="J19" s="11">
        <v>5</v>
      </c>
      <c r="K19" s="12">
        <v>1.222</v>
      </c>
      <c r="L19" s="13">
        <f>$O$7</f>
        <v>8500</v>
      </c>
      <c r="M19" s="13" t="s">
        <v>27</v>
      </c>
      <c r="N19" s="14">
        <f>L19*2*PI()/60*$L$22/(K19*$I$8)*3.6</f>
        <v>205.55281007306004</v>
      </c>
      <c r="O19" s="13">
        <f>MAX(0,L19-$O$8)</f>
        <v>7700</v>
      </c>
      <c r="P19" s="11" t="s">
        <v>28</v>
      </c>
      <c r="Q19" s="1"/>
    </row>
    <row r="20" spans="1:17" ht="22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22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22.5" customHeight="1">
      <c r="A22" s="1"/>
      <c r="B22" s="29" t="s">
        <v>29</v>
      </c>
      <c r="C22" s="29"/>
      <c r="D22" s="18">
        <v>0.32500000000000001</v>
      </c>
      <c r="E22" s="1"/>
      <c r="F22" s="29" t="s">
        <v>30</v>
      </c>
      <c r="G22" s="29"/>
      <c r="H22" s="19">
        <v>5.4748128000000005</v>
      </c>
      <c r="I22" s="1"/>
      <c r="J22" s="29" t="s">
        <v>29</v>
      </c>
      <c r="K22" s="29"/>
      <c r="L22" s="18">
        <v>0.32400000000000001</v>
      </c>
      <c r="M22" s="1"/>
      <c r="N22" s="29" t="s">
        <v>30</v>
      </c>
      <c r="O22" s="29"/>
      <c r="P22" s="19">
        <v>5.7898434559999998</v>
      </c>
      <c r="Q22" s="1"/>
    </row>
    <row r="23" spans="1:17" ht="22.5" customHeight="1">
      <c r="A23" s="1"/>
      <c r="B23" s="29" t="s">
        <v>31</v>
      </c>
      <c r="C23" s="29"/>
      <c r="D23" s="20">
        <v>1.65</v>
      </c>
      <c r="E23" s="1"/>
      <c r="F23" s="29" t="s">
        <v>32</v>
      </c>
      <c r="G23" s="29"/>
      <c r="H23" s="21">
        <v>7.7999999999999999E-4</v>
      </c>
      <c r="I23" s="1"/>
      <c r="J23" s="29" t="s">
        <v>31</v>
      </c>
      <c r="K23" s="29"/>
      <c r="L23" s="20">
        <f>$D$23</f>
        <v>1.65</v>
      </c>
      <c r="M23" s="1"/>
      <c r="N23" s="29" t="s">
        <v>32</v>
      </c>
      <c r="O23" s="29"/>
      <c r="P23" s="21">
        <f>$H$23</f>
        <v>7.7999999999999999E-4</v>
      </c>
      <c r="Q23" s="1"/>
    </row>
    <row r="24" spans="1:17" ht="22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22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22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22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22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22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22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22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22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22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22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22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22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22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22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22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22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22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22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22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22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22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22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22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22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22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22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22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</sheetData>
  <mergeCells count="32">
    <mergeCell ref="B11:P11"/>
    <mergeCell ref="B13:H13"/>
    <mergeCell ref="B22:C22"/>
    <mergeCell ref="F22:G22"/>
    <mergeCell ref="B23:C23"/>
    <mergeCell ref="F23:G23"/>
    <mergeCell ref="J13:P13"/>
    <mergeCell ref="J22:K22"/>
    <mergeCell ref="N22:O22"/>
    <mergeCell ref="J23:K23"/>
    <mergeCell ref="N23:O23"/>
    <mergeCell ref="B8:C8"/>
    <mergeCell ref="F8:H8"/>
    <mergeCell ref="K8:N8"/>
    <mergeCell ref="O8:P8"/>
    <mergeCell ref="B9:C9"/>
    <mergeCell ref="F9:H9"/>
    <mergeCell ref="K9:N9"/>
    <mergeCell ref="O9:P9"/>
    <mergeCell ref="B6:C6"/>
    <mergeCell ref="F6:H6"/>
    <mergeCell ref="K6:N6"/>
    <mergeCell ref="O6:P6"/>
    <mergeCell ref="B7:C7"/>
    <mergeCell ref="F7:H7"/>
    <mergeCell ref="K7:N7"/>
    <mergeCell ref="O7:P7"/>
    <mergeCell ref="B2:P2"/>
    <mergeCell ref="B3:P3"/>
    <mergeCell ref="B5:D5"/>
    <mergeCell ref="F5:I5"/>
    <mergeCell ref="K5:P5"/>
  </mergeCells>
  <phoneticPr fontId="9" type="noConversion"/>
  <dataValidations count="3">
    <dataValidation type="decimal" operator="greaterThan" sqref="I6:I8" xr:uid="{00000000-0002-0000-0300-000000000000}">
      <formula1>0</formula1>
    </dataValidation>
    <dataValidation type="decimal" sqref="I9" xr:uid="{00000000-0002-0000-0300-000003000000}">
      <formula1>0</formula1>
      <formula2>0.9</formula2>
    </dataValidation>
    <dataValidation type="decimal" sqref="K15:K19 C15:C19" xr:uid="{00000000-0002-0000-0300-000004000000}">
      <formula1>0.1</formula1>
      <formula2>8</formula2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51"/>
  <sheetViews>
    <sheetView showGridLines="0" workbookViewId="0"/>
  </sheetViews>
  <sheetFormatPr defaultRowHeight="14"/>
  <cols>
    <col min="1" max="1" width="3" customWidth="1"/>
    <col min="2" max="16" width="12" customWidth="1"/>
    <col min="17" max="17" width="3" customWidth="1"/>
  </cols>
  <sheetData>
    <row r="1" spans="1:17" ht="22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34" customHeight="1">
      <c r="A2" s="1"/>
      <c r="B2" s="23" t="s">
        <v>37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1"/>
    </row>
    <row r="3" spans="1:17" ht="22.5" customHeight="1">
      <c r="A3" s="1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1"/>
    </row>
    <row r="4" spans="1:17" ht="22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32" customHeight="1">
      <c r="A5" s="1"/>
      <c r="B5" s="24" t="s">
        <v>1</v>
      </c>
      <c r="C5" s="24"/>
      <c r="D5" s="24"/>
      <c r="E5" s="1"/>
      <c r="F5" s="24" t="s">
        <v>2</v>
      </c>
      <c r="G5" s="24"/>
      <c r="H5" s="24"/>
      <c r="I5" s="24"/>
      <c r="J5" s="1"/>
      <c r="K5" s="24" t="s">
        <v>3</v>
      </c>
      <c r="L5" s="24"/>
      <c r="M5" s="24"/>
      <c r="N5" s="24"/>
      <c r="O5" s="24"/>
      <c r="P5" s="24"/>
      <c r="Q5" s="1"/>
    </row>
    <row r="6" spans="1:17" ht="22.5" customHeight="1">
      <c r="A6" s="1"/>
      <c r="B6" s="25" t="s">
        <v>4</v>
      </c>
      <c r="C6" s="25"/>
      <c r="D6" s="6">
        <f>MAX(Samples!$D$127:$D$146)</f>
        <v>603.26802096160782</v>
      </c>
      <c r="E6" s="1"/>
      <c r="F6" s="25" t="s">
        <v>5</v>
      </c>
      <c r="G6" s="25"/>
      <c r="H6" s="25"/>
      <c r="I6" s="7">
        <v>1306</v>
      </c>
      <c r="J6" s="1"/>
      <c r="K6" s="25" t="s">
        <v>6</v>
      </c>
      <c r="L6" s="25"/>
      <c r="M6" s="25"/>
      <c r="N6" s="25"/>
      <c r="O6" s="26">
        <v>6400</v>
      </c>
      <c r="P6" s="26"/>
      <c r="Q6" s="1"/>
    </row>
    <row r="7" spans="1:17" ht="22.5" customHeight="1">
      <c r="A7" s="1"/>
      <c r="B7" s="27" t="s">
        <v>7</v>
      </c>
      <c r="C7" s="27"/>
      <c r="D7" s="5">
        <f>INDEX(Samples!$B$127:$B$146,MATCH(D6,Samples!$D$127:$D$146,0))</f>
        <v>5690</v>
      </c>
      <c r="E7" s="1"/>
      <c r="F7" s="27" t="s">
        <v>8</v>
      </c>
      <c r="G7" s="27"/>
      <c r="H7" s="27"/>
      <c r="I7" s="8">
        <v>0.128</v>
      </c>
      <c r="J7" s="1"/>
      <c r="K7" s="27" t="s">
        <v>9</v>
      </c>
      <c r="L7" s="27"/>
      <c r="M7" s="27"/>
      <c r="N7" s="27"/>
      <c r="O7" s="27">
        <v>8500</v>
      </c>
      <c r="P7" s="27"/>
      <c r="Q7" s="1"/>
    </row>
    <row r="8" spans="1:17" ht="22.5" customHeight="1">
      <c r="A8" s="1"/>
      <c r="B8" s="25" t="s">
        <v>10</v>
      </c>
      <c r="C8" s="25"/>
      <c r="D8" s="6">
        <f>MAX(Samples!$C$127:$C$146)</f>
        <v>849.65873074466481</v>
      </c>
      <c r="E8" s="1"/>
      <c r="F8" s="25" t="s">
        <v>11</v>
      </c>
      <c r="G8" s="25"/>
      <c r="H8" s="25"/>
      <c r="I8" s="9">
        <v>4</v>
      </c>
      <c r="J8" s="1"/>
      <c r="K8" s="25" t="s">
        <v>12</v>
      </c>
      <c r="L8" s="25"/>
      <c r="M8" s="25"/>
      <c r="N8" s="25"/>
      <c r="O8" s="26">
        <v>800</v>
      </c>
      <c r="P8" s="26"/>
      <c r="Q8" s="1"/>
    </row>
    <row r="9" spans="1:17" ht="22.5" customHeight="1">
      <c r="A9" s="1"/>
      <c r="B9" s="27" t="s">
        <v>13</v>
      </c>
      <c r="C9" s="27"/>
      <c r="D9" s="5">
        <f>INDEX(Samples!$B$127:$B$146,MATCH(D8,Samples!$C$127:$C$146,0))</f>
        <v>4140</v>
      </c>
      <c r="E9" s="1"/>
      <c r="F9" s="27" t="s">
        <v>14</v>
      </c>
      <c r="G9" s="27"/>
      <c r="H9" s="27"/>
      <c r="I9" s="10">
        <v>1.2E-2</v>
      </c>
      <c r="J9" s="1"/>
      <c r="K9" s="27" t="s">
        <v>15</v>
      </c>
      <c r="L9" s="27"/>
      <c r="M9" s="27"/>
      <c r="N9" s="27"/>
      <c r="O9" s="27">
        <v>10</v>
      </c>
      <c r="P9" s="27"/>
      <c r="Q9" s="1"/>
    </row>
    <row r="10" spans="1:17" ht="22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22.5" customHeight="1">
      <c r="A11" s="1"/>
      <c r="B11" s="28" t="s">
        <v>16</v>
      </c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1"/>
    </row>
    <row r="12" spans="1:17" ht="22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32" customHeight="1">
      <c r="A13" s="1"/>
      <c r="B13" s="24" t="s">
        <v>38</v>
      </c>
      <c r="C13" s="24"/>
      <c r="D13" s="24"/>
      <c r="E13" s="24"/>
      <c r="F13" s="24"/>
      <c r="G13" s="24"/>
      <c r="H13" s="24"/>
      <c r="I13" s="1"/>
      <c r="J13" s="1"/>
      <c r="K13" s="1"/>
      <c r="L13" s="1"/>
      <c r="M13" s="1"/>
      <c r="N13" s="1"/>
      <c r="O13" s="1"/>
      <c r="P13" s="1"/>
      <c r="Q13" s="1"/>
    </row>
    <row r="14" spans="1:17" ht="32" customHeight="1">
      <c r="A14" s="1"/>
      <c r="B14" s="2" t="s">
        <v>19</v>
      </c>
      <c r="C14" s="2" t="s">
        <v>20</v>
      </c>
      <c r="D14" s="2" t="s">
        <v>21</v>
      </c>
      <c r="E14" s="2" t="s">
        <v>22</v>
      </c>
      <c r="F14" s="2" t="s">
        <v>23</v>
      </c>
      <c r="G14" s="2" t="s">
        <v>24</v>
      </c>
      <c r="H14" s="2" t="s">
        <v>25</v>
      </c>
      <c r="I14" s="1"/>
      <c r="J14" s="1"/>
      <c r="K14" s="1"/>
      <c r="L14" s="1"/>
      <c r="M14" s="1"/>
      <c r="N14" s="1"/>
      <c r="O14" s="1"/>
      <c r="P14" s="1"/>
      <c r="Q14" s="1"/>
    </row>
    <row r="15" spans="1:17" ht="22.5" customHeight="1">
      <c r="A15" s="1"/>
      <c r="B15" s="11">
        <v>1</v>
      </c>
      <c r="C15" s="12">
        <v>3.24</v>
      </c>
      <c r="D15" s="22">
        <v>6000</v>
      </c>
      <c r="E15" s="13">
        <f>D15*C16/C15</f>
        <v>4812.9629629629635</v>
      </c>
      <c r="F15" s="14">
        <f t="shared" ref="F15:F20" si="0">D15*2*PI()/60*$D$22/(C15*$I$8)*3.6</f>
        <v>55.850536063818538</v>
      </c>
      <c r="G15" s="13">
        <f t="shared" ref="G15:G20" si="1">MAX(0,D15-$O$8)</f>
        <v>5200</v>
      </c>
      <c r="H15" s="11" t="s">
        <v>26</v>
      </c>
      <c r="I15" s="1"/>
      <c r="J15" s="1"/>
      <c r="K15" s="1"/>
      <c r="L15" s="1"/>
      <c r="M15" s="1"/>
      <c r="N15" s="1"/>
      <c r="O15" s="1"/>
      <c r="P15" s="1"/>
      <c r="Q15" s="1"/>
    </row>
    <row r="16" spans="1:17" ht="22.5" customHeight="1">
      <c r="A16" s="1"/>
      <c r="B16" s="15">
        <v>2</v>
      </c>
      <c r="C16" s="12">
        <v>2.5990000000000002</v>
      </c>
      <c r="D16" s="22">
        <v>6170</v>
      </c>
      <c r="E16" s="16">
        <f>D16*C17/C16</f>
        <v>4952.1431319738349</v>
      </c>
      <c r="F16" s="17">
        <f t="shared" si="0"/>
        <v>71.597851503436175</v>
      </c>
      <c r="G16" s="16">
        <f t="shared" si="1"/>
        <v>5370</v>
      </c>
      <c r="H16" s="15" t="s">
        <v>26</v>
      </c>
      <c r="I16" s="1"/>
      <c r="J16" s="1"/>
      <c r="K16" s="1"/>
      <c r="L16" s="1"/>
      <c r="M16" s="1"/>
      <c r="N16" s="1"/>
      <c r="O16" s="1"/>
      <c r="P16" s="1"/>
      <c r="Q16" s="1"/>
    </row>
    <row r="17" spans="1:17" ht="22.5" customHeight="1">
      <c r="A17" s="1"/>
      <c r="B17" s="11">
        <v>3</v>
      </c>
      <c r="C17" s="12">
        <v>2.0859999999999999</v>
      </c>
      <c r="D17" s="22">
        <v>6220</v>
      </c>
      <c r="E17" s="13">
        <f>D17*C18/C17</f>
        <v>5039.2138063278999</v>
      </c>
      <c r="F17" s="14">
        <f t="shared" si="0"/>
        <v>89.928466218194515</v>
      </c>
      <c r="G17" s="13">
        <f t="shared" si="1"/>
        <v>5420</v>
      </c>
      <c r="H17" s="11" t="s">
        <v>26</v>
      </c>
      <c r="I17" s="1"/>
      <c r="J17" s="1"/>
      <c r="K17" s="1"/>
      <c r="L17" s="1"/>
      <c r="M17" s="1"/>
      <c r="N17" s="1"/>
      <c r="O17" s="1"/>
      <c r="P17" s="1"/>
      <c r="Q17" s="1"/>
    </row>
    <row r="18" spans="1:17" ht="22.5" customHeight="1">
      <c r="A18" s="1"/>
      <c r="B18" s="15">
        <v>4</v>
      </c>
      <c r="C18" s="12">
        <v>1.69</v>
      </c>
      <c r="D18" s="22">
        <v>6250</v>
      </c>
      <c r="E18" s="16">
        <f>D18*C19/C18</f>
        <v>5110.9467455621307</v>
      </c>
      <c r="F18" s="17">
        <f t="shared" si="0"/>
        <v>111.53583385525893</v>
      </c>
      <c r="G18" s="16">
        <f t="shared" si="1"/>
        <v>5450</v>
      </c>
      <c r="H18" s="15" t="s">
        <v>26</v>
      </c>
      <c r="I18" s="1"/>
      <c r="J18" s="1"/>
      <c r="K18" s="1"/>
      <c r="L18" s="1"/>
      <c r="M18" s="1"/>
      <c r="N18" s="1"/>
      <c r="O18" s="1"/>
      <c r="P18" s="1"/>
      <c r="Q18" s="1"/>
    </row>
    <row r="19" spans="1:17" ht="22.5" customHeight="1">
      <c r="A19" s="1"/>
      <c r="B19" s="11">
        <v>5</v>
      </c>
      <c r="C19" s="12">
        <v>1.3819999999999999</v>
      </c>
      <c r="D19" s="22">
        <v>6260</v>
      </c>
      <c r="E19" s="13">
        <f>D19*C20/C19</f>
        <v>5163.820549927641</v>
      </c>
      <c r="F19" s="14">
        <f t="shared" si="0"/>
        <v>136.61154277144155</v>
      </c>
      <c r="G19" s="13">
        <f t="shared" si="1"/>
        <v>5460</v>
      </c>
      <c r="H19" s="11" t="s">
        <v>26</v>
      </c>
      <c r="I19" s="1"/>
      <c r="J19" s="1"/>
      <c r="K19" s="1"/>
      <c r="L19" s="1"/>
      <c r="M19" s="1"/>
      <c r="N19" s="1"/>
      <c r="O19" s="1"/>
      <c r="P19" s="1"/>
      <c r="Q19" s="1"/>
    </row>
    <row r="20" spans="1:17" ht="22.5" customHeight="1">
      <c r="A20" s="1"/>
      <c r="B20" s="15">
        <v>6</v>
      </c>
      <c r="C20" s="12">
        <v>1.1399999999999999</v>
      </c>
      <c r="D20" s="16">
        <f>$O$7</f>
        <v>8500</v>
      </c>
      <c r="E20" s="16" t="s">
        <v>27</v>
      </c>
      <c r="F20" s="17">
        <f t="shared" si="0"/>
        <v>224.87189520432207</v>
      </c>
      <c r="G20" s="16">
        <f t="shared" si="1"/>
        <v>7700</v>
      </c>
      <c r="H20" s="15" t="s">
        <v>28</v>
      </c>
      <c r="I20" s="1"/>
      <c r="J20" s="1"/>
      <c r="K20" s="1"/>
      <c r="L20" s="1"/>
      <c r="M20" s="1"/>
      <c r="N20" s="1"/>
      <c r="O20" s="1"/>
      <c r="P20" s="1"/>
      <c r="Q20" s="1"/>
    </row>
    <row r="21" spans="1:17" ht="22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22.5" customHeight="1">
      <c r="A22" s="1"/>
      <c r="B22" s="29" t="s">
        <v>29</v>
      </c>
      <c r="C22" s="29"/>
      <c r="D22" s="18">
        <v>0.32</v>
      </c>
      <c r="E22" s="1"/>
      <c r="F22" s="29" t="s">
        <v>30</v>
      </c>
      <c r="G22" s="29"/>
      <c r="H22" s="19">
        <v>5.2788544000000002</v>
      </c>
      <c r="I22" s="1"/>
      <c r="J22" s="1"/>
      <c r="K22" s="1"/>
      <c r="L22" s="1"/>
      <c r="M22" s="1"/>
      <c r="N22" s="1"/>
      <c r="O22" s="1"/>
      <c r="P22" s="1"/>
      <c r="Q22" s="1"/>
    </row>
    <row r="23" spans="1:17" ht="22.5" customHeight="1">
      <c r="A23" s="1"/>
      <c r="B23" s="29" t="s">
        <v>31</v>
      </c>
      <c r="C23" s="29"/>
      <c r="D23" s="20">
        <v>1.85</v>
      </c>
      <c r="E23" s="1"/>
      <c r="F23" s="29" t="s">
        <v>32</v>
      </c>
      <c r="G23" s="29"/>
      <c r="H23" s="21">
        <v>9.7999999999999997E-4</v>
      </c>
      <c r="I23" s="1"/>
      <c r="J23" s="1"/>
      <c r="K23" s="1"/>
      <c r="L23" s="1"/>
      <c r="M23" s="1"/>
      <c r="N23" s="1"/>
      <c r="O23" s="1"/>
      <c r="P23" s="1"/>
      <c r="Q23" s="1"/>
    </row>
    <row r="24" spans="1:17" ht="22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22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22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22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22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22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22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22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22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22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22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22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22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22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22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22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22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22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22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22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22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22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22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22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22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22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22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22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</sheetData>
  <mergeCells count="26">
    <mergeCell ref="B13:H13"/>
    <mergeCell ref="B22:C22"/>
    <mergeCell ref="F22:G22"/>
    <mergeCell ref="B23:C23"/>
    <mergeCell ref="F23:G23"/>
    <mergeCell ref="B9:C9"/>
    <mergeCell ref="F9:H9"/>
    <mergeCell ref="K9:N9"/>
    <mergeCell ref="O9:P9"/>
    <mergeCell ref="B11:P11"/>
    <mergeCell ref="B7:C7"/>
    <mergeCell ref="F7:H7"/>
    <mergeCell ref="K7:N7"/>
    <mergeCell ref="O7:P7"/>
    <mergeCell ref="B8:C8"/>
    <mergeCell ref="F8:H8"/>
    <mergeCell ref="K8:N8"/>
    <mergeCell ref="O8:P8"/>
    <mergeCell ref="B2:P2"/>
    <mergeCell ref="B5:D5"/>
    <mergeCell ref="F5:I5"/>
    <mergeCell ref="K5:P5"/>
    <mergeCell ref="B6:C6"/>
    <mergeCell ref="F6:H6"/>
    <mergeCell ref="K6:N6"/>
    <mergeCell ref="O6:P6"/>
  </mergeCells>
  <phoneticPr fontId="9" type="noConversion"/>
  <dataValidations count="3">
    <dataValidation type="decimal" operator="greaterThan" sqref="I6:I8" xr:uid="{00000000-0002-0000-0400-000000000000}">
      <formula1>0</formula1>
    </dataValidation>
    <dataValidation type="decimal" sqref="I9" xr:uid="{00000000-0002-0000-0400-000003000000}">
      <formula1>0</formula1>
      <formula2>0.9</formula2>
    </dataValidation>
    <dataValidation type="decimal" sqref="C15:C20" xr:uid="{00000000-0002-0000-0400-000004000000}">
      <formula1>0.1</formula1>
      <formula2>8</formula2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51"/>
  <sheetViews>
    <sheetView showGridLines="0" workbookViewId="0"/>
  </sheetViews>
  <sheetFormatPr defaultRowHeight="14"/>
  <cols>
    <col min="1" max="1" width="3" customWidth="1"/>
    <col min="2" max="16" width="12" customWidth="1"/>
    <col min="17" max="17" width="3" customWidth="1"/>
  </cols>
  <sheetData>
    <row r="1" spans="1:17" ht="22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34" customHeight="1">
      <c r="A2" s="1"/>
      <c r="B2" s="23" t="s">
        <v>39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1"/>
    </row>
    <row r="3" spans="1:17" ht="22.5" customHeight="1">
      <c r="A3" s="1"/>
      <c r="B3" s="30" t="s">
        <v>40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1"/>
    </row>
    <row r="4" spans="1:17" ht="22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32" customHeight="1">
      <c r="A5" s="1"/>
      <c r="B5" s="24" t="s">
        <v>1</v>
      </c>
      <c r="C5" s="24"/>
      <c r="D5" s="24"/>
      <c r="E5" s="1"/>
      <c r="F5" s="24" t="s">
        <v>2</v>
      </c>
      <c r="G5" s="24"/>
      <c r="H5" s="24"/>
      <c r="I5" s="24"/>
      <c r="J5" s="1"/>
      <c r="K5" s="24" t="s">
        <v>3</v>
      </c>
      <c r="L5" s="24"/>
      <c r="M5" s="24"/>
      <c r="N5" s="24"/>
      <c r="O5" s="24"/>
      <c r="P5" s="24"/>
      <c r="Q5" s="1"/>
    </row>
    <row r="6" spans="1:17" ht="22.5" customHeight="1">
      <c r="A6" s="1"/>
      <c r="B6" s="25" t="s">
        <v>4</v>
      </c>
      <c r="C6" s="25"/>
      <c r="D6" s="6">
        <f>MAX(Samples!$D$157:$D$176)</f>
        <v>603.26802096160782</v>
      </c>
      <c r="E6" s="1"/>
      <c r="F6" s="25" t="s">
        <v>5</v>
      </c>
      <c r="G6" s="25"/>
      <c r="H6" s="25"/>
      <c r="I6" s="7">
        <v>1306</v>
      </c>
      <c r="J6" s="1"/>
      <c r="K6" s="25" t="s">
        <v>6</v>
      </c>
      <c r="L6" s="25"/>
      <c r="M6" s="25"/>
      <c r="N6" s="25"/>
      <c r="O6" s="26">
        <v>6400</v>
      </c>
      <c r="P6" s="26"/>
      <c r="Q6" s="1"/>
    </row>
    <row r="7" spans="1:17" ht="22.5" customHeight="1">
      <c r="A7" s="1"/>
      <c r="B7" s="27" t="s">
        <v>7</v>
      </c>
      <c r="C7" s="27"/>
      <c r="D7" s="5">
        <f>INDEX(Samples!$B$157:$B$176,MATCH(D6,Samples!$D$157:$D$176,0))</f>
        <v>5690</v>
      </c>
      <c r="E7" s="1"/>
      <c r="F7" s="27" t="s">
        <v>8</v>
      </c>
      <c r="G7" s="27"/>
      <c r="H7" s="27"/>
      <c r="I7" s="8">
        <v>0.128</v>
      </c>
      <c r="J7" s="1"/>
      <c r="K7" s="27" t="s">
        <v>9</v>
      </c>
      <c r="L7" s="27"/>
      <c r="M7" s="27"/>
      <c r="N7" s="27"/>
      <c r="O7" s="27">
        <v>8500</v>
      </c>
      <c r="P7" s="27"/>
      <c r="Q7" s="1"/>
    </row>
    <row r="8" spans="1:17" ht="22.5" customHeight="1">
      <c r="A8" s="1"/>
      <c r="B8" s="25" t="s">
        <v>10</v>
      </c>
      <c r="C8" s="25"/>
      <c r="D8" s="6">
        <f>MAX(Samples!$C$157:$C$176)</f>
        <v>849.65873074466481</v>
      </c>
      <c r="E8" s="1"/>
      <c r="F8" s="25" t="s">
        <v>11</v>
      </c>
      <c r="G8" s="25"/>
      <c r="H8" s="25"/>
      <c r="I8" s="9">
        <v>4</v>
      </c>
      <c r="J8" s="1"/>
      <c r="K8" s="25" t="s">
        <v>12</v>
      </c>
      <c r="L8" s="25"/>
      <c r="M8" s="25"/>
      <c r="N8" s="25"/>
      <c r="O8" s="26">
        <v>800</v>
      </c>
      <c r="P8" s="26"/>
      <c r="Q8" s="1"/>
    </row>
    <row r="9" spans="1:17" ht="22.5" customHeight="1">
      <c r="A9" s="1"/>
      <c r="B9" s="27" t="s">
        <v>13</v>
      </c>
      <c r="C9" s="27"/>
      <c r="D9" s="5">
        <f>INDEX(Samples!$B$157:$B$176,MATCH(D8,Samples!$C$157:$C$176,0))</f>
        <v>4140</v>
      </c>
      <c r="E9" s="1"/>
      <c r="F9" s="27" t="s">
        <v>14</v>
      </c>
      <c r="G9" s="27"/>
      <c r="H9" s="27"/>
      <c r="I9" s="10">
        <v>1.2E-2</v>
      </c>
      <c r="J9" s="1"/>
      <c r="K9" s="27" t="s">
        <v>15</v>
      </c>
      <c r="L9" s="27"/>
      <c r="M9" s="27"/>
      <c r="N9" s="27"/>
      <c r="O9" s="27">
        <v>10</v>
      </c>
      <c r="P9" s="27"/>
      <c r="Q9" s="1"/>
    </row>
    <row r="10" spans="1:17" ht="22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22.5" customHeight="1">
      <c r="A11" s="1"/>
      <c r="B11" s="28" t="s">
        <v>16</v>
      </c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1"/>
    </row>
    <row r="12" spans="1:17" ht="22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32" customHeight="1">
      <c r="A13" s="1"/>
      <c r="B13" s="24" t="s">
        <v>38</v>
      </c>
      <c r="C13" s="24"/>
      <c r="D13" s="24"/>
      <c r="E13" s="24"/>
      <c r="F13" s="24"/>
      <c r="G13" s="24"/>
      <c r="H13" s="24"/>
      <c r="I13" s="1"/>
      <c r="J13" s="1"/>
      <c r="K13" s="1"/>
      <c r="L13" s="1"/>
      <c r="M13" s="1"/>
      <c r="N13" s="1"/>
      <c r="O13" s="1"/>
      <c r="P13" s="1"/>
      <c r="Q13" s="1"/>
    </row>
    <row r="14" spans="1:17" ht="32" customHeight="1">
      <c r="A14" s="1"/>
      <c r="B14" s="2" t="s">
        <v>19</v>
      </c>
      <c r="C14" s="2" t="s">
        <v>20</v>
      </c>
      <c r="D14" s="2" t="s">
        <v>21</v>
      </c>
      <c r="E14" s="2" t="s">
        <v>22</v>
      </c>
      <c r="F14" s="2" t="s">
        <v>23</v>
      </c>
      <c r="G14" s="2" t="s">
        <v>24</v>
      </c>
      <c r="H14" s="2" t="s">
        <v>25</v>
      </c>
      <c r="I14" s="1"/>
      <c r="J14" s="1"/>
      <c r="K14" s="1"/>
      <c r="L14" s="1"/>
      <c r="M14" s="1"/>
      <c r="N14" s="1"/>
      <c r="O14" s="1"/>
      <c r="P14" s="1"/>
      <c r="Q14" s="1"/>
    </row>
    <row r="15" spans="1:17" ht="22.5" customHeight="1">
      <c r="A15" s="1"/>
      <c r="B15" s="11">
        <v>1</v>
      </c>
      <c r="C15" s="12">
        <v>3.24</v>
      </c>
      <c r="D15" s="22">
        <v>6000</v>
      </c>
      <c r="E15" s="13">
        <f>D15*C16/C15</f>
        <v>4812.9629629629635</v>
      </c>
      <c r="F15" s="14">
        <f>D15*2*PI()/60*$D$22/(C15*$I$8)*3.6</f>
        <v>55.850536063818538</v>
      </c>
      <c r="G15" s="13">
        <f>MAX(0,D15-$O$8)</f>
        <v>5200</v>
      </c>
      <c r="H15" s="11" t="s">
        <v>26</v>
      </c>
      <c r="I15" s="1"/>
      <c r="J15" s="1"/>
      <c r="K15" s="1"/>
      <c r="L15" s="1"/>
      <c r="M15" s="1"/>
      <c r="N15" s="1"/>
      <c r="O15" s="1"/>
      <c r="P15" s="1"/>
      <c r="Q15" s="1"/>
    </row>
    <row r="16" spans="1:17" ht="22.5" customHeight="1">
      <c r="A16" s="1"/>
      <c r="B16" s="15">
        <v>2</v>
      </c>
      <c r="C16" s="12">
        <v>2.5990000000000002</v>
      </c>
      <c r="D16" s="22">
        <v>6170</v>
      </c>
      <c r="E16" s="16">
        <f>D16*C17/C16</f>
        <v>4952.1431319738349</v>
      </c>
      <c r="F16" s="17">
        <f>D16*2*PI()/60*$D$22/(C16*$I$8)*3.6</f>
        <v>71.597851503436175</v>
      </c>
      <c r="G16" s="16">
        <f>MAX(0,D16-$O$8)</f>
        <v>5370</v>
      </c>
      <c r="H16" s="15" t="s">
        <v>26</v>
      </c>
      <c r="I16" s="1"/>
      <c r="J16" s="1"/>
      <c r="K16" s="1"/>
      <c r="L16" s="1"/>
      <c r="M16" s="1"/>
      <c r="N16" s="1"/>
      <c r="O16" s="1"/>
      <c r="P16" s="1"/>
      <c r="Q16" s="1"/>
    </row>
    <row r="17" spans="1:17" ht="22.5" customHeight="1">
      <c r="A17" s="1"/>
      <c r="B17" s="11">
        <v>3</v>
      </c>
      <c r="C17" s="12">
        <v>2.0859999999999999</v>
      </c>
      <c r="D17" s="22">
        <v>6220</v>
      </c>
      <c r="E17" s="13">
        <f>D17*C18/C17</f>
        <v>5039.2138063278999</v>
      </c>
      <c r="F17" s="14">
        <f>D17*2*PI()/60*$D$22/(C17*$I$8)*3.6</f>
        <v>89.928466218194515</v>
      </c>
      <c r="G17" s="13">
        <f>MAX(0,D17-$O$8)</f>
        <v>5420</v>
      </c>
      <c r="H17" s="11" t="s">
        <v>26</v>
      </c>
      <c r="I17" s="1"/>
      <c r="J17" s="1"/>
      <c r="K17" s="1"/>
      <c r="L17" s="1"/>
      <c r="M17" s="1"/>
      <c r="N17" s="1"/>
      <c r="O17" s="1"/>
      <c r="P17" s="1"/>
      <c r="Q17" s="1"/>
    </row>
    <row r="18" spans="1:17" ht="22.5" customHeight="1">
      <c r="A18" s="1"/>
      <c r="B18" s="15">
        <v>4</v>
      </c>
      <c r="C18" s="12">
        <v>1.69</v>
      </c>
      <c r="D18" s="22">
        <v>6250</v>
      </c>
      <c r="E18" s="16">
        <f>D18*C19/C18</f>
        <v>5110.9467455621307</v>
      </c>
      <c r="F18" s="17">
        <f>D18*2*PI()/60*$D$22/(C18*$I$8)*3.6</f>
        <v>111.53583385525893</v>
      </c>
      <c r="G18" s="16">
        <f>MAX(0,D18-$O$8)</f>
        <v>5450</v>
      </c>
      <c r="H18" s="15" t="s">
        <v>26</v>
      </c>
      <c r="I18" s="1"/>
      <c r="J18" s="1"/>
      <c r="K18" s="1"/>
      <c r="L18" s="1"/>
      <c r="M18" s="1"/>
      <c r="N18" s="1"/>
      <c r="O18" s="1"/>
      <c r="P18" s="1"/>
      <c r="Q18" s="1"/>
    </row>
    <row r="19" spans="1:17" ht="22.5" customHeight="1">
      <c r="A19" s="1"/>
      <c r="B19" s="11">
        <v>5</v>
      </c>
      <c r="C19" s="12">
        <v>1.3819999999999999</v>
      </c>
      <c r="D19" s="13">
        <f>$O$7</f>
        <v>8500</v>
      </c>
      <c r="E19" s="13" t="s">
        <v>27</v>
      </c>
      <c r="F19" s="14">
        <f>D19*2*PI()/60*$D$22/(C19*$I$8)*3.6</f>
        <v>185.49490631905005</v>
      </c>
      <c r="G19" s="13">
        <f>MAX(0,D19-$O$8)</f>
        <v>7700</v>
      </c>
      <c r="H19" s="11" t="s">
        <v>28</v>
      </c>
      <c r="I19" s="1"/>
      <c r="J19" s="1"/>
      <c r="K19" s="1"/>
      <c r="L19" s="1"/>
      <c r="M19" s="1"/>
      <c r="N19" s="1"/>
      <c r="O19" s="1"/>
      <c r="P19" s="1"/>
      <c r="Q19" s="1"/>
    </row>
    <row r="20" spans="1:17" ht="22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22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22.5" customHeight="1">
      <c r="A22" s="1"/>
      <c r="B22" s="29" t="s">
        <v>29</v>
      </c>
      <c r="C22" s="29"/>
      <c r="D22" s="18">
        <v>0.32</v>
      </c>
      <c r="E22" s="1"/>
      <c r="F22" s="29" t="s">
        <v>30</v>
      </c>
      <c r="G22" s="29"/>
      <c r="H22" s="19">
        <v>5.2788544000000002</v>
      </c>
      <c r="I22" s="1"/>
      <c r="J22" s="1"/>
      <c r="K22" s="1"/>
      <c r="L22" s="1"/>
      <c r="M22" s="1"/>
      <c r="N22" s="1"/>
      <c r="O22" s="1"/>
      <c r="P22" s="1"/>
      <c r="Q22" s="1"/>
    </row>
    <row r="23" spans="1:17" ht="22.5" customHeight="1">
      <c r="A23" s="1"/>
      <c r="B23" s="29" t="s">
        <v>31</v>
      </c>
      <c r="C23" s="29"/>
      <c r="D23" s="20">
        <v>1.85</v>
      </c>
      <c r="E23" s="1"/>
      <c r="F23" s="29" t="s">
        <v>32</v>
      </c>
      <c r="G23" s="29"/>
      <c r="H23" s="21">
        <v>9.7999999999999997E-4</v>
      </c>
      <c r="I23" s="1"/>
      <c r="J23" s="1"/>
      <c r="K23" s="1"/>
      <c r="L23" s="1"/>
      <c r="M23" s="1"/>
      <c r="N23" s="1"/>
      <c r="O23" s="1"/>
      <c r="P23" s="1"/>
      <c r="Q23" s="1"/>
    </row>
    <row r="24" spans="1:17" ht="22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22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22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22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22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22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22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22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22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22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22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22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22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22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22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22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22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22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22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22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22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22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22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22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22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22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22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22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</sheetData>
  <mergeCells count="27">
    <mergeCell ref="B11:P11"/>
    <mergeCell ref="B13:H13"/>
    <mergeCell ref="B22:C22"/>
    <mergeCell ref="F22:G22"/>
    <mergeCell ref="B23:C23"/>
    <mergeCell ref="F23:G23"/>
    <mergeCell ref="B8:C8"/>
    <mergeCell ref="F8:H8"/>
    <mergeCell ref="K8:N8"/>
    <mergeCell ref="O8:P8"/>
    <mergeCell ref="B9:C9"/>
    <mergeCell ref="F9:H9"/>
    <mergeCell ref="K9:N9"/>
    <mergeCell ref="O9:P9"/>
    <mergeCell ref="B6:C6"/>
    <mergeCell ref="F6:H6"/>
    <mergeCell ref="K6:N6"/>
    <mergeCell ref="O6:P6"/>
    <mergeCell ref="B7:C7"/>
    <mergeCell ref="F7:H7"/>
    <mergeCell ref="K7:N7"/>
    <mergeCell ref="O7:P7"/>
    <mergeCell ref="B2:P2"/>
    <mergeCell ref="B3:P3"/>
    <mergeCell ref="B5:D5"/>
    <mergeCell ref="F5:I5"/>
    <mergeCell ref="K5:P5"/>
  </mergeCells>
  <phoneticPr fontId="9" type="noConversion"/>
  <dataValidations count="3">
    <dataValidation type="decimal" operator="greaterThan" sqref="I6:I8" xr:uid="{00000000-0002-0000-0500-000000000000}">
      <formula1>0</formula1>
    </dataValidation>
    <dataValidation type="decimal" sqref="I9" xr:uid="{00000000-0002-0000-0500-000003000000}">
      <formula1>0</formula1>
      <formula2>0.9</formula2>
    </dataValidation>
    <dataValidation type="decimal" sqref="C15:C19" xr:uid="{00000000-0002-0000-0500-000004000000}">
      <formula1>0.1</formula1>
      <formula2>8</formula2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85"/>
  <sheetViews>
    <sheetView showGridLines="0" workbookViewId="0">
      <pane ySplit="3" topLeftCell="A4" activePane="bottomLeft" state="frozen"/>
      <selection pane="bottomLeft"/>
    </sheetView>
  </sheetViews>
  <sheetFormatPr defaultRowHeight="14"/>
  <cols>
    <col min="1" max="1" width="3" customWidth="1"/>
    <col min="2" max="5" width="19.4140625" customWidth="1"/>
    <col min="6" max="6" width="3.1640625" customWidth="1"/>
  </cols>
  <sheetData>
    <row r="1" spans="1:6" ht="22.5" customHeight="1">
      <c r="A1" s="1"/>
      <c r="B1" s="31" t="s">
        <v>41</v>
      </c>
      <c r="C1" s="31"/>
      <c r="D1" s="31"/>
      <c r="E1" s="31"/>
      <c r="F1" s="1"/>
    </row>
    <row r="2" spans="1:6" ht="22.5" customHeight="1">
      <c r="A2" s="1"/>
      <c r="B2" s="32" t="s">
        <v>42</v>
      </c>
      <c r="C2" s="32"/>
      <c r="D2" s="32"/>
      <c r="E2" s="32"/>
      <c r="F2" s="1"/>
    </row>
    <row r="3" spans="1:6" ht="22.5" customHeight="1">
      <c r="A3" s="1"/>
      <c r="B3" s="1"/>
      <c r="C3" s="1"/>
      <c r="D3" s="1"/>
      <c r="E3" s="1"/>
      <c r="F3" s="1"/>
    </row>
    <row r="4" spans="1:6" ht="22.5" customHeight="1">
      <c r="A4" s="1"/>
      <c r="B4" s="1"/>
      <c r="C4" s="1"/>
      <c r="D4" s="1"/>
      <c r="E4" s="1"/>
      <c r="F4" s="1"/>
    </row>
    <row r="5" spans="1:6" ht="32" customHeight="1">
      <c r="A5" s="1"/>
      <c r="B5" s="24" t="s">
        <v>43</v>
      </c>
      <c r="C5" s="24"/>
      <c r="D5" s="24"/>
      <c r="E5" s="24"/>
      <c r="F5" s="1"/>
    </row>
    <row r="6" spans="1:6" ht="32" customHeight="1">
      <c r="A6" s="1"/>
      <c r="B6" s="2" t="s">
        <v>44</v>
      </c>
      <c r="C6" s="2" t="s">
        <v>45</v>
      </c>
      <c r="D6" s="2" t="s">
        <v>46</v>
      </c>
      <c r="E6" s="1"/>
      <c r="F6" s="1"/>
    </row>
    <row r="7" spans="1:6" ht="22.5" customHeight="1">
      <c r="A7" s="1"/>
      <c r="B7" s="1">
        <v>0</v>
      </c>
      <c r="C7" s="3">
        <v>-11.700000000000001</v>
      </c>
      <c r="D7" s="4">
        <f t="shared" ref="D7:D24" si="0">C7*B7*2*PI()/(60*745.69987158227)</f>
        <v>0</v>
      </c>
      <c r="E7" s="1"/>
      <c r="F7" s="1"/>
    </row>
    <row r="8" spans="1:6" ht="22.5" customHeight="1">
      <c r="A8" s="1"/>
      <c r="B8" s="1">
        <v>500</v>
      </c>
      <c r="C8" s="3">
        <v>38.005559657208096</v>
      </c>
      <c r="D8" s="4">
        <f t="shared" si="0"/>
        <v>2.6685889673305132</v>
      </c>
      <c r="E8" s="1"/>
      <c r="F8" s="1"/>
    </row>
    <row r="9" spans="1:6" ht="22.5" customHeight="1">
      <c r="A9" s="1"/>
      <c r="B9" s="1">
        <v>1000</v>
      </c>
      <c r="C9" s="3">
        <v>144.68644472051628</v>
      </c>
      <c r="D9" s="4">
        <f t="shared" si="0"/>
        <v>20.318535160958582</v>
      </c>
      <c r="E9" s="1"/>
      <c r="F9" s="1"/>
    </row>
    <row r="10" spans="1:6" ht="22.5" customHeight="1">
      <c r="A10" s="1"/>
      <c r="B10" s="1">
        <v>1500</v>
      </c>
      <c r="C10" s="3">
        <v>295.31452770142562</v>
      </c>
      <c r="D10" s="4">
        <f t="shared" si="0"/>
        <v>62.207195285991304</v>
      </c>
      <c r="E10" s="1"/>
      <c r="F10" s="1"/>
    </row>
    <row r="11" spans="1:6" ht="22.5" customHeight="1">
      <c r="A11" s="1"/>
      <c r="B11" s="1">
        <v>2000</v>
      </c>
      <c r="C11" s="3">
        <v>372.0321421528443</v>
      </c>
      <c r="D11" s="4">
        <f t="shared" si="0"/>
        <v>104.49006713712463</v>
      </c>
      <c r="E11" s="1"/>
      <c r="F11" s="1"/>
    </row>
    <row r="12" spans="1:6" ht="22.5" customHeight="1">
      <c r="A12" s="1"/>
      <c r="B12" s="1">
        <v>2500</v>
      </c>
      <c r="C12" s="3">
        <v>390.99388862528957</v>
      </c>
      <c r="D12" s="4">
        <f t="shared" si="0"/>
        <v>137.26965039984785</v>
      </c>
      <c r="E12" s="1"/>
      <c r="F12" s="1"/>
    </row>
    <row r="13" spans="1:6" ht="22.5" customHeight="1">
      <c r="A13" s="1"/>
      <c r="B13" s="1">
        <v>3000</v>
      </c>
      <c r="C13" s="3">
        <v>411.25036500210729</v>
      </c>
      <c r="D13" s="4">
        <f t="shared" si="0"/>
        <v>173.25752286041558</v>
      </c>
      <c r="E13" s="1"/>
      <c r="F13" s="1"/>
    </row>
    <row r="14" spans="1:6" ht="22.5" customHeight="1">
      <c r="A14" s="1"/>
      <c r="B14" s="1">
        <v>3500</v>
      </c>
      <c r="C14" s="3">
        <v>423.80703475739853</v>
      </c>
      <c r="D14" s="4">
        <f t="shared" si="0"/>
        <v>208.30550877345351</v>
      </c>
      <c r="E14" s="1"/>
      <c r="F14" s="1"/>
    </row>
    <row r="15" spans="1:6" ht="22.5" customHeight="1">
      <c r="A15" s="1"/>
      <c r="B15" s="1">
        <v>3740</v>
      </c>
      <c r="C15" s="3">
        <v>425.214197164935</v>
      </c>
      <c r="D15" s="4">
        <f t="shared" si="0"/>
        <v>223.32837624413057</v>
      </c>
      <c r="E15" s="1"/>
      <c r="F15" s="1"/>
    </row>
    <row r="16" spans="1:6" ht="22.5" customHeight="1">
      <c r="A16" s="1"/>
      <c r="B16" s="1">
        <v>4000</v>
      </c>
      <c r="C16" s="3">
        <v>424.44212471320429</v>
      </c>
      <c r="D16" s="4">
        <f t="shared" si="0"/>
        <v>238.42018515102365</v>
      </c>
      <c r="E16" s="1"/>
      <c r="F16" s="1"/>
    </row>
    <row r="17" spans="1:6" ht="22.5" customHeight="1">
      <c r="A17" s="1"/>
      <c r="B17" s="1">
        <v>4500</v>
      </c>
      <c r="C17" s="3">
        <v>419.64479082879961</v>
      </c>
      <c r="D17" s="4">
        <f t="shared" si="0"/>
        <v>265.19107262033378</v>
      </c>
      <c r="E17" s="1"/>
      <c r="F17" s="1"/>
    </row>
    <row r="18" spans="1:6" ht="22.5" customHeight="1">
      <c r="A18" s="1"/>
      <c r="B18" s="1">
        <v>5000</v>
      </c>
      <c r="C18" s="3">
        <v>409.78589785572836</v>
      </c>
      <c r="D18" s="4">
        <f t="shared" si="0"/>
        <v>287.73425147497431</v>
      </c>
      <c r="E18" s="1"/>
      <c r="F18" s="1"/>
    </row>
    <row r="19" spans="1:6" ht="22.5" customHeight="1">
      <c r="A19" s="1"/>
      <c r="B19" s="1">
        <v>5500</v>
      </c>
      <c r="C19" s="3">
        <v>379.00168763410392</v>
      </c>
      <c r="D19" s="4">
        <f t="shared" si="0"/>
        <v>292.73077530671583</v>
      </c>
      <c r="E19" s="1"/>
      <c r="F19" s="1"/>
    </row>
    <row r="20" spans="1:6" ht="22.5" customHeight="1">
      <c r="A20" s="1"/>
      <c r="B20" s="1">
        <v>5610</v>
      </c>
      <c r="C20" s="3">
        <v>371.80174077831521</v>
      </c>
      <c r="D20" s="4">
        <f t="shared" si="0"/>
        <v>292.91312333776995</v>
      </c>
      <c r="E20" s="1"/>
      <c r="F20" s="1"/>
    </row>
    <row r="21" spans="1:6" ht="22.5" customHeight="1">
      <c r="A21" s="1"/>
      <c r="B21" s="1">
        <v>6000</v>
      </c>
      <c r="C21" s="3">
        <v>345.49564491030742</v>
      </c>
      <c r="D21" s="4">
        <f t="shared" si="0"/>
        <v>291.11083996686489</v>
      </c>
      <c r="E21" s="1"/>
      <c r="F21" s="1"/>
    </row>
    <row r="22" spans="1:6" ht="22.5" customHeight="1">
      <c r="A22" s="1"/>
      <c r="B22" s="1">
        <v>6500</v>
      </c>
      <c r="C22" s="3">
        <v>311.30536651597919</v>
      </c>
      <c r="D22" s="4">
        <f t="shared" si="0"/>
        <v>284.16102703465776</v>
      </c>
      <c r="E22" s="1"/>
      <c r="F22" s="1"/>
    </row>
    <row r="23" spans="1:6" ht="22.5" customHeight="1">
      <c r="A23" s="1"/>
      <c r="B23" s="1">
        <v>7000</v>
      </c>
      <c r="C23" s="3">
        <v>277.93279486233178</v>
      </c>
      <c r="D23" s="4">
        <f t="shared" si="0"/>
        <v>273.21364437363303</v>
      </c>
      <c r="E23" s="1"/>
      <c r="F23" s="1"/>
    </row>
    <row r="24" spans="1:6" ht="22.5" customHeight="1">
      <c r="A24" s="1"/>
      <c r="B24" s="1">
        <v>7499</v>
      </c>
      <c r="C24" s="3">
        <v>238.59697013590574</v>
      </c>
      <c r="D24" s="4">
        <f t="shared" si="0"/>
        <v>251.26548020329068</v>
      </c>
      <c r="E24" s="1"/>
      <c r="F24" s="1"/>
    </row>
    <row r="25" spans="1:6" ht="22.5" customHeight="1">
      <c r="A25" s="1"/>
      <c r="B25" s="1"/>
      <c r="C25" s="1"/>
      <c r="D25" s="1"/>
      <c r="E25" s="1"/>
      <c r="F25" s="1"/>
    </row>
    <row r="26" spans="1:6" ht="22.5" customHeight="1">
      <c r="A26" s="1"/>
      <c r="B26" s="1"/>
      <c r="C26" s="1"/>
      <c r="D26" s="1"/>
      <c r="E26" s="1"/>
      <c r="F26" s="1"/>
    </row>
    <row r="27" spans="1:6" ht="22.5" customHeight="1">
      <c r="A27" s="1"/>
      <c r="B27" s="1"/>
      <c r="C27" s="1"/>
      <c r="D27" s="1"/>
      <c r="E27" s="1"/>
      <c r="F27" s="1"/>
    </row>
    <row r="28" spans="1:6" ht="22.5" customHeight="1">
      <c r="A28" s="1"/>
      <c r="B28" s="1"/>
      <c r="C28" s="1"/>
      <c r="D28" s="1"/>
      <c r="E28" s="1"/>
      <c r="F28" s="1"/>
    </row>
    <row r="29" spans="1:6" ht="22.5" customHeight="1">
      <c r="A29" s="1"/>
      <c r="B29" s="1"/>
      <c r="C29" s="1"/>
      <c r="D29" s="1"/>
      <c r="E29" s="1"/>
      <c r="F29" s="1"/>
    </row>
    <row r="30" spans="1:6" ht="22.5" customHeight="1">
      <c r="A30" s="1"/>
      <c r="B30" s="1"/>
      <c r="C30" s="1"/>
      <c r="D30" s="1"/>
      <c r="E30" s="1"/>
      <c r="F30" s="1"/>
    </row>
    <row r="31" spans="1:6" ht="22.5" customHeight="1">
      <c r="A31" s="1"/>
      <c r="B31" s="1"/>
      <c r="C31" s="1"/>
      <c r="D31" s="1"/>
      <c r="E31" s="1"/>
      <c r="F31" s="1"/>
    </row>
    <row r="32" spans="1:6" ht="22.5" customHeight="1">
      <c r="A32" s="1"/>
      <c r="B32" s="1"/>
      <c r="C32" s="1"/>
      <c r="D32" s="1"/>
      <c r="E32" s="1"/>
      <c r="F32" s="1"/>
    </row>
    <row r="33" spans="1:6" ht="22.5" customHeight="1">
      <c r="A33" s="1"/>
      <c r="B33" s="1"/>
      <c r="C33" s="1"/>
      <c r="D33" s="1"/>
      <c r="E33" s="1"/>
      <c r="F33" s="1"/>
    </row>
    <row r="34" spans="1:6" ht="22.5" customHeight="1">
      <c r="A34" s="1"/>
      <c r="B34" s="1"/>
      <c r="C34" s="1"/>
      <c r="D34" s="1"/>
      <c r="E34" s="1"/>
      <c r="F34" s="1"/>
    </row>
    <row r="35" spans="1:6" ht="32" customHeight="1">
      <c r="A35" s="1"/>
      <c r="B35" s="24" t="s">
        <v>47</v>
      </c>
      <c r="C35" s="24"/>
      <c r="D35" s="24"/>
      <c r="E35" s="24"/>
      <c r="F35" s="1"/>
    </row>
    <row r="36" spans="1:6" ht="32" customHeight="1">
      <c r="A36" s="1"/>
      <c r="B36" s="2" t="s">
        <v>44</v>
      </c>
      <c r="C36" s="2" t="s">
        <v>45</v>
      </c>
      <c r="D36" s="2" t="s">
        <v>46</v>
      </c>
      <c r="E36" s="1"/>
      <c r="F36" s="1"/>
    </row>
    <row r="37" spans="1:6" ht="22.5" customHeight="1">
      <c r="A37" s="1"/>
      <c r="B37" s="1">
        <v>0</v>
      </c>
      <c r="C37" s="3">
        <v>-12.15</v>
      </c>
      <c r="D37" s="4">
        <f t="shared" ref="D37:D55" si="1">C37*B37*2*PI()/(60*745.69987158227)</f>
        <v>0</v>
      </c>
      <c r="E37" s="1"/>
      <c r="F37" s="1"/>
    </row>
    <row r="38" spans="1:6" ht="22.5" customHeight="1">
      <c r="A38" s="1"/>
      <c r="B38" s="1">
        <v>500</v>
      </c>
      <c r="C38" s="3">
        <v>37.607653353450431</v>
      </c>
      <c r="D38" s="4">
        <f t="shared" si="1"/>
        <v>2.6406496768210106</v>
      </c>
      <c r="E38" s="1"/>
      <c r="F38" s="1"/>
    </row>
    <row r="39" spans="1:6" ht="22.5" customHeight="1">
      <c r="A39" s="1"/>
      <c r="B39" s="1">
        <v>1000</v>
      </c>
      <c r="C39" s="3">
        <v>141.5610188906123</v>
      </c>
      <c r="D39" s="4">
        <f t="shared" si="1"/>
        <v>19.879626908422974</v>
      </c>
      <c r="E39" s="1"/>
      <c r="F39" s="1"/>
    </row>
    <row r="40" spans="1:6" ht="22.5" customHeight="1">
      <c r="A40" s="1"/>
      <c r="B40" s="1">
        <v>1500</v>
      </c>
      <c r="C40" s="3">
        <v>283.07918475481819</v>
      </c>
      <c r="D40" s="4">
        <f t="shared" si="1"/>
        <v>59.629853852791598</v>
      </c>
      <c r="E40" s="1"/>
      <c r="F40" s="1"/>
    </row>
    <row r="41" spans="1:6" ht="22.5" customHeight="1">
      <c r="A41" s="1"/>
      <c r="B41" s="1">
        <v>2000</v>
      </c>
      <c r="C41" s="3">
        <v>357.87665214001487</v>
      </c>
      <c r="D41" s="4">
        <f t="shared" si="1"/>
        <v>100.51431360884006</v>
      </c>
      <c r="E41" s="1"/>
      <c r="F41" s="1"/>
    </row>
    <row r="42" spans="1:6" ht="22.5" customHeight="1">
      <c r="A42" s="1"/>
      <c r="B42" s="1">
        <v>2500</v>
      </c>
      <c r="C42" s="3">
        <v>375.53879897634943</v>
      </c>
      <c r="D42" s="4">
        <f t="shared" si="1"/>
        <v>131.84369665804527</v>
      </c>
      <c r="E42" s="1"/>
      <c r="F42" s="1"/>
    </row>
    <row r="43" spans="1:6" ht="22.5" customHeight="1">
      <c r="A43" s="1"/>
      <c r="B43" s="1">
        <v>3000</v>
      </c>
      <c r="C43" s="3">
        <v>393.47429935069022</v>
      </c>
      <c r="D43" s="4">
        <f t="shared" si="1"/>
        <v>165.76856391212905</v>
      </c>
      <c r="E43" s="1"/>
      <c r="F43" s="1"/>
    </row>
    <row r="44" spans="1:6" ht="22.5" customHeight="1">
      <c r="A44" s="1"/>
      <c r="B44" s="1">
        <v>3500</v>
      </c>
      <c r="C44" s="3">
        <v>403.52794743805384</v>
      </c>
      <c r="D44" s="4">
        <f t="shared" si="1"/>
        <v>198.33812915235899</v>
      </c>
      <c r="E44" s="1"/>
      <c r="F44" s="1"/>
    </row>
    <row r="45" spans="1:6" ht="22.5" customHeight="1">
      <c r="A45" s="1"/>
      <c r="B45" s="1">
        <v>4000</v>
      </c>
      <c r="C45" s="3">
        <v>409.35787494570224</v>
      </c>
      <c r="D45" s="4">
        <f t="shared" si="1"/>
        <v>229.94696957454855</v>
      </c>
      <c r="E45" s="1"/>
      <c r="F45" s="1"/>
    </row>
    <row r="46" spans="1:6" ht="22.5" customHeight="1">
      <c r="A46" s="1"/>
      <c r="B46" s="1">
        <v>4170</v>
      </c>
      <c r="C46" s="3">
        <v>409.78852677824824</v>
      </c>
      <c r="D46" s="4">
        <f t="shared" si="1"/>
        <v>239.97190522551352</v>
      </c>
      <c r="E46" s="1"/>
      <c r="F46" s="1"/>
    </row>
    <row r="47" spans="1:6" ht="22.5" customHeight="1">
      <c r="A47" s="1"/>
      <c r="B47" s="1">
        <v>4500</v>
      </c>
      <c r="C47" s="3">
        <v>409.12826663235899</v>
      </c>
      <c r="D47" s="4">
        <f t="shared" si="1"/>
        <v>258.54524168702534</v>
      </c>
      <c r="E47" s="1"/>
      <c r="F47" s="1"/>
    </row>
    <row r="48" spans="1:6" ht="22.5" customHeight="1">
      <c r="A48" s="1"/>
      <c r="B48" s="1">
        <v>5000</v>
      </c>
      <c r="C48" s="3">
        <v>407.45143756593717</v>
      </c>
      <c r="D48" s="4">
        <f t="shared" si="1"/>
        <v>286.09509261763952</v>
      </c>
      <c r="E48" s="1"/>
      <c r="F48" s="1"/>
    </row>
    <row r="49" spans="1:6" ht="22.5" customHeight="1">
      <c r="A49" s="1"/>
      <c r="B49" s="1">
        <v>5500</v>
      </c>
      <c r="C49" s="3">
        <v>392.988467409279</v>
      </c>
      <c r="D49" s="4">
        <f t="shared" si="1"/>
        <v>303.53379023044903</v>
      </c>
      <c r="E49" s="1"/>
      <c r="F49" s="1"/>
    </row>
    <row r="50" spans="1:6" ht="22.5" customHeight="1">
      <c r="A50" s="1"/>
      <c r="B50" s="1">
        <v>5960</v>
      </c>
      <c r="C50" s="3">
        <v>368.1507684624786</v>
      </c>
      <c r="D50" s="4">
        <f t="shared" si="1"/>
        <v>308.13179986562693</v>
      </c>
      <c r="E50" s="1"/>
      <c r="F50" s="1"/>
    </row>
    <row r="51" spans="1:6" ht="22.5" customHeight="1">
      <c r="A51" s="1"/>
      <c r="B51" s="1">
        <v>6000</v>
      </c>
      <c r="C51" s="3">
        <v>365.66509947073672</v>
      </c>
      <c r="D51" s="4">
        <f t="shared" si="1"/>
        <v>308.10540110028921</v>
      </c>
      <c r="E51" s="1"/>
      <c r="F51" s="1"/>
    </row>
    <row r="52" spans="1:6" ht="22.5" customHeight="1">
      <c r="A52" s="1"/>
      <c r="B52" s="1">
        <v>6500</v>
      </c>
      <c r="C52" s="3">
        <v>330.89179093017987</v>
      </c>
      <c r="D52" s="4">
        <f t="shared" si="1"/>
        <v>302.03960889068333</v>
      </c>
      <c r="E52" s="1"/>
      <c r="F52" s="1"/>
    </row>
    <row r="53" spans="1:6" ht="22.5" customHeight="1">
      <c r="A53" s="1"/>
      <c r="B53" s="1">
        <v>7000</v>
      </c>
      <c r="C53" s="3">
        <v>293.07421988662304</v>
      </c>
      <c r="D53" s="4">
        <f t="shared" si="1"/>
        <v>288.09797608391517</v>
      </c>
      <c r="E53" s="1"/>
      <c r="F53" s="1"/>
    </row>
    <row r="54" spans="1:6" ht="22.5" customHeight="1">
      <c r="A54" s="1"/>
      <c r="B54" s="1">
        <v>7500</v>
      </c>
      <c r="C54" s="3">
        <v>251.2516279317727</v>
      </c>
      <c r="D54" s="4">
        <f t="shared" si="1"/>
        <v>264.62733151545461</v>
      </c>
      <c r="E54" s="1"/>
      <c r="F54" s="1"/>
    </row>
    <row r="55" spans="1:6" ht="22.5" customHeight="1">
      <c r="A55" s="1"/>
      <c r="B55" s="1">
        <v>7649</v>
      </c>
      <c r="C55" s="3">
        <v>238.07887199367764</v>
      </c>
      <c r="D55" s="4">
        <f t="shared" si="1"/>
        <v>255.73493933679504</v>
      </c>
      <c r="E55" s="1"/>
      <c r="F55" s="1"/>
    </row>
    <row r="56" spans="1:6" ht="22.5" customHeight="1">
      <c r="A56" s="1"/>
      <c r="B56" s="1"/>
      <c r="C56" s="1"/>
      <c r="D56" s="1"/>
      <c r="E56" s="1"/>
      <c r="F56" s="1"/>
    </row>
    <row r="57" spans="1:6" ht="22.5" customHeight="1">
      <c r="A57" s="1"/>
      <c r="B57" s="1"/>
      <c r="C57" s="1"/>
      <c r="D57" s="1"/>
      <c r="E57" s="1"/>
      <c r="F57" s="1"/>
    </row>
    <row r="58" spans="1:6" ht="22.5" customHeight="1">
      <c r="A58" s="1"/>
      <c r="B58" s="1"/>
      <c r="C58" s="1"/>
      <c r="D58" s="1"/>
      <c r="E58" s="1"/>
      <c r="F58" s="1"/>
    </row>
    <row r="59" spans="1:6" ht="22.5" customHeight="1">
      <c r="A59" s="1"/>
      <c r="B59" s="1"/>
      <c r="C59" s="1"/>
      <c r="D59" s="1"/>
      <c r="E59" s="1"/>
      <c r="F59" s="1"/>
    </row>
    <row r="60" spans="1:6" ht="22.5" customHeight="1">
      <c r="A60" s="1"/>
      <c r="B60" s="1"/>
      <c r="C60" s="1"/>
      <c r="D60" s="1"/>
      <c r="E60" s="1"/>
      <c r="F60" s="1"/>
    </row>
    <row r="61" spans="1:6" ht="22.5" customHeight="1">
      <c r="A61" s="1"/>
      <c r="B61" s="1"/>
      <c r="C61" s="1"/>
      <c r="D61" s="1"/>
      <c r="E61" s="1"/>
      <c r="F61" s="1"/>
    </row>
    <row r="62" spans="1:6" ht="22.5" customHeight="1">
      <c r="A62" s="1"/>
      <c r="B62" s="1"/>
      <c r="C62" s="1"/>
      <c r="D62" s="1"/>
      <c r="E62" s="1"/>
      <c r="F62" s="1"/>
    </row>
    <row r="63" spans="1:6" ht="22.5" customHeight="1">
      <c r="A63" s="1"/>
      <c r="B63" s="1"/>
      <c r="C63" s="1"/>
      <c r="D63" s="1"/>
      <c r="E63" s="1"/>
      <c r="F63" s="1"/>
    </row>
    <row r="64" spans="1:6" ht="22.5" customHeight="1">
      <c r="A64" s="1"/>
      <c r="B64" s="1"/>
      <c r="C64" s="1"/>
      <c r="D64" s="1"/>
      <c r="E64" s="1"/>
      <c r="F64" s="1"/>
    </row>
    <row r="65" spans="1:6" ht="32" customHeight="1">
      <c r="A65" s="1"/>
      <c r="B65" s="24" t="s">
        <v>48</v>
      </c>
      <c r="C65" s="24"/>
      <c r="D65" s="24"/>
      <c r="E65" s="24"/>
      <c r="F65" s="1"/>
    </row>
    <row r="66" spans="1:6" ht="32" customHeight="1">
      <c r="A66" s="1"/>
      <c r="B66" s="2" t="s">
        <v>44</v>
      </c>
      <c r="C66" s="2" t="s">
        <v>45</v>
      </c>
      <c r="D66" s="2" t="s">
        <v>46</v>
      </c>
      <c r="E66" s="1"/>
      <c r="F66" s="1"/>
    </row>
    <row r="67" spans="1:6" ht="22.5" customHeight="1">
      <c r="A67" s="1"/>
      <c r="B67" s="1">
        <v>0</v>
      </c>
      <c r="C67" s="3">
        <v>-12.15</v>
      </c>
      <c r="D67" s="4">
        <f t="shared" ref="D67:D86" si="2">C67*B67*2*PI()/(60*745.69987158227)</f>
        <v>0</v>
      </c>
      <c r="E67" s="1"/>
      <c r="F67" s="1"/>
    </row>
    <row r="68" spans="1:6" ht="22.5" customHeight="1">
      <c r="A68" s="1"/>
      <c r="B68" s="1">
        <v>500</v>
      </c>
      <c r="C68" s="3">
        <v>37.607959843714411</v>
      </c>
      <c r="D68" s="4">
        <f t="shared" si="2"/>
        <v>2.6406711972655037</v>
      </c>
      <c r="E68" s="1"/>
      <c r="F68" s="1"/>
    </row>
    <row r="69" spans="1:6" ht="22.5" customHeight="1">
      <c r="A69" s="1"/>
      <c r="B69" s="1">
        <v>1000</v>
      </c>
      <c r="C69" s="3">
        <v>141.03569204279131</v>
      </c>
      <c r="D69" s="4">
        <f t="shared" si="2"/>
        <v>19.805854468654587</v>
      </c>
      <c r="E69" s="1"/>
      <c r="F69" s="1"/>
    </row>
    <row r="70" spans="1:6" ht="22.5" customHeight="1">
      <c r="A70" s="1"/>
      <c r="B70" s="1">
        <v>1500</v>
      </c>
      <c r="C70" s="3">
        <v>278.88278637512616</v>
      </c>
      <c r="D70" s="4">
        <f t="shared" si="2"/>
        <v>58.74589404378672</v>
      </c>
      <c r="E70" s="1"/>
      <c r="F70" s="1"/>
    </row>
    <row r="71" spans="1:6" ht="22.5" customHeight="1">
      <c r="A71" s="1"/>
      <c r="B71" s="1">
        <v>2000</v>
      </c>
      <c r="C71" s="3">
        <v>377.97203339025481</v>
      </c>
      <c r="D71" s="4">
        <f t="shared" si="2"/>
        <v>106.15836286714588</v>
      </c>
      <c r="E71" s="1"/>
      <c r="F71" s="1"/>
    </row>
    <row r="72" spans="1:6" ht="22.5" customHeight="1">
      <c r="A72" s="1"/>
      <c r="B72" s="1">
        <v>2500</v>
      </c>
      <c r="C72" s="3">
        <v>401.0745188774066</v>
      </c>
      <c r="D72" s="4">
        <f t="shared" si="2"/>
        <v>140.8087455897585</v>
      </c>
      <c r="E72" s="1"/>
      <c r="F72" s="1"/>
    </row>
    <row r="73" spans="1:6" ht="22.5" customHeight="1">
      <c r="A73" s="1"/>
      <c r="B73" s="1">
        <v>3000</v>
      </c>
      <c r="C73" s="3">
        <v>420.15432677720401</v>
      </c>
      <c r="D73" s="4">
        <f t="shared" si="2"/>
        <v>177.0087131135578</v>
      </c>
      <c r="E73" s="1"/>
      <c r="F73" s="1"/>
    </row>
    <row r="74" spans="1:6" ht="22.5" customHeight="1">
      <c r="A74" s="1"/>
      <c r="B74" s="1">
        <v>3500</v>
      </c>
      <c r="C74" s="3">
        <v>434.59516013261145</v>
      </c>
      <c r="D74" s="4">
        <f t="shared" si="2"/>
        <v>213.60798315612135</v>
      </c>
      <c r="E74" s="1"/>
      <c r="F74" s="1"/>
    </row>
    <row r="75" spans="1:6" ht="22.5" customHeight="1">
      <c r="A75" s="1"/>
      <c r="B75" s="1">
        <v>4000</v>
      </c>
      <c r="C75" s="3">
        <v>442.89770491258372</v>
      </c>
      <c r="D75" s="4">
        <f t="shared" si="2"/>
        <v>248.78716475084263</v>
      </c>
      <c r="E75" s="1"/>
      <c r="F75" s="1"/>
    </row>
    <row r="76" spans="1:6" ht="22.5" customHeight="1">
      <c r="A76" s="1"/>
      <c r="B76" s="1">
        <v>4500</v>
      </c>
      <c r="C76" s="3">
        <v>447.64206079947775</v>
      </c>
      <c r="D76" s="4">
        <f t="shared" si="2"/>
        <v>282.88371700965536</v>
      </c>
      <c r="E76" s="1"/>
      <c r="F76" s="1"/>
    </row>
    <row r="77" spans="1:6" ht="22.5" customHeight="1">
      <c r="A77" s="1"/>
      <c r="B77" s="1">
        <v>4760</v>
      </c>
      <c r="C77" s="3">
        <v>448.23569782092903</v>
      </c>
      <c r="D77" s="4">
        <f t="shared" si="2"/>
        <v>299.62492856756506</v>
      </c>
      <c r="E77" s="1"/>
      <c r="F77" s="1"/>
    </row>
    <row r="78" spans="1:6" ht="22.5" customHeight="1">
      <c r="A78" s="1"/>
      <c r="B78" s="1">
        <v>5000</v>
      </c>
      <c r="C78" s="3">
        <v>447.92621648884773</v>
      </c>
      <c r="D78" s="4">
        <f t="shared" si="2"/>
        <v>314.5147631771639</v>
      </c>
      <c r="E78" s="1"/>
      <c r="F78" s="1"/>
    </row>
    <row r="79" spans="1:6" ht="22.5" customHeight="1">
      <c r="A79" s="1"/>
      <c r="B79" s="1">
        <v>5500</v>
      </c>
      <c r="C79" s="3">
        <v>445.55952378227533</v>
      </c>
      <c r="D79" s="4">
        <f t="shared" si="2"/>
        <v>344.13826929445071</v>
      </c>
      <c r="E79" s="1"/>
      <c r="F79" s="1"/>
    </row>
    <row r="80" spans="1:6" ht="22.5" customHeight="1">
      <c r="A80" s="1"/>
      <c r="B80" s="1">
        <v>6000</v>
      </c>
      <c r="C80" s="3">
        <v>437.9255436520225</v>
      </c>
      <c r="D80" s="4">
        <f t="shared" si="2"/>
        <v>368.99125859772272</v>
      </c>
      <c r="E80" s="1"/>
      <c r="F80" s="1"/>
    </row>
    <row r="81" spans="1:6" ht="22.5" customHeight="1">
      <c r="A81" s="1"/>
      <c r="B81" s="1">
        <v>6500</v>
      </c>
      <c r="C81" s="3">
        <v>419.37327085245357</v>
      </c>
      <c r="D81" s="4">
        <f t="shared" si="2"/>
        <v>382.80592683004716</v>
      </c>
      <c r="E81" s="1"/>
      <c r="F81" s="1"/>
    </row>
    <row r="82" spans="1:6" ht="22.5" customHeight="1">
      <c r="A82" s="1"/>
      <c r="B82" s="1">
        <v>6840</v>
      </c>
      <c r="C82" s="3">
        <v>401.1180324483995</v>
      </c>
      <c r="D82" s="4">
        <f t="shared" si="2"/>
        <v>385.29452495916468</v>
      </c>
      <c r="E82" s="1"/>
      <c r="F82" s="1"/>
    </row>
    <row r="83" spans="1:6" ht="22.5" customHeight="1">
      <c r="A83" s="1"/>
      <c r="B83" s="1">
        <v>7000</v>
      </c>
      <c r="C83" s="3">
        <v>391.58756157870539</v>
      </c>
      <c r="D83" s="4">
        <f t="shared" si="2"/>
        <v>384.93861382315947</v>
      </c>
      <c r="E83" s="1"/>
      <c r="F83" s="1"/>
    </row>
    <row r="84" spans="1:6" ht="22.5" customHeight="1">
      <c r="A84" s="1"/>
      <c r="B84" s="1">
        <v>7500</v>
      </c>
      <c r="C84" s="3">
        <v>359.55425365765126</v>
      </c>
      <c r="D84" s="4">
        <f t="shared" si="2"/>
        <v>378.69558682538178</v>
      </c>
      <c r="E84" s="1"/>
      <c r="F84" s="1"/>
    </row>
    <row r="85" spans="1:6" ht="22.5" customHeight="1">
      <c r="A85" s="1"/>
      <c r="B85" s="1">
        <v>8000</v>
      </c>
      <c r="C85" s="3">
        <v>319.71543607804244</v>
      </c>
      <c r="D85" s="4">
        <f t="shared" si="2"/>
        <v>359.1849584528091</v>
      </c>
      <c r="E85" s="1"/>
      <c r="F85" s="1"/>
    </row>
    <row r="86" spans="1:6" ht="22.5" customHeight="1">
      <c r="A86" s="1"/>
      <c r="B86" s="1">
        <v>8499</v>
      </c>
      <c r="C86" s="3">
        <v>271.36793150569207</v>
      </c>
      <c r="D86" s="4">
        <f t="shared" si="2"/>
        <v>323.88505076222094</v>
      </c>
      <c r="E86" s="1"/>
      <c r="F86" s="1"/>
    </row>
    <row r="87" spans="1:6" ht="22.5" customHeight="1">
      <c r="A87" s="1"/>
      <c r="B87" s="1"/>
      <c r="C87" s="1"/>
      <c r="D87" s="1"/>
      <c r="E87" s="1"/>
      <c r="F87" s="1"/>
    </row>
    <row r="88" spans="1:6" ht="22.5" customHeight="1">
      <c r="A88" s="1"/>
      <c r="B88" s="1"/>
      <c r="C88" s="1"/>
      <c r="D88" s="1"/>
      <c r="E88" s="1"/>
      <c r="F88" s="1"/>
    </row>
    <row r="89" spans="1:6" ht="22.5" customHeight="1">
      <c r="A89" s="1"/>
      <c r="B89" s="1"/>
      <c r="C89" s="1"/>
      <c r="D89" s="1"/>
      <c r="E89" s="1"/>
      <c r="F89" s="1"/>
    </row>
    <row r="90" spans="1:6" ht="22.5" customHeight="1">
      <c r="A90" s="1"/>
      <c r="B90" s="1"/>
      <c r="C90" s="1"/>
      <c r="D90" s="1"/>
      <c r="E90" s="1"/>
      <c r="F90" s="1"/>
    </row>
    <row r="91" spans="1:6" ht="22.5" customHeight="1">
      <c r="A91" s="1"/>
      <c r="B91" s="1"/>
      <c r="C91" s="1"/>
      <c r="D91" s="1"/>
      <c r="E91" s="1"/>
      <c r="F91" s="1"/>
    </row>
    <row r="92" spans="1:6" ht="22.5" customHeight="1">
      <c r="A92" s="1"/>
      <c r="B92" s="1"/>
      <c r="C92" s="1"/>
      <c r="D92" s="1"/>
      <c r="E92" s="1"/>
      <c r="F92" s="1"/>
    </row>
    <row r="93" spans="1:6" ht="22.5" customHeight="1">
      <c r="A93" s="1"/>
      <c r="B93" s="1"/>
      <c r="C93" s="1"/>
      <c r="D93" s="1"/>
      <c r="E93" s="1"/>
      <c r="F93" s="1"/>
    </row>
    <row r="94" spans="1:6" ht="22.5" customHeight="1">
      <c r="A94" s="1"/>
      <c r="B94" s="1"/>
      <c r="C94" s="1"/>
      <c r="D94" s="1"/>
      <c r="E94" s="1"/>
      <c r="F94" s="1"/>
    </row>
    <row r="95" spans="1:6" ht="32" customHeight="1">
      <c r="A95" s="1"/>
      <c r="B95" s="24" t="s">
        <v>49</v>
      </c>
      <c r="C95" s="24"/>
      <c r="D95" s="24"/>
      <c r="E95" s="24"/>
      <c r="F95" s="1"/>
    </row>
    <row r="96" spans="1:6" ht="32" customHeight="1">
      <c r="A96" s="1"/>
      <c r="B96" s="2" t="s">
        <v>44</v>
      </c>
      <c r="C96" s="2" t="s">
        <v>45</v>
      </c>
      <c r="D96" s="2" t="s">
        <v>46</v>
      </c>
      <c r="E96" s="1"/>
      <c r="F96" s="1"/>
    </row>
    <row r="97" spans="1:6" ht="22.5" customHeight="1">
      <c r="A97" s="1"/>
      <c r="B97" s="1">
        <v>0</v>
      </c>
      <c r="C97" s="3">
        <v>-12.15</v>
      </c>
      <c r="D97" s="4">
        <f t="shared" ref="D97:D116" si="3">C97*B97*2*PI()/(60*745.69987158227)</f>
        <v>0</v>
      </c>
      <c r="E97" s="1"/>
      <c r="F97" s="1"/>
    </row>
    <row r="98" spans="1:6" ht="22.5" customHeight="1">
      <c r="A98" s="1"/>
      <c r="B98" s="1">
        <v>500</v>
      </c>
      <c r="C98" s="3">
        <v>37.607959843714411</v>
      </c>
      <c r="D98" s="4">
        <f t="shared" si="3"/>
        <v>2.6406711972655037</v>
      </c>
      <c r="E98" s="1"/>
      <c r="F98" s="1"/>
    </row>
    <row r="99" spans="1:6" ht="22.5" customHeight="1">
      <c r="A99" s="1"/>
      <c r="B99" s="1">
        <v>1000</v>
      </c>
      <c r="C99" s="3">
        <v>141.03569204279131</v>
      </c>
      <c r="D99" s="4">
        <f t="shared" si="3"/>
        <v>19.805854468654587</v>
      </c>
      <c r="E99" s="1"/>
      <c r="F99" s="1"/>
    </row>
    <row r="100" spans="1:6" ht="22.5" customHeight="1">
      <c r="A100" s="1"/>
      <c r="B100" s="1">
        <v>1500</v>
      </c>
      <c r="C100" s="3">
        <v>278.88278637512616</v>
      </c>
      <c r="D100" s="4">
        <f t="shared" si="3"/>
        <v>58.74589404378672</v>
      </c>
      <c r="E100" s="1"/>
      <c r="F100" s="1"/>
    </row>
    <row r="101" spans="1:6" ht="22.5" customHeight="1">
      <c r="A101" s="1"/>
      <c r="B101" s="1">
        <v>2000</v>
      </c>
      <c r="C101" s="3">
        <v>377.97203339025481</v>
      </c>
      <c r="D101" s="4">
        <f t="shared" si="3"/>
        <v>106.15836286714588</v>
      </c>
      <c r="E101" s="1"/>
      <c r="F101" s="1"/>
    </row>
    <row r="102" spans="1:6" ht="22.5" customHeight="1">
      <c r="A102" s="1"/>
      <c r="B102" s="1">
        <v>2500</v>
      </c>
      <c r="C102" s="3">
        <v>401.0745188774066</v>
      </c>
      <c r="D102" s="4">
        <f t="shared" si="3"/>
        <v>140.8087455897585</v>
      </c>
      <c r="E102" s="1"/>
      <c r="F102" s="1"/>
    </row>
    <row r="103" spans="1:6" ht="22.5" customHeight="1">
      <c r="A103" s="1"/>
      <c r="B103" s="1">
        <v>3000</v>
      </c>
      <c r="C103" s="3">
        <v>420.15432677720401</v>
      </c>
      <c r="D103" s="4">
        <f t="shared" si="3"/>
        <v>177.0087131135578</v>
      </c>
      <c r="E103" s="1"/>
      <c r="F103" s="1"/>
    </row>
    <row r="104" spans="1:6" ht="22.5" customHeight="1">
      <c r="A104" s="1"/>
      <c r="B104" s="1">
        <v>3500</v>
      </c>
      <c r="C104" s="3">
        <v>434.59643200985198</v>
      </c>
      <c r="D104" s="4">
        <f t="shared" si="3"/>
        <v>213.6086082968433</v>
      </c>
      <c r="E104" s="1"/>
      <c r="F104" s="1"/>
    </row>
    <row r="105" spans="1:6" ht="22.5" customHeight="1">
      <c r="A105" s="1"/>
      <c r="B105" s="1">
        <v>4000</v>
      </c>
      <c r="C105" s="3">
        <v>441.61027704675757</v>
      </c>
      <c r="D105" s="4">
        <f t="shared" si="3"/>
        <v>248.06398302059785</v>
      </c>
      <c r="E105" s="1"/>
      <c r="F105" s="1"/>
    </row>
    <row r="106" spans="1:6" ht="22.5" customHeight="1">
      <c r="A106" s="1"/>
      <c r="B106" s="1">
        <v>4500</v>
      </c>
      <c r="C106" s="3">
        <v>445.04988072588696</v>
      </c>
      <c r="D106" s="4">
        <f t="shared" si="3"/>
        <v>281.24561014126573</v>
      </c>
      <c r="E106" s="1"/>
      <c r="F106" s="1"/>
    </row>
    <row r="107" spans="1:6" ht="22.5" customHeight="1">
      <c r="A107" s="1"/>
      <c r="B107" s="1">
        <v>4860</v>
      </c>
      <c r="C107" s="3">
        <v>445.97739055382596</v>
      </c>
      <c r="D107" s="4">
        <f t="shared" si="3"/>
        <v>304.37828173286493</v>
      </c>
      <c r="E107" s="1"/>
      <c r="F107" s="1"/>
    </row>
    <row r="108" spans="1:6" ht="22.5" customHeight="1">
      <c r="A108" s="1"/>
      <c r="B108" s="1">
        <v>5000</v>
      </c>
      <c r="C108" s="3">
        <v>445.78790313598341</v>
      </c>
      <c r="D108" s="4">
        <f t="shared" si="3"/>
        <v>313.01333036743364</v>
      </c>
      <c r="E108" s="1"/>
      <c r="F108" s="1"/>
    </row>
    <row r="109" spans="1:6" ht="22.5" customHeight="1">
      <c r="A109" s="1"/>
      <c r="B109" s="1">
        <v>5500</v>
      </c>
      <c r="C109" s="3">
        <v>442.17584901438272</v>
      </c>
      <c r="D109" s="4">
        <f t="shared" si="3"/>
        <v>341.52480932709761</v>
      </c>
      <c r="E109" s="1"/>
      <c r="F109" s="1"/>
    </row>
    <row r="110" spans="1:6" ht="22.5" customHeight="1">
      <c r="A110" s="1"/>
      <c r="B110" s="1">
        <v>6000</v>
      </c>
      <c r="C110" s="3">
        <v>431.71057345825471</v>
      </c>
      <c r="D110" s="4">
        <f t="shared" si="3"/>
        <v>363.75459289692509</v>
      </c>
      <c r="E110" s="1"/>
      <c r="F110" s="1"/>
    </row>
    <row r="111" spans="1:6" ht="22.5" customHeight="1">
      <c r="A111" s="1"/>
      <c r="B111" s="1">
        <v>6500</v>
      </c>
      <c r="C111" s="3">
        <v>409.39327523553129</v>
      </c>
      <c r="D111" s="4">
        <f t="shared" si="3"/>
        <v>373.69613911246063</v>
      </c>
      <c r="E111" s="1"/>
      <c r="F111" s="1"/>
    </row>
    <row r="112" spans="1:6" ht="22.5" customHeight="1">
      <c r="A112" s="1"/>
      <c r="B112" s="1">
        <v>6670</v>
      </c>
      <c r="C112" s="3">
        <v>399.74936902349452</v>
      </c>
      <c r="D112" s="4">
        <f t="shared" si="3"/>
        <v>374.43649433675955</v>
      </c>
      <c r="E112" s="1"/>
      <c r="F112" s="1"/>
    </row>
    <row r="113" spans="1:6" ht="22.5" customHeight="1">
      <c r="A113" s="1"/>
      <c r="B113" s="1">
        <v>7000</v>
      </c>
      <c r="C113" s="3">
        <v>378.66221654161524</v>
      </c>
      <c r="D113" s="4">
        <f t="shared" si="3"/>
        <v>372.23273424489935</v>
      </c>
      <c r="E113" s="1"/>
      <c r="F113" s="1"/>
    </row>
    <row r="114" spans="1:6" ht="22.5" customHeight="1">
      <c r="A114" s="1"/>
      <c r="B114" s="1">
        <v>7500</v>
      </c>
      <c r="C114" s="3">
        <v>342.718175202944</v>
      </c>
      <c r="D114" s="4">
        <f t="shared" si="3"/>
        <v>360.96321807884431</v>
      </c>
      <c r="E114" s="1"/>
      <c r="F114" s="1"/>
    </row>
    <row r="115" spans="1:6" ht="22.5" customHeight="1">
      <c r="A115" s="1"/>
      <c r="B115" s="1">
        <v>8000</v>
      </c>
      <c r="C115" s="3">
        <v>299.11076922716995</v>
      </c>
      <c r="D115" s="4">
        <f t="shared" si="3"/>
        <v>336.03660347329526</v>
      </c>
      <c r="E115" s="1"/>
      <c r="F115" s="1"/>
    </row>
    <row r="116" spans="1:6" ht="22.5" customHeight="1">
      <c r="A116" s="1"/>
      <c r="B116" s="1">
        <v>8499</v>
      </c>
      <c r="C116" s="3">
        <v>249.98546670258065</v>
      </c>
      <c r="D116" s="4">
        <f t="shared" si="3"/>
        <v>298.36449400464443</v>
      </c>
      <c r="E116" s="1"/>
      <c r="F116" s="1"/>
    </row>
    <row r="117" spans="1:6" ht="22.5" customHeight="1">
      <c r="A117" s="1"/>
      <c r="B117" s="1"/>
      <c r="C117" s="1"/>
      <c r="D117" s="1"/>
      <c r="E117" s="1"/>
      <c r="F117" s="1"/>
    </row>
    <row r="118" spans="1:6" ht="22.5" customHeight="1">
      <c r="A118" s="1"/>
      <c r="B118" s="1"/>
      <c r="C118" s="1"/>
      <c r="D118" s="1"/>
      <c r="E118" s="1"/>
      <c r="F118" s="1"/>
    </row>
    <row r="119" spans="1:6" ht="22.5" customHeight="1">
      <c r="A119" s="1"/>
      <c r="B119" s="1"/>
      <c r="C119" s="1"/>
      <c r="D119" s="1"/>
      <c r="E119" s="1"/>
      <c r="F119" s="1"/>
    </row>
    <row r="120" spans="1:6" ht="22.5" customHeight="1">
      <c r="A120" s="1"/>
      <c r="B120" s="1"/>
      <c r="C120" s="1"/>
      <c r="D120" s="1"/>
      <c r="E120" s="1"/>
      <c r="F120" s="1"/>
    </row>
    <row r="121" spans="1:6" ht="22.5" customHeight="1">
      <c r="A121" s="1"/>
      <c r="B121" s="1"/>
      <c r="C121" s="1"/>
      <c r="D121" s="1"/>
      <c r="E121" s="1"/>
      <c r="F121" s="1"/>
    </row>
    <row r="122" spans="1:6" ht="22.5" customHeight="1">
      <c r="A122" s="1"/>
      <c r="B122" s="1"/>
      <c r="C122" s="1"/>
      <c r="D122" s="1"/>
      <c r="E122" s="1"/>
      <c r="F122" s="1"/>
    </row>
    <row r="123" spans="1:6" ht="22.5" customHeight="1">
      <c r="A123" s="1"/>
      <c r="B123" s="1"/>
      <c r="C123" s="1"/>
      <c r="D123" s="1"/>
      <c r="E123" s="1"/>
      <c r="F123" s="1"/>
    </row>
    <row r="124" spans="1:6" ht="22.5" customHeight="1">
      <c r="A124" s="1"/>
      <c r="B124" s="1"/>
      <c r="C124" s="1"/>
      <c r="D124" s="1"/>
      <c r="E124" s="1"/>
      <c r="F124" s="1"/>
    </row>
    <row r="125" spans="1:6" ht="32" customHeight="1">
      <c r="A125" s="1"/>
      <c r="B125" s="24" t="s">
        <v>50</v>
      </c>
      <c r="C125" s="24"/>
      <c r="D125" s="24"/>
      <c r="E125" s="24"/>
      <c r="F125" s="1"/>
    </row>
    <row r="126" spans="1:6" ht="32" customHeight="1">
      <c r="A126" s="1"/>
      <c r="B126" s="2" t="s">
        <v>44</v>
      </c>
      <c r="C126" s="2" t="s">
        <v>45</v>
      </c>
      <c r="D126" s="2" t="s">
        <v>46</v>
      </c>
      <c r="E126" s="1"/>
      <c r="F126" s="1"/>
    </row>
    <row r="127" spans="1:6" ht="22.5" customHeight="1">
      <c r="A127" s="1"/>
      <c r="B127" s="1">
        <v>0</v>
      </c>
      <c r="C127" s="3">
        <v>-13.230000000000002</v>
      </c>
      <c r="D127" s="4">
        <f t="shared" ref="D127:D146" si="4">C127*B127*2*PI()/(60*745.69987158227)</f>
        <v>0</v>
      </c>
      <c r="E127" s="1"/>
      <c r="F127" s="1"/>
    </row>
    <row r="128" spans="1:6" ht="22.5" customHeight="1">
      <c r="A128" s="1"/>
      <c r="B128" s="1">
        <v>500</v>
      </c>
      <c r="C128" s="3">
        <v>63.244986096004553</v>
      </c>
      <c r="D128" s="4">
        <f t="shared" si="4"/>
        <v>4.4407942852845155</v>
      </c>
      <c r="E128" s="1"/>
      <c r="F128" s="1"/>
    </row>
    <row r="129" spans="1:6" ht="22.5" customHeight="1">
      <c r="A129" s="1"/>
      <c r="B129" s="1">
        <v>1000</v>
      </c>
      <c r="C129" s="3">
        <v>200.69013367948659</v>
      </c>
      <c r="D129" s="4">
        <f t="shared" si="4"/>
        <v>28.183217477635015</v>
      </c>
      <c r="E129" s="1"/>
      <c r="F129" s="1"/>
    </row>
    <row r="130" spans="1:6" ht="22.5" customHeight="1">
      <c r="A130" s="1"/>
      <c r="B130" s="1">
        <v>1500</v>
      </c>
      <c r="C130" s="3">
        <v>437.72909021486583</v>
      </c>
      <c r="D130" s="4">
        <f t="shared" si="4"/>
        <v>92.206432271716551</v>
      </c>
      <c r="E130" s="1"/>
      <c r="F130" s="1"/>
    </row>
    <row r="131" spans="1:6" ht="22.5" customHeight="1">
      <c r="A131" s="1"/>
      <c r="B131" s="1">
        <v>2000</v>
      </c>
      <c r="C131" s="3">
        <v>701.08596562095306</v>
      </c>
      <c r="D131" s="4">
        <f t="shared" si="4"/>
        <v>196.90911433811758</v>
      </c>
      <c r="E131" s="1"/>
      <c r="F131" s="1"/>
    </row>
    <row r="132" spans="1:6" ht="22.5" customHeight="1">
      <c r="A132" s="1"/>
      <c r="B132" s="1">
        <v>2500</v>
      </c>
      <c r="C132" s="3">
        <v>781.33066324650258</v>
      </c>
      <c r="D132" s="4">
        <f t="shared" si="4"/>
        <v>274.30860202859827</v>
      </c>
      <c r="E132" s="1"/>
      <c r="F132" s="1"/>
    </row>
    <row r="133" spans="1:6" ht="22.5" customHeight="1">
      <c r="A133" s="1"/>
      <c r="B133" s="1">
        <v>3000</v>
      </c>
      <c r="C133" s="3">
        <v>815.57038116415981</v>
      </c>
      <c r="D133" s="4">
        <f t="shared" si="4"/>
        <v>343.59532777096314</v>
      </c>
      <c r="E133" s="1"/>
      <c r="F133" s="1"/>
    </row>
    <row r="134" spans="1:6" ht="22.5" customHeight="1">
      <c r="A134" s="1"/>
      <c r="B134" s="1">
        <v>3500</v>
      </c>
      <c r="C134" s="3">
        <v>839.3101465704458</v>
      </c>
      <c r="D134" s="4">
        <f t="shared" si="4"/>
        <v>412.5295541640993</v>
      </c>
      <c r="E134" s="1"/>
      <c r="F134" s="1"/>
    </row>
    <row r="135" spans="1:6" ht="22.5" customHeight="1">
      <c r="A135" s="1"/>
      <c r="B135" s="1">
        <v>4000</v>
      </c>
      <c r="C135" s="3">
        <v>849.15980914838872</v>
      </c>
      <c r="D135" s="4">
        <f t="shared" si="4"/>
        <v>476.99515936776282</v>
      </c>
      <c r="E135" s="1"/>
      <c r="F135" s="1"/>
    </row>
    <row r="136" spans="1:6" ht="22.5" customHeight="1">
      <c r="A136" s="1"/>
      <c r="B136" s="1">
        <v>4140</v>
      </c>
      <c r="C136" s="3">
        <v>849.65873074466481</v>
      </c>
      <c r="D136" s="4">
        <f t="shared" si="4"/>
        <v>493.98005619134659</v>
      </c>
      <c r="E136" s="1"/>
      <c r="F136" s="1"/>
    </row>
    <row r="137" spans="1:6" ht="22.5" customHeight="1">
      <c r="A137" s="1"/>
      <c r="B137" s="1">
        <v>4500</v>
      </c>
      <c r="C137" s="3">
        <v>846.29454015823137</v>
      </c>
      <c r="D137" s="4">
        <f t="shared" si="4"/>
        <v>534.80887112656421</v>
      </c>
      <c r="E137" s="1"/>
      <c r="F137" s="1"/>
    </row>
    <row r="138" spans="1:6" ht="22.5" customHeight="1">
      <c r="A138" s="1"/>
      <c r="B138" s="1">
        <v>5000</v>
      </c>
      <c r="C138" s="3">
        <v>830.31349416463172</v>
      </c>
      <c r="D138" s="4">
        <f t="shared" si="4"/>
        <v>583.01086734112721</v>
      </c>
      <c r="E138" s="1"/>
      <c r="F138" s="1"/>
    </row>
    <row r="139" spans="1:6" ht="22.5" customHeight="1">
      <c r="A139" s="1"/>
      <c r="B139" s="1">
        <v>5500</v>
      </c>
      <c r="C139" s="3">
        <v>778.94554940973444</v>
      </c>
      <c r="D139" s="4">
        <f t="shared" si="4"/>
        <v>601.63672627379901</v>
      </c>
      <c r="E139" s="1"/>
      <c r="F139" s="1"/>
    </row>
    <row r="140" spans="1:6" ht="22.5" customHeight="1">
      <c r="A140" s="1"/>
      <c r="B140" s="1">
        <v>5690</v>
      </c>
      <c r="C140" s="3">
        <v>754.97659458085627</v>
      </c>
      <c r="D140" s="4">
        <f t="shared" si="4"/>
        <v>603.26802096160782</v>
      </c>
      <c r="E140" s="1"/>
      <c r="F140" s="1"/>
    </row>
    <row r="141" spans="1:6" ht="22.5" customHeight="1">
      <c r="A141" s="1"/>
      <c r="B141" s="1">
        <v>6000</v>
      </c>
      <c r="C141" s="3">
        <v>713.52169730177775</v>
      </c>
      <c r="D141" s="4">
        <f t="shared" si="4"/>
        <v>601.20555409613723</v>
      </c>
      <c r="E141" s="1"/>
      <c r="F141" s="1"/>
    </row>
    <row r="142" spans="1:6" ht="22.5" customHeight="1">
      <c r="A142" s="1"/>
      <c r="B142" s="1">
        <v>6500</v>
      </c>
      <c r="C142" s="3">
        <v>650.00524403360237</v>
      </c>
      <c r="D142" s="4">
        <f t="shared" si="4"/>
        <v>593.32789469602972</v>
      </c>
      <c r="E142" s="1"/>
      <c r="F142" s="1"/>
    </row>
    <row r="143" spans="1:6" ht="22.5" customHeight="1">
      <c r="A143" s="1"/>
      <c r="B143" s="1">
        <v>7000</v>
      </c>
      <c r="C143" s="3">
        <v>590.16355423147775</v>
      </c>
      <c r="D143" s="4">
        <f t="shared" si="4"/>
        <v>580.14289212593815</v>
      </c>
      <c r="E143" s="1"/>
      <c r="F143" s="1"/>
    </row>
    <row r="144" spans="1:6" ht="22.5" customHeight="1">
      <c r="A144" s="1"/>
      <c r="B144" s="1">
        <v>7500</v>
      </c>
      <c r="C144" s="3">
        <v>529.20441938131887</v>
      </c>
      <c r="D144" s="4">
        <f t="shared" si="4"/>
        <v>557.37729733274523</v>
      </c>
      <c r="E144" s="1"/>
      <c r="F144" s="1"/>
    </row>
    <row r="145" spans="1:6" ht="22.5" customHeight="1">
      <c r="A145" s="1"/>
      <c r="B145" s="1">
        <v>8000</v>
      </c>
      <c r="C145" s="3">
        <v>466.50031942689958</v>
      </c>
      <c r="D145" s="4">
        <f t="shared" si="4"/>
        <v>524.09073489548939</v>
      </c>
      <c r="E145" s="1"/>
      <c r="F145" s="1"/>
    </row>
    <row r="146" spans="1:6" ht="22.5" customHeight="1">
      <c r="A146" s="1"/>
      <c r="B146" s="1">
        <v>8499</v>
      </c>
      <c r="C146" s="3">
        <v>397.78844881517381</v>
      </c>
      <c r="D146" s="4">
        <f t="shared" si="4"/>
        <v>474.77139698220111</v>
      </c>
      <c r="E146" s="1"/>
      <c r="F146" s="1"/>
    </row>
    <row r="147" spans="1:6" ht="22.5" customHeight="1">
      <c r="A147" s="1"/>
      <c r="B147" s="1"/>
      <c r="C147" s="1"/>
      <c r="D147" s="1"/>
      <c r="E147" s="1"/>
      <c r="F147" s="1"/>
    </row>
    <row r="148" spans="1:6" ht="22.5" customHeight="1">
      <c r="A148" s="1"/>
      <c r="B148" s="1"/>
      <c r="C148" s="1"/>
      <c r="D148" s="1"/>
      <c r="E148" s="1"/>
      <c r="F148" s="1"/>
    </row>
    <row r="149" spans="1:6" ht="22.5" customHeight="1">
      <c r="A149" s="1"/>
      <c r="B149" s="1"/>
      <c r="C149" s="1"/>
      <c r="D149" s="1"/>
      <c r="E149" s="1"/>
      <c r="F149" s="1"/>
    </row>
    <row r="150" spans="1:6" ht="22.5" customHeight="1">
      <c r="A150" s="1"/>
      <c r="B150" s="1"/>
      <c r="C150" s="1"/>
      <c r="D150" s="1"/>
      <c r="E150" s="1"/>
      <c r="F150" s="1"/>
    </row>
    <row r="151" spans="1:6" ht="22.5" customHeight="1">
      <c r="A151" s="1"/>
      <c r="B151" s="1"/>
      <c r="C151" s="1"/>
      <c r="D151" s="1"/>
      <c r="E151" s="1"/>
      <c r="F151" s="1"/>
    </row>
    <row r="152" spans="1:6" ht="22.5" customHeight="1">
      <c r="A152" s="1"/>
      <c r="B152" s="1"/>
      <c r="C152" s="1"/>
      <c r="D152" s="1"/>
      <c r="E152" s="1"/>
      <c r="F152" s="1"/>
    </row>
    <row r="153" spans="1:6" ht="22.5" customHeight="1">
      <c r="A153" s="1"/>
      <c r="B153" s="1"/>
      <c r="C153" s="1"/>
      <c r="D153" s="1"/>
      <c r="E153" s="1"/>
      <c r="F153" s="1"/>
    </row>
    <row r="154" spans="1:6" ht="22.5" customHeight="1">
      <c r="A154" s="1"/>
      <c r="B154" s="1"/>
      <c r="C154" s="1"/>
      <c r="D154" s="1"/>
      <c r="E154" s="1"/>
      <c r="F154" s="1"/>
    </row>
    <row r="155" spans="1:6" ht="32" customHeight="1">
      <c r="A155" s="1"/>
      <c r="B155" s="24" t="s">
        <v>51</v>
      </c>
      <c r="C155" s="24"/>
      <c r="D155" s="24"/>
      <c r="E155" s="24"/>
      <c r="F155" s="1"/>
    </row>
    <row r="156" spans="1:6" ht="32" customHeight="1">
      <c r="A156" s="1"/>
      <c r="B156" s="2" t="s">
        <v>44</v>
      </c>
      <c r="C156" s="2" t="s">
        <v>45</v>
      </c>
      <c r="D156" s="2" t="s">
        <v>46</v>
      </c>
      <c r="E156" s="1"/>
      <c r="F156" s="1"/>
    </row>
    <row r="157" spans="1:6" ht="22.5" customHeight="1">
      <c r="A157" s="1"/>
      <c r="B157" s="1">
        <v>0</v>
      </c>
      <c r="C157" s="3">
        <v>-13.230000000000002</v>
      </c>
      <c r="D157" s="4">
        <f t="shared" ref="D157:D176" si="5">C157*B157*2*PI()/(60*745.69987158227)</f>
        <v>0</v>
      </c>
      <c r="E157" s="1"/>
      <c r="F157" s="1"/>
    </row>
    <row r="158" spans="1:6" ht="22.5" customHeight="1">
      <c r="A158" s="1"/>
      <c r="B158" s="1">
        <v>500</v>
      </c>
      <c r="C158" s="3">
        <v>63.244986096004553</v>
      </c>
      <c r="D158" s="4">
        <f t="shared" si="5"/>
        <v>4.4407942852845155</v>
      </c>
      <c r="E158" s="1"/>
      <c r="F158" s="1"/>
    </row>
    <row r="159" spans="1:6" ht="22.5" customHeight="1">
      <c r="A159" s="1"/>
      <c r="B159" s="1">
        <v>1000</v>
      </c>
      <c r="C159" s="3">
        <v>200.69013367948659</v>
      </c>
      <c r="D159" s="4">
        <f t="shared" si="5"/>
        <v>28.183217477635015</v>
      </c>
      <c r="E159" s="1"/>
      <c r="F159" s="1"/>
    </row>
    <row r="160" spans="1:6" ht="22.5" customHeight="1">
      <c r="A160" s="1"/>
      <c r="B160" s="1">
        <v>1500</v>
      </c>
      <c r="C160" s="3">
        <v>437.72909021486583</v>
      </c>
      <c r="D160" s="4">
        <f t="shared" si="5"/>
        <v>92.206432271716551</v>
      </c>
      <c r="E160" s="1"/>
      <c r="F160" s="1"/>
    </row>
    <row r="161" spans="1:6" ht="22.5" customHeight="1">
      <c r="A161" s="1"/>
      <c r="B161" s="1">
        <v>2000</v>
      </c>
      <c r="C161" s="3">
        <v>701.08596562095306</v>
      </c>
      <c r="D161" s="4">
        <f t="shared" si="5"/>
        <v>196.90911433811758</v>
      </c>
      <c r="E161" s="1"/>
      <c r="F161" s="1"/>
    </row>
    <row r="162" spans="1:6" ht="22.5" customHeight="1">
      <c r="A162" s="1"/>
      <c r="B162" s="1">
        <v>2500</v>
      </c>
      <c r="C162" s="3">
        <v>781.33066324650258</v>
      </c>
      <c r="D162" s="4">
        <f t="shared" si="5"/>
        <v>274.30860202859827</v>
      </c>
      <c r="E162" s="1"/>
      <c r="F162" s="1"/>
    </row>
    <row r="163" spans="1:6" ht="22.5" customHeight="1">
      <c r="A163" s="1"/>
      <c r="B163" s="1">
        <v>3000</v>
      </c>
      <c r="C163" s="3">
        <v>815.57038116415981</v>
      </c>
      <c r="D163" s="4">
        <f t="shared" si="5"/>
        <v>343.59532777096314</v>
      </c>
      <c r="E163" s="1"/>
      <c r="F163" s="1"/>
    </row>
    <row r="164" spans="1:6" ht="22.5" customHeight="1">
      <c r="A164" s="1"/>
      <c r="B164" s="1">
        <v>3500</v>
      </c>
      <c r="C164" s="3">
        <v>839.3101465704458</v>
      </c>
      <c r="D164" s="4">
        <f t="shared" si="5"/>
        <v>412.5295541640993</v>
      </c>
      <c r="E164" s="1"/>
      <c r="F164" s="1"/>
    </row>
    <row r="165" spans="1:6" ht="22.5" customHeight="1">
      <c r="A165" s="1"/>
      <c r="B165" s="1">
        <v>4000</v>
      </c>
      <c r="C165" s="3">
        <v>849.15980914838872</v>
      </c>
      <c r="D165" s="4">
        <f t="shared" si="5"/>
        <v>476.99515936776282</v>
      </c>
      <c r="E165" s="1"/>
      <c r="F165" s="1"/>
    </row>
    <row r="166" spans="1:6" ht="22.5" customHeight="1">
      <c r="A166" s="1"/>
      <c r="B166" s="1">
        <v>4140</v>
      </c>
      <c r="C166" s="3">
        <v>849.65873074466481</v>
      </c>
      <c r="D166" s="4">
        <f t="shared" si="5"/>
        <v>493.98005619134659</v>
      </c>
      <c r="E166" s="1"/>
      <c r="F166" s="1"/>
    </row>
    <row r="167" spans="1:6" ht="22.5" customHeight="1">
      <c r="A167" s="1"/>
      <c r="B167" s="1">
        <v>4500</v>
      </c>
      <c r="C167" s="3">
        <v>846.29454015823137</v>
      </c>
      <c r="D167" s="4">
        <f t="shared" si="5"/>
        <v>534.80887112656421</v>
      </c>
      <c r="E167" s="1"/>
      <c r="F167" s="1"/>
    </row>
    <row r="168" spans="1:6" ht="22.5" customHeight="1">
      <c r="A168" s="1"/>
      <c r="B168" s="1">
        <v>5000</v>
      </c>
      <c r="C168" s="3">
        <v>830.31349416463172</v>
      </c>
      <c r="D168" s="4">
        <f t="shared" si="5"/>
        <v>583.01086734112721</v>
      </c>
      <c r="E168" s="1"/>
      <c r="F168" s="1"/>
    </row>
    <row r="169" spans="1:6" ht="22.5" customHeight="1">
      <c r="A169" s="1"/>
      <c r="B169" s="1">
        <v>5500</v>
      </c>
      <c r="C169" s="3">
        <v>778.94554940973444</v>
      </c>
      <c r="D169" s="4">
        <f t="shared" si="5"/>
        <v>601.63672627379901</v>
      </c>
      <c r="E169" s="1"/>
      <c r="F169" s="1"/>
    </row>
    <row r="170" spans="1:6" ht="22.5" customHeight="1">
      <c r="A170" s="1"/>
      <c r="B170" s="1">
        <v>5690</v>
      </c>
      <c r="C170" s="3">
        <v>754.97659458085627</v>
      </c>
      <c r="D170" s="4">
        <f t="shared" si="5"/>
        <v>603.26802096160782</v>
      </c>
      <c r="E170" s="1"/>
      <c r="F170" s="1"/>
    </row>
    <row r="171" spans="1:6" ht="22.5" customHeight="1">
      <c r="A171" s="1"/>
      <c r="B171" s="1">
        <v>6000</v>
      </c>
      <c r="C171" s="3">
        <v>713.52169730177775</v>
      </c>
      <c r="D171" s="4">
        <f t="shared" si="5"/>
        <v>601.20555409613723</v>
      </c>
      <c r="E171" s="1"/>
      <c r="F171" s="1"/>
    </row>
    <row r="172" spans="1:6" ht="22.5" customHeight="1">
      <c r="A172" s="1"/>
      <c r="B172" s="1">
        <v>6500</v>
      </c>
      <c r="C172" s="3">
        <v>650.00524403360237</v>
      </c>
      <c r="D172" s="4">
        <f t="shared" si="5"/>
        <v>593.32789469602972</v>
      </c>
      <c r="E172" s="1"/>
      <c r="F172" s="1"/>
    </row>
    <row r="173" spans="1:6" ht="22.5" customHeight="1">
      <c r="A173" s="1"/>
      <c r="B173" s="1">
        <v>7000</v>
      </c>
      <c r="C173" s="3">
        <v>590.16355423147775</v>
      </c>
      <c r="D173" s="4">
        <f t="shared" si="5"/>
        <v>580.14289212593815</v>
      </c>
      <c r="E173" s="1"/>
      <c r="F173" s="1"/>
    </row>
    <row r="174" spans="1:6" ht="22.5" customHeight="1">
      <c r="A174" s="1"/>
      <c r="B174" s="1">
        <v>7500</v>
      </c>
      <c r="C174" s="3">
        <v>529.20441938131887</v>
      </c>
      <c r="D174" s="4">
        <f t="shared" si="5"/>
        <v>557.37729733274523</v>
      </c>
      <c r="E174" s="1"/>
      <c r="F174" s="1"/>
    </row>
    <row r="175" spans="1:6" ht="22.5" customHeight="1">
      <c r="A175" s="1"/>
      <c r="B175" s="1">
        <v>8000</v>
      </c>
      <c r="C175" s="3">
        <v>466.50031942689958</v>
      </c>
      <c r="D175" s="4">
        <f t="shared" si="5"/>
        <v>524.09073489548939</v>
      </c>
      <c r="E175" s="1"/>
      <c r="F175" s="1"/>
    </row>
    <row r="176" spans="1:6" ht="22.5" customHeight="1">
      <c r="A176" s="1"/>
      <c r="B176" s="1">
        <v>8499</v>
      </c>
      <c r="C176" s="3">
        <v>397.78844881517381</v>
      </c>
      <c r="D176" s="4">
        <f t="shared" si="5"/>
        <v>474.77139698220111</v>
      </c>
      <c r="E176" s="1"/>
      <c r="F176" s="1"/>
    </row>
    <row r="177" spans="1:6" ht="22.5" customHeight="1">
      <c r="A177" s="1"/>
      <c r="B177" s="1"/>
      <c r="C177" s="1"/>
      <c r="D177" s="1"/>
      <c r="E177" s="1"/>
      <c r="F177" s="1"/>
    </row>
    <row r="178" spans="1:6" ht="22.5" customHeight="1">
      <c r="A178" s="1"/>
      <c r="B178" s="1"/>
      <c r="C178" s="1"/>
      <c r="D178" s="1"/>
      <c r="E178" s="1"/>
      <c r="F178" s="1"/>
    </row>
    <row r="179" spans="1:6" ht="22.5" customHeight="1">
      <c r="A179" s="1"/>
      <c r="B179" s="1"/>
      <c r="C179" s="1"/>
      <c r="D179" s="1"/>
      <c r="E179" s="1"/>
      <c r="F179" s="1"/>
    </row>
    <row r="180" spans="1:6" ht="22.5" customHeight="1">
      <c r="A180" s="1"/>
      <c r="B180" s="1"/>
      <c r="C180" s="1"/>
      <c r="D180" s="1"/>
      <c r="E180" s="1"/>
      <c r="F180" s="1"/>
    </row>
    <row r="181" spans="1:6" ht="22.5" customHeight="1">
      <c r="A181" s="1"/>
      <c r="B181" s="1"/>
      <c r="C181" s="1"/>
      <c r="D181" s="1"/>
      <c r="E181" s="1"/>
      <c r="F181" s="1"/>
    </row>
    <row r="182" spans="1:6" ht="22.5" customHeight="1">
      <c r="A182" s="1"/>
      <c r="B182" s="1"/>
      <c r="C182" s="1"/>
      <c r="D182" s="1"/>
      <c r="E182" s="1"/>
      <c r="F182" s="1"/>
    </row>
    <row r="183" spans="1:6" ht="22.5" customHeight="1">
      <c r="A183" s="1"/>
      <c r="B183" s="1"/>
      <c r="C183" s="1"/>
      <c r="D183" s="1"/>
      <c r="E183" s="1"/>
      <c r="F183" s="1"/>
    </row>
    <row r="184" spans="1:6" ht="22.5" customHeight="1">
      <c r="A184" s="1"/>
      <c r="B184" s="1"/>
      <c r="C184" s="1"/>
      <c r="D184" s="1"/>
      <c r="E184" s="1"/>
      <c r="F184" s="1"/>
    </row>
    <row r="185" spans="1:6" ht="22.5" customHeight="1">
      <c r="A185" s="1"/>
      <c r="B185" s="1"/>
      <c r="C185" s="1"/>
      <c r="D185" s="1"/>
      <c r="E185" s="1"/>
      <c r="F185" s="1"/>
    </row>
  </sheetData>
  <mergeCells count="8">
    <mergeCell ref="B95:E95"/>
    <mergeCell ref="B125:E125"/>
    <mergeCell ref="B155:E155"/>
    <mergeCell ref="B1:E1"/>
    <mergeCell ref="B2:E2"/>
    <mergeCell ref="B5:E5"/>
    <mergeCell ref="B35:E35"/>
    <mergeCell ref="B65:E65"/>
  </mergeCells>
  <phoneticPr fontId="9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Rally2</vt:lpstr>
      <vt:lpstr>WRC16</vt:lpstr>
      <vt:lpstr>WRC17</vt:lpstr>
      <vt:lpstr>Rally1</vt:lpstr>
      <vt:lpstr>RX1</vt:lpstr>
      <vt:lpstr>RX3</vt:lpstr>
      <vt:lpstr>Samples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Un1corn Prog</cp:lastModifiedBy>
  <dcterms:modified xsi:type="dcterms:W3CDTF">2026-10-27T02:56:46Z</dcterms:modified>
</cp:coreProperties>
</file>