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A16FF841-20CB-4218-B4EA-75B068F89C8F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LSC Sweep" sheetId="1" r:id="rId1"/>
    <sheet name="HSC Sweep" sheetId="2" r:id="rId2"/>
    <sheet name="LSR Sweep" sheetId="5" r:id="rId3"/>
    <sheet name="Full Sweep" sheetId="3" r:id="rId4"/>
    <sheet name="Parameters" sheetId="4" r:id="rId5"/>
    <sheet name="Calculator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6" l="1"/>
  <c r="C22" i="6" s="1"/>
  <c r="C18" i="6"/>
  <c r="C21" i="6" s="1"/>
  <c r="C17" i="6"/>
  <c r="D8" i="6" s="1"/>
  <c r="D6" i="6"/>
  <c r="F32" i="4"/>
  <c r="D32" i="4"/>
  <c r="F31" i="4"/>
  <c r="D31" i="4"/>
  <c r="F30" i="4"/>
  <c r="E30" i="4"/>
  <c r="D30" i="4"/>
  <c r="C30" i="4"/>
  <c r="F29" i="4"/>
  <c r="E29" i="4"/>
  <c r="D29" i="4"/>
  <c r="C29" i="4"/>
  <c r="F12" i="4"/>
  <c r="D12" i="4"/>
  <c r="F10" i="4"/>
  <c r="D10" i="4"/>
  <c r="F9" i="4"/>
  <c r="D9" i="4"/>
  <c r="F8" i="4"/>
  <c r="D8" i="4"/>
  <c r="F7" i="4"/>
  <c r="D7" i="4"/>
  <c r="L48" i="3"/>
  <c r="K48" i="3"/>
  <c r="J48" i="3"/>
  <c r="I48" i="3"/>
  <c r="H48" i="3"/>
  <c r="D42" i="3"/>
  <c r="C42" i="3"/>
  <c r="E42" i="3" s="1"/>
  <c r="D41" i="3"/>
  <c r="K41" i="3" s="1"/>
  <c r="C41" i="3"/>
  <c r="D40" i="3"/>
  <c r="J40" i="3" s="1"/>
  <c r="C40" i="3"/>
  <c r="E40" i="3" s="1"/>
  <c r="D39" i="3"/>
  <c r="C39" i="3"/>
  <c r="D38" i="3"/>
  <c r="K38" i="3" s="1"/>
  <c r="C38" i="3"/>
  <c r="G38" i="3" s="1"/>
  <c r="C42" i="5"/>
  <c r="E42" i="5" s="1"/>
  <c r="C41" i="5"/>
  <c r="C40" i="5"/>
  <c r="F40" i="5" s="1"/>
  <c r="C39" i="5"/>
  <c r="C38" i="5"/>
  <c r="F38" i="5" s="1"/>
  <c r="B3" i="5"/>
  <c r="D42" i="1"/>
  <c r="C42" i="1"/>
  <c r="E42" i="1" s="1"/>
  <c r="D41" i="1"/>
  <c r="J41" i="1" s="1"/>
  <c r="C41" i="1"/>
  <c r="D40" i="1"/>
  <c r="K40" i="1" s="1"/>
  <c r="C40" i="1"/>
  <c r="F40" i="1" s="1"/>
  <c r="D39" i="1"/>
  <c r="K39" i="1" s="1"/>
  <c r="C39" i="1"/>
  <c r="D38" i="1"/>
  <c r="K38" i="1" s="1"/>
  <c r="C38" i="1"/>
  <c r="G38" i="1" s="1"/>
  <c r="D42" i="2"/>
  <c r="C42" i="2"/>
  <c r="D41" i="2"/>
  <c r="C41" i="2"/>
  <c r="D40" i="2"/>
  <c r="C40" i="2"/>
  <c r="D39" i="2"/>
  <c r="K39" i="2" s="1"/>
  <c r="C39" i="2"/>
  <c r="E39" i="2" s="1"/>
  <c r="D38" i="2"/>
  <c r="K38" i="2" s="1"/>
  <c r="C38" i="2"/>
  <c r="F38" i="2" s="1"/>
  <c r="J39" i="3" l="1"/>
  <c r="G9" i="6"/>
  <c r="G10" i="6" s="1"/>
  <c r="G39" i="3"/>
  <c r="F39" i="5"/>
  <c r="G42" i="1"/>
  <c r="I42" i="1" s="1"/>
  <c r="G40" i="1"/>
  <c r="J41" i="3"/>
  <c r="E40" i="1"/>
  <c r="F39" i="2"/>
  <c r="E38" i="5"/>
  <c r="G39" i="2"/>
  <c r="I39" i="2" s="1"/>
  <c r="J39" i="2"/>
  <c r="D39" i="5"/>
  <c r="E39" i="5"/>
  <c r="D40" i="5"/>
  <c r="E40" i="5"/>
  <c r="F42" i="5"/>
  <c r="E38" i="1"/>
  <c r="I38" i="1" s="1"/>
  <c r="F38" i="1"/>
  <c r="E38" i="3"/>
  <c r="I38" i="3" s="1"/>
  <c r="J38" i="1"/>
  <c r="F38" i="3"/>
  <c r="K39" i="3"/>
  <c r="F42" i="1"/>
  <c r="G38" i="2"/>
  <c r="J40" i="1"/>
  <c r="F42" i="3"/>
  <c r="G42" i="3"/>
  <c r="I42" i="3" s="1"/>
  <c r="E38" i="2"/>
  <c r="K42" i="3"/>
  <c r="J42" i="3"/>
  <c r="J38" i="2"/>
  <c r="G40" i="2"/>
  <c r="F40" i="2"/>
  <c r="E40" i="2"/>
  <c r="G41" i="1"/>
  <c r="F41" i="1"/>
  <c r="E41" i="1"/>
  <c r="F41" i="5"/>
  <c r="E41" i="5"/>
  <c r="D41" i="5"/>
  <c r="K40" i="2"/>
  <c r="J40" i="2"/>
  <c r="F41" i="2"/>
  <c r="E41" i="2"/>
  <c r="G41" i="2"/>
  <c r="K41" i="2"/>
  <c r="J41" i="2"/>
  <c r="G17" i="6"/>
  <c r="G18" i="6"/>
  <c r="G11" i="6"/>
  <c r="K41" i="1"/>
  <c r="K42" i="1"/>
  <c r="J42" i="1"/>
  <c r="J38" i="3"/>
  <c r="F40" i="3"/>
  <c r="G40" i="3"/>
  <c r="I40" i="3" s="1"/>
  <c r="G42" i="2"/>
  <c r="F42" i="2"/>
  <c r="F39" i="1"/>
  <c r="E39" i="1"/>
  <c r="K40" i="3"/>
  <c r="K42" i="2"/>
  <c r="J42" i="2"/>
  <c r="E42" i="2"/>
  <c r="G39" i="1"/>
  <c r="F41" i="3"/>
  <c r="E41" i="3"/>
  <c r="G41" i="3"/>
  <c r="C20" i="6"/>
  <c r="C23" i="6" s="1"/>
  <c r="D38" i="5"/>
  <c r="E39" i="3"/>
  <c r="F39" i="3"/>
  <c r="J39" i="1"/>
  <c r="D42" i="5"/>
  <c r="G12" i="6" l="1"/>
  <c r="G39" i="5"/>
  <c r="D54" i="5" s="1"/>
  <c r="I54" i="3" s="1"/>
  <c r="C66" i="1"/>
  <c r="C69" i="3"/>
  <c r="D49" i="2"/>
  <c r="G49" i="1"/>
  <c r="G5" i="6"/>
  <c r="G60" i="3"/>
  <c r="C49" i="3"/>
  <c r="C71" i="1"/>
  <c r="D52" i="2"/>
  <c r="I40" i="1"/>
  <c r="E53" i="1" s="1"/>
  <c r="G66" i="1"/>
  <c r="E67" i="1"/>
  <c r="C52" i="1"/>
  <c r="C55" i="1"/>
  <c r="C62" i="1"/>
  <c r="C57" i="1"/>
  <c r="C51" i="1"/>
  <c r="C60" i="1"/>
  <c r="C63" i="1"/>
  <c r="C59" i="3"/>
  <c r="G50" i="3"/>
  <c r="C68" i="1"/>
  <c r="C56" i="1"/>
  <c r="G56" i="1"/>
  <c r="G69" i="1"/>
  <c r="G50" i="1"/>
  <c r="G61" i="1"/>
  <c r="G60" i="1"/>
  <c r="G70" i="1"/>
  <c r="G51" i="1"/>
  <c r="G40" i="5"/>
  <c r="E51" i="5" s="1"/>
  <c r="J51" i="3" s="1"/>
  <c r="C61" i="1"/>
  <c r="G62" i="1"/>
  <c r="G59" i="1"/>
  <c r="G54" i="1"/>
  <c r="C70" i="1"/>
  <c r="G72" i="1"/>
  <c r="C50" i="1"/>
  <c r="L40" i="3"/>
  <c r="E67" i="3"/>
  <c r="E54" i="3"/>
  <c r="E65" i="3"/>
  <c r="E60" i="3"/>
  <c r="E62" i="3"/>
  <c r="E52" i="3"/>
  <c r="E70" i="3"/>
  <c r="E71" i="3"/>
  <c r="E64" i="3"/>
  <c r="E73" i="3"/>
  <c r="E55" i="3"/>
  <c r="E50" i="3"/>
  <c r="E53" i="3"/>
  <c r="E57" i="3"/>
  <c r="E72" i="3"/>
  <c r="E59" i="3"/>
  <c r="E68" i="3"/>
  <c r="E66" i="3"/>
  <c r="E58" i="3"/>
  <c r="E51" i="3"/>
  <c r="E56" i="3"/>
  <c r="E49" i="3"/>
  <c r="E63" i="3"/>
  <c r="E69" i="3"/>
  <c r="E61" i="3"/>
  <c r="G19" i="6"/>
  <c r="G14" i="6"/>
  <c r="C53" i="3"/>
  <c r="C70" i="3"/>
  <c r="C68" i="3"/>
  <c r="L38" i="3"/>
  <c r="C65" i="3"/>
  <c r="D66" i="2"/>
  <c r="D56" i="2"/>
  <c r="C51" i="3"/>
  <c r="D51" i="2"/>
  <c r="G41" i="5"/>
  <c r="F60" i="5" s="1"/>
  <c r="K60" i="3" s="1"/>
  <c r="D54" i="2"/>
  <c r="C73" i="3"/>
  <c r="G70" i="3"/>
  <c r="C61" i="3"/>
  <c r="L42" i="1"/>
  <c r="G64" i="1"/>
  <c r="G57" i="1"/>
  <c r="G53" i="1"/>
  <c r="G63" i="1"/>
  <c r="C72" i="3"/>
  <c r="G55" i="1"/>
  <c r="D72" i="2"/>
  <c r="D53" i="2"/>
  <c r="G63" i="3"/>
  <c r="G42" i="5"/>
  <c r="G55" i="5" s="1"/>
  <c r="L55" i="3" s="1"/>
  <c r="D58" i="2"/>
  <c r="D69" i="2"/>
  <c r="I39" i="3"/>
  <c r="L39" i="3" s="1"/>
  <c r="G38" i="5"/>
  <c r="C64" i="5" s="1"/>
  <c r="H64" i="3" s="1"/>
  <c r="I39" i="1"/>
  <c r="L39" i="1" s="1"/>
  <c r="G68" i="3"/>
  <c r="C57" i="3"/>
  <c r="D61" i="2"/>
  <c r="G73" i="3"/>
  <c r="G64" i="3"/>
  <c r="G71" i="3"/>
  <c r="C67" i="1"/>
  <c r="C63" i="3"/>
  <c r="G58" i="1"/>
  <c r="G61" i="3"/>
  <c r="C65" i="1"/>
  <c r="C60" i="3"/>
  <c r="G71" i="1"/>
  <c r="C59" i="1"/>
  <c r="G65" i="1"/>
  <c r="I41" i="1"/>
  <c r="L41" i="1" s="1"/>
  <c r="G69" i="3"/>
  <c r="D62" i="2"/>
  <c r="G62" i="3"/>
  <c r="G52" i="3"/>
  <c r="D68" i="2"/>
  <c r="D63" i="2"/>
  <c r="G54" i="3"/>
  <c r="G55" i="3"/>
  <c r="D67" i="2"/>
  <c r="C71" i="3"/>
  <c r="G72" i="3"/>
  <c r="C58" i="3"/>
  <c r="G51" i="3"/>
  <c r="G67" i="3"/>
  <c r="C50" i="3"/>
  <c r="G68" i="1"/>
  <c r="L38" i="1"/>
  <c r="C49" i="1"/>
  <c r="C54" i="1"/>
  <c r="C73" i="1"/>
  <c r="C69" i="1"/>
  <c r="C58" i="1"/>
  <c r="C64" i="1"/>
  <c r="C66" i="3"/>
  <c r="G52" i="1"/>
  <c r="C72" i="1"/>
  <c r="I38" i="2"/>
  <c r="L38" i="2" s="1"/>
  <c r="C64" i="3"/>
  <c r="C53" i="1"/>
  <c r="C62" i="3"/>
  <c r="L39" i="2"/>
  <c r="D50" i="2"/>
  <c r="D73" i="2"/>
  <c r="D59" i="2"/>
  <c r="D55" i="2"/>
  <c r="D71" i="2"/>
  <c r="I41" i="3"/>
  <c r="L41" i="3" s="1"/>
  <c r="D70" i="2"/>
  <c r="D65" i="2"/>
  <c r="I42" i="2"/>
  <c r="L42" i="2" s="1"/>
  <c r="G59" i="3"/>
  <c r="I41" i="2"/>
  <c r="L41" i="2" s="1"/>
  <c r="G57" i="3"/>
  <c r="G58" i="3"/>
  <c r="D57" i="2"/>
  <c r="G49" i="3"/>
  <c r="C67" i="3"/>
  <c r="D64" i="2"/>
  <c r="G65" i="3"/>
  <c r="C56" i="3"/>
  <c r="L42" i="3"/>
  <c r="C55" i="3"/>
  <c r="G67" i="1"/>
  <c r="G56" i="3"/>
  <c r="C54" i="3"/>
  <c r="G53" i="3"/>
  <c r="C52" i="3"/>
  <c r="G73" i="1"/>
  <c r="G66" i="3"/>
  <c r="I40" i="2"/>
  <c r="L40" i="2" s="1"/>
  <c r="D60" i="2"/>
  <c r="E59" i="2" l="1"/>
  <c r="E62" i="1"/>
  <c r="E59" i="1"/>
  <c r="E73" i="1"/>
  <c r="D50" i="5"/>
  <c r="I50" i="3" s="1"/>
  <c r="D72" i="5"/>
  <c r="D55" i="5"/>
  <c r="I55" i="3" s="1"/>
  <c r="D51" i="5"/>
  <c r="I51" i="3" s="1"/>
  <c r="D70" i="5"/>
  <c r="D64" i="5"/>
  <c r="I64" i="3" s="1"/>
  <c r="D63" i="5"/>
  <c r="I63" i="3" s="1"/>
  <c r="E65" i="1"/>
  <c r="C63" i="5"/>
  <c r="H63" i="3" s="1"/>
  <c r="D73" i="5"/>
  <c r="D61" i="5"/>
  <c r="I61" i="3" s="1"/>
  <c r="D59" i="5"/>
  <c r="I59" i="3" s="1"/>
  <c r="D49" i="5"/>
  <c r="I49" i="3" s="1"/>
  <c r="D52" i="5"/>
  <c r="I52" i="3" s="1"/>
  <c r="D60" i="5"/>
  <c r="I60" i="3" s="1"/>
  <c r="D53" i="5"/>
  <c r="I53" i="3" s="1"/>
  <c r="D56" i="5"/>
  <c r="I56" i="3" s="1"/>
  <c r="D66" i="5"/>
  <c r="I66" i="3" s="1"/>
  <c r="F68" i="1"/>
  <c r="D71" i="5"/>
  <c r="D68" i="5"/>
  <c r="I68" i="3" s="1"/>
  <c r="F49" i="1"/>
  <c r="G65" i="5"/>
  <c r="L65" i="3" s="1"/>
  <c r="E72" i="1"/>
  <c r="G65" i="2"/>
  <c r="E49" i="1"/>
  <c r="D67" i="5"/>
  <c r="I67" i="3" s="1"/>
  <c r="D62" i="5"/>
  <c r="I62" i="3" s="1"/>
  <c r="D58" i="5"/>
  <c r="I58" i="3" s="1"/>
  <c r="F55" i="1"/>
  <c r="D69" i="5"/>
  <c r="I69" i="3" s="1"/>
  <c r="D57" i="5"/>
  <c r="I57" i="3" s="1"/>
  <c r="D65" i="5"/>
  <c r="I65" i="3" s="1"/>
  <c r="F55" i="2"/>
  <c r="F58" i="2"/>
  <c r="D58" i="3"/>
  <c r="F56" i="2"/>
  <c r="F62" i="5"/>
  <c r="K62" i="3" s="1"/>
  <c r="C73" i="5"/>
  <c r="F66" i="5"/>
  <c r="K66" i="3" s="1"/>
  <c r="E53" i="2"/>
  <c r="C66" i="5"/>
  <c r="H66" i="3" s="1"/>
  <c r="F72" i="5"/>
  <c r="F52" i="5"/>
  <c r="K52" i="3" s="1"/>
  <c r="F64" i="5"/>
  <c r="K64" i="3" s="1"/>
  <c r="C49" i="5"/>
  <c r="H49" i="3" s="1"/>
  <c r="C56" i="5"/>
  <c r="H56" i="3" s="1"/>
  <c r="C53" i="5"/>
  <c r="H53" i="3" s="1"/>
  <c r="F53" i="5"/>
  <c r="K53" i="3" s="1"/>
  <c r="C71" i="5"/>
  <c r="F65" i="5"/>
  <c r="K65" i="3" s="1"/>
  <c r="C68" i="5"/>
  <c r="H68" i="3" s="1"/>
  <c r="F55" i="5"/>
  <c r="K55" i="3" s="1"/>
  <c r="C60" i="5"/>
  <c r="H60" i="3" s="1"/>
  <c r="F68" i="5"/>
  <c r="K68" i="3" s="1"/>
  <c r="C69" i="5"/>
  <c r="H69" i="3" s="1"/>
  <c r="F51" i="5"/>
  <c r="K51" i="3" s="1"/>
  <c r="F56" i="3"/>
  <c r="F70" i="3"/>
  <c r="F64" i="3"/>
  <c r="F61" i="3"/>
  <c r="F50" i="3"/>
  <c r="F53" i="3"/>
  <c r="E51" i="1"/>
  <c r="F69" i="3"/>
  <c r="E70" i="1"/>
  <c r="D51" i="3"/>
  <c r="G71" i="2"/>
  <c r="D56" i="3"/>
  <c r="G64" i="2"/>
  <c r="D69" i="3"/>
  <c r="G49" i="2"/>
  <c r="D73" i="3"/>
  <c r="G61" i="2"/>
  <c r="E64" i="1"/>
  <c r="C73" i="2"/>
  <c r="G52" i="2"/>
  <c r="C59" i="2"/>
  <c r="D52" i="3"/>
  <c r="E60" i="2"/>
  <c r="G55" i="2"/>
  <c r="C63" i="2"/>
  <c r="D62" i="3"/>
  <c r="E69" i="1"/>
  <c r="E50" i="1"/>
  <c r="E68" i="1"/>
  <c r="E57" i="1"/>
  <c r="E66" i="1"/>
  <c r="E57" i="5"/>
  <c r="J57" i="3" s="1"/>
  <c r="E55" i="1"/>
  <c r="L40" i="1"/>
  <c r="E54" i="1"/>
  <c r="E58" i="1"/>
  <c r="E63" i="1"/>
  <c r="F57" i="3"/>
  <c r="F72" i="3"/>
  <c r="F73" i="3"/>
  <c r="F60" i="3"/>
  <c r="G62" i="2"/>
  <c r="G66" i="2"/>
  <c r="E61" i="5"/>
  <c r="J61" i="3" s="1"/>
  <c r="E71" i="1"/>
  <c r="F64" i="1"/>
  <c r="E56" i="1"/>
  <c r="F54" i="1"/>
  <c r="G61" i="5"/>
  <c r="L61" i="3" s="1"/>
  <c r="F49" i="5"/>
  <c r="K49" i="3" s="1"/>
  <c r="E60" i="1"/>
  <c r="F51" i="3"/>
  <c r="F57" i="1"/>
  <c r="G64" i="5"/>
  <c r="L64" i="3" s="1"/>
  <c r="F59" i="5"/>
  <c r="K59" i="3" s="1"/>
  <c r="E61" i="1"/>
  <c r="F67" i="3"/>
  <c r="F73" i="1"/>
  <c r="G53" i="5"/>
  <c r="L53" i="3" s="1"/>
  <c r="F58" i="5"/>
  <c r="K58" i="3" s="1"/>
  <c r="E52" i="1"/>
  <c r="E69" i="5"/>
  <c r="J69" i="3" s="1"/>
  <c r="E70" i="5"/>
  <c r="E64" i="5"/>
  <c r="J64" i="3" s="1"/>
  <c r="F56" i="1"/>
  <c r="G58" i="5"/>
  <c r="L58" i="3" s="1"/>
  <c r="E66" i="5"/>
  <c r="J66" i="3" s="1"/>
  <c r="E71" i="5"/>
  <c r="F58" i="3"/>
  <c r="E62" i="5"/>
  <c r="J62" i="3" s="1"/>
  <c r="F66" i="1"/>
  <c r="C52" i="5"/>
  <c r="H52" i="3" s="1"/>
  <c r="G59" i="5"/>
  <c r="L59" i="3" s="1"/>
  <c r="E49" i="5"/>
  <c r="J49" i="3" s="1"/>
  <c r="F60" i="1"/>
  <c r="G70" i="5"/>
  <c r="E73" i="5"/>
  <c r="E69" i="2"/>
  <c r="F72" i="2"/>
  <c r="F66" i="3"/>
  <c r="F70" i="1"/>
  <c r="C72" i="5"/>
  <c r="G49" i="5"/>
  <c r="L49" i="3" s="1"/>
  <c r="F53" i="1"/>
  <c r="F51" i="1"/>
  <c r="E68" i="5"/>
  <c r="J68" i="3" s="1"/>
  <c r="F62" i="1"/>
  <c r="F59" i="1"/>
  <c r="C58" i="5"/>
  <c r="H58" i="3" s="1"/>
  <c r="E63" i="2"/>
  <c r="F50" i="1"/>
  <c r="C62" i="5"/>
  <c r="H62" i="3" s="1"/>
  <c r="E70" i="2"/>
  <c r="F72" i="1"/>
  <c r="C65" i="5"/>
  <c r="H65" i="3" s="1"/>
  <c r="E64" i="2"/>
  <c r="G63" i="2"/>
  <c r="F67" i="1"/>
  <c r="C55" i="5"/>
  <c r="H55" i="3" s="1"/>
  <c r="E67" i="2"/>
  <c r="G68" i="2"/>
  <c r="F61" i="1"/>
  <c r="C59" i="5"/>
  <c r="H59" i="3" s="1"/>
  <c r="D64" i="3"/>
  <c r="C52" i="2"/>
  <c r="D71" i="3"/>
  <c r="G53" i="2"/>
  <c r="F71" i="3"/>
  <c r="C51" i="2"/>
  <c r="E52" i="5"/>
  <c r="J52" i="3" s="1"/>
  <c r="D61" i="3"/>
  <c r="F61" i="5"/>
  <c r="K61" i="3" s="1"/>
  <c r="E56" i="5"/>
  <c r="J56" i="3" s="1"/>
  <c r="D65" i="1"/>
  <c r="D64" i="1"/>
  <c r="G58" i="2"/>
  <c r="D69" i="1"/>
  <c r="F71" i="5"/>
  <c r="G56" i="2"/>
  <c r="D54" i="1"/>
  <c r="F56" i="5"/>
  <c r="K56" i="3" s="1"/>
  <c r="E68" i="2"/>
  <c r="G69" i="2"/>
  <c r="D67" i="1"/>
  <c r="F69" i="5"/>
  <c r="K69" i="3" s="1"/>
  <c r="E50" i="2"/>
  <c r="G50" i="2"/>
  <c r="F69" i="1"/>
  <c r="D68" i="1"/>
  <c r="C50" i="5"/>
  <c r="H50" i="3" s="1"/>
  <c r="F50" i="5"/>
  <c r="K50" i="3" s="1"/>
  <c r="D49" i="1"/>
  <c r="F53" i="2"/>
  <c r="G57" i="2"/>
  <c r="E63" i="5"/>
  <c r="J63" i="3" s="1"/>
  <c r="D73" i="1"/>
  <c r="F63" i="5"/>
  <c r="K63" i="3" s="1"/>
  <c r="C55" i="2"/>
  <c r="F61" i="2"/>
  <c r="G70" i="2"/>
  <c r="D66" i="1"/>
  <c r="F57" i="5"/>
  <c r="K57" i="3" s="1"/>
  <c r="E51" i="2"/>
  <c r="F59" i="2"/>
  <c r="G60" i="2"/>
  <c r="D57" i="1"/>
  <c r="F70" i="5"/>
  <c r="D72" i="1"/>
  <c r="D59" i="1"/>
  <c r="D58" i="1"/>
  <c r="F64" i="2"/>
  <c r="D60" i="1"/>
  <c r="D70" i="3"/>
  <c r="F68" i="2"/>
  <c r="D67" i="3"/>
  <c r="E73" i="2"/>
  <c r="F49" i="2"/>
  <c r="D57" i="3"/>
  <c r="F73" i="5"/>
  <c r="E54" i="2"/>
  <c r="D71" i="1"/>
  <c r="D53" i="3"/>
  <c r="F67" i="5"/>
  <c r="K67" i="3" s="1"/>
  <c r="E67" i="5"/>
  <c r="J67" i="3" s="1"/>
  <c r="E61" i="2"/>
  <c r="F52" i="2"/>
  <c r="F55" i="3"/>
  <c r="D50" i="1"/>
  <c r="D49" i="3"/>
  <c r="E50" i="5"/>
  <c r="J50" i="3" s="1"/>
  <c r="E55" i="5"/>
  <c r="J55" i="3" s="1"/>
  <c r="E59" i="5"/>
  <c r="J59" i="3" s="1"/>
  <c r="E53" i="5"/>
  <c r="J53" i="3" s="1"/>
  <c r="E72" i="5"/>
  <c r="E65" i="5"/>
  <c r="J65" i="3" s="1"/>
  <c r="E58" i="5"/>
  <c r="J58" i="3" s="1"/>
  <c r="D63" i="1"/>
  <c r="D56" i="1"/>
  <c r="G54" i="2"/>
  <c r="E54" i="5"/>
  <c r="J54" i="3" s="1"/>
  <c r="D70" i="1"/>
  <c r="F54" i="5"/>
  <c r="K54" i="3" s="1"/>
  <c r="D51" i="1"/>
  <c r="E60" i="5"/>
  <c r="J60" i="3" s="1"/>
  <c r="F71" i="2"/>
  <c r="F62" i="2"/>
  <c r="F68" i="3"/>
  <c r="D53" i="1"/>
  <c r="D59" i="3"/>
  <c r="D61" i="1"/>
  <c r="F65" i="2"/>
  <c r="D55" i="1"/>
  <c r="D54" i="3"/>
  <c r="G50" i="5"/>
  <c r="L50" i="3" s="1"/>
  <c r="G73" i="5"/>
  <c r="C71" i="2"/>
  <c r="D55" i="3"/>
  <c r="F50" i="2"/>
  <c r="G73" i="2"/>
  <c r="C53" i="2"/>
  <c r="F65" i="1"/>
  <c r="C57" i="5"/>
  <c r="H57" i="3" s="1"/>
  <c r="D63" i="3"/>
  <c r="E71" i="2"/>
  <c r="F70" i="2"/>
  <c r="G67" i="2"/>
  <c r="C56" i="2"/>
  <c r="F58" i="1"/>
  <c r="C70" i="5"/>
  <c r="D66" i="3"/>
  <c r="E52" i="2"/>
  <c r="F51" i="2"/>
  <c r="C66" i="2"/>
  <c r="F71" i="1"/>
  <c r="C51" i="5"/>
  <c r="H51" i="3" s="1"/>
  <c r="G69" i="5"/>
  <c r="L69" i="3" s="1"/>
  <c r="G57" i="5"/>
  <c r="L57" i="3" s="1"/>
  <c r="C69" i="2"/>
  <c r="C50" i="2"/>
  <c r="D72" i="3"/>
  <c r="D50" i="3"/>
  <c r="F73" i="2"/>
  <c r="F62" i="3"/>
  <c r="G71" i="5"/>
  <c r="C70" i="2"/>
  <c r="C65" i="2"/>
  <c r="F66" i="2"/>
  <c r="E49" i="2"/>
  <c r="F52" i="1"/>
  <c r="G62" i="5"/>
  <c r="L62" i="3" s="1"/>
  <c r="C57" i="2"/>
  <c r="F54" i="2"/>
  <c r="C54" i="5"/>
  <c r="H54" i="3" s="1"/>
  <c r="G51" i="5"/>
  <c r="L51" i="3" s="1"/>
  <c r="E57" i="2"/>
  <c r="F49" i="3"/>
  <c r="C64" i="2"/>
  <c r="C67" i="5"/>
  <c r="H67" i="3" s="1"/>
  <c r="G52" i="5"/>
  <c r="L52" i="3" s="1"/>
  <c r="G15" i="6"/>
  <c r="G6" i="6" s="1"/>
  <c r="G68" i="5"/>
  <c r="L68" i="3" s="1"/>
  <c r="G56" i="5"/>
  <c r="L56" i="3" s="1"/>
  <c r="G54" i="5"/>
  <c r="L54" i="3" s="1"/>
  <c r="C62" i="2"/>
  <c r="F63" i="2"/>
  <c r="C72" i="2"/>
  <c r="C68" i="2"/>
  <c r="E72" i="2"/>
  <c r="F67" i="2"/>
  <c r="C49" i="2"/>
  <c r="F63" i="3"/>
  <c r="C61" i="5"/>
  <c r="H61" i="3" s="1"/>
  <c r="E55" i="2"/>
  <c r="F52" i="3"/>
  <c r="G72" i="2"/>
  <c r="F65" i="3"/>
  <c r="C58" i="2"/>
  <c r="E65" i="2"/>
  <c r="G59" i="2"/>
  <c r="F54" i="3"/>
  <c r="C67" i="2"/>
  <c r="D62" i="1"/>
  <c r="D65" i="3"/>
  <c r="G72" i="5"/>
  <c r="C60" i="2"/>
  <c r="G63" i="5"/>
  <c r="L63" i="3" s="1"/>
  <c r="C54" i="2"/>
  <c r="G66" i="5"/>
  <c r="L66" i="3" s="1"/>
  <c r="G60" i="5"/>
  <c r="L60" i="3" s="1"/>
  <c r="F69" i="2"/>
  <c r="F57" i="2"/>
  <c r="E62" i="2"/>
  <c r="E66" i="2"/>
  <c r="F60" i="2"/>
  <c r="E58" i="2"/>
  <c r="D60" i="3"/>
  <c r="G67" i="5"/>
  <c r="L67" i="3" s="1"/>
  <c r="E56" i="2"/>
  <c r="G51" i="2"/>
  <c r="F59" i="3"/>
  <c r="C61" i="2"/>
  <c r="F63" i="1"/>
  <c r="D52" i="1"/>
  <c r="D68" i="3"/>
</calcChain>
</file>

<file path=xl/sharedStrings.xml><?xml version="1.0" encoding="utf-8"?>
<sst xmlns="http://schemas.openxmlformats.org/spreadsheetml/2006/main" count="209" uniqueCount="145">
  <si>
    <t>Astral · LSC sweep</t>
  </si>
  <si>
    <t>HSC 固定 −10 C；LSC：−20 / −15 / −10 / −5 / 0 c</t>
  </si>
  <si>
    <t>各曲线的计算参数</t>
  </si>
  <si>
    <t>曲线</t>
  </si>
  <si>
    <t>LSC clicks</t>
  </si>
  <si>
    <t>HSC clicks</t>
  </si>
  <si>
    <t>cL</t>
  </si>
  <si>
    <t>k1 (m/s)</t>
  </si>
  <si>
    <t>rL</t>
  </si>
  <si>
    <t>cM</t>
  </si>
  <si>
    <t>A</t>
  </si>
  <si>
    <t>k2 (m/s)</t>
  </si>
  <si>
    <t>cH</t>
  </si>
  <si>
    <t>-20 c</t>
  </si>
  <si>
    <t>-15 c</t>
  </si>
  <si>
    <t>-10 c</t>
  </si>
  <si>
    <t>-5 c</t>
  </si>
  <si>
    <t>0 c</t>
  </si>
  <si>
    <t>斜率单位 N·s/m；采样点之间使用直线连接。</t>
  </si>
  <si>
    <t>采样数据 · 阻尼力 F (N)</t>
  </si>
  <si>
    <t>速度 (m/s)</t>
  </si>
  <si>
    <t>LSC -20</t>
  </si>
  <si>
    <t>LSC -15</t>
  </si>
  <si>
    <t>LSC -10</t>
  </si>
  <si>
    <t>LSC -5</t>
  </si>
  <si>
    <t>LSC 0</t>
  </si>
  <si>
    <t>Astral · HSC sweep</t>
  </si>
  <si>
    <t>LSC 固定 −10 c；HSC：−20 / −15 / −10 / −5 / 0 C</t>
  </si>
  <si>
    <t>-20 C</t>
  </si>
  <si>
    <t>-15 C</t>
  </si>
  <si>
    <t>-10 C</t>
  </si>
  <si>
    <t>-5 C</t>
  </si>
  <si>
    <t>0 C</t>
  </si>
  <si>
    <t>HSC -20</t>
  </si>
  <si>
    <t>HSC -15</t>
  </si>
  <si>
    <t>HSC -10</t>
  </si>
  <si>
    <t>HSC -5</t>
  </si>
  <si>
    <t>HSC 0</t>
  </si>
  <si>
    <t>Astral · Combined LSC + HSC sweep</t>
  </si>
  <si>
    <t>LSC 与 HSC 同步：−20 / −15 / −10 / −5 / 0，共五组</t>
  </si>
  <si>
    <t>LSC / HSC</t>
  </si>
  <si>
    <t>-20 / -20</t>
  </si>
  <si>
    <t>-15 / -15</t>
  </si>
  <si>
    <t>-10 / -10</t>
  </si>
  <si>
    <t>-5 / -5</t>
  </si>
  <si>
    <t>0 / 0</t>
  </si>
  <si>
    <t>压缩为正、回弹为负；各旋钮独立扫描，同色对应相对挡位。回弹参数见 LSR Sweep。</t>
  </si>
  <si>
    <t>Dyno 采样数据 · 压缩 (+) / 回弹 (−)，N</t>
  </si>
  <si>
    <t>LSC -20 / HSC -20</t>
  </si>
  <si>
    <t>LSC -15 / HSC -15</t>
  </si>
  <si>
    <t>LSC -10 / HSC -10</t>
  </si>
  <si>
    <t>LSC -5 / HSC -5</t>
  </si>
  <si>
    <t>LSC 0 / HSC 0</t>
  </si>
  <si>
    <t>Astral · LSR sweep</t>
  </si>
  <si>
    <t>LSR clicks</t>
  </si>
  <si>
    <t>cR_L</t>
  </si>
  <si>
    <t>kR (m/s)</t>
  </si>
  <si>
    <t>rR</t>
  </si>
  <si>
    <t>cR_H</t>
  </si>
  <si>
    <t>LSR -40</t>
  </si>
  <si>
    <t>LSR -30</t>
  </si>
  <si>
    <t>LSR -20</t>
  </si>
  <si>
    <t>LSR -10</t>
  </si>
  <si>
    <t>LSR 0</t>
  </si>
  <si>
    <t>在 Parameters 选择阀系；同一旋钮联动系数、膝点和倍率。斜率单位 N·s/m。</t>
  </si>
  <si>
    <t>采样数据 · 回弹阻尼力大小 F_R (N)</t>
  </si>
  <si>
    <t>Astral · Damper model v13</t>
  </si>
  <si>
    <t>参数来自研究会话最后一版；黄色为可编辑端点与默认值。</t>
  </si>
  <si>
    <t>调节项 / clicks</t>
  </si>
  <si>
    <t>单位</t>
  </si>
  <si>
    <t>LSC 初段斜率 cL</t>
  </si>
  <si>
    <t>N·s/m</t>
  </si>
  <si>
    <t>由 LSC clicks 控制</t>
  </si>
  <si>
    <t>第一膝点 k1</t>
  </si>
  <si>
    <t>m/s</t>
  </si>
  <si>
    <t>由 LSC clicks 控制，越硬越后</t>
  </si>
  <si>
    <t>LSC 中间段倍率 rL</t>
  </si>
  <si>
    <t>倍率</t>
  </si>
  <si>
    <t>HSC 附加斜率 A</t>
  </si>
  <si>
    <t>由 HSC clicks 控制</t>
  </si>
  <si>
    <t>第二膝点 k2</t>
  </si>
  <si>
    <t>计算关系</t>
  </si>
  <si>
    <t>cM = cL × rL；中间段斜率仅由 LSC 控制。</t>
  </si>
  <si>
    <t>cH = cM + A</t>
  </si>
  <si>
    <t>F(v) = cL × MIN(v, k1) + cM × MAX(0, v − k1) + A × MAX(0, v − k2)</t>
  </si>
  <si>
    <t>v 为压缩轴速；F 为压缩阻尼力大小。连续分段接续是本轮工作假设。</t>
  </si>
  <si>
    <t>计算保留明确折点；图表关闭曲线平滑，采样点之间使用直线连接。</t>
  </si>
  <si>
    <t>基础阻尼贡献：不叠加气体预压力、弹簧、HBS/HRS 或 LRS/DSV 动态倍率。</t>
  </si>
  <si>
    <t>HSC 越接近 0，第二膝点越晚、附加斜率越大；曲线交叉按公式保留。</t>
  </si>
  <si>
    <t>chatgpt-conversation://6a9ed043-7848-83e8-9d36-6e63c8202898</t>
  </si>
  <si>
    <t>Type-A</t>
  </si>
  <si>
    <t>Type-B</t>
  </si>
  <si>
    <t>回弹膝点 kR</t>
  </si>
  <si>
    <t>高速回弹倍率 rR</t>
  </si>
  <si>
    <t>LSR 每 click 增量</t>
  </si>
  <si>
    <t>选用阀系</t>
  </si>
  <si>
    <t>可填 Type-A / Type-B</t>
  </si>
  <si>
    <t>cR_L = reboundBase + 45 × LSR clicks；cR_H = cR_L × rR</t>
  </si>
  <si>
    <t>F_R(u) = cR_L × MIN(u, kR) + cR_H × MAX(0, u − kR)</t>
  </si>
  <si>
    <t>u 为伸展轴速大小；回弹力以正值绘图。连续接续仍为工作假设。</t>
  </si>
  <si>
    <t>LSR 范围来自当前 Rally2 Gravel JBeam；kR 与 rR 来自本次用户设计（2026-09-20）。</t>
  </si>
  <si>
    <t>仅一个回弹旋钮：LSR 越接近 0，低速系数越高、膝点越后、高速倍率越大。</t>
  </si>
  <si>
    <t>采样：0～1.00 m/s，每 0.05 m/s 一点，共 21 点；不另加膝点采样。</t>
  </si>
  <si>
    <t>当前 Type-A：k1 0.12/0.15/0.17；rL 0.78～0.90；k2 0.58～0.62（2026-09-28）。</t>
  </si>
  <si>
    <t>Astral · Type-A 阻尼计算器</t>
  </si>
  <si>
    <t>输入</t>
  </si>
  <si>
    <t>数值</t>
  </si>
  <si>
    <t>范围 / 单位</t>
  </si>
  <si>
    <t>阻尼力大小</t>
  </si>
  <si>
    <t>结果</t>
  </si>
  <si>
    <t>车型</t>
  </si>
  <si>
    <t>Rally2</t>
  </si>
  <si>
    <t>砂石 Type-A</t>
  </si>
  <si>
    <t>压缩</t>
  </si>
  <si>
    <t>N</t>
  </si>
  <si>
    <t>LSC / c</t>
  </si>
  <si>
    <t>回弹</t>
  </si>
  <si>
    <t>HSC / C</t>
  </si>
  <si>
    <t>−20～0 格</t>
  </si>
  <si>
    <t>LSR / R</t>
  </si>
  <si>
    <t>当前曲线系数</t>
  </si>
  <si>
    <t>轴速大小</t>
  </si>
  <si>
    <t>LS 压缩 cL</t>
  </si>
  <si>
    <t>中间段 cM</t>
  </si>
  <si>
    <t>HS 附加段 A</t>
  </si>
  <si>
    <t>合计 HS 压缩 cH</t>
  </si>
  <si>
    <t>格数与映射</t>
  </si>
  <si>
    <t>说明</t>
  </si>
  <si>
    <t>LS 回弹</t>
  </si>
  <si>
    <t>HS 回弹</t>
  </si>
  <si>
    <t>c 总格数</t>
  </si>
  <si>
    <t>−格数～0</t>
  </si>
  <si>
    <t>R 总格数</t>
  </si>
  <si>
    <t>c 标准位置</t>
  </si>
  <si>
    <t>映射至 −20～0</t>
  </si>
  <si>
    <t>C 标准位置</t>
  </si>
  <si>
    <t>−20～0</t>
  </si>
  <si>
    <t>R 标准位置</t>
  </si>
  <si>
    <t>映射至 −40～0</t>
  </si>
  <si>
    <t>c 插值区间</t>
  </si>
  <si>
    <t>C 插值区间</t>
  </si>
  <si>
    <t>R 插值区间</t>
  </si>
  <si>
    <t>黄色格可输入；换车型后，请将 c／R 调整到该车型的有效范围。</t>
  </si>
  <si>
    <t>0 为最硬端；两项输出均为同一轴速下的力大小，不使用回弹图的负号。</t>
  </si>
  <si>
    <t>按连续分段接续模型计算，未计入 LRS／DSV、限位、弹簧与气体力。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</si>
</sst>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00"/>
    <numFmt numFmtId="177" formatCode="0.0"/>
  </numFmts>
  <fonts count="13">
    <font>
      <sz val="11"/>
      <name val="Carlito"/>
    </font>
    <font>
      <sz val="10"/>
      <color rgb="FF253444"/>
      <name val="Arial"/>
      <family val="2"/>
    </font>
    <font>
      <b/>
      <sz val="16"/>
      <color rgb="FF253444"/>
      <name val="Arial"/>
      <family val="2"/>
    </font>
    <font>
      <sz val="10"/>
      <color rgb="FF657385"/>
      <name val="Arial"/>
      <family val="2"/>
    </font>
    <font>
      <b/>
      <sz val="10"/>
      <color rgb="FFFFFFFF"/>
      <name val="Arial"/>
      <family val="2"/>
    </font>
    <font>
      <b/>
      <sz val="10"/>
      <color rgb="FF253444"/>
      <name val="Arial"/>
      <family val="2"/>
    </font>
    <font>
      <sz val="11"/>
      <name val="Carlito"/>
    </font>
    <font>
      <sz val="9"/>
      <name val="宋体"/>
      <family val="3"/>
      <charset val="134"/>
    </font>
    <font>
      <sz val="11"/>
      <color rgb="FF24364B"/>
      <name val="Microsoft YaHei"/>
      <family val="2"/>
      <charset val="134"/>
    </font>
    <font>
      <b/>
      <sz val="16"/>
      <color rgb="FF24364B"/>
      <name val="Microsoft YaHei"/>
      <family val="2"/>
      <charset val="134"/>
    </font>
    <font>
      <b/>
      <sz val="15"/>
      <color rgb="FF24364B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0"/>
      <color rgb="FF566578"/>
      <name val="Microsoft YaHei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rgb="FF31465D"/>
      </patternFill>
    </fill>
    <fill>
      <patternFill patternType="solid">
        <fgColor rgb="FFFFF1CA"/>
      </patternFill>
    </fill>
    <fill>
      <patternFill patternType="solid">
        <fgColor rgb="FFE8EDF3"/>
      </patternFill>
    </fill>
    <fill>
      <patternFill patternType="solid">
        <fgColor rgb="FFFFFFFF"/>
      </patternFill>
    </fill>
    <fill>
      <patternFill patternType="solid">
        <fgColor rgb="FF31465D"/>
      </patternFill>
    </fill>
    <fill>
      <patternFill patternType="solid">
        <fgColor rgb="FFFFF1CA"/>
      </patternFill>
    </fill>
    <fill>
      <patternFill patternType="solid">
        <fgColor rgb="FFE8EDF3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30475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D3DB"/>
      </bottom>
      <diagonal/>
    </border>
    <border>
      <left/>
      <right/>
      <top/>
      <bottom/>
      <diagonal/>
    </border>
  </borders>
  <cellStyleXfs count="3">
    <xf numFmtId="0" fontId="0" fillId="0" borderId="0"/>
    <xf numFmtId="0" fontId="6" fillId="0" borderId="0"/>
    <xf numFmtId="41" fontId="6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0" fontId="1" fillId="0" borderId="0" xfId="1" applyFont="1"/>
    <xf numFmtId="0" fontId="2" fillId="0" borderId="0" xfId="1" applyFont="1"/>
    <xf numFmtId="0" fontId="3" fillId="0" borderId="0" xfId="1" applyFont="1"/>
    <xf numFmtId="0" fontId="1" fillId="0" borderId="1" xfId="1" applyFont="1" applyBorder="1"/>
    <xf numFmtId="0" fontId="4" fillId="2" borderId="0" xfId="1" applyFont="1" applyFill="1" applyAlignment="1">
      <alignment horizontal="center" vertical="center"/>
    </xf>
    <xf numFmtId="1" fontId="1" fillId="0" borderId="0" xfId="1" applyNumberFormat="1" applyFont="1"/>
    <xf numFmtId="1" fontId="1" fillId="3" borderId="0" xfId="1" applyNumberFormat="1" applyFont="1" applyFill="1"/>
    <xf numFmtId="176" fontId="1" fillId="0" borderId="0" xfId="1" applyNumberFormat="1" applyFont="1"/>
    <xf numFmtId="176" fontId="1" fillId="3" borderId="0" xfId="1" applyNumberFormat="1" applyFont="1" applyFill="1"/>
    <xf numFmtId="0" fontId="5" fillId="0" borderId="0" xfId="1" applyFont="1"/>
    <xf numFmtId="0" fontId="1" fillId="4" borderId="0" xfId="1" applyFont="1" applyFill="1"/>
    <xf numFmtId="1" fontId="1" fillId="0" borderId="0" xfId="1" applyNumberFormat="1" applyFont="1" applyAlignment="1">
      <alignment horizontal="right"/>
    </xf>
    <xf numFmtId="176" fontId="1" fillId="0" borderId="0" xfId="1" applyNumberFormat="1" applyFont="1" applyAlignment="1">
      <alignment horizontal="right"/>
    </xf>
    <xf numFmtId="177" fontId="1" fillId="0" borderId="0" xfId="1" applyNumberFormat="1" applyFont="1" applyAlignment="1">
      <alignment horizontal="right"/>
    </xf>
    <xf numFmtId="1" fontId="1" fillId="4" borderId="0" xfId="1" applyNumberFormat="1" applyFont="1" applyFill="1" applyAlignment="1">
      <alignment horizontal="right"/>
    </xf>
    <xf numFmtId="176" fontId="1" fillId="4" borderId="0" xfId="1" applyNumberFormat="1" applyFont="1" applyFill="1" applyAlignment="1">
      <alignment horizontal="right"/>
    </xf>
    <xf numFmtId="177" fontId="1" fillId="4" borderId="0" xfId="1" applyNumberFormat="1" applyFont="1" applyFill="1" applyAlignment="1">
      <alignment horizontal="right"/>
    </xf>
    <xf numFmtId="2" fontId="1" fillId="0" borderId="0" xfId="1" applyNumberFormat="1" applyFont="1" applyAlignment="1">
      <alignment horizontal="right"/>
    </xf>
    <xf numFmtId="176" fontId="1" fillId="5" borderId="0" xfId="0" applyNumberFormat="1" applyFont="1" applyFill="1"/>
    <xf numFmtId="0" fontId="1" fillId="0" borderId="0" xfId="0" applyFont="1"/>
    <xf numFmtId="0" fontId="4" fillId="6" borderId="0" xfId="0" applyFont="1" applyFill="1" applyAlignment="1">
      <alignment horizontal="center" vertical="center"/>
    </xf>
    <xf numFmtId="1" fontId="1" fillId="0" borderId="0" xfId="0" applyNumberFormat="1" applyFont="1"/>
    <xf numFmtId="176" fontId="1" fillId="0" borderId="0" xfId="0" applyNumberFormat="1" applyFont="1"/>
    <xf numFmtId="1" fontId="1" fillId="7" borderId="0" xfId="0" applyNumberFormat="1" applyFont="1" applyFill="1"/>
    <xf numFmtId="0" fontId="1" fillId="7" borderId="0" xfId="0" applyFont="1" applyFill="1"/>
    <xf numFmtId="176" fontId="1" fillId="7" borderId="0" xfId="0" applyNumberFormat="1" applyFont="1" applyFill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5" fillId="0" borderId="0" xfId="0" applyFont="1"/>
    <xf numFmtId="0" fontId="1" fillId="8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 applyAlignment="1">
      <alignment horizontal="right"/>
    </xf>
    <xf numFmtId="176" fontId="1" fillId="0" borderId="0" xfId="0" applyNumberFormat="1" applyFont="1" applyAlignment="1">
      <alignment horizontal="right"/>
    </xf>
    <xf numFmtId="176" fontId="1" fillId="8" borderId="0" xfId="0" applyNumberFormat="1" applyFont="1" applyFill="1" applyAlignment="1">
      <alignment horizontal="right"/>
    </xf>
    <xf numFmtId="177" fontId="1" fillId="0" borderId="0" xfId="0" applyNumberFormat="1" applyFont="1" applyAlignment="1">
      <alignment horizontal="right"/>
    </xf>
    <xf numFmtId="177" fontId="1" fillId="8" borderId="0" xfId="0" applyNumberFormat="1" applyFont="1" applyFill="1" applyAlignment="1">
      <alignment horizontal="right"/>
    </xf>
    <xf numFmtId="2" fontId="1" fillId="0" borderId="0" xfId="0" applyNumberFormat="1" applyFont="1" applyAlignment="1">
      <alignment horizontal="right"/>
    </xf>
    <xf numFmtId="0" fontId="8" fillId="9" borderId="2" xfId="2" applyFont="1"/>
    <xf numFmtId="0" fontId="9" fillId="9" borderId="2" xfId="2" applyFont="1"/>
    <xf numFmtId="0" fontId="8" fillId="10" borderId="2" xfId="2" applyFont="1" applyFill="1"/>
    <xf numFmtId="1" fontId="8" fillId="10" borderId="2" xfId="2" applyNumberFormat="1" applyFont="1" applyFill="1"/>
    <xf numFmtId="2" fontId="8" fillId="10" borderId="2" xfId="2" applyNumberFormat="1" applyFont="1" applyFill="1"/>
    <xf numFmtId="2" fontId="8" fillId="9" borderId="2" xfId="2" applyNumberFormat="1" applyFont="1"/>
    <xf numFmtId="2" fontId="10" fillId="9" borderId="2" xfId="2" applyNumberFormat="1" applyFont="1"/>
    <xf numFmtId="176" fontId="8" fillId="9" borderId="2" xfId="2" applyNumberFormat="1" applyFont="1"/>
    <xf numFmtId="0" fontId="11" fillId="11" borderId="2" xfId="2" applyFont="1" applyFill="1"/>
    <xf numFmtId="0" fontId="12" fillId="9" borderId="2" xfId="2" applyFont="1"/>
  </cellXfs>
  <cellStyles count="3">
    <cellStyle name="Normal" xfId="1" xr:uid="{00000000-0005-0000-0000-000000000000}"/>
    <cellStyle name="常规" xfId="0" builtinId="0"/>
    <cellStyle name="千位分隔[0]" xfId="2" builtin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65</c:v>
                </c:pt>
                <c:pt idx="2">
                  <c:v>130</c:v>
                </c:pt>
                <c:pt idx="3">
                  <c:v>186.42</c:v>
                </c:pt>
                <c:pt idx="4">
                  <c:v>237.12</c:v>
                </c:pt>
                <c:pt idx="5">
                  <c:v>287.82</c:v>
                </c:pt>
                <c:pt idx="6">
                  <c:v>338.52</c:v>
                </c:pt>
                <c:pt idx="7">
                  <c:v>389.21999999999997</c:v>
                </c:pt>
                <c:pt idx="8">
                  <c:v>439.92</c:v>
                </c:pt>
                <c:pt idx="9">
                  <c:v>490.62</c:v>
                </c:pt>
                <c:pt idx="10">
                  <c:v>541.31999999999994</c:v>
                </c:pt>
                <c:pt idx="11">
                  <c:v>592.02</c:v>
                </c:pt>
                <c:pt idx="12">
                  <c:v>642.72</c:v>
                </c:pt>
                <c:pt idx="13">
                  <c:v>818.42000000000019</c:v>
                </c:pt>
                <c:pt idx="14">
                  <c:v>994.11999999999989</c:v>
                </c:pt>
                <c:pt idx="15">
                  <c:v>1169.8200000000002</c:v>
                </c:pt>
                <c:pt idx="16">
                  <c:v>1345.5200000000002</c:v>
                </c:pt>
                <c:pt idx="17">
                  <c:v>1521.22</c:v>
                </c:pt>
                <c:pt idx="18">
                  <c:v>1696.92</c:v>
                </c:pt>
                <c:pt idx="19">
                  <c:v>1872.62</c:v>
                </c:pt>
                <c:pt idx="20">
                  <c:v>2048.3200000000002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v>LSC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95</c:v>
                </c:pt>
                <c:pt idx="2">
                  <c:v>190</c:v>
                </c:pt>
                <c:pt idx="3">
                  <c:v>279.58499999999998</c:v>
                </c:pt>
                <c:pt idx="4">
                  <c:v>356.53499999999997</c:v>
                </c:pt>
                <c:pt idx="5">
                  <c:v>433.48500000000001</c:v>
                </c:pt>
                <c:pt idx="6">
                  <c:v>510.43499999999995</c:v>
                </c:pt>
                <c:pt idx="7">
                  <c:v>587.38499999999999</c:v>
                </c:pt>
                <c:pt idx="8">
                  <c:v>664.33500000000004</c:v>
                </c:pt>
                <c:pt idx="9">
                  <c:v>741.28500000000008</c:v>
                </c:pt>
                <c:pt idx="10">
                  <c:v>818.23500000000001</c:v>
                </c:pt>
                <c:pt idx="11">
                  <c:v>895.18500000000006</c:v>
                </c:pt>
                <c:pt idx="12">
                  <c:v>972.13499999999999</c:v>
                </c:pt>
                <c:pt idx="13">
                  <c:v>1174.085</c:v>
                </c:pt>
                <c:pt idx="14">
                  <c:v>1376.0349999999999</c:v>
                </c:pt>
                <c:pt idx="15">
                  <c:v>1577.9850000000001</c:v>
                </c:pt>
                <c:pt idx="16">
                  <c:v>1779.9350000000002</c:v>
                </c:pt>
                <c:pt idx="17">
                  <c:v>1981.885</c:v>
                </c:pt>
                <c:pt idx="18">
                  <c:v>2183.835</c:v>
                </c:pt>
                <c:pt idx="19">
                  <c:v>2385.7849999999999</c:v>
                </c:pt>
                <c:pt idx="20">
                  <c:v>2587.7349999999997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v>LSC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1550</c:v>
                </c:pt>
                <c:pt idx="14">
                  <c:v>1779.9999999999998</c:v>
                </c:pt>
                <c:pt idx="15">
                  <c:v>2010</c:v>
                </c:pt>
                <c:pt idx="16">
                  <c:v>2240</c:v>
                </c:pt>
                <c:pt idx="17">
                  <c:v>2470</c:v>
                </c:pt>
                <c:pt idx="18">
                  <c:v>2700</c:v>
                </c:pt>
                <c:pt idx="19">
                  <c:v>2930</c:v>
                </c:pt>
                <c:pt idx="20">
                  <c:v>3160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v>LSC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155</c:v>
                </c:pt>
                <c:pt idx="2">
                  <c:v>310</c:v>
                </c:pt>
                <c:pt idx="3">
                  <c:v>465</c:v>
                </c:pt>
                <c:pt idx="4">
                  <c:v>603.88</c:v>
                </c:pt>
                <c:pt idx="5">
                  <c:v>738.73</c:v>
                </c:pt>
                <c:pt idx="6">
                  <c:v>873.57999999999993</c:v>
                </c:pt>
                <c:pt idx="7">
                  <c:v>1008.43</c:v>
                </c:pt>
                <c:pt idx="8">
                  <c:v>1143.2800000000002</c:v>
                </c:pt>
                <c:pt idx="9">
                  <c:v>1278.1300000000001</c:v>
                </c:pt>
                <c:pt idx="10">
                  <c:v>1412.98</c:v>
                </c:pt>
                <c:pt idx="11">
                  <c:v>1547.83</c:v>
                </c:pt>
                <c:pt idx="12">
                  <c:v>1682.6799999999998</c:v>
                </c:pt>
                <c:pt idx="13">
                  <c:v>1942.5300000000002</c:v>
                </c:pt>
                <c:pt idx="14">
                  <c:v>2202.3799999999997</c:v>
                </c:pt>
                <c:pt idx="15">
                  <c:v>2462.23</c:v>
                </c:pt>
                <c:pt idx="16">
                  <c:v>2722.08</c:v>
                </c:pt>
                <c:pt idx="17">
                  <c:v>2981.93</c:v>
                </c:pt>
                <c:pt idx="18">
                  <c:v>3241.7799999999997</c:v>
                </c:pt>
                <c:pt idx="19">
                  <c:v>3501.6299999999997</c:v>
                </c:pt>
                <c:pt idx="20">
                  <c:v>3761.48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v>LSC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185</c:v>
                </c:pt>
                <c:pt idx="2">
                  <c:v>370</c:v>
                </c:pt>
                <c:pt idx="3">
                  <c:v>555</c:v>
                </c:pt>
                <c:pt idx="4">
                  <c:v>728.9</c:v>
                </c:pt>
                <c:pt idx="5">
                  <c:v>895.4</c:v>
                </c:pt>
                <c:pt idx="6">
                  <c:v>1061.8999999999999</c:v>
                </c:pt>
                <c:pt idx="7">
                  <c:v>1228.3999999999999</c:v>
                </c:pt>
                <c:pt idx="8">
                  <c:v>1394.9</c:v>
                </c:pt>
                <c:pt idx="9">
                  <c:v>1561.4</c:v>
                </c:pt>
                <c:pt idx="10">
                  <c:v>1727.8999999999999</c:v>
                </c:pt>
                <c:pt idx="11">
                  <c:v>1894.4</c:v>
                </c:pt>
                <c:pt idx="12">
                  <c:v>2060.8999999999996</c:v>
                </c:pt>
                <c:pt idx="13">
                  <c:v>2352.3999999999996</c:v>
                </c:pt>
                <c:pt idx="14">
                  <c:v>2643.8999999999996</c:v>
                </c:pt>
                <c:pt idx="15">
                  <c:v>2935.3999999999996</c:v>
                </c:pt>
                <c:pt idx="16">
                  <c:v>3226.9</c:v>
                </c:pt>
                <c:pt idx="17">
                  <c:v>3518.3999999999996</c:v>
                </c:pt>
                <c:pt idx="18">
                  <c:v>3809.9</c:v>
                </c:pt>
                <c:pt idx="19">
                  <c:v>4101.3999999999996</c:v>
                </c:pt>
                <c:pt idx="20">
                  <c:v>4392.8999999999996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5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HSC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1340</c:v>
                </c:pt>
                <c:pt idx="13">
                  <c:v>1495</c:v>
                </c:pt>
                <c:pt idx="14">
                  <c:v>1649.9999999999998</c:v>
                </c:pt>
                <c:pt idx="15">
                  <c:v>1805</c:v>
                </c:pt>
                <c:pt idx="16">
                  <c:v>1960</c:v>
                </c:pt>
                <c:pt idx="17">
                  <c:v>2115</c:v>
                </c:pt>
                <c:pt idx="18">
                  <c:v>2270</c:v>
                </c:pt>
                <c:pt idx="19">
                  <c:v>2425</c:v>
                </c:pt>
                <c:pt idx="20">
                  <c:v>2580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v>HSC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1337.5</c:v>
                </c:pt>
                <c:pt idx="13">
                  <c:v>1530</c:v>
                </c:pt>
                <c:pt idx="14">
                  <c:v>1722.4999999999998</c:v>
                </c:pt>
                <c:pt idx="15">
                  <c:v>1915</c:v>
                </c:pt>
                <c:pt idx="16">
                  <c:v>2107.5</c:v>
                </c:pt>
                <c:pt idx="17">
                  <c:v>2300</c:v>
                </c:pt>
                <c:pt idx="18">
                  <c:v>2492.5</c:v>
                </c:pt>
                <c:pt idx="19">
                  <c:v>2685</c:v>
                </c:pt>
                <c:pt idx="20">
                  <c:v>2877.5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v>HSC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1550</c:v>
                </c:pt>
                <c:pt idx="14">
                  <c:v>1779.9999999999998</c:v>
                </c:pt>
                <c:pt idx="15">
                  <c:v>2010</c:v>
                </c:pt>
                <c:pt idx="16">
                  <c:v>2240</c:v>
                </c:pt>
                <c:pt idx="17">
                  <c:v>2470</c:v>
                </c:pt>
                <c:pt idx="18">
                  <c:v>2700</c:v>
                </c:pt>
                <c:pt idx="19">
                  <c:v>2930</c:v>
                </c:pt>
                <c:pt idx="20">
                  <c:v>3160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v>HSC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1555</c:v>
                </c:pt>
                <c:pt idx="14">
                  <c:v>1822.4999999999995</c:v>
                </c:pt>
                <c:pt idx="15">
                  <c:v>2090</c:v>
                </c:pt>
                <c:pt idx="16">
                  <c:v>2357.5</c:v>
                </c:pt>
                <c:pt idx="17">
                  <c:v>2625</c:v>
                </c:pt>
                <c:pt idx="18">
                  <c:v>2892.5</c:v>
                </c:pt>
                <c:pt idx="19">
                  <c:v>3160</c:v>
                </c:pt>
                <c:pt idx="20">
                  <c:v>3427.5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v>HSC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1545</c:v>
                </c:pt>
                <c:pt idx="14">
                  <c:v>1849.9999999999995</c:v>
                </c:pt>
                <c:pt idx="15">
                  <c:v>2155</c:v>
                </c:pt>
                <c:pt idx="16">
                  <c:v>2460</c:v>
                </c:pt>
                <c:pt idx="17">
                  <c:v>2765</c:v>
                </c:pt>
                <c:pt idx="18">
                  <c:v>3070</c:v>
                </c:pt>
                <c:pt idx="19">
                  <c:v>3375</c:v>
                </c:pt>
                <c:pt idx="20">
                  <c:v>3680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4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LSR -40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60.75</c:v>
                </c:pt>
                <c:pt idx="2">
                  <c:v>121.5</c:v>
                </c:pt>
                <c:pt idx="3">
                  <c:v>182.25</c:v>
                </c:pt>
                <c:pt idx="4">
                  <c:v>243</c:v>
                </c:pt>
                <c:pt idx="5">
                  <c:v>303.75</c:v>
                </c:pt>
                <c:pt idx="6">
                  <c:v>364.5</c:v>
                </c:pt>
                <c:pt idx="7">
                  <c:v>409.45499999999998</c:v>
                </c:pt>
                <c:pt idx="8">
                  <c:v>454.41</c:v>
                </c:pt>
                <c:pt idx="9">
                  <c:v>499.36500000000001</c:v>
                </c:pt>
                <c:pt idx="10">
                  <c:v>544.32000000000005</c:v>
                </c:pt>
                <c:pt idx="11">
                  <c:v>589.27500000000009</c:v>
                </c:pt>
                <c:pt idx="12">
                  <c:v>634.23</c:v>
                </c:pt>
                <c:pt idx="13">
                  <c:v>679.18500000000006</c:v>
                </c:pt>
                <c:pt idx="14">
                  <c:v>724.14</c:v>
                </c:pt>
                <c:pt idx="15">
                  <c:v>769.09500000000003</c:v>
                </c:pt>
                <c:pt idx="16">
                  <c:v>814.05</c:v>
                </c:pt>
                <c:pt idx="17">
                  <c:v>859.00500000000011</c:v>
                </c:pt>
                <c:pt idx="18">
                  <c:v>903.96000000000015</c:v>
                </c:pt>
                <c:pt idx="19">
                  <c:v>948.91499999999996</c:v>
                </c:pt>
                <c:pt idx="20">
                  <c:v>993.87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v>LSR -30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83.25</c:v>
                </c:pt>
                <c:pt idx="2">
                  <c:v>166.5</c:v>
                </c:pt>
                <c:pt idx="3">
                  <c:v>249.75</c:v>
                </c:pt>
                <c:pt idx="4">
                  <c:v>333</c:v>
                </c:pt>
                <c:pt idx="5">
                  <c:v>416.25</c:v>
                </c:pt>
                <c:pt idx="6">
                  <c:v>499.5</c:v>
                </c:pt>
                <c:pt idx="7">
                  <c:v>573.59249999999997</c:v>
                </c:pt>
                <c:pt idx="8">
                  <c:v>638.52749999999992</c:v>
                </c:pt>
                <c:pt idx="9">
                  <c:v>703.46249999999998</c:v>
                </c:pt>
                <c:pt idx="10">
                  <c:v>768.39749999999992</c:v>
                </c:pt>
                <c:pt idx="11">
                  <c:v>833.33249999999998</c:v>
                </c:pt>
                <c:pt idx="12">
                  <c:v>898.26749999999993</c:v>
                </c:pt>
                <c:pt idx="13">
                  <c:v>963.20249999999999</c:v>
                </c:pt>
                <c:pt idx="14">
                  <c:v>1028.1374999999998</c:v>
                </c:pt>
                <c:pt idx="15">
                  <c:v>1093.0725</c:v>
                </c:pt>
                <c:pt idx="16">
                  <c:v>1158.0075000000002</c:v>
                </c:pt>
                <c:pt idx="17">
                  <c:v>1222.9425000000001</c:v>
                </c:pt>
                <c:pt idx="18">
                  <c:v>1287.8775000000001</c:v>
                </c:pt>
                <c:pt idx="19">
                  <c:v>1352.8125</c:v>
                </c:pt>
                <c:pt idx="20">
                  <c:v>1417.7474999999999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v>LSR -20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105.75</c:v>
                </c:pt>
                <c:pt idx="2">
                  <c:v>211.5</c:v>
                </c:pt>
                <c:pt idx="3">
                  <c:v>317.25</c:v>
                </c:pt>
                <c:pt idx="4">
                  <c:v>423</c:v>
                </c:pt>
                <c:pt idx="5">
                  <c:v>528.75</c:v>
                </c:pt>
                <c:pt idx="6">
                  <c:v>634.5</c:v>
                </c:pt>
                <c:pt idx="7">
                  <c:v>740.25</c:v>
                </c:pt>
                <c:pt idx="8">
                  <c:v>826.96500000000003</c:v>
                </c:pt>
                <c:pt idx="9">
                  <c:v>913.68000000000006</c:v>
                </c:pt>
                <c:pt idx="10">
                  <c:v>1000.395</c:v>
                </c:pt>
                <c:pt idx="11">
                  <c:v>1087.1100000000001</c:v>
                </c:pt>
                <c:pt idx="12">
                  <c:v>1173.825</c:v>
                </c:pt>
                <c:pt idx="13">
                  <c:v>1260.54</c:v>
                </c:pt>
                <c:pt idx="14">
                  <c:v>1347.2550000000001</c:v>
                </c:pt>
                <c:pt idx="15">
                  <c:v>1433.97</c:v>
                </c:pt>
                <c:pt idx="16">
                  <c:v>1520.6849999999999</c:v>
                </c:pt>
                <c:pt idx="17">
                  <c:v>1607.4</c:v>
                </c:pt>
                <c:pt idx="18">
                  <c:v>1694.115</c:v>
                </c:pt>
                <c:pt idx="19">
                  <c:v>1780.83</c:v>
                </c:pt>
                <c:pt idx="20">
                  <c:v>1867.5450000000001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v>LSR -10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128.25</c:v>
                </c:pt>
                <c:pt idx="2">
                  <c:v>256.5</c:v>
                </c:pt>
                <c:pt idx="3">
                  <c:v>384.75</c:v>
                </c:pt>
                <c:pt idx="4">
                  <c:v>513</c:v>
                </c:pt>
                <c:pt idx="5">
                  <c:v>641.25</c:v>
                </c:pt>
                <c:pt idx="6">
                  <c:v>769.5</c:v>
                </c:pt>
                <c:pt idx="7">
                  <c:v>897.74999999999989</c:v>
                </c:pt>
                <c:pt idx="8">
                  <c:v>1017.0225</c:v>
                </c:pt>
                <c:pt idx="9">
                  <c:v>1127.3175000000001</c:v>
                </c:pt>
                <c:pt idx="10">
                  <c:v>1237.6125</c:v>
                </c:pt>
                <c:pt idx="11">
                  <c:v>1347.9075000000003</c:v>
                </c:pt>
                <c:pt idx="12">
                  <c:v>1458.2024999999999</c:v>
                </c:pt>
                <c:pt idx="13">
                  <c:v>1568.4974999999999</c:v>
                </c:pt>
                <c:pt idx="14">
                  <c:v>1678.7925</c:v>
                </c:pt>
                <c:pt idx="15">
                  <c:v>1789.0875000000001</c:v>
                </c:pt>
                <c:pt idx="16">
                  <c:v>1899.3825000000002</c:v>
                </c:pt>
                <c:pt idx="17">
                  <c:v>2009.6775</c:v>
                </c:pt>
                <c:pt idx="18">
                  <c:v>2119.9724999999999</c:v>
                </c:pt>
                <c:pt idx="19">
                  <c:v>2230.2674999999999</c:v>
                </c:pt>
                <c:pt idx="20">
                  <c:v>2340.5625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v>LSR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150.75</c:v>
                </c:pt>
                <c:pt idx="2">
                  <c:v>301.5</c:v>
                </c:pt>
                <c:pt idx="3">
                  <c:v>452.25</c:v>
                </c:pt>
                <c:pt idx="4">
                  <c:v>603</c:v>
                </c:pt>
                <c:pt idx="5">
                  <c:v>753.75</c:v>
                </c:pt>
                <c:pt idx="6">
                  <c:v>904.5</c:v>
                </c:pt>
                <c:pt idx="7">
                  <c:v>1055.25</c:v>
                </c:pt>
                <c:pt idx="8">
                  <c:v>1206</c:v>
                </c:pt>
                <c:pt idx="9">
                  <c:v>1341.675</c:v>
                </c:pt>
                <c:pt idx="10">
                  <c:v>1477.35</c:v>
                </c:pt>
                <c:pt idx="11">
                  <c:v>1613.0250000000001</c:v>
                </c:pt>
                <c:pt idx="12">
                  <c:v>1748.6999999999998</c:v>
                </c:pt>
                <c:pt idx="13">
                  <c:v>1884.375</c:v>
                </c:pt>
                <c:pt idx="14">
                  <c:v>2020.0499999999997</c:v>
                </c:pt>
                <c:pt idx="15">
                  <c:v>2155.7249999999999</c:v>
                </c:pt>
                <c:pt idx="16">
                  <c:v>2291.4</c:v>
                </c:pt>
                <c:pt idx="17">
                  <c:v>2427.0749999999998</c:v>
                </c:pt>
                <c:pt idx="18">
                  <c:v>2562.75</c:v>
                </c:pt>
                <c:pt idx="19">
                  <c:v>2698.4249999999997</c:v>
                </c:pt>
                <c:pt idx="20">
                  <c:v>2834.1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3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LSC + HSC sweep · Compression / 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LSC -20 / HSC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65</c:v>
                </c:pt>
                <c:pt idx="2">
                  <c:v>130</c:v>
                </c:pt>
                <c:pt idx="3">
                  <c:v>186.42</c:v>
                </c:pt>
                <c:pt idx="4">
                  <c:v>237.12</c:v>
                </c:pt>
                <c:pt idx="5">
                  <c:v>287.82</c:v>
                </c:pt>
                <c:pt idx="6">
                  <c:v>338.52</c:v>
                </c:pt>
                <c:pt idx="7">
                  <c:v>389.21999999999997</c:v>
                </c:pt>
                <c:pt idx="8">
                  <c:v>439.92</c:v>
                </c:pt>
                <c:pt idx="9">
                  <c:v>490.62</c:v>
                </c:pt>
                <c:pt idx="10">
                  <c:v>541.31999999999994</c:v>
                </c:pt>
                <c:pt idx="11">
                  <c:v>592.02</c:v>
                </c:pt>
                <c:pt idx="12">
                  <c:v>662.72</c:v>
                </c:pt>
                <c:pt idx="13">
                  <c:v>763.42000000000007</c:v>
                </c:pt>
                <c:pt idx="14">
                  <c:v>864.12</c:v>
                </c:pt>
                <c:pt idx="15">
                  <c:v>964.82</c:v>
                </c:pt>
                <c:pt idx="16">
                  <c:v>1065.5200000000002</c:v>
                </c:pt>
                <c:pt idx="17">
                  <c:v>1166.22</c:v>
                </c:pt>
                <c:pt idx="18">
                  <c:v>1266.92</c:v>
                </c:pt>
                <c:pt idx="19">
                  <c:v>1367.62</c:v>
                </c:pt>
                <c:pt idx="20">
                  <c:v>1468.3200000000002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v>LSC -15 / HSC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95</c:v>
                </c:pt>
                <c:pt idx="2">
                  <c:v>190</c:v>
                </c:pt>
                <c:pt idx="3">
                  <c:v>279.58499999999998</c:v>
                </c:pt>
                <c:pt idx="4">
                  <c:v>356.53499999999997</c:v>
                </c:pt>
                <c:pt idx="5">
                  <c:v>433.48500000000001</c:v>
                </c:pt>
                <c:pt idx="6">
                  <c:v>510.43499999999995</c:v>
                </c:pt>
                <c:pt idx="7">
                  <c:v>587.38499999999999</c:v>
                </c:pt>
                <c:pt idx="8">
                  <c:v>664.33500000000004</c:v>
                </c:pt>
                <c:pt idx="9">
                  <c:v>741.28500000000008</c:v>
                </c:pt>
                <c:pt idx="10">
                  <c:v>818.23500000000001</c:v>
                </c:pt>
                <c:pt idx="11">
                  <c:v>895.18500000000006</c:v>
                </c:pt>
                <c:pt idx="12">
                  <c:v>989.63499999999999</c:v>
                </c:pt>
                <c:pt idx="13">
                  <c:v>1154.085</c:v>
                </c:pt>
                <c:pt idx="14">
                  <c:v>1318.5349999999999</c:v>
                </c:pt>
                <c:pt idx="15">
                  <c:v>1482.9850000000001</c:v>
                </c:pt>
                <c:pt idx="16">
                  <c:v>1647.4349999999999</c:v>
                </c:pt>
                <c:pt idx="17">
                  <c:v>1811.885</c:v>
                </c:pt>
                <c:pt idx="18">
                  <c:v>1976.335</c:v>
                </c:pt>
                <c:pt idx="19">
                  <c:v>2140.7849999999999</c:v>
                </c:pt>
                <c:pt idx="20">
                  <c:v>2305.2349999999997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v>LSC -10 / HSC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1550</c:v>
                </c:pt>
                <c:pt idx="14">
                  <c:v>1779.9999999999998</c:v>
                </c:pt>
                <c:pt idx="15">
                  <c:v>2010</c:v>
                </c:pt>
                <c:pt idx="16">
                  <c:v>2240</c:v>
                </c:pt>
                <c:pt idx="17">
                  <c:v>2470</c:v>
                </c:pt>
                <c:pt idx="18">
                  <c:v>2700</c:v>
                </c:pt>
                <c:pt idx="19">
                  <c:v>2930</c:v>
                </c:pt>
                <c:pt idx="20">
                  <c:v>3160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v>LSC -5 / HSC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155</c:v>
                </c:pt>
                <c:pt idx="2">
                  <c:v>310</c:v>
                </c:pt>
                <c:pt idx="3">
                  <c:v>465</c:v>
                </c:pt>
                <c:pt idx="4">
                  <c:v>603.88</c:v>
                </c:pt>
                <c:pt idx="5">
                  <c:v>738.73</c:v>
                </c:pt>
                <c:pt idx="6">
                  <c:v>873.57999999999993</c:v>
                </c:pt>
                <c:pt idx="7">
                  <c:v>1008.43</c:v>
                </c:pt>
                <c:pt idx="8">
                  <c:v>1143.2800000000002</c:v>
                </c:pt>
                <c:pt idx="9">
                  <c:v>1278.1300000000001</c:v>
                </c:pt>
                <c:pt idx="10">
                  <c:v>1412.98</c:v>
                </c:pt>
                <c:pt idx="11">
                  <c:v>1547.83</c:v>
                </c:pt>
                <c:pt idx="12">
                  <c:v>1682.6799999999998</c:v>
                </c:pt>
                <c:pt idx="13">
                  <c:v>1947.5300000000002</c:v>
                </c:pt>
                <c:pt idx="14">
                  <c:v>2244.8799999999997</c:v>
                </c:pt>
                <c:pt idx="15">
                  <c:v>2542.23</c:v>
                </c:pt>
                <c:pt idx="16">
                  <c:v>2839.58</c:v>
                </c:pt>
                <c:pt idx="17">
                  <c:v>3136.93</c:v>
                </c:pt>
                <c:pt idx="18">
                  <c:v>3434.2799999999997</c:v>
                </c:pt>
                <c:pt idx="19">
                  <c:v>3731.6299999999997</c:v>
                </c:pt>
                <c:pt idx="20">
                  <c:v>4028.98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v>LSC 0 / HSC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185</c:v>
                </c:pt>
                <c:pt idx="2">
                  <c:v>370</c:v>
                </c:pt>
                <c:pt idx="3">
                  <c:v>555</c:v>
                </c:pt>
                <c:pt idx="4">
                  <c:v>728.9</c:v>
                </c:pt>
                <c:pt idx="5">
                  <c:v>895.4</c:v>
                </c:pt>
                <c:pt idx="6">
                  <c:v>1061.8999999999999</c:v>
                </c:pt>
                <c:pt idx="7">
                  <c:v>1228.3999999999999</c:v>
                </c:pt>
                <c:pt idx="8">
                  <c:v>1394.9</c:v>
                </c:pt>
                <c:pt idx="9">
                  <c:v>1561.4</c:v>
                </c:pt>
                <c:pt idx="10">
                  <c:v>1727.8999999999999</c:v>
                </c:pt>
                <c:pt idx="11">
                  <c:v>1894.4</c:v>
                </c:pt>
                <c:pt idx="12">
                  <c:v>2060.8999999999996</c:v>
                </c:pt>
                <c:pt idx="13">
                  <c:v>2347.3999999999996</c:v>
                </c:pt>
                <c:pt idx="14">
                  <c:v>2713.8999999999996</c:v>
                </c:pt>
                <c:pt idx="15">
                  <c:v>3080.3999999999996</c:v>
                </c:pt>
                <c:pt idx="16">
                  <c:v>3446.9000000000005</c:v>
                </c:pt>
                <c:pt idx="17">
                  <c:v>3813.3999999999996</c:v>
                </c:pt>
                <c:pt idx="18">
                  <c:v>4179.8999999999996</c:v>
                </c:pt>
                <c:pt idx="19">
                  <c:v>4546.3999999999996</c:v>
                </c:pt>
                <c:pt idx="20">
                  <c:v>4912.8999999999996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v>LSR -40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Sweep'!$H$49:$H$69</c:f>
              <c:numCache>
                <c:formatCode>General</c:formatCode>
                <c:ptCount val="21"/>
                <c:pt idx="0">
                  <c:v>0</c:v>
                </c:pt>
                <c:pt idx="1">
                  <c:v>-60.75</c:v>
                </c:pt>
                <c:pt idx="2">
                  <c:v>-121.5</c:v>
                </c:pt>
                <c:pt idx="3">
                  <c:v>-182.25</c:v>
                </c:pt>
                <c:pt idx="4">
                  <c:v>-243</c:v>
                </c:pt>
                <c:pt idx="5">
                  <c:v>-303.75</c:v>
                </c:pt>
                <c:pt idx="6">
                  <c:v>-364.5</c:v>
                </c:pt>
                <c:pt idx="7">
                  <c:v>-409.45499999999998</c:v>
                </c:pt>
                <c:pt idx="8">
                  <c:v>-454.41</c:v>
                </c:pt>
                <c:pt idx="9">
                  <c:v>-499.36500000000001</c:v>
                </c:pt>
                <c:pt idx="10">
                  <c:v>-544.32000000000005</c:v>
                </c:pt>
                <c:pt idx="11">
                  <c:v>-589.27500000000009</c:v>
                </c:pt>
                <c:pt idx="12">
                  <c:v>-634.23</c:v>
                </c:pt>
                <c:pt idx="13">
                  <c:v>-679.18500000000006</c:v>
                </c:pt>
                <c:pt idx="14">
                  <c:v>-724.14</c:v>
                </c:pt>
                <c:pt idx="15">
                  <c:v>-769.09500000000003</c:v>
                </c:pt>
                <c:pt idx="16">
                  <c:v>-814.05</c:v>
                </c:pt>
                <c:pt idx="17">
                  <c:v>-859.00500000000011</c:v>
                </c:pt>
                <c:pt idx="18">
                  <c:v>-903.96000000000015</c:v>
                </c:pt>
                <c:pt idx="19">
                  <c:v>-948.91499999999996</c:v>
                </c:pt>
                <c:pt idx="20">
                  <c:v>-993.87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v>LSR -30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Sweep'!$I$49:$I$69</c:f>
              <c:numCache>
                <c:formatCode>General</c:formatCode>
                <c:ptCount val="21"/>
                <c:pt idx="0">
                  <c:v>0</c:v>
                </c:pt>
                <c:pt idx="1">
                  <c:v>-83.25</c:v>
                </c:pt>
                <c:pt idx="2">
                  <c:v>-166.5</c:v>
                </c:pt>
                <c:pt idx="3">
                  <c:v>-249.75</c:v>
                </c:pt>
                <c:pt idx="4">
                  <c:v>-333</c:v>
                </c:pt>
                <c:pt idx="5">
                  <c:v>-416.25</c:v>
                </c:pt>
                <c:pt idx="6">
                  <c:v>-499.5</c:v>
                </c:pt>
                <c:pt idx="7">
                  <c:v>-573.59249999999997</c:v>
                </c:pt>
                <c:pt idx="8">
                  <c:v>-638.52749999999992</c:v>
                </c:pt>
                <c:pt idx="9">
                  <c:v>-703.46249999999998</c:v>
                </c:pt>
                <c:pt idx="10">
                  <c:v>-768.39749999999992</c:v>
                </c:pt>
                <c:pt idx="11">
                  <c:v>-833.33249999999998</c:v>
                </c:pt>
                <c:pt idx="12">
                  <c:v>-898.26749999999993</c:v>
                </c:pt>
                <c:pt idx="13">
                  <c:v>-963.20249999999999</c:v>
                </c:pt>
                <c:pt idx="14">
                  <c:v>-1028.1374999999998</c:v>
                </c:pt>
                <c:pt idx="15">
                  <c:v>-1093.0725</c:v>
                </c:pt>
                <c:pt idx="16">
                  <c:v>-1158.0075000000002</c:v>
                </c:pt>
                <c:pt idx="17">
                  <c:v>-1222.9425000000001</c:v>
                </c:pt>
                <c:pt idx="18">
                  <c:v>-1287.8775000000001</c:v>
                </c:pt>
                <c:pt idx="19">
                  <c:v>-1352.8125</c:v>
                </c:pt>
                <c:pt idx="20">
                  <c:v>-1417.7474999999999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v>LSR -20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Sweep'!$J$49:$J$69</c:f>
              <c:numCache>
                <c:formatCode>General</c:formatCode>
                <c:ptCount val="21"/>
                <c:pt idx="0">
                  <c:v>0</c:v>
                </c:pt>
                <c:pt idx="1">
                  <c:v>-105.75</c:v>
                </c:pt>
                <c:pt idx="2">
                  <c:v>-211.5</c:v>
                </c:pt>
                <c:pt idx="3">
                  <c:v>-317.25</c:v>
                </c:pt>
                <c:pt idx="4">
                  <c:v>-423</c:v>
                </c:pt>
                <c:pt idx="5">
                  <c:v>-528.75</c:v>
                </c:pt>
                <c:pt idx="6">
                  <c:v>-634.5</c:v>
                </c:pt>
                <c:pt idx="7">
                  <c:v>-740.25</c:v>
                </c:pt>
                <c:pt idx="8">
                  <c:v>-826.96500000000003</c:v>
                </c:pt>
                <c:pt idx="9">
                  <c:v>-913.68000000000006</c:v>
                </c:pt>
                <c:pt idx="10">
                  <c:v>-1000.395</c:v>
                </c:pt>
                <c:pt idx="11">
                  <c:v>-1087.1100000000001</c:v>
                </c:pt>
                <c:pt idx="12">
                  <c:v>-1173.825</c:v>
                </c:pt>
                <c:pt idx="13">
                  <c:v>-1260.54</c:v>
                </c:pt>
                <c:pt idx="14">
                  <c:v>-1347.2550000000001</c:v>
                </c:pt>
                <c:pt idx="15">
                  <c:v>-1433.97</c:v>
                </c:pt>
                <c:pt idx="16">
                  <c:v>-1520.6849999999999</c:v>
                </c:pt>
                <c:pt idx="17">
                  <c:v>-1607.4</c:v>
                </c:pt>
                <c:pt idx="18">
                  <c:v>-1694.115</c:v>
                </c:pt>
                <c:pt idx="19">
                  <c:v>-1780.83</c:v>
                </c:pt>
                <c:pt idx="20">
                  <c:v>-1867.5450000000001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v>LSR -10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Sweep'!$K$49:$K$69</c:f>
              <c:numCache>
                <c:formatCode>General</c:formatCode>
                <c:ptCount val="21"/>
                <c:pt idx="0">
                  <c:v>0</c:v>
                </c:pt>
                <c:pt idx="1">
                  <c:v>-128.25</c:v>
                </c:pt>
                <c:pt idx="2">
                  <c:v>-256.5</c:v>
                </c:pt>
                <c:pt idx="3">
                  <c:v>-384.75</c:v>
                </c:pt>
                <c:pt idx="4">
                  <c:v>-513</c:v>
                </c:pt>
                <c:pt idx="5">
                  <c:v>-641.25</c:v>
                </c:pt>
                <c:pt idx="6">
                  <c:v>-769.5</c:v>
                </c:pt>
                <c:pt idx="7">
                  <c:v>-897.74999999999989</c:v>
                </c:pt>
                <c:pt idx="8">
                  <c:v>-1017.0225</c:v>
                </c:pt>
                <c:pt idx="9">
                  <c:v>-1127.3175000000001</c:v>
                </c:pt>
                <c:pt idx="10">
                  <c:v>-1237.6125</c:v>
                </c:pt>
                <c:pt idx="11">
                  <c:v>-1347.9075000000003</c:v>
                </c:pt>
                <c:pt idx="12">
                  <c:v>-1458.2024999999999</c:v>
                </c:pt>
                <c:pt idx="13">
                  <c:v>-1568.4974999999999</c:v>
                </c:pt>
                <c:pt idx="14">
                  <c:v>-1678.7925</c:v>
                </c:pt>
                <c:pt idx="15">
                  <c:v>-1789.0875000000001</c:v>
                </c:pt>
                <c:pt idx="16">
                  <c:v>-1899.3825000000002</c:v>
                </c:pt>
                <c:pt idx="17">
                  <c:v>-2009.6775</c:v>
                </c:pt>
                <c:pt idx="18">
                  <c:v>-2119.9724999999999</c:v>
                </c:pt>
                <c:pt idx="19">
                  <c:v>-2230.2674999999999</c:v>
                </c:pt>
                <c:pt idx="20">
                  <c:v>-2340.5625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v>LSR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Sweep'!$L$49:$L$69</c:f>
              <c:numCache>
                <c:formatCode>General</c:formatCode>
                <c:ptCount val="21"/>
                <c:pt idx="0">
                  <c:v>0</c:v>
                </c:pt>
                <c:pt idx="1">
                  <c:v>-150.75</c:v>
                </c:pt>
                <c:pt idx="2">
                  <c:v>-301.5</c:v>
                </c:pt>
                <c:pt idx="3">
                  <c:v>-452.25</c:v>
                </c:pt>
                <c:pt idx="4">
                  <c:v>-603</c:v>
                </c:pt>
                <c:pt idx="5">
                  <c:v>-753.75</c:v>
                </c:pt>
                <c:pt idx="6">
                  <c:v>-904.5</c:v>
                </c:pt>
                <c:pt idx="7">
                  <c:v>-1055.25</c:v>
                </c:pt>
                <c:pt idx="8">
                  <c:v>-1206</c:v>
                </c:pt>
                <c:pt idx="9">
                  <c:v>-1341.675</c:v>
                </c:pt>
                <c:pt idx="10">
                  <c:v>-1477.35</c:v>
                </c:pt>
                <c:pt idx="11">
                  <c:v>-1613.0250000000001</c:v>
                </c:pt>
                <c:pt idx="12">
                  <c:v>-1748.6999999999998</c:v>
                </c:pt>
                <c:pt idx="13">
                  <c:v>-1884.375</c:v>
                </c:pt>
                <c:pt idx="14">
                  <c:v>-2020.0499999999997</c:v>
                </c:pt>
                <c:pt idx="15">
                  <c:v>-2155.7249999999999</c:v>
                </c:pt>
                <c:pt idx="16">
                  <c:v>-2291.4</c:v>
                </c:pt>
                <c:pt idx="17">
                  <c:v>-2427.0749999999998</c:v>
                </c:pt>
                <c:pt idx="18">
                  <c:v>-2562.75</c:v>
                </c:pt>
                <c:pt idx="19">
                  <c:v>-2698.4249999999997</c:v>
                </c:pt>
                <c:pt idx="20">
                  <c:v>-2834.1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5000"/>
          <c:min val="-500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65D"/>
  </sheetPr>
  <dimension ref="A1:M74"/>
  <sheetViews>
    <sheetView showGridLines="0" topLeftCell="A8" zoomScale="84" zoomScaleNormal="100" workbookViewId="0">
      <selection activeCell="G40" sqref="G40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3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13</v>
      </c>
      <c r="C38" s="12">
        <f>Parameters!C6</f>
        <v>-20</v>
      </c>
      <c r="D38" s="12">
        <f>Parameters!E6</f>
        <v>-10</v>
      </c>
      <c r="E38" s="12">
        <f>INDEX(Parameters!$C$7:$G$7,1,MATCH($C38,Parameters!$C$6:$G$6,0))</f>
        <v>1300</v>
      </c>
      <c r="F38" s="13">
        <f>INDEX(Parameters!$C$8:$G$8,1,MATCH($C38,Parameters!$C$6:$G$6,0))</f>
        <v>0.12</v>
      </c>
      <c r="G38" s="13">
        <f>INDEX(Parameters!$C$9:$G$9,1,MATCH($C38,Parameters!$C$6:$G$6,0))</f>
        <v>0.78</v>
      </c>
      <c r="H38" s="13"/>
      <c r="I38" s="14">
        <f>E38*G38</f>
        <v>1014</v>
      </c>
      <c r="J38" s="14">
        <f>INDEX(Parameters!$C$10:$G$10,1,MATCH($D38,Parameters!$C$6:$G$6,0))</f>
        <v>2500</v>
      </c>
      <c r="K38" s="13">
        <f>INDEX(Parameters!$C$11:$G$11,1,MATCH($D38,Parameters!$C$6:$G$6,0))</f>
        <v>0.6</v>
      </c>
      <c r="L38" s="14">
        <f>I38+J38</f>
        <v>3514</v>
      </c>
      <c r="M38" s="1"/>
    </row>
    <row r="39" spans="1:13" ht="23" customHeight="1">
      <c r="A39" s="1"/>
      <c r="B39" s="1" t="s">
        <v>14</v>
      </c>
      <c r="C39" s="12">
        <f>Parameters!D6</f>
        <v>-15</v>
      </c>
      <c r="D39" s="12">
        <f>Parameters!E6</f>
        <v>-10</v>
      </c>
      <c r="E39" s="12">
        <f>INDEX(Parameters!$C$7:$G$7,1,MATCH($C39,Parameters!$C$6:$G$6,0))</f>
        <v>1900</v>
      </c>
      <c r="F39" s="13">
        <f>INDEX(Parameters!$C$8:$G$8,1,MATCH($C39,Parameters!$C$6:$G$6,0))</f>
        <v>0.13500000000000001</v>
      </c>
      <c r="G39" s="13">
        <f>INDEX(Parameters!$C$9:$G$9,1,MATCH($C39,Parameters!$C$6:$G$6,0))</f>
        <v>0.81</v>
      </c>
      <c r="H39" s="13"/>
      <c r="I39" s="14">
        <f>E39*G39</f>
        <v>1539</v>
      </c>
      <c r="J39" s="14">
        <f>INDEX(Parameters!$C$10:$G$10,1,MATCH($D39,Parameters!$C$6:$G$6,0))</f>
        <v>2500</v>
      </c>
      <c r="K39" s="13">
        <f>INDEX(Parameters!$C$11:$G$11,1,MATCH($D39,Parameters!$C$6:$G$6,0))</f>
        <v>0.6</v>
      </c>
      <c r="L39" s="14">
        <f>I39+J39</f>
        <v>4039</v>
      </c>
      <c r="M39" s="1"/>
    </row>
    <row r="40" spans="1:13" ht="23" customHeight="1">
      <c r="A40" s="1"/>
      <c r="B40" s="11" t="s">
        <v>15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0.15</v>
      </c>
      <c r="G40" s="16">
        <f>INDEX(Parameters!$C$9:$G$9,1,MATCH($C40,Parameters!$C$6:$G$6,0))</f>
        <v>0.84</v>
      </c>
      <c r="H40" s="16"/>
      <c r="I40" s="17">
        <f>E40*G40</f>
        <v>2100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4600</v>
      </c>
      <c r="M40" s="1"/>
    </row>
    <row r="41" spans="1:13" ht="23" customHeight="1">
      <c r="A41" s="1"/>
      <c r="B41" s="1" t="s">
        <v>16</v>
      </c>
      <c r="C41" s="12">
        <f>Parameters!F6</f>
        <v>-5</v>
      </c>
      <c r="D41" s="12">
        <f>Parameters!E6</f>
        <v>-10</v>
      </c>
      <c r="E41" s="12">
        <f>INDEX(Parameters!$C$7:$G$7,1,MATCH($C41,Parameters!$C$6:$G$6,0))</f>
        <v>3100</v>
      </c>
      <c r="F41" s="13">
        <f>INDEX(Parameters!$C$8:$G$8,1,MATCH($C41,Parameters!$C$6:$G$6,0))</f>
        <v>0.16</v>
      </c>
      <c r="G41" s="13">
        <f>INDEX(Parameters!$C$9:$G$9,1,MATCH($C41,Parameters!$C$6:$G$6,0))</f>
        <v>0.87</v>
      </c>
      <c r="H41" s="13"/>
      <c r="I41" s="14">
        <f>E41*G41</f>
        <v>2697</v>
      </c>
      <c r="J41" s="14">
        <f>INDEX(Parameters!$C$10:$G$10,1,MATCH($D41,Parameters!$C$6:$G$6,0))</f>
        <v>2500</v>
      </c>
      <c r="K41" s="13">
        <f>INDEX(Parameters!$C$11:$G$11,1,MATCH($D41,Parameters!$C$6:$G$6,0))</f>
        <v>0.6</v>
      </c>
      <c r="L41" s="14">
        <f>I41+J41</f>
        <v>5197</v>
      </c>
      <c r="M41" s="1"/>
    </row>
    <row r="42" spans="1:13" ht="23" customHeight="1">
      <c r="A42" s="1"/>
      <c r="B42" s="1" t="s">
        <v>17</v>
      </c>
      <c r="C42" s="12">
        <f>Parameters!G6</f>
        <v>0</v>
      </c>
      <c r="D42" s="12">
        <f>Parameters!E6</f>
        <v>-10</v>
      </c>
      <c r="E42" s="12">
        <f>INDEX(Parameters!$C$7:$G$7,1,MATCH($C42,Parameters!$C$6:$G$6,0))</f>
        <v>3700</v>
      </c>
      <c r="F42" s="13">
        <f>INDEX(Parameters!$C$8:$G$8,1,MATCH($C42,Parameters!$C$6:$G$6,0))</f>
        <v>0.17</v>
      </c>
      <c r="G42" s="13">
        <f>INDEX(Parameters!$C$9:$G$9,1,MATCH($C42,Parameters!$C$6:$G$6,0))</f>
        <v>0.9</v>
      </c>
      <c r="H42" s="13"/>
      <c r="I42" s="14">
        <f>E42*G42</f>
        <v>3330</v>
      </c>
      <c r="J42" s="14">
        <f>INDEX(Parameters!$C$10:$G$10,1,MATCH($D42,Parameters!$C$6:$G$6,0))</f>
        <v>2500</v>
      </c>
      <c r="K42" s="13">
        <f>INDEX(Parameters!$C$11:$G$11,1,MATCH($D42,Parameters!$C$6:$G$6,0))</f>
        <v>0.6</v>
      </c>
      <c r="L42" s="14">
        <f>I42+J42</f>
        <v>5830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18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19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21</v>
      </c>
      <c r="D48" s="5" t="s">
        <v>22</v>
      </c>
      <c r="E48" s="5" t="s">
        <v>23</v>
      </c>
      <c r="F48" s="5" t="s">
        <v>24</v>
      </c>
      <c r="G48" s="5" t="s">
        <v>25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M49" s="1"/>
    </row>
    <row r="50" spans="1:13" ht="18" customHeight="1">
      <c r="A50" s="1"/>
      <c r="B50" s="18">
        <v>0.05</v>
      </c>
      <c r="C50" s="14">
        <f t="shared" si="0"/>
        <v>65</v>
      </c>
      <c r="D50" s="14">
        <f t="shared" si="1"/>
        <v>95</v>
      </c>
      <c r="E50" s="14">
        <f t="shared" si="2"/>
        <v>125</v>
      </c>
      <c r="F50" s="14">
        <f t="shared" si="3"/>
        <v>155</v>
      </c>
      <c r="G50" s="14">
        <f t="shared" si="4"/>
        <v>185</v>
      </c>
      <c r="M50" s="1"/>
    </row>
    <row r="51" spans="1:13" ht="18" customHeight="1">
      <c r="A51" s="1"/>
      <c r="B51" s="18">
        <v>0.1</v>
      </c>
      <c r="C51" s="14">
        <f t="shared" si="0"/>
        <v>130</v>
      </c>
      <c r="D51" s="14">
        <f t="shared" si="1"/>
        <v>190</v>
      </c>
      <c r="E51" s="14">
        <f t="shared" si="2"/>
        <v>250</v>
      </c>
      <c r="F51" s="14">
        <f t="shared" si="3"/>
        <v>310</v>
      </c>
      <c r="G51" s="14">
        <f t="shared" si="4"/>
        <v>370</v>
      </c>
      <c r="M51" s="1"/>
    </row>
    <row r="52" spans="1:13" ht="18" customHeight="1">
      <c r="A52" s="1"/>
      <c r="B52" s="18">
        <v>0.15</v>
      </c>
      <c r="C52" s="14">
        <f t="shared" si="0"/>
        <v>186.42</v>
      </c>
      <c r="D52" s="14">
        <f t="shared" si="1"/>
        <v>279.58499999999998</v>
      </c>
      <c r="E52" s="14">
        <f t="shared" si="2"/>
        <v>375</v>
      </c>
      <c r="F52" s="14">
        <f t="shared" si="3"/>
        <v>465</v>
      </c>
      <c r="G52" s="14">
        <f t="shared" si="4"/>
        <v>555</v>
      </c>
      <c r="M52" s="1"/>
    </row>
    <row r="53" spans="1:13" ht="18" customHeight="1">
      <c r="A53" s="1"/>
      <c r="B53" s="18">
        <v>0.2</v>
      </c>
      <c r="C53" s="14">
        <f t="shared" si="0"/>
        <v>237.12</v>
      </c>
      <c r="D53" s="14">
        <f t="shared" si="1"/>
        <v>356.53499999999997</v>
      </c>
      <c r="E53" s="14">
        <f t="shared" si="2"/>
        <v>480</v>
      </c>
      <c r="F53" s="14">
        <f t="shared" si="3"/>
        <v>603.88</v>
      </c>
      <c r="G53" s="14">
        <f t="shared" si="4"/>
        <v>728.9</v>
      </c>
      <c r="M53" s="1"/>
    </row>
    <row r="54" spans="1:13" ht="18" customHeight="1">
      <c r="A54" s="1"/>
      <c r="B54" s="18">
        <v>0.25</v>
      </c>
      <c r="C54" s="14">
        <f t="shared" si="0"/>
        <v>287.82</v>
      </c>
      <c r="D54" s="14">
        <f t="shared" si="1"/>
        <v>433.48500000000001</v>
      </c>
      <c r="E54" s="14">
        <f t="shared" si="2"/>
        <v>585</v>
      </c>
      <c r="F54" s="14">
        <f t="shared" si="3"/>
        <v>738.73</v>
      </c>
      <c r="G54" s="14">
        <f t="shared" si="4"/>
        <v>895.4</v>
      </c>
      <c r="M54" s="1"/>
    </row>
    <row r="55" spans="1:13" ht="18" customHeight="1">
      <c r="A55" s="1"/>
      <c r="B55" s="18">
        <v>0.3</v>
      </c>
      <c r="C55" s="14">
        <f t="shared" si="0"/>
        <v>338.52</v>
      </c>
      <c r="D55" s="14">
        <f t="shared" si="1"/>
        <v>510.43499999999995</v>
      </c>
      <c r="E55" s="14">
        <f t="shared" si="2"/>
        <v>690</v>
      </c>
      <c r="F55" s="14">
        <f t="shared" si="3"/>
        <v>873.57999999999993</v>
      </c>
      <c r="G55" s="14">
        <f t="shared" si="4"/>
        <v>1061.8999999999999</v>
      </c>
      <c r="M55" s="1"/>
    </row>
    <row r="56" spans="1:13" ht="18" customHeight="1">
      <c r="A56" s="1"/>
      <c r="B56" s="18">
        <v>0.35</v>
      </c>
      <c r="C56" s="14">
        <f t="shared" si="0"/>
        <v>389.21999999999997</v>
      </c>
      <c r="D56" s="14">
        <f t="shared" si="1"/>
        <v>587.38499999999999</v>
      </c>
      <c r="E56" s="14">
        <f t="shared" si="2"/>
        <v>795</v>
      </c>
      <c r="F56" s="14">
        <f t="shared" si="3"/>
        <v>1008.43</v>
      </c>
      <c r="G56" s="14">
        <f t="shared" si="4"/>
        <v>1228.3999999999999</v>
      </c>
      <c r="M56" s="1"/>
    </row>
    <row r="57" spans="1:13" ht="18" customHeight="1">
      <c r="A57" s="1"/>
      <c r="B57" s="18">
        <v>0.4</v>
      </c>
      <c r="C57" s="14">
        <f t="shared" si="0"/>
        <v>439.92</v>
      </c>
      <c r="D57" s="14">
        <f t="shared" si="1"/>
        <v>664.33500000000004</v>
      </c>
      <c r="E57" s="14">
        <f t="shared" si="2"/>
        <v>900</v>
      </c>
      <c r="F57" s="14">
        <f t="shared" si="3"/>
        <v>1143.2800000000002</v>
      </c>
      <c r="G57" s="14">
        <f t="shared" si="4"/>
        <v>1394.9</v>
      </c>
      <c r="M57" s="1"/>
    </row>
    <row r="58" spans="1:13" ht="18" customHeight="1">
      <c r="A58" s="1"/>
      <c r="B58" s="18">
        <v>0.45</v>
      </c>
      <c r="C58" s="14">
        <f t="shared" si="0"/>
        <v>490.62</v>
      </c>
      <c r="D58" s="14">
        <f t="shared" si="1"/>
        <v>741.28500000000008</v>
      </c>
      <c r="E58" s="14">
        <f t="shared" si="2"/>
        <v>1005.0000000000001</v>
      </c>
      <c r="F58" s="14">
        <f t="shared" si="3"/>
        <v>1278.1300000000001</v>
      </c>
      <c r="G58" s="14">
        <f t="shared" si="4"/>
        <v>1561.4</v>
      </c>
      <c r="M58" s="1"/>
    </row>
    <row r="59" spans="1:13" ht="18" customHeight="1">
      <c r="A59" s="1"/>
      <c r="B59" s="18">
        <v>0.5</v>
      </c>
      <c r="C59" s="14">
        <f t="shared" si="0"/>
        <v>541.31999999999994</v>
      </c>
      <c r="D59" s="14">
        <f t="shared" si="1"/>
        <v>818.23500000000001</v>
      </c>
      <c r="E59" s="14">
        <f t="shared" si="2"/>
        <v>1110</v>
      </c>
      <c r="F59" s="14">
        <f t="shared" si="3"/>
        <v>1412.98</v>
      </c>
      <c r="G59" s="14">
        <f t="shared" si="4"/>
        <v>1727.8999999999999</v>
      </c>
      <c r="M59" s="1"/>
    </row>
    <row r="60" spans="1:13" ht="18" customHeight="1">
      <c r="A60" s="1"/>
      <c r="B60" s="18">
        <v>0.55000000000000004</v>
      </c>
      <c r="C60" s="14">
        <f t="shared" si="0"/>
        <v>592.02</v>
      </c>
      <c r="D60" s="14">
        <f t="shared" si="1"/>
        <v>895.18500000000006</v>
      </c>
      <c r="E60" s="14">
        <f t="shared" si="2"/>
        <v>1215</v>
      </c>
      <c r="F60" s="14">
        <f t="shared" si="3"/>
        <v>1547.83</v>
      </c>
      <c r="G60" s="14">
        <f t="shared" si="4"/>
        <v>1894.4</v>
      </c>
      <c r="M60" s="1"/>
    </row>
    <row r="61" spans="1:13" ht="18" customHeight="1">
      <c r="A61" s="1"/>
      <c r="B61" s="18">
        <v>0.6</v>
      </c>
      <c r="C61" s="14">
        <f t="shared" si="0"/>
        <v>642.72</v>
      </c>
      <c r="D61" s="14">
        <f t="shared" si="1"/>
        <v>972.13499999999999</v>
      </c>
      <c r="E61" s="14">
        <f t="shared" si="2"/>
        <v>1320</v>
      </c>
      <c r="F61" s="14">
        <f t="shared" si="3"/>
        <v>1682.6799999999998</v>
      </c>
      <c r="G61" s="14">
        <f t="shared" si="4"/>
        <v>2060.8999999999996</v>
      </c>
      <c r="M61" s="1"/>
    </row>
    <row r="62" spans="1:13" ht="18" customHeight="1">
      <c r="A62" s="1"/>
      <c r="B62" s="18">
        <v>0.65</v>
      </c>
      <c r="C62" s="14">
        <f t="shared" si="0"/>
        <v>818.42000000000019</v>
      </c>
      <c r="D62" s="14">
        <f t="shared" si="1"/>
        <v>1174.085</v>
      </c>
      <c r="E62" s="14">
        <f t="shared" si="2"/>
        <v>1550</v>
      </c>
      <c r="F62" s="14">
        <f t="shared" si="3"/>
        <v>1942.5300000000002</v>
      </c>
      <c r="G62" s="14">
        <f t="shared" si="4"/>
        <v>2352.3999999999996</v>
      </c>
      <c r="M62" s="1"/>
    </row>
    <row r="63" spans="1:13" ht="18" customHeight="1">
      <c r="A63" s="1"/>
      <c r="B63" s="18">
        <v>0.7</v>
      </c>
      <c r="C63" s="14">
        <f t="shared" si="0"/>
        <v>994.11999999999989</v>
      </c>
      <c r="D63" s="14">
        <f t="shared" si="1"/>
        <v>1376.0349999999999</v>
      </c>
      <c r="E63" s="14">
        <f t="shared" si="2"/>
        <v>1779.9999999999998</v>
      </c>
      <c r="F63" s="14">
        <f t="shared" si="3"/>
        <v>2202.3799999999997</v>
      </c>
      <c r="G63" s="14">
        <f t="shared" si="4"/>
        <v>2643.8999999999996</v>
      </c>
      <c r="M63" s="1"/>
    </row>
    <row r="64" spans="1:13" ht="18" customHeight="1">
      <c r="A64" s="1"/>
      <c r="B64" s="18">
        <v>0.75</v>
      </c>
      <c r="C64" s="14">
        <f t="shared" si="0"/>
        <v>1169.8200000000002</v>
      </c>
      <c r="D64" s="14">
        <f t="shared" si="1"/>
        <v>1577.9850000000001</v>
      </c>
      <c r="E64" s="14">
        <f t="shared" si="2"/>
        <v>2010</v>
      </c>
      <c r="F64" s="14">
        <f t="shared" si="3"/>
        <v>2462.23</v>
      </c>
      <c r="G64" s="14">
        <f t="shared" si="4"/>
        <v>2935.3999999999996</v>
      </c>
      <c r="M64" s="1"/>
    </row>
    <row r="65" spans="1:13" ht="18" customHeight="1">
      <c r="A65" s="1"/>
      <c r="B65" s="18">
        <v>0.8</v>
      </c>
      <c r="C65" s="14">
        <f t="shared" si="0"/>
        <v>1345.5200000000002</v>
      </c>
      <c r="D65" s="14">
        <f t="shared" si="1"/>
        <v>1779.9350000000002</v>
      </c>
      <c r="E65" s="14">
        <f t="shared" si="2"/>
        <v>2240</v>
      </c>
      <c r="F65" s="14">
        <f t="shared" si="3"/>
        <v>2722.08</v>
      </c>
      <c r="G65" s="14">
        <f t="shared" si="4"/>
        <v>3226.9</v>
      </c>
      <c r="M65" s="1"/>
    </row>
    <row r="66" spans="1:13" ht="18" customHeight="1">
      <c r="A66" s="1"/>
      <c r="B66" s="18">
        <v>0.85</v>
      </c>
      <c r="C66" s="14">
        <f t="shared" si="0"/>
        <v>1521.22</v>
      </c>
      <c r="D66" s="14">
        <f t="shared" si="1"/>
        <v>1981.885</v>
      </c>
      <c r="E66" s="14">
        <f t="shared" si="2"/>
        <v>2470</v>
      </c>
      <c r="F66" s="14">
        <f t="shared" si="3"/>
        <v>2981.93</v>
      </c>
      <c r="G66" s="14">
        <f t="shared" si="4"/>
        <v>3518.3999999999996</v>
      </c>
      <c r="M66" s="1"/>
    </row>
    <row r="67" spans="1:13" ht="18" customHeight="1">
      <c r="A67" s="1"/>
      <c r="B67" s="18">
        <v>0.9</v>
      </c>
      <c r="C67" s="14">
        <f t="shared" si="0"/>
        <v>1696.92</v>
      </c>
      <c r="D67" s="14">
        <f t="shared" si="1"/>
        <v>2183.835</v>
      </c>
      <c r="E67" s="14">
        <f t="shared" si="2"/>
        <v>2700</v>
      </c>
      <c r="F67" s="14">
        <f t="shared" si="3"/>
        <v>3241.7799999999997</v>
      </c>
      <c r="G67" s="14">
        <f t="shared" si="4"/>
        <v>3809.9</v>
      </c>
      <c r="M67" s="1"/>
    </row>
    <row r="68" spans="1:13" ht="18" customHeight="1">
      <c r="A68" s="1"/>
      <c r="B68" s="18">
        <v>0.95</v>
      </c>
      <c r="C68" s="14">
        <f t="shared" si="0"/>
        <v>1872.62</v>
      </c>
      <c r="D68" s="14">
        <f t="shared" si="1"/>
        <v>2385.7849999999999</v>
      </c>
      <c r="E68" s="14">
        <f t="shared" si="2"/>
        <v>2930</v>
      </c>
      <c r="F68" s="14">
        <f t="shared" si="3"/>
        <v>3501.6299999999997</v>
      </c>
      <c r="G68" s="14">
        <f t="shared" si="4"/>
        <v>4101.3999999999996</v>
      </c>
      <c r="M68" s="1"/>
    </row>
    <row r="69" spans="1:13" ht="18" customHeight="1">
      <c r="A69" s="1"/>
      <c r="B69" s="18">
        <v>1</v>
      </c>
      <c r="C69" s="14">
        <f t="shared" si="0"/>
        <v>2048.3200000000002</v>
      </c>
      <c r="D69" s="14">
        <f t="shared" si="1"/>
        <v>2587.7349999999997</v>
      </c>
      <c r="E69" s="14">
        <f t="shared" si="2"/>
        <v>3160</v>
      </c>
      <c r="F69" s="14">
        <f t="shared" si="3"/>
        <v>3761.48</v>
      </c>
      <c r="G69" s="14">
        <f t="shared" si="4"/>
        <v>4392.8999999999996</v>
      </c>
      <c r="M69" s="1"/>
    </row>
    <row r="70" spans="1:13" ht="18" customHeight="1">
      <c r="A70" s="1"/>
      <c r="C70">
        <f t="shared" si="0"/>
        <v>156</v>
      </c>
      <c r="D70">
        <f t="shared" si="1"/>
        <v>256.5</v>
      </c>
      <c r="E70">
        <f t="shared" si="2"/>
        <v>375</v>
      </c>
      <c r="F70">
        <f t="shared" si="3"/>
        <v>496</v>
      </c>
      <c r="G70">
        <f t="shared" si="4"/>
        <v>629</v>
      </c>
      <c r="M70" s="1"/>
    </row>
    <row r="71" spans="1:13" ht="18" customHeight="1">
      <c r="A71" s="1"/>
      <c r="C71">
        <f t="shared" si="0"/>
        <v>156</v>
      </c>
      <c r="D71">
        <f t="shared" si="1"/>
        <v>256.5</v>
      </c>
      <c r="E71">
        <f t="shared" si="2"/>
        <v>375</v>
      </c>
      <c r="F71">
        <f t="shared" si="3"/>
        <v>496</v>
      </c>
      <c r="G71">
        <f t="shared" si="4"/>
        <v>629</v>
      </c>
      <c r="M71" s="1"/>
    </row>
    <row r="72" spans="1:13" ht="18" customHeight="1">
      <c r="A72" s="1"/>
      <c r="C72">
        <f t="shared" si="0"/>
        <v>156</v>
      </c>
      <c r="D72">
        <f t="shared" si="1"/>
        <v>256.5</v>
      </c>
      <c r="E72">
        <f t="shared" si="2"/>
        <v>375</v>
      </c>
      <c r="F72">
        <f t="shared" si="3"/>
        <v>496</v>
      </c>
      <c r="G72">
        <f t="shared" si="4"/>
        <v>629</v>
      </c>
      <c r="M72" s="1"/>
    </row>
    <row r="73" spans="1:13" ht="18" customHeight="1">
      <c r="A73" s="1"/>
      <c r="C73">
        <f t="shared" si="0"/>
        <v>156</v>
      </c>
      <c r="D73">
        <f t="shared" si="1"/>
        <v>256.5</v>
      </c>
      <c r="E73">
        <f t="shared" si="2"/>
        <v>375</v>
      </c>
      <c r="F73">
        <f t="shared" si="3"/>
        <v>496</v>
      </c>
      <c r="G73">
        <f t="shared" si="4"/>
        <v>629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65D"/>
  </sheetPr>
  <dimension ref="A1:M74"/>
  <sheetViews>
    <sheetView showGridLines="0" topLeftCell="A19" zoomScaleNormal="100" workbookViewId="0">
      <selection activeCell="Q27" sqref="Q27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26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3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28</v>
      </c>
      <c r="C38" s="12">
        <f>Parameters!E6</f>
        <v>-10</v>
      </c>
      <c r="D38" s="12">
        <f>Parameters!C6</f>
        <v>-20</v>
      </c>
      <c r="E38" s="12">
        <f>INDEX(Parameters!$C$7:$G$7,1,MATCH($C38,Parameters!$C$6:$G$6,0))</f>
        <v>2500</v>
      </c>
      <c r="F38" s="13">
        <f>INDEX(Parameters!$C$8:$G$8,1,MATCH($C38,Parameters!$C$6:$G$6,0))</f>
        <v>0.15</v>
      </c>
      <c r="G38" s="13">
        <f>INDEX(Parameters!$C$9:$G$9,1,MATCH($C38,Parameters!$C$6:$G$6,0))</f>
        <v>0.84</v>
      </c>
      <c r="H38" s="13"/>
      <c r="I38" s="14">
        <f>E38*G38</f>
        <v>2100</v>
      </c>
      <c r="J38" s="14">
        <f>INDEX(Parameters!$C$10:$G$10,1,MATCH($D38,Parameters!$C$6:$G$6,0))</f>
        <v>1000</v>
      </c>
      <c r="K38" s="13">
        <f>INDEX(Parameters!$C$11:$G$11,1,MATCH($D38,Parameters!$C$6:$G$6,0))</f>
        <v>0.57999999999999996</v>
      </c>
      <c r="L38" s="14">
        <f>I38+J38</f>
        <v>3100</v>
      </c>
      <c r="M38" s="1"/>
    </row>
    <row r="39" spans="1:13" ht="23" customHeight="1">
      <c r="A39" s="1"/>
      <c r="B39" s="1" t="s">
        <v>29</v>
      </c>
      <c r="C39" s="12">
        <f>Parameters!E6</f>
        <v>-10</v>
      </c>
      <c r="D39" s="12">
        <f>Parameters!D6</f>
        <v>-15</v>
      </c>
      <c r="E39" s="12">
        <f>INDEX(Parameters!$C$7:$G$7,1,MATCH($C39,Parameters!$C$6:$G$6,0))</f>
        <v>2500</v>
      </c>
      <c r="F39" s="13">
        <f>INDEX(Parameters!$C$8:$G$8,1,MATCH($C39,Parameters!$C$6:$G$6,0))</f>
        <v>0.15</v>
      </c>
      <c r="G39" s="13">
        <f>INDEX(Parameters!$C$9:$G$9,1,MATCH($C39,Parameters!$C$6:$G$6,0))</f>
        <v>0.84</v>
      </c>
      <c r="H39" s="13"/>
      <c r="I39" s="14">
        <f>E39*G39</f>
        <v>2100</v>
      </c>
      <c r="J39" s="14">
        <f>INDEX(Parameters!$C$10:$G$10,1,MATCH($D39,Parameters!$C$6:$G$6,0))</f>
        <v>1750</v>
      </c>
      <c r="K39" s="13">
        <f>INDEX(Parameters!$C$11:$G$11,1,MATCH($D39,Parameters!$C$6:$G$6,0))</f>
        <v>0.59</v>
      </c>
      <c r="L39" s="14">
        <f>I39+J39</f>
        <v>3850</v>
      </c>
      <c r="M39" s="1"/>
    </row>
    <row r="40" spans="1:13" ht="23" customHeight="1">
      <c r="A40" s="1"/>
      <c r="B40" s="11" t="s">
        <v>30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0.15</v>
      </c>
      <c r="G40" s="16">
        <f>INDEX(Parameters!$C$9:$G$9,1,MATCH($C40,Parameters!$C$6:$G$6,0))</f>
        <v>0.84</v>
      </c>
      <c r="H40" s="16"/>
      <c r="I40" s="17">
        <f>E40*G40</f>
        <v>2100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4600</v>
      </c>
      <c r="M40" s="1"/>
    </row>
    <row r="41" spans="1:13" ht="23" customHeight="1">
      <c r="A41" s="1"/>
      <c r="B41" s="1" t="s">
        <v>31</v>
      </c>
      <c r="C41" s="12">
        <f>Parameters!E6</f>
        <v>-10</v>
      </c>
      <c r="D41" s="12">
        <f>Parameters!F6</f>
        <v>-5</v>
      </c>
      <c r="E41" s="12">
        <f>INDEX(Parameters!$C$7:$G$7,1,MATCH($C41,Parameters!$C$6:$G$6,0))</f>
        <v>2500</v>
      </c>
      <c r="F41" s="13">
        <f>INDEX(Parameters!$C$8:$G$8,1,MATCH($C41,Parameters!$C$6:$G$6,0))</f>
        <v>0.15</v>
      </c>
      <c r="G41" s="13">
        <f>INDEX(Parameters!$C$9:$G$9,1,MATCH($C41,Parameters!$C$6:$G$6,0))</f>
        <v>0.84</v>
      </c>
      <c r="H41" s="13"/>
      <c r="I41" s="14">
        <f>E41*G41</f>
        <v>2100</v>
      </c>
      <c r="J41" s="14">
        <f>INDEX(Parameters!$C$10:$G$10,1,MATCH($D41,Parameters!$C$6:$G$6,0))</f>
        <v>3250</v>
      </c>
      <c r="K41" s="13">
        <f>INDEX(Parameters!$C$11:$G$11,1,MATCH($D41,Parameters!$C$6:$G$6,0))</f>
        <v>0.61</v>
      </c>
      <c r="L41" s="14">
        <f>I41+J41</f>
        <v>5350</v>
      </c>
      <c r="M41" s="1"/>
    </row>
    <row r="42" spans="1:13" ht="23" customHeight="1">
      <c r="A42" s="1"/>
      <c r="B42" s="1" t="s">
        <v>32</v>
      </c>
      <c r="C42" s="12">
        <f>Parameters!E6</f>
        <v>-10</v>
      </c>
      <c r="D42" s="12">
        <f>Parameters!G6</f>
        <v>0</v>
      </c>
      <c r="E42" s="12">
        <f>INDEX(Parameters!$C$7:$G$7,1,MATCH($C42,Parameters!$C$6:$G$6,0))</f>
        <v>2500</v>
      </c>
      <c r="F42" s="13">
        <f>INDEX(Parameters!$C$8:$G$8,1,MATCH($C42,Parameters!$C$6:$G$6,0))</f>
        <v>0.15</v>
      </c>
      <c r="G42" s="13">
        <f>INDEX(Parameters!$C$9:$G$9,1,MATCH($C42,Parameters!$C$6:$G$6,0))</f>
        <v>0.84</v>
      </c>
      <c r="H42" s="13"/>
      <c r="I42" s="14">
        <f>E42*G42</f>
        <v>2100</v>
      </c>
      <c r="J42" s="14">
        <f>INDEX(Parameters!$C$10:$G$10,1,MATCH($D42,Parameters!$C$6:$G$6,0))</f>
        <v>4000</v>
      </c>
      <c r="K42" s="13">
        <f>INDEX(Parameters!$C$11:$G$11,1,MATCH($D42,Parameters!$C$6:$G$6,0))</f>
        <v>0.62</v>
      </c>
      <c r="L42" s="14">
        <f>I42+J42</f>
        <v>6100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18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19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33</v>
      </c>
      <c r="D48" s="5" t="s">
        <v>34</v>
      </c>
      <c r="E48" s="5" t="s">
        <v>35</v>
      </c>
      <c r="F48" s="5" t="s">
        <v>36</v>
      </c>
      <c r="G48" s="5" t="s">
        <v>37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M49" s="1"/>
    </row>
    <row r="50" spans="1:13" ht="18" customHeight="1">
      <c r="A50" s="1"/>
      <c r="B50" s="18">
        <v>0.05</v>
      </c>
      <c r="C50" s="14">
        <f t="shared" si="0"/>
        <v>125</v>
      </c>
      <c r="D50" s="14">
        <f t="shared" si="1"/>
        <v>125</v>
      </c>
      <c r="E50" s="14">
        <f t="shared" si="2"/>
        <v>125</v>
      </c>
      <c r="F50" s="14">
        <f t="shared" si="3"/>
        <v>125</v>
      </c>
      <c r="G50" s="14">
        <f t="shared" si="4"/>
        <v>125</v>
      </c>
      <c r="M50" s="1"/>
    </row>
    <row r="51" spans="1:13" ht="18" customHeight="1">
      <c r="A51" s="1"/>
      <c r="B51" s="18">
        <v>0.1</v>
      </c>
      <c r="C51" s="14">
        <f t="shared" si="0"/>
        <v>250</v>
      </c>
      <c r="D51" s="14">
        <f t="shared" si="1"/>
        <v>250</v>
      </c>
      <c r="E51" s="14">
        <f t="shared" si="2"/>
        <v>250</v>
      </c>
      <c r="F51" s="14">
        <f t="shared" si="3"/>
        <v>250</v>
      </c>
      <c r="G51" s="14">
        <f t="shared" si="4"/>
        <v>250</v>
      </c>
      <c r="M51" s="1"/>
    </row>
    <row r="52" spans="1:13" ht="18" customHeight="1">
      <c r="A52" s="1"/>
      <c r="B52" s="18">
        <v>0.15</v>
      </c>
      <c r="C52" s="14">
        <f t="shared" si="0"/>
        <v>375</v>
      </c>
      <c r="D52" s="14">
        <f t="shared" si="1"/>
        <v>375</v>
      </c>
      <c r="E52" s="14">
        <f t="shared" si="2"/>
        <v>375</v>
      </c>
      <c r="F52" s="14">
        <f t="shared" si="3"/>
        <v>375</v>
      </c>
      <c r="G52" s="14">
        <f t="shared" si="4"/>
        <v>375</v>
      </c>
      <c r="M52" s="1"/>
    </row>
    <row r="53" spans="1:13" ht="18" customHeight="1">
      <c r="A53" s="1"/>
      <c r="B53" s="18">
        <v>0.2</v>
      </c>
      <c r="C53" s="14">
        <f t="shared" si="0"/>
        <v>480</v>
      </c>
      <c r="D53" s="14">
        <f t="shared" si="1"/>
        <v>480</v>
      </c>
      <c r="E53" s="14">
        <f t="shared" si="2"/>
        <v>480</v>
      </c>
      <c r="F53" s="14">
        <f t="shared" si="3"/>
        <v>480</v>
      </c>
      <c r="G53" s="14">
        <f t="shared" si="4"/>
        <v>480</v>
      </c>
      <c r="M53" s="1"/>
    </row>
    <row r="54" spans="1:13" ht="18" customHeight="1">
      <c r="A54" s="1"/>
      <c r="B54" s="18">
        <v>0.25</v>
      </c>
      <c r="C54" s="14">
        <f t="shared" si="0"/>
        <v>585</v>
      </c>
      <c r="D54" s="14">
        <f t="shared" si="1"/>
        <v>585</v>
      </c>
      <c r="E54" s="14">
        <f t="shared" si="2"/>
        <v>585</v>
      </c>
      <c r="F54" s="14">
        <f t="shared" si="3"/>
        <v>585</v>
      </c>
      <c r="G54" s="14">
        <f t="shared" si="4"/>
        <v>585</v>
      </c>
      <c r="M54" s="1"/>
    </row>
    <row r="55" spans="1:13" ht="18" customHeight="1">
      <c r="A55" s="1"/>
      <c r="B55" s="18">
        <v>0.3</v>
      </c>
      <c r="C55" s="14">
        <f t="shared" si="0"/>
        <v>690</v>
      </c>
      <c r="D55" s="14">
        <f t="shared" si="1"/>
        <v>690</v>
      </c>
      <c r="E55" s="14">
        <f t="shared" si="2"/>
        <v>690</v>
      </c>
      <c r="F55" s="14">
        <f t="shared" si="3"/>
        <v>690</v>
      </c>
      <c r="G55" s="14">
        <f t="shared" si="4"/>
        <v>690</v>
      </c>
      <c r="M55" s="1"/>
    </row>
    <row r="56" spans="1:13" ht="18" customHeight="1">
      <c r="A56" s="1"/>
      <c r="B56" s="18">
        <v>0.35</v>
      </c>
      <c r="C56" s="14">
        <f t="shared" si="0"/>
        <v>795</v>
      </c>
      <c r="D56" s="14">
        <f t="shared" si="1"/>
        <v>795</v>
      </c>
      <c r="E56" s="14">
        <f t="shared" si="2"/>
        <v>795</v>
      </c>
      <c r="F56" s="14">
        <f t="shared" si="3"/>
        <v>795</v>
      </c>
      <c r="G56" s="14">
        <f t="shared" si="4"/>
        <v>795</v>
      </c>
      <c r="M56" s="1"/>
    </row>
    <row r="57" spans="1:13" ht="18" customHeight="1">
      <c r="A57" s="1"/>
      <c r="B57" s="18">
        <v>0.4</v>
      </c>
      <c r="C57" s="14">
        <f t="shared" si="0"/>
        <v>900</v>
      </c>
      <c r="D57" s="14">
        <f t="shared" si="1"/>
        <v>900</v>
      </c>
      <c r="E57" s="14">
        <f t="shared" si="2"/>
        <v>900</v>
      </c>
      <c r="F57" s="14">
        <f t="shared" si="3"/>
        <v>900</v>
      </c>
      <c r="G57" s="14">
        <f t="shared" si="4"/>
        <v>900</v>
      </c>
      <c r="M57" s="1"/>
    </row>
    <row r="58" spans="1:13" ht="18" customHeight="1">
      <c r="A58" s="1"/>
      <c r="B58" s="18">
        <v>0.45</v>
      </c>
      <c r="C58" s="14">
        <f t="shared" si="0"/>
        <v>1005.0000000000001</v>
      </c>
      <c r="D58" s="14">
        <f t="shared" si="1"/>
        <v>1005.0000000000001</v>
      </c>
      <c r="E58" s="14">
        <f t="shared" si="2"/>
        <v>1005.0000000000001</v>
      </c>
      <c r="F58" s="14">
        <f t="shared" si="3"/>
        <v>1005.0000000000001</v>
      </c>
      <c r="G58" s="14">
        <f t="shared" si="4"/>
        <v>1005.0000000000001</v>
      </c>
      <c r="M58" s="1"/>
    </row>
    <row r="59" spans="1:13" ht="18" customHeight="1">
      <c r="A59" s="1"/>
      <c r="B59" s="18">
        <v>0.5</v>
      </c>
      <c r="C59" s="14">
        <f t="shared" si="0"/>
        <v>1110</v>
      </c>
      <c r="D59" s="14">
        <f t="shared" si="1"/>
        <v>1110</v>
      </c>
      <c r="E59" s="14">
        <f t="shared" si="2"/>
        <v>1110</v>
      </c>
      <c r="F59" s="14">
        <f t="shared" si="3"/>
        <v>1110</v>
      </c>
      <c r="G59" s="14">
        <f t="shared" si="4"/>
        <v>1110</v>
      </c>
      <c r="M59" s="1"/>
    </row>
    <row r="60" spans="1:13" ht="18" customHeight="1">
      <c r="A60" s="1"/>
      <c r="B60" s="18">
        <v>0.55000000000000004</v>
      </c>
      <c r="C60" s="14">
        <f t="shared" si="0"/>
        <v>1215</v>
      </c>
      <c r="D60" s="14">
        <f t="shared" si="1"/>
        <v>1215</v>
      </c>
      <c r="E60" s="14">
        <f t="shared" si="2"/>
        <v>1215</v>
      </c>
      <c r="F60" s="14">
        <f t="shared" si="3"/>
        <v>1215</v>
      </c>
      <c r="G60" s="14">
        <f t="shared" si="4"/>
        <v>1215</v>
      </c>
      <c r="M60" s="1"/>
    </row>
    <row r="61" spans="1:13" ht="18" customHeight="1">
      <c r="A61" s="1"/>
      <c r="B61" s="18">
        <v>0.6</v>
      </c>
      <c r="C61" s="14">
        <f t="shared" si="0"/>
        <v>1340</v>
      </c>
      <c r="D61" s="14">
        <f t="shared" si="1"/>
        <v>1337.5</v>
      </c>
      <c r="E61" s="14">
        <f t="shared" si="2"/>
        <v>1320</v>
      </c>
      <c r="F61" s="14">
        <f t="shared" si="3"/>
        <v>1320</v>
      </c>
      <c r="G61" s="14">
        <f t="shared" si="4"/>
        <v>1320</v>
      </c>
      <c r="M61" s="1"/>
    </row>
    <row r="62" spans="1:13" ht="18" customHeight="1">
      <c r="A62" s="1"/>
      <c r="B62" s="18">
        <v>0.65</v>
      </c>
      <c r="C62" s="14">
        <f t="shared" si="0"/>
        <v>1495</v>
      </c>
      <c r="D62" s="14">
        <f t="shared" si="1"/>
        <v>1530</v>
      </c>
      <c r="E62" s="14">
        <f t="shared" si="2"/>
        <v>1550</v>
      </c>
      <c r="F62" s="14">
        <f t="shared" si="3"/>
        <v>1555</v>
      </c>
      <c r="G62" s="14">
        <f t="shared" si="4"/>
        <v>1545</v>
      </c>
      <c r="M62" s="1"/>
    </row>
    <row r="63" spans="1:13" ht="18" customHeight="1">
      <c r="A63" s="1"/>
      <c r="B63" s="18">
        <v>0.7</v>
      </c>
      <c r="C63" s="14">
        <f t="shared" si="0"/>
        <v>1649.9999999999998</v>
      </c>
      <c r="D63" s="14">
        <f t="shared" si="1"/>
        <v>1722.4999999999998</v>
      </c>
      <c r="E63" s="14">
        <f t="shared" si="2"/>
        <v>1779.9999999999998</v>
      </c>
      <c r="F63" s="14">
        <f t="shared" si="3"/>
        <v>1822.4999999999995</v>
      </c>
      <c r="G63" s="14">
        <f t="shared" si="4"/>
        <v>1849.9999999999995</v>
      </c>
      <c r="M63" s="1"/>
    </row>
    <row r="64" spans="1:13" ht="18" customHeight="1">
      <c r="A64" s="1"/>
      <c r="B64" s="18">
        <v>0.75</v>
      </c>
      <c r="C64" s="14">
        <f t="shared" si="0"/>
        <v>1805</v>
      </c>
      <c r="D64" s="14">
        <f t="shared" si="1"/>
        <v>1915</v>
      </c>
      <c r="E64" s="14">
        <f t="shared" si="2"/>
        <v>2010</v>
      </c>
      <c r="F64" s="14">
        <f t="shared" si="3"/>
        <v>2090</v>
      </c>
      <c r="G64" s="14">
        <f t="shared" si="4"/>
        <v>2155</v>
      </c>
      <c r="M64" s="1"/>
    </row>
    <row r="65" spans="1:13" ht="18" customHeight="1">
      <c r="A65" s="1"/>
      <c r="B65" s="18">
        <v>0.8</v>
      </c>
      <c r="C65" s="14">
        <f t="shared" si="0"/>
        <v>1960</v>
      </c>
      <c r="D65" s="14">
        <f t="shared" si="1"/>
        <v>2107.5</v>
      </c>
      <c r="E65" s="14">
        <f t="shared" si="2"/>
        <v>2240</v>
      </c>
      <c r="F65" s="14">
        <f t="shared" si="3"/>
        <v>2357.5</v>
      </c>
      <c r="G65" s="14">
        <f t="shared" si="4"/>
        <v>2460</v>
      </c>
      <c r="M65" s="1"/>
    </row>
    <row r="66" spans="1:13" ht="18" customHeight="1">
      <c r="A66" s="1"/>
      <c r="B66" s="18">
        <v>0.85</v>
      </c>
      <c r="C66" s="14">
        <f t="shared" si="0"/>
        <v>2115</v>
      </c>
      <c r="D66" s="14">
        <f t="shared" si="1"/>
        <v>2300</v>
      </c>
      <c r="E66" s="14">
        <f t="shared" si="2"/>
        <v>2470</v>
      </c>
      <c r="F66" s="14">
        <f t="shared" si="3"/>
        <v>2625</v>
      </c>
      <c r="G66" s="14">
        <f t="shared" si="4"/>
        <v>2765</v>
      </c>
      <c r="M66" s="1"/>
    </row>
    <row r="67" spans="1:13" ht="18" customHeight="1">
      <c r="A67" s="1"/>
      <c r="B67" s="18">
        <v>0.9</v>
      </c>
      <c r="C67" s="14">
        <f t="shared" si="0"/>
        <v>2270</v>
      </c>
      <c r="D67" s="14">
        <f t="shared" si="1"/>
        <v>2492.5</v>
      </c>
      <c r="E67" s="14">
        <f t="shared" si="2"/>
        <v>2700</v>
      </c>
      <c r="F67" s="14">
        <f t="shared" si="3"/>
        <v>2892.5</v>
      </c>
      <c r="G67" s="14">
        <f t="shared" si="4"/>
        <v>3070</v>
      </c>
      <c r="M67" s="1"/>
    </row>
    <row r="68" spans="1:13" ht="18" customHeight="1">
      <c r="A68" s="1"/>
      <c r="B68" s="18">
        <v>0.95</v>
      </c>
      <c r="C68" s="14">
        <f t="shared" si="0"/>
        <v>2425</v>
      </c>
      <c r="D68" s="14">
        <f t="shared" si="1"/>
        <v>2685</v>
      </c>
      <c r="E68" s="14">
        <f t="shared" si="2"/>
        <v>2930</v>
      </c>
      <c r="F68" s="14">
        <f t="shared" si="3"/>
        <v>3160</v>
      </c>
      <c r="G68" s="14">
        <f t="shared" si="4"/>
        <v>3375</v>
      </c>
      <c r="M68" s="1"/>
    </row>
    <row r="69" spans="1:13" ht="18" customHeight="1">
      <c r="A69" s="1"/>
      <c r="B69" s="18">
        <v>1</v>
      </c>
      <c r="C69" s="14">
        <f t="shared" si="0"/>
        <v>2580</v>
      </c>
      <c r="D69" s="14">
        <f t="shared" si="1"/>
        <v>2877.5</v>
      </c>
      <c r="E69" s="14">
        <f t="shared" si="2"/>
        <v>3160</v>
      </c>
      <c r="F69" s="14">
        <f t="shared" si="3"/>
        <v>3427.5</v>
      </c>
      <c r="G69" s="14">
        <f t="shared" si="4"/>
        <v>3680</v>
      </c>
      <c r="M69" s="1"/>
    </row>
    <row r="70" spans="1:13" ht="18" customHeight="1">
      <c r="A70" s="1"/>
      <c r="C70">
        <f t="shared" si="0"/>
        <v>375</v>
      </c>
      <c r="D70">
        <f t="shared" si="1"/>
        <v>375</v>
      </c>
      <c r="E70">
        <f t="shared" si="2"/>
        <v>375</v>
      </c>
      <c r="F70">
        <f t="shared" si="3"/>
        <v>375</v>
      </c>
      <c r="G70">
        <f t="shared" si="4"/>
        <v>375</v>
      </c>
      <c r="M70" s="1"/>
    </row>
    <row r="71" spans="1:13" ht="18" customHeight="1">
      <c r="A71" s="1"/>
      <c r="C71">
        <f t="shared" si="0"/>
        <v>375</v>
      </c>
      <c r="D71">
        <f t="shared" si="1"/>
        <v>375</v>
      </c>
      <c r="E71">
        <f t="shared" si="2"/>
        <v>375</v>
      </c>
      <c r="F71">
        <f t="shared" si="3"/>
        <v>375</v>
      </c>
      <c r="G71">
        <f t="shared" si="4"/>
        <v>375</v>
      </c>
      <c r="M71" s="1"/>
    </row>
    <row r="72" spans="1:13" ht="18" customHeight="1">
      <c r="A72" s="1"/>
      <c r="C72">
        <f t="shared" si="0"/>
        <v>375</v>
      </c>
      <c r="D72">
        <f t="shared" si="1"/>
        <v>375</v>
      </c>
      <c r="E72">
        <f t="shared" si="2"/>
        <v>375</v>
      </c>
      <c r="F72">
        <f t="shared" si="3"/>
        <v>375</v>
      </c>
      <c r="G72">
        <f t="shared" si="4"/>
        <v>375</v>
      </c>
      <c r="M72" s="1"/>
    </row>
    <row r="73" spans="1:13" ht="18" customHeight="1">
      <c r="A73" s="1"/>
      <c r="C73">
        <f t="shared" si="0"/>
        <v>375</v>
      </c>
      <c r="D73">
        <f t="shared" si="1"/>
        <v>375</v>
      </c>
      <c r="E73">
        <f t="shared" si="2"/>
        <v>375</v>
      </c>
      <c r="F73">
        <f t="shared" si="3"/>
        <v>375</v>
      </c>
      <c r="G73">
        <f t="shared" si="4"/>
        <v>375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9738D"/>
  </sheetPr>
  <dimension ref="A1:M74"/>
  <sheetViews>
    <sheetView showGridLines="0" topLeftCell="A7" zoomScaleNormal="100" workbookViewId="0">
      <selection activeCell="D40" sqref="D40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3" ht="28" customHeight="1">
      <c r="A2" s="20"/>
      <c r="B2" s="27" t="s">
        <v>53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3" ht="24" customHeight="1">
      <c r="A3" s="20"/>
      <c r="B3" s="28" t="str">
        <f>"Rally2 Gravel · "&amp;Parameters!E35&amp;"；单一回弹旋钮，LSR：−40 / −30 / −20 / −10 / 0"</f>
        <v>Rally2 Gravel · Type-A；单一回弹旋钮，LSR：−40 / −30 / −20 / −10 / 0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3" ht="18" customHeight="1">
      <c r="A4" s="20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</row>
    <row r="5" spans="1:13" ht="21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spans="1:13" ht="21" customHeight="1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7" spans="1:13" ht="21" customHeight="1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</row>
    <row r="8" spans="1:13" ht="21" customHeight="1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</row>
    <row r="9" spans="1:13" ht="21" customHeight="1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spans="1:13" ht="21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spans="1:13" ht="21" customHeight="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spans="1:13" ht="21" customHeight="1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spans="1:13" ht="21" customHeight="1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spans="1:13" ht="21" customHeight="1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13" ht="21" customHeight="1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</row>
    <row r="16" spans="1:13" ht="21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</row>
    <row r="17" spans="1:13" ht="21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spans="1:13" ht="21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</row>
    <row r="19" spans="1:13" ht="21" customHeight="1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</row>
    <row r="20" spans="1:13" ht="21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spans="1:13" ht="21" customHeight="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spans="1:13" ht="21" customHeight="1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spans="1:13" ht="21" customHeight="1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spans="1:13" ht="21" customHeight="1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spans="1:13" ht="21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spans="1:13" ht="21" customHeight="1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spans="1:13" ht="21" customHeight="1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spans="1:13" ht="21" customHeight="1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spans="1:13" ht="21" customHeight="1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spans="1:13" ht="21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spans="1:13" ht="21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spans="1:13" ht="21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spans="1:13" ht="18" customHeight="1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spans="1:13" ht="18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spans="1:13" ht="18" customHeight="1">
      <c r="A35" s="20"/>
      <c r="B35" s="30" t="s">
        <v>2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spans="1:13" ht="18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spans="1:13" ht="27" customHeight="1">
      <c r="A37" s="20"/>
      <c r="B37" s="21" t="s">
        <v>3</v>
      </c>
      <c r="C37" s="21" t="s">
        <v>54</v>
      </c>
      <c r="D37" s="21" t="s">
        <v>55</v>
      </c>
      <c r="E37" s="21" t="s">
        <v>56</v>
      </c>
      <c r="F37" s="21" t="s">
        <v>57</v>
      </c>
      <c r="G37" s="21" t="s">
        <v>58</v>
      </c>
      <c r="H37" s="20"/>
      <c r="I37" s="20"/>
      <c r="J37" s="20"/>
      <c r="K37" s="20"/>
      <c r="L37" s="20"/>
      <c r="M37" s="20"/>
    </row>
    <row r="38" spans="1:13" ht="23" customHeight="1">
      <c r="A38" s="20"/>
      <c r="B38" s="20" t="s">
        <v>59</v>
      </c>
      <c r="C38" s="32">
        <f>Parameters!C28</f>
        <v>-40</v>
      </c>
      <c r="D38" s="32">
        <f>INDEX(Parameters!$C$29:$G$30,MATCH(Parameters!$E$35,Parameters!$B$29:$B$30,0),MATCH(C38,Parameters!$C$28:$G$28,0))</f>
        <v>1215</v>
      </c>
      <c r="E38" s="34">
        <f>INDEX(Parameters!$C$31:$G$31,1,MATCH(C38,Parameters!$C$28:$G$28,0))</f>
        <v>0.3</v>
      </c>
      <c r="F38" s="34">
        <f>INDEX(Parameters!$C$32:$G$32,1,MATCH(C38,Parameters!$C$28:$G$28,0))</f>
        <v>0.74</v>
      </c>
      <c r="G38" s="36">
        <f>D38*F38</f>
        <v>899.1</v>
      </c>
      <c r="H38" s="20"/>
      <c r="I38" s="20"/>
      <c r="J38" s="20"/>
      <c r="K38" s="20"/>
      <c r="L38" s="20"/>
      <c r="M38" s="20"/>
    </row>
    <row r="39" spans="1:13" ht="23" customHeight="1">
      <c r="A39" s="20"/>
      <c r="B39" s="20" t="s">
        <v>60</v>
      </c>
      <c r="C39" s="32">
        <f>Parameters!D28</f>
        <v>-30</v>
      </c>
      <c r="D39" s="32">
        <f>INDEX(Parameters!$C$29:$G$30,MATCH(Parameters!$E$35,Parameters!$B$29:$B$30,0),MATCH(C39,Parameters!$C$28:$G$28,0))</f>
        <v>1665</v>
      </c>
      <c r="E39" s="34">
        <f>INDEX(Parameters!$C$31:$G$31,1,MATCH(C39,Parameters!$C$28:$G$28,0))</f>
        <v>0.32499999999999996</v>
      </c>
      <c r="F39" s="34">
        <f>INDEX(Parameters!$C$32:$G$32,1,MATCH(C39,Parameters!$C$28:$G$28,0))</f>
        <v>0.78</v>
      </c>
      <c r="G39" s="36">
        <f>D39*F39</f>
        <v>1298.7</v>
      </c>
      <c r="H39" s="20"/>
      <c r="I39" s="20"/>
      <c r="J39" s="20"/>
      <c r="K39" s="20"/>
      <c r="L39" s="20"/>
      <c r="M39" s="20"/>
    </row>
    <row r="40" spans="1:13" ht="23" customHeight="1">
      <c r="A40" s="20"/>
      <c r="B40" s="31" t="s">
        <v>61</v>
      </c>
      <c r="C40" s="33">
        <f>Parameters!E28</f>
        <v>-20</v>
      </c>
      <c r="D40" s="33">
        <f>INDEX(Parameters!$C$29:$G$30,MATCH(Parameters!$E$35,Parameters!$B$29:$B$30,0),MATCH(C40,Parameters!$C$28:$G$28,0))</f>
        <v>2115</v>
      </c>
      <c r="E40" s="35">
        <f>INDEX(Parameters!$C$31:$G$31,1,MATCH(C40,Parameters!$C$28:$G$28,0))</f>
        <v>0.35</v>
      </c>
      <c r="F40" s="35">
        <f>INDEX(Parameters!$C$32:$G$32,1,MATCH(C40,Parameters!$C$28:$G$28,0))</f>
        <v>0.82</v>
      </c>
      <c r="G40" s="37">
        <f>D40*F40</f>
        <v>1734.3</v>
      </c>
      <c r="H40" s="20"/>
      <c r="I40" s="20"/>
      <c r="J40" s="20"/>
      <c r="K40" s="20"/>
      <c r="L40" s="20"/>
      <c r="M40" s="20"/>
    </row>
    <row r="41" spans="1:13" ht="23" customHeight="1">
      <c r="A41" s="20"/>
      <c r="B41" s="20" t="s">
        <v>62</v>
      </c>
      <c r="C41" s="32">
        <f>Parameters!F28</f>
        <v>-10</v>
      </c>
      <c r="D41" s="32">
        <f>INDEX(Parameters!$C$29:$G$30,MATCH(Parameters!$E$35,Parameters!$B$29:$B$30,0),MATCH(C41,Parameters!$C$28:$G$28,0))</f>
        <v>2565</v>
      </c>
      <c r="E41" s="34">
        <f>INDEX(Parameters!$C$31:$G$31,1,MATCH(C41,Parameters!$C$28:$G$28,0))</f>
        <v>0.375</v>
      </c>
      <c r="F41" s="34">
        <f>INDEX(Parameters!$C$32:$G$32,1,MATCH(C41,Parameters!$C$28:$G$28,0))</f>
        <v>0.86</v>
      </c>
      <c r="G41" s="36">
        <f>D41*F41</f>
        <v>2205.9</v>
      </c>
      <c r="H41" s="20"/>
      <c r="I41" s="20"/>
      <c r="J41" s="20"/>
      <c r="K41" s="20"/>
      <c r="L41" s="20"/>
      <c r="M41" s="20"/>
    </row>
    <row r="42" spans="1:13" ht="23" customHeight="1">
      <c r="A42" s="20"/>
      <c r="B42" s="20" t="s">
        <v>63</v>
      </c>
      <c r="C42" s="32">
        <f>Parameters!G28</f>
        <v>0</v>
      </c>
      <c r="D42" s="32">
        <f>INDEX(Parameters!$C$29:$G$30,MATCH(Parameters!$E$35,Parameters!$B$29:$B$30,0),MATCH(C42,Parameters!$C$28:$G$28,0))</f>
        <v>3015</v>
      </c>
      <c r="E42" s="34">
        <f>INDEX(Parameters!$C$31:$G$31,1,MATCH(C42,Parameters!$C$28:$G$28,0))</f>
        <v>0.4</v>
      </c>
      <c r="F42" s="34">
        <f>INDEX(Parameters!$C$32:$G$32,1,MATCH(C42,Parameters!$C$28:$G$28,0))</f>
        <v>0.9</v>
      </c>
      <c r="G42" s="36">
        <f>D42*F42</f>
        <v>2713.5</v>
      </c>
      <c r="H42" s="20"/>
      <c r="I42" s="20"/>
      <c r="J42" s="20"/>
      <c r="K42" s="20"/>
      <c r="L42" s="20"/>
      <c r="M42" s="20"/>
    </row>
    <row r="43" spans="1:13" ht="18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spans="1:13" ht="18" customHeight="1">
      <c r="A44" s="20"/>
      <c r="B44" s="28" t="s">
        <v>64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spans="1:13" ht="18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spans="1:13" ht="18" customHeight="1">
      <c r="A46" s="20"/>
      <c r="B46" s="30" t="s">
        <v>65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spans="1:13" ht="18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spans="1:13" ht="27" customHeight="1">
      <c r="A48" s="20"/>
      <c r="B48" s="21" t="s">
        <v>20</v>
      </c>
      <c r="C48" s="21" t="s">
        <v>59</v>
      </c>
      <c r="D48" s="21" t="s">
        <v>60</v>
      </c>
      <c r="E48" s="21" t="s">
        <v>61</v>
      </c>
      <c r="F48" s="21" t="s">
        <v>62</v>
      </c>
      <c r="G48" s="21" t="s">
        <v>63</v>
      </c>
      <c r="H48" s="20"/>
      <c r="I48" s="20"/>
      <c r="J48" s="20"/>
      <c r="K48" s="20"/>
      <c r="L48" s="20"/>
      <c r="M48" s="20"/>
    </row>
    <row r="49" spans="1:13" ht="18" customHeight="1">
      <c r="A49" s="20"/>
      <c r="B49" s="38">
        <v>0</v>
      </c>
      <c r="C49" s="36">
        <f t="shared" ref="C49:C73" si="0">$D$38*MIN($B49,$E$38)+$G$38*MAX(0,$B49-$E$38)</f>
        <v>0</v>
      </c>
      <c r="D49" s="36">
        <f t="shared" ref="D49:D73" si="1">$D$39*MIN($B49,$E$39)+$G$39*MAX(0,$B49-$E$39)</f>
        <v>0</v>
      </c>
      <c r="E49" s="36">
        <f t="shared" ref="E49:E73" si="2">$D$40*MIN($B49,$E$40)+$G$40*MAX(0,$B49-$E$40)</f>
        <v>0</v>
      </c>
      <c r="F49" s="36">
        <f t="shared" ref="F49:F73" si="3">$D$41*MIN($B49,$E$41)+$G$41*MAX(0,$B49-$E$41)</f>
        <v>0</v>
      </c>
      <c r="G49" s="36">
        <f t="shared" ref="G49:G73" si="4">$D$42*MIN($B49,$E$42)+$G$42*MAX(0,$B49-$E$42)</f>
        <v>0</v>
      </c>
      <c r="H49" s="20"/>
      <c r="I49" s="20"/>
      <c r="J49" s="20"/>
      <c r="K49" s="20"/>
      <c r="L49" s="20"/>
      <c r="M49" s="20"/>
    </row>
    <row r="50" spans="1:13" ht="18" customHeight="1">
      <c r="A50" s="20"/>
      <c r="B50" s="38">
        <v>0.05</v>
      </c>
      <c r="C50" s="36">
        <f t="shared" si="0"/>
        <v>60.75</v>
      </c>
      <c r="D50" s="36">
        <f t="shared" si="1"/>
        <v>83.25</v>
      </c>
      <c r="E50" s="36">
        <f t="shared" si="2"/>
        <v>105.75</v>
      </c>
      <c r="F50" s="36">
        <f t="shared" si="3"/>
        <v>128.25</v>
      </c>
      <c r="G50" s="36">
        <f t="shared" si="4"/>
        <v>150.75</v>
      </c>
      <c r="H50" s="20"/>
      <c r="I50" s="20"/>
      <c r="J50" s="20"/>
      <c r="K50" s="20"/>
      <c r="L50" s="20"/>
      <c r="M50" s="20"/>
    </row>
    <row r="51" spans="1:13" ht="18" customHeight="1">
      <c r="A51" s="20"/>
      <c r="B51" s="38">
        <v>0.1</v>
      </c>
      <c r="C51" s="36">
        <f t="shared" si="0"/>
        <v>121.5</v>
      </c>
      <c r="D51" s="36">
        <f t="shared" si="1"/>
        <v>166.5</v>
      </c>
      <c r="E51" s="36">
        <f t="shared" si="2"/>
        <v>211.5</v>
      </c>
      <c r="F51" s="36">
        <f t="shared" si="3"/>
        <v>256.5</v>
      </c>
      <c r="G51" s="36">
        <f t="shared" si="4"/>
        <v>301.5</v>
      </c>
      <c r="H51" s="20"/>
      <c r="I51" s="20"/>
      <c r="J51" s="20"/>
      <c r="K51" s="20"/>
      <c r="L51" s="20"/>
      <c r="M51" s="20"/>
    </row>
    <row r="52" spans="1:13" ht="18" customHeight="1">
      <c r="A52" s="20"/>
      <c r="B52" s="38">
        <v>0.15</v>
      </c>
      <c r="C52" s="36">
        <f t="shared" si="0"/>
        <v>182.25</v>
      </c>
      <c r="D52" s="36">
        <f t="shared" si="1"/>
        <v>249.75</v>
      </c>
      <c r="E52" s="36">
        <f t="shared" si="2"/>
        <v>317.25</v>
      </c>
      <c r="F52" s="36">
        <f t="shared" si="3"/>
        <v>384.75</v>
      </c>
      <c r="G52" s="36">
        <f t="shared" si="4"/>
        <v>452.25</v>
      </c>
      <c r="H52" s="20"/>
      <c r="I52" s="20"/>
      <c r="J52" s="20"/>
      <c r="K52" s="20"/>
      <c r="L52" s="20"/>
      <c r="M52" s="20"/>
    </row>
    <row r="53" spans="1:13" ht="18" customHeight="1">
      <c r="A53" s="20"/>
      <c r="B53" s="38">
        <v>0.2</v>
      </c>
      <c r="C53" s="36">
        <f t="shared" si="0"/>
        <v>243</v>
      </c>
      <c r="D53" s="36">
        <f t="shared" si="1"/>
        <v>333</v>
      </c>
      <c r="E53" s="36">
        <f t="shared" si="2"/>
        <v>423</v>
      </c>
      <c r="F53" s="36">
        <f t="shared" si="3"/>
        <v>513</v>
      </c>
      <c r="G53" s="36">
        <f t="shared" si="4"/>
        <v>603</v>
      </c>
      <c r="H53" s="20"/>
      <c r="I53" s="20"/>
      <c r="J53" s="20"/>
      <c r="K53" s="20"/>
      <c r="L53" s="20"/>
      <c r="M53" s="20"/>
    </row>
    <row r="54" spans="1:13" ht="18" customHeight="1">
      <c r="A54" s="20"/>
      <c r="B54" s="38">
        <v>0.25</v>
      </c>
      <c r="C54" s="36">
        <f t="shared" si="0"/>
        <v>303.75</v>
      </c>
      <c r="D54" s="36">
        <f t="shared" si="1"/>
        <v>416.25</v>
      </c>
      <c r="E54" s="36">
        <f t="shared" si="2"/>
        <v>528.75</v>
      </c>
      <c r="F54" s="36">
        <f t="shared" si="3"/>
        <v>641.25</v>
      </c>
      <c r="G54" s="36">
        <f t="shared" si="4"/>
        <v>753.75</v>
      </c>
      <c r="H54" s="20"/>
      <c r="I54" s="20"/>
      <c r="J54" s="20"/>
      <c r="K54" s="20"/>
      <c r="L54" s="20"/>
      <c r="M54" s="20"/>
    </row>
    <row r="55" spans="1:13" ht="18" customHeight="1">
      <c r="A55" s="20"/>
      <c r="B55" s="38">
        <v>0.3</v>
      </c>
      <c r="C55" s="36">
        <f t="shared" si="0"/>
        <v>364.5</v>
      </c>
      <c r="D55" s="36">
        <f t="shared" si="1"/>
        <v>499.5</v>
      </c>
      <c r="E55" s="36">
        <f t="shared" si="2"/>
        <v>634.5</v>
      </c>
      <c r="F55" s="36">
        <f t="shared" si="3"/>
        <v>769.5</v>
      </c>
      <c r="G55" s="36">
        <f t="shared" si="4"/>
        <v>904.5</v>
      </c>
      <c r="H55" s="20"/>
      <c r="I55" s="20"/>
      <c r="J55" s="20"/>
      <c r="K55" s="20"/>
      <c r="L55" s="20"/>
      <c r="M55" s="20"/>
    </row>
    <row r="56" spans="1:13" ht="18" customHeight="1">
      <c r="A56" s="20"/>
      <c r="B56" s="38">
        <v>0.35</v>
      </c>
      <c r="C56" s="36">
        <f t="shared" si="0"/>
        <v>409.45499999999998</v>
      </c>
      <c r="D56" s="36">
        <f t="shared" si="1"/>
        <v>573.59249999999997</v>
      </c>
      <c r="E56" s="36">
        <f t="shared" si="2"/>
        <v>740.25</v>
      </c>
      <c r="F56" s="36">
        <f t="shared" si="3"/>
        <v>897.74999999999989</v>
      </c>
      <c r="G56" s="36">
        <f t="shared" si="4"/>
        <v>1055.25</v>
      </c>
      <c r="H56" s="20"/>
      <c r="I56" s="20"/>
      <c r="J56" s="20"/>
      <c r="K56" s="20"/>
      <c r="L56" s="20"/>
      <c r="M56" s="20"/>
    </row>
    <row r="57" spans="1:13" ht="18" customHeight="1">
      <c r="A57" s="20"/>
      <c r="B57" s="38">
        <v>0.4</v>
      </c>
      <c r="C57" s="36">
        <f t="shared" si="0"/>
        <v>454.41</v>
      </c>
      <c r="D57" s="36">
        <f t="shared" si="1"/>
        <v>638.52749999999992</v>
      </c>
      <c r="E57" s="36">
        <f t="shared" si="2"/>
        <v>826.96500000000003</v>
      </c>
      <c r="F57" s="36">
        <f t="shared" si="3"/>
        <v>1017.0225</v>
      </c>
      <c r="G57" s="36">
        <f t="shared" si="4"/>
        <v>1206</v>
      </c>
      <c r="H57" s="20"/>
      <c r="I57" s="20"/>
      <c r="J57" s="20"/>
      <c r="K57" s="20"/>
      <c r="L57" s="20"/>
      <c r="M57" s="20"/>
    </row>
    <row r="58" spans="1:13" ht="18" customHeight="1">
      <c r="A58" s="20"/>
      <c r="B58" s="38">
        <v>0.45</v>
      </c>
      <c r="C58" s="36">
        <f t="shared" si="0"/>
        <v>499.36500000000001</v>
      </c>
      <c r="D58" s="36">
        <f t="shared" si="1"/>
        <v>703.46249999999998</v>
      </c>
      <c r="E58" s="36">
        <f t="shared" si="2"/>
        <v>913.68000000000006</v>
      </c>
      <c r="F58" s="36">
        <f t="shared" si="3"/>
        <v>1127.3175000000001</v>
      </c>
      <c r="G58" s="36">
        <f t="shared" si="4"/>
        <v>1341.675</v>
      </c>
      <c r="H58" s="20"/>
      <c r="I58" s="20"/>
      <c r="J58" s="20"/>
      <c r="K58" s="20"/>
      <c r="L58" s="20"/>
      <c r="M58" s="20"/>
    </row>
    <row r="59" spans="1:13" ht="18" customHeight="1">
      <c r="A59" s="20"/>
      <c r="B59" s="38">
        <v>0.5</v>
      </c>
      <c r="C59" s="36">
        <f t="shared" si="0"/>
        <v>544.32000000000005</v>
      </c>
      <c r="D59" s="36">
        <f t="shared" si="1"/>
        <v>768.39749999999992</v>
      </c>
      <c r="E59" s="36">
        <f t="shared" si="2"/>
        <v>1000.395</v>
      </c>
      <c r="F59" s="36">
        <f t="shared" si="3"/>
        <v>1237.6125</v>
      </c>
      <c r="G59" s="36">
        <f t="shared" si="4"/>
        <v>1477.35</v>
      </c>
      <c r="H59" s="20"/>
      <c r="I59" s="20"/>
      <c r="J59" s="20"/>
      <c r="K59" s="20"/>
      <c r="L59" s="20"/>
      <c r="M59" s="20"/>
    </row>
    <row r="60" spans="1:13" ht="18" customHeight="1">
      <c r="A60" s="20"/>
      <c r="B60" s="38">
        <v>0.55000000000000004</v>
      </c>
      <c r="C60" s="36">
        <f t="shared" si="0"/>
        <v>589.27500000000009</v>
      </c>
      <c r="D60" s="36">
        <f t="shared" si="1"/>
        <v>833.33249999999998</v>
      </c>
      <c r="E60" s="36">
        <f t="shared" si="2"/>
        <v>1087.1100000000001</v>
      </c>
      <c r="F60" s="36">
        <f t="shared" si="3"/>
        <v>1347.9075000000003</v>
      </c>
      <c r="G60" s="36">
        <f t="shared" si="4"/>
        <v>1613.0250000000001</v>
      </c>
      <c r="H60" s="20"/>
      <c r="I60" s="20"/>
      <c r="J60" s="20"/>
      <c r="K60" s="20"/>
      <c r="L60" s="20"/>
      <c r="M60" s="20"/>
    </row>
    <row r="61" spans="1:13" ht="18" customHeight="1">
      <c r="A61" s="20"/>
      <c r="B61" s="38">
        <v>0.6</v>
      </c>
      <c r="C61" s="36">
        <f t="shared" si="0"/>
        <v>634.23</v>
      </c>
      <c r="D61" s="36">
        <f t="shared" si="1"/>
        <v>898.26749999999993</v>
      </c>
      <c r="E61" s="36">
        <f t="shared" si="2"/>
        <v>1173.825</v>
      </c>
      <c r="F61" s="36">
        <f t="shared" si="3"/>
        <v>1458.2024999999999</v>
      </c>
      <c r="G61" s="36">
        <f t="shared" si="4"/>
        <v>1748.6999999999998</v>
      </c>
      <c r="H61" s="20"/>
      <c r="I61" s="20"/>
      <c r="J61" s="20"/>
      <c r="K61" s="20"/>
      <c r="L61" s="20"/>
      <c r="M61" s="20"/>
    </row>
    <row r="62" spans="1:13" ht="18" customHeight="1">
      <c r="A62" s="20"/>
      <c r="B62" s="38">
        <v>0.65</v>
      </c>
      <c r="C62" s="36">
        <f t="shared" si="0"/>
        <v>679.18500000000006</v>
      </c>
      <c r="D62" s="36">
        <f t="shared" si="1"/>
        <v>963.20249999999999</v>
      </c>
      <c r="E62" s="36">
        <f t="shared" si="2"/>
        <v>1260.54</v>
      </c>
      <c r="F62" s="36">
        <f t="shared" si="3"/>
        <v>1568.4974999999999</v>
      </c>
      <c r="G62" s="36">
        <f t="shared" si="4"/>
        <v>1884.375</v>
      </c>
      <c r="H62" s="20"/>
      <c r="I62" s="20"/>
      <c r="J62" s="20"/>
      <c r="K62" s="20"/>
      <c r="L62" s="20"/>
      <c r="M62" s="20"/>
    </row>
    <row r="63" spans="1:13" ht="18" customHeight="1">
      <c r="A63" s="20"/>
      <c r="B63" s="38">
        <v>0.7</v>
      </c>
      <c r="C63" s="36">
        <f t="shared" si="0"/>
        <v>724.14</v>
      </c>
      <c r="D63" s="36">
        <f t="shared" si="1"/>
        <v>1028.1374999999998</v>
      </c>
      <c r="E63" s="36">
        <f t="shared" si="2"/>
        <v>1347.2550000000001</v>
      </c>
      <c r="F63" s="36">
        <f t="shared" si="3"/>
        <v>1678.7925</v>
      </c>
      <c r="G63" s="36">
        <f t="shared" si="4"/>
        <v>2020.0499999999997</v>
      </c>
      <c r="H63" s="20"/>
      <c r="I63" s="20"/>
      <c r="J63" s="20"/>
      <c r="K63" s="20"/>
      <c r="L63" s="20"/>
      <c r="M63" s="20"/>
    </row>
    <row r="64" spans="1:13" ht="18" customHeight="1">
      <c r="A64" s="20"/>
      <c r="B64" s="38">
        <v>0.75</v>
      </c>
      <c r="C64" s="36">
        <f t="shared" si="0"/>
        <v>769.09500000000003</v>
      </c>
      <c r="D64" s="36">
        <f t="shared" si="1"/>
        <v>1093.0725</v>
      </c>
      <c r="E64" s="36">
        <f t="shared" si="2"/>
        <v>1433.97</v>
      </c>
      <c r="F64" s="36">
        <f t="shared" si="3"/>
        <v>1789.0875000000001</v>
      </c>
      <c r="G64" s="36">
        <f t="shared" si="4"/>
        <v>2155.7249999999999</v>
      </c>
      <c r="H64" s="20"/>
      <c r="I64" s="20"/>
      <c r="J64" s="20"/>
      <c r="K64" s="20"/>
      <c r="L64" s="20"/>
      <c r="M64" s="20"/>
    </row>
    <row r="65" spans="1:13" ht="18" customHeight="1">
      <c r="A65" s="20"/>
      <c r="B65" s="38">
        <v>0.8</v>
      </c>
      <c r="C65" s="36">
        <f t="shared" si="0"/>
        <v>814.05</v>
      </c>
      <c r="D65" s="36">
        <f t="shared" si="1"/>
        <v>1158.0075000000002</v>
      </c>
      <c r="E65" s="36">
        <f t="shared" si="2"/>
        <v>1520.6849999999999</v>
      </c>
      <c r="F65" s="36">
        <f t="shared" si="3"/>
        <v>1899.3825000000002</v>
      </c>
      <c r="G65" s="36">
        <f t="shared" si="4"/>
        <v>2291.4</v>
      </c>
      <c r="H65" s="20"/>
      <c r="I65" s="20"/>
      <c r="J65" s="20"/>
      <c r="K65" s="20"/>
      <c r="L65" s="20"/>
      <c r="M65" s="20"/>
    </row>
    <row r="66" spans="1:13" ht="18" customHeight="1">
      <c r="A66" s="20"/>
      <c r="B66" s="38">
        <v>0.85</v>
      </c>
      <c r="C66" s="36">
        <f t="shared" si="0"/>
        <v>859.00500000000011</v>
      </c>
      <c r="D66" s="36">
        <f t="shared" si="1"/>
        <v>1222.9425000000001</v>
      </c>
      <c r="E66" s="36">
        <f t="shared" si="2"/>
        <v>1607.4</v>
      </c>
      <c r="F66" s="36">
        <f t="shared" si="3"/>
        <v>2009.6775</v>
      </c>
      <c r="G66" s="36">
        <f t="shared" si="4"/>
        <v>2427.0749999999998</v>
      </c>
      <c r="H66" s="20"/>
      <c r="I66" s="20"/>
      <c r="J66" s="20"/>
      <c r="K66" s="20"/>
      <c r="L66" s="20"/>
      <c r="M66" s="20"/>
    </row>
    <row r="67" spans="1:13" ht="18" customHeight="1">
      <c r="A67" s="20"/>
      <c r="B67" s="38">
        <v>0.9</v>
      </c>
      <c r="C67" s="36">
        <f t="shared" si="0"/>
        <v>903.96000000000015</v>
      </c>
      <c r="D67" s="36">
        <f t="shared" si="1"/>
        <v>1287.8775000000001</v>
      </c>
      <c r="E67" s="36">
        <f t="shared" si="2"/>
        <v>1694.115</v>
      </c>
      <c r="F67" s="36">
        <f t="shared" si="3"/>
        <v>2119.9724999999999</v>
      </c>
      <c r="G67" s="36">
        <f t="shared" si="4"/>
        <v>2562.75</v>
      </c>
      <c r="H67" s="20"/>
      <c r="I67" s="20"/>
      <c r="J67" s="20"/>
      <c r="K67" s="20"/>
      <c r="L67" s="20"/>
      <c r="M67" s="20"/>
    </row>
    <row r="68" spans="1:13" ht="18" customHeight="1">
      <c r="A68" s="20"/>
      <c r="B68" s="38">
        <v>0.95</v>
      </c>
      <c r="C68" s="36">
        <f t="shared" si="0"/>
        <v>948.91499999999996</v>
      </c>
      <c r="D68" s="36">
        <f t="shared" si="1"/>
        <v>1352.8125</v>
      </c>
      <c r="E68" s="36">
        <f t="shared" si="2"/>
        <v>1780.83</v>
      </c>
      <c r="F68" s="36">
        <f t="shared" si="3"/>
        <v>2230.2674999999999</v>
      </c>
      <c r="G68" s="36">
        <f t="shared" si="4"/>
        <v>2698.4249999999997</v>
      </c>
      <c r="H68" s="20"/>
      <c r="I68" s="20"/>
      <c r="J68" s="20"/>
      <c r="K68" s="20"/>
      <c r="L68" s="20"/>
      <c r="M68" s="20"/>
    </row>
    <row r="69" spans="1:13" ht="18" customHeight="1">
      <c r="A69" s="20"/>
      <c r="B69" s="38">
        <v>1</v>
      </c>
      <c r="C69" s="36">
        <f t="shared" si="0"/>
        <v>993.87</v>
      </c>
      <c r="D69" s="36">
        <f t="shared" si="1"/>
        <v>1417.7474999999999</v>
      </c>
      <c r="E69" s="36">
        <f t="shared" si="2"/>
        <v>1867.5450000000001</v>
      </c>
      <c r="F69" s="36">
        <f t="shared" si="3"/>
        <v>2340.5625</v>
      </c>
      <c r="G69" s="36">
        <f t="shared" si="4"/>
        <v>2834.1</v>
      </c>
      <c r="H69" s="20"/>
      <c r="I69" s="20"/>
      <c r="J69" s="20"/>
      <c r="K69" s="20"/>
      <c r="L69" s="20"/>
      <c r="M69" s="20"/>
    </row>
    <row r="70" spans="1:13" ht="18" customHeight="1">
      <c r="A70" s="20"/>
      <c r="C70">
        <f t="shared" si="0"/>
        <v>364.5</v>
      </c>
      <c r="D70">
        <f t="shared" si="1"/>
        <v>541.12499999999989</v>
      </c>
      <c r="E70">
        <f t="shared" si="2"/>
        <v>740.25</v>
      </c>
      <c r="F70">
        <f t="shared" si="3"/>
        <v>961.875</v>
      </c>
      <c r="G70">
        <f t="shared" si="4"/>
        <v>1206</v>
      </c>
      <c r="H70" s="20"/>
      <c r="I70" s="20"/>
      <c r="J70" s="20"/>
      <c r="K70" s="20"/>
      <c r="L70" s="20"/>
      <c r="M70" s="20"/>
    </row>
    <row r="71" spans="1:13" ht="18" customHeight="1">
      <c r="A71" s="20"/>
      <c r="C71">
        <f t="shared" si="0"/>
        <v>364.5</v>
      </c>
      <c r="D71">
        <f t="shared" si="1"/>
        <v>541.12499999999989</v>
      </c>
      <c r="E71">
        <f t="shared" si="2"/>
        <v>740.25</v>
      </c>
      <c r="F71">
        <f t="shared" si="3"/>
        <v>961.875</v>
      </c>
      <c r="G71">
        <f t="shared" si="4"/>
        <v>1206</v>
      </c>
      <c r="H71" s="20"/>
      <c r="I71" s="20"/>
      <c r="J71" s="20"/>
      <c r="K71" s="20"/>
      <c r="L71" s="20"/>
      <c r="M71" s="20"/>
    </row>
    <row r="72" spans="1:13" ht="18" customHeight="1">
      <c r="A72" s="20"/>
      <c r="C72">
        <f t="shared" si="0"/>
        <v>364.5</v>
      </c>
      <c r="D72">
        <f t="shared" si="1"/>
        <v>541.12499999999989</v>
      </c>
      <c r="E72">
        <f t="shared" si="2"/>
        <v>740.25</v>
      </c>
      <c r="F72">
        <f t="shared" si="3"/>
        <v>961.875</v>
      </c>
      <c r="G72">
        <f t="shared" si="4"/>
        <v>1206</v>
      </c>
      <c r="H72" s="20"/>
      <c r="I72" s="20"/>
      <c r="J72" s="20"/>
      <c r="K72" s="20"/>
      <c r="L72" s="20"/>
      <c r="M72" s="20"/>
    </row>
    <row r="73" spans="1:13" ht="18" customHeight="1">
      <c r="A73" s="20"/>
      <c r="C73">
        <f t="shared" si="0"/>
        <v>364.5</v>
      </c>
      <c r="D73">
        <f t="shared" si="1"/>
        <v>541.12499999999989</v>
      </c>
      <c r="E73">
        <f t="shared" si="2"/>
        <v>740.25</v>
      </c>
      <c r="F73">
        <f t="shared" si="3"/>
        <v>961.875</v>
      </c>
      <c r="G73">
        <f t="shared" si="4"/>
        <v>1206</v>
      </c>
      <c r="H73" s="20"/>
      <c r="I73" s="20"/>
      <c r="J73" s="20"/>
      <c r="K73" s="20"/>
      <c r="L73" s="20"/>
      <c r="M73" s="20"/>
    </row>
    <row r="74" spans="1:13" ht="18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</sheetData>
  <phoneticPr fontId="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65D"/>
  </sheetPr>
  <dimension ref="A1:M74"/>
  <sheetViews>
    <sheetView showGridLines="0" topLeftCell="C4" zoomScale="90" zoomScaleNormal="100" workbookViewId="0">
      <selection activeCell="Q19" sqref="Q19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38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39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40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41</v>
      </c>
      <c r="C38" s="12">
        <f>Parameters!C6</f>
        <v>-20</v>
      </c>
      <c r="D38" s="12">
        <f>Parameters!C6</f>
        <v>-20</v>
      </c>
      <c r="E38" s="12">
        <f>INDEX(Parameters!$C$7:$G$7,1,MATCH($C38,Parameters!$C$6:$G$6,0))</f>
        <v>1300</v>
      </c>
      <c r="F38" s="13">
        <f>INDEX(Parameters!$C$8:$G$8,1,MATCH($C38,Parameters!$C$6:$G$6,0))</f>
        <v>0.12</v>
      </c>
      <c r="G38" s="13">
        <f>INDEX(Parameters!$C$9:$G$9,1,MATCH($C38,Parameters!$C$6:$G$6,0))</f>
        <v>0.78</v>
      </c>
      <c r="H38" s="13"/>
      <c r="I38" s="14">
        <f>E38*G38</f>
        <v>1014</v>
      </c>
      <c r="J38" s="14">
        <f>INDEX(Parameters!$C$10:$G$10,1,MATCH($D38,Parameters!$C$6:$G$6,0))</f>
        <v>1000</v>
      </c>
      <c r="K38" s="13">
        <f>INDEX(Parameters!$C$11:$G$11,1,MATCH($D38,Parameters!$C$6:$G$6,0))</f>
        <v>0.57999999999999996</v>
      </c>
      <c r="L38" s="14">
        <f>I38+J38</f>
        <v>2014</v>
      </c>
      <c r="M38" s="1"/>
    </row>
    <row r="39" spans="1:13" ht="23" customHeight="1">
      <c r="A39" s="1"/>
      <c r="B39" s="1" t="s">
        <v>42</v>
      </c>
      <c r="C39" s="12">
        <f>Parameters!D6</f>
        <v>-15</v>
      </c>
      <c r="D39" s="12">
        <f>Parameters!D6</f>
        <v>-15</v>
      </c>
      <c r="E39" s="12">
        <f>INDEX(Parameters!$C$7:$G$7,1,MATCH($C39,Parameters!$C$6:$G$6,0))</f>
        <v>1900</v>
      </c>
      <c r="F39" s="13">
        <f>INDEX(Parameters!$C$8:$G$8,1,MATCH($C39,Parameters!$C$6:$G$6,0))</f>
        <v>0.13500000000000001</v>
      </c>
      <c r="G39" s="13">
        <f>INDEX(Parameters!$C$9:$G$9,1,MATCH($C39,Parameters!$C$6:$G$6,0))</f>
        <v>0.81</v>
      </c>
      <c r="H39" s="13"/>
      <c r="I39" s="14">
        <f>E39*G39</f>
        <v>1539</v>
      </c>
      <c r="J39" s="14">
        <f>INDEX(Parameters!$C$10:$G$10,1,MATCH($D39,Parameters!$C$6:$G$6,0))</f>
        <v>1750</v>
      </c>
      <c r="K39" s="13">
        <f>INDEX(Parameters!$C$11:$G$11,1,MATCH($D39,Parameters!$C$6:$G$6,0))</f>
        <v>0.59</v>
      </c>
      <c r="L39" s="14">
        <f>I39+J39</f>
        <v>3289</v>
      </c>
      <c r="M39" s="1"/>
    </row>
    <row r="40" spans="1:13" ht="23" customHeight="1">
      <c r="A40" s="1"/>
      <c r="B40" s="11" t="s">
        <v>43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0.15</v>
      </c>
      <c r="G40" s="16">
        <f>INDEX(Parameters!$C$9:$G$9,1,MATCH($C40,Parameters!$C$6:$G$6,0))</f>
        <v>0.84</v>
      </c>
      <c r="H40" s="16"/>
      <c r="I40" s="17">
        <f>E40*G40</f>
        <v>2100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4600</v>
      </c>
      <c r="M40" s="1"/>
    </row>
    <row r="41" spans="1:13" ht="23" customHeight="1">
      <c r="A41" s="1"/>
      <c r="B41" s="1" t="s">
        <v>44</v>
      </c>
      <c r="C41" s="12">
        <f>Parameters!F6</f>
        <v>-5</v>
      </c>
      <c r="D41" s="12">
        <f>Parameters!F6</f>
        <v>-5</v>
      </c>
      <c r="E41" s="12">
        <f>INDEX(Parameters!$C$7:$G$7,1,MATCH($C41,Parameters!$C$6:$G$6,0))</f>
        <v>3100</v>
      </c>
      <c r="F41" s="13">
        <f>INDEX(Parameters!$C$8:$G$8,1,MATCH($C41,Parameters!$C$6:$G$6,0))</f>
        <v>0.16</v>
      </c>
      <c r="G41" s="13">
        <f>INDEX(Parameters!$C$9:$G$9,1,MATCH($C41,Parameters!$C$6:$G$6,0))</f>
        <v>0.87</v>
      </c>
      <c r="H41" s="13"/>
      <c r="I41" s="14">
        <f>E41*G41</f>
        <v>2697</v>
      </c>
      <c r="J41" s="14">
        <f>INDEX(Parameters!$C$10:$G$10,1,MATCH($D41,Parameters!$C$6:$G$6,0))</f>
        <v>3250</v>
      </c>
      <c r="K41" s="13">
        <f>INDEX(Parameters!$C$11:$G$11,1,MATCH($D41,Parameters!$C$6:$G$6,0))</f>
        <v>0.61</v>
      </c>
      <c r="L41" s="14">
        <f>I41+J41</f>
        <v>5947</v>
      </c>
      <c r="M41" s="1"/>
    </row>
    <row r="42" spans="1:13" ht="23" customHeight="1">
      <c r="A42" s="1"/>
      <c r="B42" s="1" t="s">
        <v>45</v>
      </c>
      <c r="C42" s="12">
        <f>Parameters!G6</f>
        <v>0</v>
      </c>
      <c r="D42" s="12">
        <f>Parameters!G6</f>
        <v>0</v>
      </c>
      <c r="E42" s="12">
        <f>INDEX(Parameters!$C$7:$G$7,1,MATCH($C42,Parameters!$C$6:$G$6,0))</f>
        <v>3700</v>
      </c>
      <c r="F42" s="13">
        <f>INDEX(Parameters!$C$8:$G$8,1,MATCH($C42,Parameters!$C$6:$G$6,0))</f>
        <v>0.17</v>
      </c>
      <c r="G42" s="13">
        <f>INDEX(Parameters!$C$9:$G$9,1,MATCH($C42,Parameters!$C$6:$G$6,0))</f>
        <v>0.9</v>
      </c>
      <c r="H42" s="13"/>
      <c r="I42" s="14">
        <f>E42*G42</f>
        <v>3330</v>
      </c>
      <c r="J42" s="14">
        <f>INDEX(Parameters!$C$10:$G$10,1,MATCH($D42,Parameters!$C$6:$G$6,0))</f>
        <v>4000</v>
      </c>
      <c r="K42" s="13">
        <f>INDEX(Parameters!$C$11:$G$11,1,MATCH($D42,Parameters!$C$6:$G$6,0))</f>
        <v>0.62</v>
      </c>
      <c r="L42" s="14">
        <f>I42+J42</f>
        <v>7330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46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47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48</v>
      </c>
      <c r="D48" s="5" t="s">
        <v>49</v>
      </c>
      <c r="E48" s="5" t="s">
        <v>50</v>
      </c>
      <c r="F48" s="5" t="s">
        <v>51</v>
      </c>
      <c r="G48" s="5" t="s">
        <v>52</v>
      </c>
      <c r="H48" s="1" t="str">
        <f>'LSR Sweep'!C48</f>
        <v>LSR -40</v>
      </c>
      <c r="I48" s="1" t="str">
        <f>'LSR Sweep'!D48</f>
        <v>LSR -30</v>
      </c>
      <c r="J48" s="1" t="str">
        <f>'LSR Sweep'!E48</f>
        <v>LSR -20</v>
      </c>
      <c r="K48" s="1" t="str">
        <f>'LSR Sweep'!F48</f>
        <v>LSR -10</v>
      </c>
      <c r="L48" s="1" t="str">
        <f>'LSR Sweep'!G48</f>
        <v>LSR 0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H49" s="1">
        <f>-'LSR Sweep'!C49</f>
        <v>0</v>
      </c>
      <c r="I49" s="1">
        <f>-'LSR Sweep'!D49</f>
        <v>0</v>
      </c>
      <c r="J49" s="1">
        <f>-'LSR Sweep'!E49</f>
        <v>0</v>
      </c>
      <c r="K49" s="1">
        <f>-'LSR Sweep'!F49</f>
        <v>0</v>
      </c>
      <c r="L49" s="1">
        <f>-'LSR Sweep'!G49</f>
        <v>0</v>
      </c>
      <c r="M49" s="1"/>
    </row>
    <row r="50" spans="1:13" ht="18" customHeight="1">
      <c r="A50" s="1"/>
      <c r="B50" s="18">
        <v>0.05</v>
      </c>
      <c r="C50" s="14">
        <f t="shared" si="0"/>
        <v>65</v>
      </c>
      <c r="D50" s="14">
        <f t="shared" si="1"/>
        <v>95</v>
      </c>
      <c r="E50" s="14">
        <f t="shared" si="2"/>
        <v>125</v>
      </c>
      <c r="F50" s="14">
        <f t="shared" si="3"/>
        <v>155</v>
      </c>
      <c r="G50" s="14">
        <f t="shared" si="4"/>
        <v>185</v>
      </c>
      <c r="H50" s="1">
        <f>-'LSR Sweep'!C50</f>
        <v>-60.75</v>
      </c>
      <c r="I50" s="1">
        <f>-'LSR Sweep'!D50</f>
        <v>-83.25</v>
      </c>
      <c r="J50" s="1">
        <f>-'LSR Sweep'!E50</f>
        <v>-105.75</v>
      </c>
      <c r="K50" s="1">
        <f>-'LSR Sweep'!F50</f>
        <v>-128.25</v>
      </c>
      <c r="L50" s="1">
        <f>-'LSR Sweep'!G50</f>
        <v>-150.75</v>
      </c>
      <c r="M50" s="1"/>
    </row>
    <row r="51" spans="1:13" ht="18" customHeight="1">
      <c r="A51" s="1"/>
      <c r="B51" s="18">
        <v>0.1</v>
      </c>
      <c r="C51" s="14">
        <f t="shared" si="0"/>
        <v>130</v>
      </c>
      <c r="D51" s="14">
        <f t="shared" si="1"/>
        <v>190</v>
      </c>
      <c r="E51" s="14">
        <f t="shared" si="2"/>
        <v>250</v>
      </c>
      <c r="F51" s="14">
        <f t="shared" si="3"/>
        <v>310</v>
      </c>
      <c r="G51" s="14">
        <f t="shared" si="4"/>
        <v>370</v>
      </c>
      <c r="H51" s="1">
        <f>-'LSR Sweep'!C51</f>
        <v>-121.5</v>
      </c>
      <c r="I51" s="1">
        <f>-'LSR Sweep'!D51</f>
        <v>-166.5</v>
      </c>
      <c r="J51" s="1">
        <f>-'LSR Sweep'!E51</f>
        <v>-211.5</v>
      </c>
      <c r="K51" s="1">
        <f>-'LSR Sweep'!F51</f>
        <v>-256.5</v>
      </c>
      <c r="L51" s="1">
        <f>-'LSR Sweep'!G51</f>
        <v>-301.5</v>
      </c>
      <c r="M51" s="1"/>
    </row>
    <row r="52" spans="1:13" ht="18" customHeight="1">
      <c r="A52" s="1"/>
      <c r="B52" s="18">
        <v>0.15</v>
      </c>
      <c r="C52" s="14">
        <f t="shared" si="0"/>
        <v>186.42</v>
      </c>
      <c r="D52" s="14">
        <f t="shared" si="1"/>
        <v>279.58499999999998</v>
      </c>
      <c r="E52" s="14">
        <f t="shared" si="2"/>
        <v>375</v>
      </c>
      <c r="F52" s="14">
        <f t="shared" si="3"/>
        <v>465</v>
      </c>
      <c r="G52" s="14">
        <f t="shared" si="4"/>
        <v>555</v>
      </c>
      <c r="H52" s="1">
        <f>-'LSR Sweep'!C52</f>
        <v>-182.25</v>
      </c>
      <c r="I52" s="1">
        <f>-'LSR Sweep'!D52</f>
        <v>-249.75</v>
      </c>
      <c r="J52" s="1">
        <f>-'LSR Sweep'!E52</f>
        <v>-317.25</v>
      </c>
      <c r="K52" s="1">
        <f>-'LSR Sweep'!F52</f>
        <v>-384.75</v>
      </c>
      <c r="L52" s="1">
        <f>-'LSR Sweep'!G52</f>
        <v>-452.25</v>
      </c>
      <c r="M52" s="1"/>
    </row>
    <row r="53" spans="1:13" ht="18" customHeight="1">
      <c r="A53" s="1"/>
      <c r="B53" s="18">
        <v>0.2</v>
      </c>
      <c r="C53" s="14">
        <f t="shared" si="0"/>
        <v>237.12</v>
      </c>
      <c r="D53" s="14">
        <f t="shared" si="1"/>
        <v>356.53499999999997</v>
      </c>
      <c r="E53" s="14">
        <f t="shared" si="2"/>
        <v>480</v>
      </c>
      <c r="F53" s="14">
        <f t="shared" si="3"/>
        <v>603.88</v>
      </c>
      <c r="G53" s="14">
        <f t="shared" si="4"/>
        <v>728.9</v>
      </c>
      <c r="H53" s="1">
        <f>-'LSR Sweep'!C53</f>
        <v>-243</v>
      </c>
      <c r="I53" s="1">
        <f>-'LSR Sweep'!D53</f>
        <v>-333</v>
      </c>
      <c r="J53" s="1">
        <f>-'LSR Sweep'!E53</f>
        <v>-423</v>
      </c>
      <c r="K53" s="1">
        <f>-'LSR Sweep'!F53</f>
        <v>-513</v>
      </c>
      <c r="L53" s="1">
        <f>-'LSR Sweep'!G53</f>
        <v>-603</v>
      </c>
      <c r="M53" s="1"/>
    </row>
    <row r="54" spans="1:13" ht="18" customHeight="1">
      <c r="A54" s="1"/>
      <c r="B54" s="18">
        <v>0.25</v>
      </c>
      <c r="C54" s="14">
        <f t="shared" si="0"/>
        <v>287.82</v>
      </c>
      <c r="D54" s="14">
        <f t="shared" si="1"/>
        <v>433.48500000000001</v>
      </c>
      <c r="E54" s="14">
        <f t="shared" si="2"/>
        <v>585</v>
      </c>
      <c r="F54" s="14">
        <f t="shared" si="3"/>
        <v>738.73</v>
      </c>
      <c r="G54" s="14">
        <f t="shared" si="4"/>
        <v>895.4</v>
      </c>
      <c r="H54" s="1">
        <f>-'LSR Sweep'!C54</f>
        <v>-303.75</v>
      </c>
      <c r="I54" s="1">
        <f>-'LSR Sweep'!D54</f>
        <v>-416.25</v>
      </c>
      <c r="J54" s="1">
        <f>-'LSR Sweep'!E54</f>
        <v>-528.75</v>
      </c>
      <c r="K54" s="1">
        <f>-'LSR Sweep'!F54</f>
        <v>-641.25</v>
      </c>
      <c r="L54" s="1">
        <f>-'LSR Sweep'!G54</f>
        <v>-753.75</v>
      </c>
      <c r="M54" s="1"/>
    </row>
    <row r="55" spans="1:13" ht="18" customHeight="1">
      <c r="A55" s="1"/>
      <c r="B55" s="18">
        <v>0.3</v>
      </c>
      <c r="C55" s="14">
        <f t="shared" si="0"/>
        <v>338.52</v>
      </c>
      <c r="D55" s="14">
        <f t="shared" si="1"/>
        <v>510.43499999999995</v>
      </c>
      <c r="E55" s="14">
        <f t="shared" si="2"/>
        <v>690</v>
      </c>
      <c r="F55" s="14">
        <f t="shared" si="3"/>
        <v>873.57999999999993</v>
      </c>
      <c r="G55" s="14">
        <f t="shared" si="4"/>
        <v>1061.8999999999999</v>
      </c>
      <c r="H55" s="1">
        <f>-'LSR Sweep'!C55</f>
        <v>-364.5</v>
      </c>
      <c r="I55" s="1">
        <f>-'LSR Sweep'!D55</f>
        <v>-499.5</v>
      </c>
      <c r="J55" s="1">
        <f>-'LSR Sweep'!E55</f>
        <v>-634.5</v>
      </c>
      <c r="K55" s="1">
        <f>-'LSR Sweep'!F55</f>
        <v>-769.5</v>
      </c>
      <c r="L55" s="1">
        <f>-'LSR Sweep'!G55</f>
        <v>-904.5</v>
      </c>
      <c r="M55" s="1"/>
    </row>
    <row r="56" spans="1:13" ht="18" customHeight="1">
      <c r="A56" s="1"/>
      <c r="B56" s="18">
        <v>0.35</v>
      </c>
      <c r="C56" s="14">
        <f t="shared" si="0"/>
        <v>389.21999999999997</v>
      </c>
      <c r="D56" s="14">
        <f t="shared" si="1"/>
        <v>587.38499999999999</v>
      </c>
      <c r="E56" s="14">
        <f t="shared" si="2"/>
        <v>795</v>
      </c>
      <c r="F56" s="14">
        <f t="shared" si="3"/>
        <v>1008.43</v>
      </c>
      <c r="G56" s="14">
        <f t="shared" si="4"/>
        <v>1228.3999999999999</v>
      </c>
      <c r="H56" s="1">
        <f>-'LSR Sweep'!C56</f>
        <v>-409.45499999999998</v>
      </c>
      <c r="I56" s="1">
        <f>-'LSR Sweep'!D56</f>
        <v>-573.59249999999997</v>
      </c>
      <c r="J56" s="1">
        <f>-'LSR Sweep'!E56</f>
        <v>-740.25</v>
      </c>
      <c r="K56" s="1">
        <f>-'LSR Sweep'!F56</f>
        <v>-897.74999999999989</v>
      </c>
      <c r="L56" s="1">
        <f>-'LSR Sweep'!G56</f>
        <v>-1055.25</v>
      </c>
      <c r="M56" s="1"/>
    </row>
    <row r="57" spans="1:13" ht="18" customHeight="1">
      <c r="A57" s="1"/>
      <c r="B57" s="18">
        <v>0.4</v>
      </c>
      <c r="C57" s="14">
        <f t="shared" si="0"/>
        <v>439.92</v>
      </c>
      <c r="D57" s="14">
        <f t="shared" si="1"/>
        <v>664.33500000000004</v>
      </c>
      <c r="E57" s="14">
        <f t="shared" si="2"/>
        <v>900</v>
      </c>
      <c r="F57" s="14">
        <f t="shared" si="3"/>
        <v>1143.2800000000002</v>
      </c>
      <c r="G57" s="14">
        <f t="shared" si="4"/>
        <v>1394.9</v>
      </c>
      <c r="H57" s="1">
        <f>-'LSR Sweep'!C57</f>
        <v>-454.41</v>
      </c>
      <c r="I57" s="1">
        <f>-'LSR Sweep'!D57</f>
        <v>-638.52749999999992</v>
      </c>
      <c r="J57" s="1">
        <f>-'LSR Sweep'!E57</f>
        <v>-826.96500000000003</v>
      </c>
      <c r="K57" s="1">
        <f>-'LSR Sweep'!F57</f>
        <v>-1017.0225</v>
      </c>
      <c r="L57" s="1">
        <f>-'LSR Sweep'!G57</f>
        <v>-1206</v>
      </c>
      <c r="M57" s="1"/>
    </row>
    <row r="58" spans="1:13" ht="18" customHeight="1">
      <c r="A58" s="1"/>
      <c r="B58" s="18">
        <v>0.45</v>
      </c>
      <c r="C58" s="14">
        <f t="shared" si="0"/>
        <v>490.62</v>
      </c>
      <c r="D58" s="14">
        <f t="shared" si="1"/>
        <v>741.28500000000008</v>
      </c>
      <c r="E58" s="14">
        <f t="shared" si="2"/>
        <v>1005.0000000000001</v>
      </c>
      <c r="F58" s="14">
        <f t="shared" si="3"/>
        <v>1278.1300000000001</v>
      </c>
      <c r="G58" s="14">
        <f t="shared" si="4"/>
        <v>1561.4</v>
      </c>
      <c r="H58" s="1">
        <f>-'LSR Sweep'!C58</f>
        <v>-499.36500000000001</v>
      </c>
      <c r="I58" s="1">
        <f>-'LSR Sweep'!D58</f>
        <v>-703.46249999999998</v>
      </c>
      <c r="J58" s="1">
        <f>-'LSR Sweep'!E58</f>
        <v>-913.68000000000006</v>
      </c>
      <c r="K58" s="1">
        <f>-'LSR Sweep'!F58</f>
        <v>-1127.3175000000001</v>
      </c>
      <c r="L58" s="1">
        <f>-'LSR Sweep'!G58</f>
        <v>-1341.675</v>
      </c>
      <c r="M58" s="1"/>
    </row>
    <row r="59" spans="1:13" ht="18" customHeight="1">
      <c r="A59" s="1"/>
      <c r="B59" s="18">
        <v>0.5</v>
      </c>
      <c r="C59" s="14">
        <f t="shared" si="0"/>
        <v>541.31999999999994</v>
      </c>
      <c r="D59" s="14">
        <f t="shared" si="1"/>
        <v>818.23500000000001</v>
      </c>
      <c r="E59" s="14">
        <f t="shared" si="2"/>
        <v>1110</v>
      </c>
      <c r="F59" s="14">
        <f t="shared" si="3"/>
        <v>1412.98</v>
      </c>
      <c r="G59" s="14">
        <f t="shared" si="4"/>
        <v>1727.8999999999999</v>
      </c>
      <c r="H59" s="1">
        <f>-'LSR Sweep'!C59</f>
        <v>-544.32000000000005</v>
      </c>
      <c r="I59" s="1">
        <f>-'LSR Sweep'!D59</f>
        <v>-768.39749999999992</v>
      </c>
      <c r="J59" s="1">
        <f>-'LSR Sweep'!E59</f>
        <v>-1000.395</v>
      </c>
      <c r="K59" s="1">
        <f>-'LSR Sweep'!F59</f>
        <v>-1237.6125</v>
      </c>
      <c r="L59" s="1">
        <f>-'LSR Sweep'!G59</f>
        <v>-1477.35</v>
      </c>
      <c r="M59" s="1"/>
    </row>
    <row r="60" spans="1:13" ht="18" customHeight="1">
      <c r="A60" s="1"/>
      <c r="B60" s="18">
        <v>0.55000000000000004</v>
      </c>
      <c r="C60" s="14">
        <f t="shared" si="0"/>
        <v>592.02</v>
      </c>
      <c r="D60" s="14">
        <f t="shared" si="1"/>
        <v>895.18500000000006</v>
      </c>
      <c r="E60" s="14">
        <f t="shared" si="2"/>
        <v>1215</v>
      </c>
      <c r="F60" s="14">
        <f t="shared" si="3"/>
        <v>1547.83</v>
      </c>
      <c r="G60" s="14">
        <f t="shared" si="4"/>
        <v>1894.4</v>
      </c>
      <c r="H60" s="1">
        <f>-'LSR Sweep'!C60</f>
        <v>-589.27500000000009</v>
      </c>
      <c r="I60" s="1">
        <f>-'LSR Sweep'!D60</f>
        <v>-833.33249999999998</v>
      </c>
      <c r="J60" s="1">
        <f>-'LSR Sweep'!E60</f>
        <v>-1087.1100000000001</v>
      </c>
      <c r="K60" s="1">
        <f>-'LSR Sweep'!F60</f>
        <v>-1347.9075000000003</v>
      </c>
      <c r="L60" s="1">
        <f>-'LSR Sweep'!G60</f>
        <v>-1613.0250000000001</v>
      </c>
      <c r="M60" s="1"/>
    </row>
    <row r="61" spans="1:13" ht="18" customHeight="1">
      <c r="A61" s="1"/>
      <c r="B61" s="18">
        <v>0.6</v>
      </c>
      <c r="C61" s="14">
        <f t="shared" si="0"/>
        <v>662.72</v>
      </c>
      <c r="D61" s="14">
        <f t="shared" si="1"/>
        <v>989.63499999999999</v>
      </c>
      <c r="E61" s="14">
        <f t="shared" si="2"/>
        <v>1320</v>
      </c>
      <c r="F61" s="14">
        <f t="shared" si="3"/>
        <v>1682.6799999999998</v>
      </c>
      <c r="G61" s="14">
        <f t="shared" si="4"/>
        <v>2060.8999999999996</v>
      </c>
      <c r="H61" s="1">
        <f>-'LSR Sweep'!C61</f>
        <v>-634.23</v>
      </c>
      <c r="I61" s="1">
        <f>-'LSR Sweep'!D61</f>
        <v>-898.26749999999993</v>
      </c>
      <c r="J61" s="1">
        <f>-'LSR Sweep'!E61</f>
        <v>-1173.825</v>
      </c>
      <c r="K61" s="1">
        <f>-'LSR Sweep'!F61</f>
        <v>-1458.2024999999999</v>
      </c>
      <c r="L61" s="1">
        <f>-'LSR Sweep'!G61</f>
        <v>-1748.6999999999998</v>
      </c>
      <c r="M61" s="1"/>
    </row>
    <row r="62" spans="1:13" ht="18" customHeight="1">
      <c r="A62" s="1"/>
      <c r="B62" s="18">
        <v>0.65</v>
      </c>
      <c r="C62" s="14">
        <f t="shared" si="0"/>
        <v>763.42000000000007</v>
      </c>
      <c r="D62" s="14">
        <f t="shared" si="1"/>
        <v>1154.085</v>
      </c>
      <c r="E62" s="14">
        <f t="shared" si="2"/>
        <v>1550</v>
      </c>
      <c r="F62" s="14">
        <f t="shared" si="3"/>
        <v>1947.5300000000002</v>
      </c>
      <c r="G62" s="14">
        <f t="shared" si="4"/>
        <v>2347.3999999999996</v>
      </c>
      <c r="H62" s="1">
        <f>-'LSR Sweep'!C62</f>
        <v>-679.18500000000006</v>
      </c>
      <c r="I62" s="1">
        <f>-'LSR Sweep'!D62</f>
        <v>-963.20249999999999</v>
      </c>
      <c r="J62" s="1">
        <f>-'LSR Sweep'!E62</f>
        <v>-1260.54</v>
      </c>
      <c r="K62" s="1">
        <f>-'LSR Sweep'!F62</f>
        <v>-1568.4974999999999</v>
      </c>
      <c r="L62" s="1">
        <f>-'LSR Sweep'!G62</f>
        <v>-1884.375</v>
      </c>
      <c r="M62" s="1"/>
    </row>
    <row r="63" spans="1:13" ht="18" customHeight="1">
      <c r="A63" s="1"/>
      <c r="B63" s="18">
        <v>0.7</v>
      </c>
      <c r="C63" s="14">
        <f t="shared" si="0"/>
        <v>864.12</v>
      </c>
      <c r="D63" s="14">
        <f t="shared" si="1"/>
        <v>1318.5349999999999</v>
      </c>
      <c r="E63" s="14">
        <f t="shared" si="2"/>
        <v>1779.9999999999998</v>
      </c>
      <c r="F63" s="14">
        <f t="shared" si="3"/>
        <v>2244.8799999999997</v>
      </c>
      <c r="G63" s="14">
        <f t="shared" si="4"/>
        <v>2713.8999999999996</v>
      </c>
      <c r="H63" s="1">
        <f>-'LSR Sweep'!C63</f>
        <v>-724.14</v>
      </c>
      <c r="I63" s="1">
        <f>-'LSR Sweep'!D63</f>
        <v>-1028.1374999999998</v>
      </c>
      <c r="J63" s="1">
        <f>-'LSR Sweep'!E63</f>
        <v>-1347.2550000000001</v>
      </c>
      <c r="K63" s="1">
        <f>-'LSR Sweep'!F63</f>
        <v>-1678.7925</v>
      </c>
      <c r="L63" s="1">
        <f>-'LSR Sweep'!G63</f>
        <v>-2020.0499999999997</v>
      </c>
      <c r="M63" s="1"/>
    </row>
    <row r="64" spans="1:13" ht="18" customHeight="1">
      <c r="A64" s="1"/>
      <c r="B64" s="18">
        <v>0.75</v>
      </c>
      <c r="C64" s="14">
        <f t="shared" si="0"/>
        <v>964.82</v>
      </c>
      <c r="D64" s="14">
        <f t="shared" si="1"/>
        <v>1482.9850000000001</v>
      </c>
      <c r="E64" s="14">
        <f t="shared" si="2"/>
        <v>2010</v>
      </c>
      <c r="F64" s="14">
        <f t="shared" si="3"/>
        <v>2542.23</v>
      </c>
      <c r="G64" s="14">
        <f t="shared" si="4"/>
        <v>3080.3999999999996</v>
      </c>
      <c r="H64" s="1">
        <f>-'LSR Sweep'!C64</f>
        <v>-769.09500000000003</v>
      </c>
      <c r="I64" s="1">
        <f>-'LSR Sweep'!D64</f>
        <v>-1093.0725</v>
      </c>
      <c r="J64" s="1">
        <f>-'LSR Sweep'!E64</f>
        <v>-1433.97</v>
      </c>
      <c r="K64" s="1">
        <f>-'LSR Sweep'!F64</f>
        <v>-1789.0875000000001</v>
      </c>
      <c r="L64" s="1">
        <f>-'LSR Sweep'!G64</f>
        <v>-2155.7249999999999</v>
      </c>
      <c r="M64" s="1"/>
    </row>
    <row r="65" spans="1:13" ht="18" customHeight="1">
      <c r="A65" s="1"/>
      <c r="B65" s="18">
        <v>0.8</v>
      </c>
      <c r="C65" s="14">
        <f t="shared" si="0"/>
        <v>1065.5200000000002</v>
      </c>
      <c r="D65" s="14">
        <f t="shared" si="1"/>
        <v>1647.4349999999999</v>
      </c>
      <c r="E65" s="14">
        <f t="shared" si="2"/>
        <v>2240</v>
      </c>
      <c r="F65" s="14">
        <f t="shared" si="3"/>
        <v>2839.58</v>
      </c>
      <c r="G65" s="14">
        <f t="shared" si="4"/>
        <v>3446.9000000000005</v>
      </c>
      <c r="H65" s="1">
        <f>-'LSR Sweep'!C65</f>
        <v>-814.05</v>
      </c>
      <c r="I65" s="1">
        <f>-'LSR Sweep'!D65</f>
        <v>-1158.0075000000002</v>
      </c>
      <c r="J65" s="1">
        <f>-'LSR Sweep'!E65</f>
        <v>-1520.6849999999999</v>
      </c>
      <c r="K65" s="1">
        <f>-'LSR Sweep'!F65</f>
        <v>-1899.3825000000002</v>
      </c>
      <c r="L65" s="1">
        <f>-'LSR Sweep'!G65</f>
        <v>-2291.4</v>
      </c>
      <c r="M65" s="1"/>
    </row>
    <row r="66" spans="1:13" ht="18" customHeight="1">
      <c r="A66" s="1"/>
      <c r="B66" s="18">
        <v>0.85</v>
      </c>
      <c r="C66" s="14">
        <f t="shared" si="0"/>
        <v>1166.22</v>
      </c>
      <c r="D66" s="14">
        <f t="shared" si="1"/>
        <v>1811.885</v>
      </c>
      <c r="E66" s="14">
        <f t="shared" si="2"/>
        <v>2470</v>
      </c>
      <c r="F66" s="14">
        <f t="shared" si="3"/>
        <v>3136.93</v>
      </c>
      <c r="G66" s="14">
        <f t="shared" si="4"/>
        <v>3813.3999999999996</v>
      </c>
      <c r="H66" s="1">
        <f>-'LSR Sweep'!C66</f>
        <v>-859.00500000000011</v>
      </c>
      <c r="I66" s="1">
        <f>-'LSR Sweep'!D66</f>
        <v>-1222.9425000000001</v>
      </c>
      <c r="J66" s="1">
        <f>-'LSR Sweep'!E66</f>
        <v>-1607.4</v>
      </c>
      <c r="K66" s="1">
        <f>-'LSR Sweep'!F66</f>
        <v>-2009.6775</v>
      </c>
      <c r="L66" s="1">
        <f>-'LSR Sweep'!G66</f>
        <v>-2427.0749999999998</v>
      </c>
      <c r="M66" s="1"/>
    </row>
    <row r="67" spans="1:13" ht="18" customHeight="1">
      <c r="A67" s="1"/>
      <c r="B67" s="18">
        <v>0.9</v>
      </c>
      <c r="C67" s="14">
        <f t="shared" si="0"/>
        <v>1266.92</v>
      </c>
      <c r="D67" s="14">
        <f t="shared" si="1"/>
        <v>1976.335</v>
      </c>
      <c r="E67" s="14">
        <f t="shared" si="2"/>
        <v>2700</v>
      </c>
      <c r="F67" s="14">
        <f t="shared" si="3"/>
        <v>3434.2799999999997</v>
      </c>
      <c r="G67" s="14">
        <f t="shared" si="4"/>
        <v>4179.8999999999996</v>
      </c>
      <c r="H67" s="1">
        <f>-'LSR Sweep'!C67</f>
        <v>-903.96000000000015</v>
      </c>
      <c r="I67" s="1">
        <f>-'LSR Sweep'!D67</f>
        <v>-1287.8775000000001</v>
      </c>
      <c r="J67" s="1">
        <f>-'LSR Sweep'!E67</f>
        <v>-1694.115</v>
      </c>
      <c r="K67" s="1">
        <f>-'LSR Sweep'!F67</f>
        <v>-2119.9724999999999</v>
      </c>
      <c r="L67" s="1">
        <f>-'LSR Sweep'!G67</f>
        <v>-2562.75</v>
      </c>
      <c r="M67" s="1"/>
    </row>
    <row r="68" spans="1:13" ht="18" customHeight="1">
      <c r="A68" s="1"/>
      <c r="B68" s="18">
        <v>0.95</v>
      </c>
      <c r="C68" s="14">
        <f t="shared" si="0"/>
        <v>1367.62</v>
      </c>
      <c r="D68" s="14">
        <f t="shared" si="1"/>
        <v>2140.7849999999999</v>
      </c>
      <c r="E68" s="14">
        <f t="shared" si="2"/>
        <v>2930</v>
      </c>
      <c r="F68" s="14">
        <f t="shared" si="3"/>
        <v>3731.6299999999997</v>
      </c>
      <c r="G68" s="14">
        <f t="shared" si="4"/>
        <v>4546.3999999999996</v>
      </c>
      <c r="H68" s="1">
        <f>-'LSR Sweep'!C68</f>
        <v>-948.91499999999996</v>
      </c>
      <c r="I68" s="1">
        <f>-'LSR Sweep'!D68</f>
        <v>-1352.8125</v>
      </c>
      <c r="J68" s="1">
        <f>-'LSR Sweep'!E68</f>
        <v>-1780.83</v>
      </c>
      <c r="K68" s="1">
        <f>-'LSR Sweep'!F68</f>
        <v>-2230.2674999999999</v>
      </c>
      <c r="L68" s="1">
        <f>-'LSR Sweep'!G68</f>
        <v>-2698.4249999999997</v>
      </c>
      <c r="M68" s="1"/>
    </row>
    <row r="69" spans="1:13" ht="18" customHeight="1">
      <c r="A69" s="1"/>
      <c r="B69" s="18">
        <v>1</v>
      </c>
      <c r="C69" s="14">
        <f t="shared" si="0"/>
        <v>1468.3200000000002</v>
      </c>
      <c r="D69" s="14">
        <f t="shared" si="1"/>
        <v>2305.2349999999997</v>
      </c>
      <c r="E69" s="14">
        <f t="shared" si="2"/>
        <v>3160</v>
      </c>
      <c r="F69" s="14">
        <f t="shared" si="3"/>
        <v>4028.98</v>
      </c>
      <c r="G69" s="14">
        <f t="shared" si="4"/>
        <v>4912.8999999999996</v>
      </c>
      <c r="H69" s="1">
        <f>-'LSR Sweep'!C69</f>
        <v>-993.87</v>
      </c>
      <c r="I69" s="1">
        <f>-'LSR Sweep'!D69</f>
        <v>-1417.7474999999999</v>
      </c>
      <c r="J69" s="1">
        <f>-'LSR Sweep'!E69</f>
        <v>-1867.5450000000001</v>
      </c>
      <c r="K69" s="1">
        <f>-'LSR Sweep'!F69</f>
        <v>-2340.5625</v>
      </c>
      <c r="L69" s="1">
        <f>-'LSR Sweep'!G69</f>
        <v>-2834.1</v>
      </c>
      <c r="M69" s="1"/>
    </row>
    <row r="70" spans="1:13" ht="18" customHeight="1">
      <c r="A70" s="1"/>
      <c r="C70">
        <f t="shared" si="0"/>
        <v>156</v>
      </c>
      <c r="D70">
        <f t="shared" si="1"/>
        <v>256.5</v>
      </c>
      <c r="E70">
        <f t="shared" si="2"/>
        <v>375</v>
      </c>
      <c r="F70">
        <f t="shared" si="3"/>
        <v>496</v>
      </c>
      <c r="G70">
        <f t="shared" si="4"/>
        <v>629</v>
      </c>
      <c r="M70" s="1"/>
    </row>
    <row r="71" spans="1:13" ht="18" customHeight="1">
      <c r="A71" s="1"/>
      <c r="C71">
        <f t="shared" si="0"/>
        <v>156</v>
      </c>
      <c r="D71">
        <f t="shared" si="1"/>
        <v>256.5</v>
      </c>
      <c r="E71">
        <f t="shared" si="2"/>
        <v>375</v>
      </c>
      <c r="F71">
        <f t="shared" si="3"/>
        <v>496</v>
      </c>
      <c r="G71">
        <f t="shared" si="4"/>
        <v>629</v>
      </c>
      <c r="M71" s="1"/>
    </row>
    <row r="72" spans="1:13" ht="18" customHeight="1">
      <c r="A72" s="1"/>
      <c r="C72">
        <f t="shared" si="0"/>
        <v>156</v>
      </c>
      <c r="D72">
        <f t="shared" si="1"/>
        <v>256.5</v>
      </c>
      <c r="E72">
        <f t="shared" si="2"/>
        <v>375</v>
      </c>
      <c r="F72">
        <f t="shared" si="3"/>
        <v>496</v>
      </c>
      <c r="G72">
        <f t="shared" si="4"/>
        <v>629</v>
      </c>
      <c r="M72" s="1"/>
    </row>
    <row r="73" spans="1:13" ht="18" customHeight="1">
      <c r="A73" s="1"/>
      <c r="C73">
        <f t="shared" si="0"/>
        <v>156</v>
      </c>
      <c r="D73">
        <f t="shared" si="1"/>
        <v>256.5</v>
      </c>
      <c r="E73">
        <f t="shared" si="2"/>
        <v>375</v>
      </c>
      <c r="F73">
        <f t="shared" si="3"/>
        <v>496</v>
      </c>
      <c r="G73">
        <f t="shared" si="4"/>
        <v>629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9738D"/>
  </sheetPr>
  <dimension ref="A1:M74"/>
  <sheetViews>
    <sheetView showGridLines="0" workbookViewId="0">
      <selection activeCell="E18" sqref="E18"/>
    </sheetView>
  </sheetViews>
  <sheetFormatPr defaultRowHeight="14"/>
  <cols>
    <col min="1" max="1" width="3" customWidth="1"/>
    <col min="2" max="2" width="28.75" customWidth="1"/>
    <col min="3" max="7" width="12.25" customWidth="1"/>
    <col min="8" max="8" width="13.1640625" customWidth="1"/>
    <col min="9" max="9" width="2.75" customWidth="1"/>
    <col min="10" max="10" width="30.6640625" customWidth="1"/>
    <col min="11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66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67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7" customHeight="1">
      <c r="A6" s="1"/>
      <c r="B6" s="5" t="s">
        <v>68</v>
      </c>
      <c r="C6" s="5">
        <v>-20</v>
      </c>
      <c r="D6" s="5">
        <v>-15</v>
      </c>
      <c r="E6" s="5">
        <v>-10</v>
      </c>
      <c r="F6" s="5">
        <v>-5</v>
      </c>
      <c r="G6" s="5">
        <v>0</v>
      </c>
      <c r="H6" s="5" t="s">
        <v>69</v>
      </c>
      <c r="I6" s="1"/>
      <c r="J6" s="1"/>
      <c r="K6" s="1"/>
      <c r="L6" s="1"/>
      <c r="M6" s="1"/>
    </row>
    <row r="7" spans="1:13" ht="27" customHeight="1">
      <c r="A7" s="1"/>
      <c r="B7" s="1" t="s">
        <v>70</v>
      </c>
      <c r="C7" s="7">
        <v>1300</v>
      </c>
      <c r="D7" s="6">
        <f t="shared" ref="D7:D12" si="0">(C7+E7)/2</f>
        <v>1900</v>
      </c>
      <c r="E7" s="7">
        <v>2500</v>
      </c>
      <c r="F7" s="6">
        <f t="shared" ref="F7:F12" si="1">(E7+G7)/2</f>
        <v>3100</v>
      </c>
      <c r="G7" s="7">
        <v>3700</v>
      </c>
      <c r="H7" s="1" t="s">
        <v>71</v>
      </c>
      <c r="I7" s="1"/>
      <c r="J7" s="1" t="s">
        <v>72</v>
      </c>
      <c r="K7" s="1"/>
      <c r="L7" s="1"/>
      <c r="M7" s="1"/>
    </row>
    <row r="8" spans="1:13" ht="27" customHeight="1">
      <c r="A8" s="1"/>
      <c r="B8" s="1" t="s">
        <v>73</v>
      </c>
      <c r="C8" s="9">
        <v>0.12</v>
      </c>
      <c r="D8" s="8">
        <f t="shared" si="0"/>
        <v>0.13500000000000001</v>
      </c>
      <c r="E8" s="9">
        <v>0.15</v>
      </c>
      <c r="F8" s="8">
        <f t="shared" si="1"/>
        <v>0.16</v>
      </c>
      <c r="G8" s="9">
        <v>0.17</v>
      </c>
      <c r="H8" s="1" t="s">
        <v>74</v>
      </c>
      <c r="I8" s="1"/>
      <c r="J8" s="1" t="s">
        <v>75</v>
      </c>
      <c r="K8" s="1"/>
      <c r="L8" s="1"/>
      <c r="M8" s="1"/>
    </row>
    <row r="9" spans="1:13" ht="27" customHeight="1">
      <c r="A9" s="1"/>
      <c r="B9" s="1" t="s">
        <v>76</v>
      </c>
      <c r="C9" s="9">
        <v>0.78</v>
      </c>
      <c r="D9" s="8">
        <f t="shared" si="0"/>
        <v>0.81</v>
      </c>
      <c r="E9" s="9">
        <v>0.84</v>
      </c>
      <c r="F9" s="8">
        <f t="shared" si="1"/>
        <v>0.87</v>
      </c>
      <c r="G9" s="9">
        <v>0.9</v>
      </c>
      <c r="H9" s="1" t="s">
        <v>77</v>
      </c>
      <c r="I9" s="1"/>
      <c r="J9" s="1" t="s">
        <v>72</v>
      </c>
      <c r="K9" s="1"/>
      <c r="L9" s="1"/>
      <c r="M9" s="1"/>
    </row>
    <row r="10" spans="1:13" ht="27" customHeight="1">
      <c r="A10" s="1"/>
      <c r="B10" s="1" t="s">
        <v>78</v>
      </c>
      <c r="C10" s="7">
        <v>1000</v>
      </c>
      <c r="D10" s="6">
        <f t="shared" si="0"/>
        <v>1750</v>
      </c>
      <c r="E10" s="7">
        <v>2500</v>
      </c>
      <c r="F10" s="6">
        <f t="shared" si="1"/>
        <v>3250</v>
      </c>
      <c r="G10" s="7">
        <v>4000</v>
      </c>
      <c r="H10" s="1" t="s">
        <v>71</v>
      </c>
      <c r="I10" s="1"/>
      <c r="J10" s="1" t="s">
        <v>79</v>
      </c>
      <c r="K10" s="1"/>
      <c r="L10" s="1"/>
      <c r="M10" s="1"/>
    </row>
    <row r="11" spans="1:13" ht="27" customHeight="1">
      <c r="A11" s="1"/>
      <c r="B11" s="1" t="s">
        <v>80</v>
      </c>
      <c r="C11" s="9">
        <v>0.57999999999999996</v>
      </c>
      <c r="D11" s="8">
        <v>0.59</v>
      </c>
      <c r="E11" s="9">
        <v>0.6</v>
      </c>
      <c r="F11" s="8">
        <v>0.61</v>
      </c>
      <c r="G11" s="9">
        <v>0.62</v>
      </c>
      <c r="H11" s="1" t="s">
        <v>74</v>
      </c>
      <c r="I11" s="1"/>
      <c r="J11" s="1" t="s">
        <v>79</v>
      </c>
      <c r="K11" s="1"/>
      <c r="L11" s="1"/>
      <c r="M11" s="1"/>
    </row>
    <row r="12" spans="1:13" ht="27" customHeight="1">
      <c r="A12" s="1"/>
      <c r="B12" s="1"/>
      <c r="C12" s="19"/>
      <c r="D12" s="19">
        <f t="shared" si="0"/>
        <v>0</v>
      </c>
      <c r="E12" s="19"/>
      <c r="F12" s="19">
        <f t="shared" si="1"/>
        <v>0</v>
      </c>
      <c r="G12" s="19"/>
      <c r="H12" s="1"/>
      <c r="I12" s="1"/>
      <c r="J12" s="1"/>
      <c r="K12" s="1"/>
      <c r="L12" s="1"/>
      <c r="M12" s="1"/>
    </row>
    <row r="13" spans="1:13" ht="1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1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18" customHeight="1">
      <c r="A15" s="1"/>
      <c r="B15" s="10" t="s">
        <v>81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4" customHeight="1">
      <c r="A16" s="1"/>
      <c r="B16" s="1" t="s">
        <v>82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4" customHeight="1">
      <c r="A17" s="1"/>
      <c r="B17" s="1" t="s">
        <v>83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4" customHeight="1">
      <c r="A18" s="1"/>
      <c r="B18" s="1" t="s">
        <v>84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4" customHeight="1">
      <c r="A19" s="1"/>
      <c r="B19" s="1" t="s">
        <v>85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4" customHeight="1">
      <c r="A20" s="1"/>
      <c r="B20" s="1" t="s">
        <v>102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4" customHeight="1">
      <c r="A21" s="1"/>
      <c r="B21" s="1" t="s">
        <v>86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4" customHeight="1">
      <c r="A22" s="1"/>
      <c r="B22" s="1" t="s">
        <v>87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4" customHeight="1">
      <c r="A23" s="1"/>
      <c r="B23" s="1" t="s">
        <v>88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4" customHeight="1">
      <c r="A24" s="1"/>
      <c r="B24" s="1" t="s">
        <v>103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4" customHeight="1">
      <c r="A25" s="1"/>
      <c r="B25" s="1" t="s">
        <v>89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7" customHeight="1">
      <c r="A28" s="1"/>
      <c r="B28" s="21" t="s">
        <v>54</v>
      </c>
      <c r="C28" s="21">
        <v>-40</v>
      </c>
      <c r="D28" s="21">
        <v>-30</v>
      </c>
      <c r="E28" s="21">
        <v>-20</v>
      </c>
      <c r="F28" s="21">
        <v>-10</v>
      </c>
      <c r="G28" s="21">
        <v>0</v>
      </c>
      <c r="H28" s="21" t="s">
        <v>69</v>
      </c>
      <c r="I28" s="20"/>
      <c r="J28" s="20"/>
      <c r="K28" s="1"/>
      <c r="L28" s="1"/>
      <c r="M28" s="1"/>
    </row>
    <row r="29" spans="1:13" ht="27" customHeight="1">
      <c r="A29" s="1"/>
      <c r="B29" s="20" t="s">
        <v>91</v>
      </c>
      <c r="C29" s="22">
        <f t="shared" ref="C29:F30" si="2">$G29+$E$34*C$28</f>
        <v>1035</v>
      </c>
      <c r="D29" s="22">
        <f t="shared" si="2"/>
        <v>1485</v>
      </c>
      <c r="E29" s="22">
        <f t="shared" si="2"/>
        <v>1935</v>
      </c>
      <c r="F29" s="22">
        <f t="shared" si="2"/>
        <v>2385</v>
      </c>
      <c r="G29" s="24">
        <v>2835</v>
      </c>
      <c r="H29" s="20" t="s">
        <v>71</v>
      </c>
      <c r="I29" s="20"/>
      <c r="J29" s="20"/>
      <c r="K29" s="1"/>
      <c r="L29" s="1"/>
      <c r="M29" s="1"/>
    </row>
    <row r="30" spans="1:13" ht="27" customHeight="1">
      <c r="A30" s="1"/>
      <c r="B30" s="20" t="s">
        <v>90</v>
      </c>
      <c r="C30" s="22">
        <f t="shared" si="2"/>
        <v>1215</v>
      </c>
      <c r="D30" s="22">
        <f t="shared" si="2"/>
        <v>1665</v>
      </c>
      <c r="E30" s="22">
        <f t="shared" si="2"/>
        <v>2115</v>
      </c>
      <c r="F30" s="22">
        <f t="shared" si="2"/>
        <v>2565</v>
      </c>
      <c r="G30" s="24">
        <v>3015</v>
      </c>
      <c r="H30" s="20" t="s">
        <v>71</v>
      </c>
      <c r="I30" s="20"/>
      <c r="J30" s="20"/>
      <c r="K30" s="1"/>
      <c r="L30" s="1"/>
      <c r="M30" s="1"/>
    </row>
    <row r="31" spans="1:13" ht="27" customHeight="1">
      <c r="A31" s="1"/>
      <c r="B31" s="20" t="s">
        <v>92</v>
      </c>
      <c r="C31" s="26">
        <v>0.3</v>
      </c>
      <c r="D31" s="23">
        <f>(C31+E31)/2</f>
        <v>0.32499999999999996</v>
      </c>
      <c r="E31" s="26">
        <v>0.35</v>
      </c>
      <c r="F31" s="23">
        <f>(E31+G31)/2</f>
        <v>0.375</v>
      </c>
      <c r="G31" s="26">
        <v>0.4</v>
      </c>
      <c r="H31" s="20" t="s">
        <v>74</v>
      </c>
      <c r="I31" s="20"/>
      <c r="J31" s="20"/>
      <c r="K31" s="1"/>
      <c r="L31" s="1"/>
      <c r="M31" s="1"/>
    </row>
    <row r="32" spans="1:13" ht="27" customHeight="1">
      <c r="A32" s="1"/>
      <c r="B32" s="20" t="s">
        <v>93</v>
      </c>
      <c r="C32" s="26">
        <v>0.74</v>
      </c>
      <c r="D32" s="23">
        <f>(C32+E32)/2</f>
        <v>0.78</v>
      </c>
      <c r="E32" s="26">
        <v>0.82</v>
      </c>
      <c r="F32" s="23">
        <f>(E32+G32)/2</f>
        <v>0.86</v>
      </c>
      <c r="G32" s="26">
        <v>0.9</v>
      </c>
      <c r="H32" s="20" t="s">
        <v>77</v>
      </c>
      <c r="I32" s="20"/>
      <c r="J32" s="20"/>
      <c r="K32" s="1"/>
      <c r="L32" s="1"/>
      <c r="M32" s="1"/>
    </row>
    <row r="33" spans="1:13" ht="27" customHeight="1">
      <c r="A33" s="1"/>
      <c r="B33" s="20"/>
      <c r="C33" s="20"/>
      <c r="D33" s="20"/>
      <c r="E33" s="20"/>
      <c r="F33" s="20"/>
      <c r="G33" s="20"/>
      <c r="H33" s="20"/>
      <c r="I33" s="20"/>
      <c r="J33" s="20"/>
      <c r="K33" s="1"/>
      <c r="L33" s="1"/>
      <c r="M33" s="1"/>
    </row>
    <row r="34" spans="1:13" ht="27" customHeight="1">
      <c r="A34" s="1"/>
      <c r="B34" s="20" t="s">
        <v>94</v>
      </c>
      <c r="C34" s="20"/>
      <c r="D34" s="20"/>
      <c r="E34" s="25">
        <v>45</v>
      </c>
      <c r="F34" s="20"/>
      <c r="G34" s="20"/>
      <c r="H34" s="20" t="s">
        <v>71</v>
      </c>
      <c r="I34" s="20"/>
      <c r="J34" s="20"/>
      <c r="K34" s="1"/>
      <c r="L34" s="1"/>
      <c r="M34" s="1"/>
    </row>
    <row r="35" spans="1:13" ht="27" customHeight="1">
      <c r="A35" s="1"/>
      <c r="B35" s="20" t="s">
        <v>95</v>
      </c>
      <c r="C35" s="20"/>
      <c r="D35" s="20"/>
      <c r="E35" s="25" t="s">
        <v>90</v>
      </c>
      <c r="F35" s="20"/>
      <c r="G35" s="20"/>
      <c r="H35" s="20"/>
      <c r="I35" s="20"/>
      <c r="J35" s="20" t="s">
        <v>96</v>
      </c>
      <c r="K35" s="1"/>
      <c r="L35" s="1"/>
      <c r="M35" s="1"/>
    </row>
    <row r="36" spans="1:13" ht="27" customHeight="1">
      <c r="A36" s="1"/>
      <c r="B36" s="20"/>
      <c r="C36" s="20"/>
      <c r="D36" s="20"/>
      <c r="E36" s="20"/>
      <c r="F36" s="20"/>
      <c r="G36" s="20"/>
      <c r="H36" s="20"/>
      <c r="I36" s="20"/>
      <c r="J36" s="20"/>
      <c r="K36" s="1"/>
      <c r="L36" s="1"/>
      <c r="M36" s="1"/>
    </row>
    <row r="37" spans="1:13" ht="27" customHeight="1">
      <c r="A37" s="1"/>
      <c r="B37" s="20"/>
      <c r="C37" s="20"/>
      <c r="D37" s="20"/>
      <c r="E37" s="20"/>
      <c r="F37" s="20"/>
      <c r="G37" s="20"/>
      <c r="H37" s="20"/>
      <c r="I37" s="20"/>
      <c r="J37" s="20"/>
      <c r="K37" s="1"/>
      <c r="L37" s="1"/>
      <c r="M37" s="1"/>
    </row>
    <row r="38" spans="1:13" ht="27" customHeight="1">
      <c r="A38" s="1"/>
      <c r="B38" s="20" t="s">
        <v>97</v>
      </c>
      <c r="C38" s="20"/>
      <c r="D38" s="20"/>
      <c r="E38" s="20"/>
      <c r="F38" s="20"/>
      <c r="G38" s="20"/>
      <c r="H38" s="20"/>
      <c r="I38" s="20"/>
      <c r="J38" s="20"/>
      <c r="K38" s="1"/>
      <c r="L38" s="1"/>
      <c r="M38" s="1"/>
    </row>
    <row r="39" spans="1:13" ht="27" customHeight="1">
      <c r="A39" s="1"/>
      <c r="B39" s="20" t="s">
        <v>98</v>
      </c>
      <c r="C39" s="20"/>
      <c r="D39" s="20"/>
      <c r="E39" s="20"/>
      <c r="F39" s="20"/>
      <c r="G39" s="20"/>
      <c r="H39" s="20"/>
      <c r="I39" s="20"/>
      <c r="J39" s="20"/>
      <c r="K39" s="1"/>
      <c r="L39" s="1"/>
      <c r="M39" s="1"/>
    </row>
    <row r="40" spans="1:13" ht="27" customHeight="1">
      <c r="A40" s="1"/>
      <c r="B40" s="20" t="s">
        <v>99</v>
      </c>
      <c r="C40" s="20"/>
      <c r="D40" s="20"/>
      <c r="E40" s="20"/>
      <c r="F40" s="20"/>
      <c r="G40" s="20"/>
      <c r="H40" s="20"/>
      <c r="I40" s="20"/>
      <c r="J40" s="20"/>
      <c r="K40" s="1"/>
      <c r="L40" s="1"/>
      <c r="M40" s="1"/>
    </row>
    <row r="41" spans="1:13" ht="27" customHeight="1">
      <c r="A41" s="1"/>
      <c r="B41" s="20" t="s">
        <v>100</v>
      </c>
      <c r="C41" s="20"/>
      <c r="D41" s="20"/>
      <c r="E41" s="20"/>
      <c r="F41" s="20"/>
      <c r="G41" s="20"/>
      <c r="H41" s="20"/>
      <c r="I41" s="20"/>
      <c r="J41" s="20"/>
      <c r="K41" s="1"/>
      <c r="L41" s="1"/>
      <c r="M41" s="1"/>
    </row>
    <row r="42" spans="1:13" ht="27" customHeight="1">
      <c r="A42" s="1"/>
      <c r="B42" s="20" t="s">
        <v>101</v>
      </c>
      <c r="C42" s="20"/>
      <c r="D42" s="20"/>
      <c r="E42" s="20"/>
      <c r="F42" s="20"/>
      <c r="G42" s="20"/>
      <c r="H42" s="20"/>
      <c r="I42" s="20"/>
      <c r="J42" s="20"/>
      <c r="K42" s="1"/>
      <c r="L42" s="1"/>
      <c r="M42" s="1"/>
    </row>
    <row r="43" spans="1:13" ht="27" customHeight="1">
      <c r="A43" s="1"/>
      <c r="B43" s="20"/>
      <c r="C43" s="20"/>
      <c r="D43" s="20"/>
      <c r="E43" s="20"/>
      <c r="F43" s="20"/>
      <c r="G43" s="20"/>
      <c r="H43" s="20"/>
      <c r="I43" s="20"/>
      <c r="J43" s="20"/>
      <c r="K43" s="1"/>
      <c r="L43" s="1"/>
      <c r="M43" s="1"/>
    </row>
    <row r="44" spans="1:13" ht="27" customHeight="1">
      <c r="A44" s="1"/>
      <c r="B44" s="20"/>
      <c r="C44" s="20"/>
      <c r="D44" s="20"/>
      <c r="E44" s="20"/>
      <c r="F44" s="20"/>
      <c r="G44" s="20"/>
      <c r="H44" s="20"/>
      <c r="I44" s="20"/>
      <c r="J44" s="20"/>
      <c r="K44" s="1"/>
      <c r="L44" s="1"/>
      <c r="M44" s="1"/>
    </row>
    <row r="45" spans="1:13" ht="27" customHeight="1">
      <c r="A45" s="1"/>
      <c r="B45" s="20"/>
      <c r="C45" s="20"/>
      <c r="D45" s="20"/>
      <c r="E45" s="20"/>
      <c r="F45" s="20"/>
      <c r="G45" s="20"/>
      <c r="H45" s="20"/>
      <c r="I45" s="20"/>
      <c r="J45" s="20"/>
      <c r="K45" s="1"/>
      <c r="L45" s="1"/>
      <c r="M45" s="1"/>
    </row>
    <row r="46" spans="1:13" ht="27" customHeight="1">
      <c r="A46" s="1"/>
      <c r="B46" s="20"/>
      <c r="C46" s="20"/>
      <c r="D46" s="20"/>
      <c r="E46" s="20"/>
      <c r="F46" s="20"/>
      <c r="G46" s="20"/>
      <c r="H46" s="20"/>
      <c r="I46" s="20"/>
      <c r="J46" s="20"/>
      <c r="K46" s="1"/>
      <c r="L46" s="1"/>
      <c r="M46" s="1"/>
    </row>
    <row r="47" spans="1:13" ht="27" customHeight="1">
      <c r="A47" s="1"/>
      <c r="B47" s="20"/>
      <c r="C47" s="20"/>
      <c r="D47" s="20"/>
      <c r="E47" s="20"/>
      <c r="F47" s="20"/>
      <c r="G47" s="20"/>
      <c r="H47" s="20"/>
      <c r="I47" s="20"/>
      <c r="J47" s="20"/>
      <c r="K47" s="1"/>
      <c r="L47" s="1"/>
      <c r="M47" s="1"/>
    </row>
    <row r="48" spans="1:13" ht="27" customHeight="1">
      <c r="A48" s="1"/>
      <c r="B48" s="20"/>
      <c r="C48" s="20"/>
      <c r="D48" s="20"/>
      <c r="E48" s="20"/>
      <c r="F48" s="20"/>
      <c r="G48" s="20"/>
      <c r="H48" s="20"/>
      <c r="I48" s="20"/>
      <c r="J48" s="20"/>
      <c r="K48" s="1"/>
      <c r="L48" s="1"/>
      <c r="M48" s="1"/>
    </row>
    <row r="49" spans="1:13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"/>
  <sheetViews>
    <sheetView showGridLines="0" tabSelected="1" workbookViewId="0">
      <selection activeCell="C6" sqref="C6"/>
    </sheetView>
  </sheetViews>
  <sheetFormatPr defaultRowHeight="14"/>
  <cols>
    <col min="1" max="1" width="3" customWidth="1"/>
    <col min="2" max="2" width="25" customWidth="1"/>
    <col min="3" max="3" width="16" customWidth="1"/>
    <col min="4" max="4" width="17" customWidth="1"/>
    <col min="5" max="5" width="3" customWidth="1"/>
    <col min="6" max="6" width="23" customWidth="1"/>
    <col min="7" max="8" width="16" customWidth="1"/>
    <col min="9" max="10" width="3" customWidth="1"/>
  </cols>
  <sheetData>
    <row r="1" spans="1:10" ht="25" customHeight="1">
      <c r="A1" s="39"/>
      <c r="B1" s="39"/>
      <c r="C1" s="39"/>
      <c r="D1" s="39"/>
      <c r="E1" s="39"/>
      <c r="F1" s="39"/>
      <c r="G1" s="39"/>
      <c r="H1" s="39"/>
      <c r="I1" s="39"/>
      <c r="J1" s="39"/>
    </row>
    <row r="2" spans="1:10" ht="25" customHeight="1">
      <c r="A2" s="39"/>
      <c r="B2" s="40" t="s">
        <v>104</v>
      </c>
      <c r="C2" s="39"/>
      <c r="D2" s="39"/>
      <c r="E2" s="39"/>
      <c r="F2" s="39"/>
      <c r="G2" s="39"/>
      <c r="H2" s="39"/>
      <c r="I2" s="39"/>
      <c r="J2" s="39"/>
    </row>
    <row r="3" spans="1:10" ht="25" customHeight="1">
      <c r="A3" s="39"/>
      <c r="B3" s="39"/>
      <c r="C3" s="39"/>
      <c r="D3" s="39"/>
      <c r="E3" s="39"/>
      <c r="F3" s="39"/>
      <c r="G3" s="39"/>
      <c r="H3" s="39"/>
      <c r="I3" s="39"/>
      <c r="J3" s="39"/>
    </row>
    <row r="4" spans="1:10" ht="28" customHeight="1">
      <c r="A4" s="39"/>
      <c r="B4" s="47" t="s">
        <v>105</v>
      </c>
      <c r="C4" s="47" t="s">
        <v>106</v>
      </c>
      <c r="D4" s="47" t="s">
        <v>107</v>
      </c>
      <c r="E4" s="39"/>
      <c r="F4" s="47" t="s">
        <v>108</v>
      </c>
      <c r="G4" s="47" t="s">
        <v>109</v>
      </c>
      <c r="H4" s="47" t="s">
        <v>69</v>
      </c>
      <c r="I4" s="39"/>
      <c r="J4" s="39"/>
    </row>
    <row r="5" spans="1:10" ht="25" customHeight="1">
      <c r="A5" s="39"/>
      <c r="B5" s="39" t="s">
        <v>110</v>
      </c>
      <c r="C5" s="41" t="s">
        <v>111</v>
      </c>
      <c r="D5" s="39" t="s">
        <v>112</v>
      </c>
      <c r="E5" s="39"/>
      <c r="F5" s="39" t="s">
        <v>113</v>
      </c>
      <c r="G5" s="45">
        <f>IF(AND(OR(C5="Rally2",C5="WRC17",C5="Rally1"),COUNT(C6:C9)=4,C6+C16&gt;=0,C6&lt;=0,C7+20&gt;=0,C7&lt;=0,C8+C17&gt;=0,C8&lt;=0,C9&gt;=0,C6=INT(C6),C7=INT(C7),C8=INT(C8)),G9*MIN(C9,G17)+G10*MAX(0,C9-G17)+G11*MAX(0,C9-G18),"检查输入")</f>
        <v>3160</v>
      </c>
      <c r="H5" s="39" t="s">
        <v>114</v>
      </c>
      <c r="I5" s="39"/>
      <c r="J5" s="39"/>
    </row>
    <row r="6" spans="1:10" ht="25" customHeight="1">
      <c r="A6" s="39"/>
      <c r="B6" s="39" t="s">
        <v>115</v>
      </c>
      <c r="C6" s="42">
        <v>-12</v>
      </c>
      <c r="D6" s="39" t="str">
        <f>"−"&amp;C16&amp;"～0 格"</f>
        <v>−24～0 格</v>
      </c>
      <c r="E6" s="39"/>
      <c r="F6" s="39" t="s">
        <v>116</v>
      </c>
      <c r="G6" s="45">
        <f>IF(AND(OR(C5="Rally2",C5="WRC17",C5="Rally1"),COUNT(C6:C9)=4,C6+C16&gt;=0,C6&lt;=0,C7+20&gt;=0,C7&lt;=0,C8+C17&gt;=0,C8&lt;=0,C9&gt;=0,C6=INT(C6),C7=INT(C7),C8=INT(C8)),G14*MIN(C9,G19)+G15*MAX(0,C9-G19),"检查输入")</f>
        <v>1867.5450000000001</v>
      </c>
      <c r="H6" s="39" t="s">
        <v>114</v>
      </c>
      <c r="I6" s="39"/>
      <c r="J6" s="39"/>
    </row>
    <row r="7" spans="1:10" ht="25" customHeight="1">
      <c r="A7" s="39"/>
      <c r="B7" s="39" t="s">
        <v>117</v>
      </c>
      <c r="C7" s="42">
        <v>-10</v>
      </c>
      <c r="D7" s="39" t="s">
        <v>118</v>
      </c>
      <c r="E7" s="39"/>
      <c r="F7" s="39"/>
      <c r="G7" s="39"/>
      <c r="H7" s="39"/>
      <c r="I7" s="39"/>
      <c r="J7" s="39"/>
    </row>
    <row r="8" spans="1:10" ht="28" customHeight="1">
      <c r="A8" s="39"/>
      <c r="B8" s="39" t="s">
        <v>119</v>
      </c>
      <c r="C8" s="42">
        <v>-20</v>
      </c>
      <c r="D8" s="39" t="str">
        <f>"−"&amp;C17&amp;"～0 格"</f>
        <v>−40～0 格</v>
      </c>
      <c r="E8" s="39"/>
      <c r="F8" s="47" t="s">
        <v>120</v>
      </c>
      <c r="G8" s="47" t="s">
        <v>106</v>
      </c>
      <c r="H8" s="47" t="s">
        <v>69</v>
      </c>
      <c r="I8" s="39"/>
      <c r="J8" s="39"/>
    </row>
    <row r="9" spans="1:10" ht="25" customHeight="1">
      <c r="A9" s="39"/>
      <c r="B9" s="39" t="s">
        <v>121</v>
      </c>
      <c r="C9" s="43">
        <v>1</v>
      </c>
      <c r="D9" s="39" t="s">
        <v>74</v>
      </c>
      <c r="E9" s="39"/>
      <c r="F9" s="39" t="s">
        <v>122</v>
      </c>
      <c r="G9" s="44">
        <f>INDEX(Parameters!$C$7:$G$7,1,C21)+(C18-INDEX(Parameters!$C$6:$G$6,1,C21))*(INDEX(Parameters!$C$7:$G$7,1,C21+1)-INDEX(Parameters!$C$7:$G$7,1,C21))/(INDEX(Parameters!$C$6:$G$6,1,C21+1)-INDEX(Parameters!$C$6:$G$6,1,C21))</f>
        <v>2500</v>
      </c>
      <c r="H9" s="39" t="s">
        <v>71</v>
      </c>
      <c r="I9" s="39"/>
      <c r="J9" s="39"/>
    </row>
    <row r="10" spans="1:10" ht="25" customHeight="1">
      <c r="A10" s="39"/>
      <c r="B10" s="39"/>
      <c r="C10" s="39"/>
      <c r="D10" s="39"/>
      <c r="E10" s="39"/>
      <c r="F10" s="39" t="s">
        <v>123</v>
      </c>
      <c r="G10" s="44">
        <f>G9*(INDEX(Parameters!$C$9:$G$9,1,C21)+(C18-INDEX(Parameters!$C$6:$G$6,1,C21))*(INDEX(Parameters!$C$9:$G$9,1,C21+1)-INDEX(Parameters!$C$9:$G$9,1,C21))/(INDEX(Parameters!$C$6:$G$6,1,C21+1)-INDEX(Parameters!$C$6:$G$6,1,C21)))</f>
        <v>2100</v>
      </c>
      <c r="H10" s="39" t="s">
        <v>71</v>
      </c>
      <c r="I10" s="39"/>
      <c r="J10" s="39"/>
    </row>
    <row r="11" spans="1:10" ht="25" customHeight="1">
      <c r="A11" s="39"/>
      <c r="B11" s="39"/>
      <c r="C11" s="39"/>
      <c r="D11" s="39"/>
      <c r="E11" s="39"/>
      <c r="F11" s="39" t="s">
        <v>124</v>
      </c>
      <c r="G11" s="44">
        <f>INDEX(Parameters!$C$10:$G$10,1,C22)+(C19-INDEX(Parameters!$C$6:$G$6,1,C22))*(INDEX(Parameters!$C$10:$G$10,1,C22+1)-INDEX(Parameters!$C$10:$G$10,1,C22))/(INDEX(Parameters!$C$6:$G$6,1,C22+1)-INDEX(Parameters!$C$6:$G$6,1,C22))</f>
        <v>2500</v>
      </c>
      <c r="H11" s="39" t="s">
        <v>71</v>
      </c>
      <c r="I11" s="39"/>
      <c r="J11" s="39"/>
    </row>
    <row r="12" spans="1:10" ht="25" customHeight="1">
      <c r="A12" s="39"/>
      <c r="B12" s="39"/>
      <c r="C12" s="39"/>
      <c r="D12" s="39"/>
      <c r="E12" s="39"/>
      <c r="F12" s="39" t="s">
        <v>125</v>
      </c>
      <c r="G12" s="44">
        <f>G10+G11</f>
        <v>4600</v>
      </c>
      <c r="H12" s="39" t="s">
        <v>71</v>
      </c>
      <c r="I12" s="39"/>
      <c r="J12" s="39"/>
    </row>
    <row r="13" spans="1:10" ht="25" customHeight="1">
      <c r="A13" s="39"/>
      <c r="B13" s="39"/>
      <c r="C13" s="39"/>
      <c r="D13" s="39"/>
      <c r="E13" s="39"/>
      <c r="F13" s="39"/>
      <c r="G13" s="44"/>
      <c r="H13" s="39"/>
      <c r="I13" s="39"/>
      <c r="J13" s="39"/>
    </row>
    <row r="14" spans="1:10" ht="28" customHeight="1">
      <c r="A14" s="39"/>
      <c r="B14" s="47" t="s">
        <v>126</v>
      </c>
      <c r="C14" s="47" t="s">
        <v>106</v>
      </c>
      <c r="D14" s="47" t="s">
        <v>127</v>
      </c>
      <c r="E14" s="39"/>
      <c r="F14" s="39" t="s">
        <v>128</v>
      </c>
      <c r="G14" s="44">
        <f>INDEX(Parameters!$C$30:$G$30,1,C23)+(C20-INDEX(Parameters!$C$28:$G$28,1,C23))*(INDEX(Parameters!$C$30:$G$30,1,C23+1)-INDEX(Parameters!$C$30:$G$30,1,C23))/(INDEX(Parameters!$C$28:$G$28,1,C23+1)-INDEX(Parameters!$C$28:$G$28,1,C23))</f>
        <v>2115</v>
      </c>
      <c r="H14" s="39" t="s">
        <v>71</v>
      </c>
      <c r="I14" s="39"/>
      <c r="J14" s="39"/>
    </row>
    <row r="15" spans="1:10" ht="25" customHeight="1">
      <c r="A15" s="39"/>
      <c r="B15" s="39"/>
      <c r="C15" s="39"/>
      <c r="D15" s="39"/>
      <c r="E15" s="39"/>
      <c r="F15" s="39" t="s">
        <v>129</v>
      </c>
      <c r="G15" s="44">
        <f>G14*(INDEX(Parameters!$C$32:$G$32,1,C23)+(C20-INDEX(Parameters!$C$28:$G$28,1,C23))*(INDEX(Parameters!$C$32:$G$32,1,C23+1)-INDEX(Parameters!$C$32:$G$32,1,C23))/(INDEX(Parameters!$C$28:$G$28,1,C23+1)-INDEX(Parameters!$C$28:$G$28,1,C23)))</f>
        <v>1734.3</v>
      </c>
      <c r="H15" s="39" t="s">
        <v>71</v>
      </c>
      <c r="I15" s="39"/>
      <c r="J15" s="39"/>
    </row>
    <row r="16" spans="1:10" ht="25" customHeight="1">
      <c r="A16" s="39"/>
      <c r="B16" s="39" t="s">
        <v>130</v>
      </c>
      <c r="C16" s="39">
        <v>24</v>
      </c>
      <c r="D16" s="39" t="s">
        <v>131</v>
      </c>
      <c r="E16" s="39"/>
      <c r="F16" s="39"/>
      <c r="G16" s="39"/>
      <c r="H16" s="39"/>
      <c r="I16" s="39"/>
      <c r="J16" s="39"/>
    </row>
    <row r="17" spans="1:10" ht="25" customHeight="1">
      <c r="A17" s="39"/>
      <c r="B17" s="39" t="s">
        <v>132</v>
      </c>
      <c r="C17" s="39">
        <f>IF(C5="WRC17",60,40)</f>
        <v>40</v>
      </c>
      <c r="D17" s="39" t="s">
        <v>131</v>
      </c>
      <c r="E17" s="39"/>
      <c r="F17" s="39" t="s">
        <v>73</v>
      </c>
      <c r="G17" s="46">
        <f>INDEX(Parameters!$C$8:$G$8,1,C21)+(C18-INDEX(Parameters!$C$6:$G$6,1,C21))*(INDEX(Parameters!$C$8:$G$8,1,C21+1)-INDEX(Parameters!$C$8:$G$8,1,C21))/(INDEX(Parameters!$C$6:$G$6,1,C21+1)-INDEX(Parameters!$C$6:$G$6,1,C21))</f>
        <v>0.15</v>
      </c>
      <c r="H17" s="39" t="s">
        <v>74</v>
      </c>
      <c r="I17" s="39"/>
      <c r="J17" s="39"/>
    </row>
    <row r="18" spans="1:10" ht="25" customHeight="1">
      <c r="A18" s="39"/>
      <c r="B18" s="39" t="s">
        <v>133</v>
      </c>
      <c r="C18" s="44">
        <f>C6*20/C16</f>
        <v>-10</v>
      </c>
      <c r="D18" s="39" t="s">
        <v>134</v>
      </c>
      <c r="E18" s="39"/>
      <c r="F18" s="39" t="s">
        <v>80</v>
      </c>
      <c r="G18" s="46">
        <f>INDEX(Parameters!$C$11:$G$11,1,C22)+(C19-INDEX(Parameters!$C$6:$G$6,1,C22))*(INDEX(Parameters!$C$11:$G$11,1,C22+1)-INDEX(Parameters!$C$11:$G$11,1,C22))/(INDEX(Parameters!$C$6:$G$6,1,C22+1)-INDEX(Parameters!$C$6:$G$6,1,C22))</f>
        <v>0.6</v>
      </c>
      <c r="H18" s="39" t="s">
        <v>74</v>
      </c>
      <c r="I18" s="39"/>
      <c r="J18" s="39"/>
    </row>
    <row r="19" spans="1:10" ht="25" customHeight="1">
      <c r="A19" s="39"/>
      <c r="B19" s="39" t="s">
        <v>135</v>
      </c>
      <c r="C19" s="44">
        <f>C7</f>
        <v>-10</v>
      </c>
      <c r="D19" s="39" t="s">
        <v>136</v>
      </c>
      <c r="E19" s="39"/>
      <c r="F19" s="39" t="s">
        <v>92</v>
      </c>
      <c r="G19" s="46">
        <f>INDEX(Parameters!$C$31:$G$31,1,C23)+(C20-INDEX(Parameters!$C$28:$G$28,1,C23))*(INDEX(Parameters!$C$31:$G$31,1,C23+1)-INDEX(Parameters!$C$31:$G$31,1,C23))/(INDEX(Parameters!$C$28:$G$28,1,C23+1)-INDEX(Parameters!$C$28:$G$28,1,C23))</f>
        <v>0.35</v>
      </c>
      <c r="H19" s="39" t="s">
        <v>74</v>
      </c>
      <c r="I19" s="39"/>
      <c r="J19" s="39"/>
    </row>
    <row r="20" spans="1:10" ht="25" customHeight="1">
      <c r="A20" s="39"/>
      <c r="B20" s="39" t="s">
        <v>137</v>
      </c>
      <c r="C20" s="44">
        <f>C8*40/C17</f>
        <v>-20</v>
      </c>
      <c r="D20" s="39" t="s">
        <v>138</v>
      </c>
      <c r="E20" s="39"/>
      <c r="F20" s="39"/>
      <c r="G20" s="39"/>
      <c r="H20" s="39"/>
      <c r="I20" s="39"/>
      <c r="J20" s="39"/>
    </row>
    <row r="21" spans="1:10" ht="25" customHeight="1">
      <c r="A21" s="39"/>
      <c r="B21" s="39" t="s">
        <v>139</v>
      </c>
      <c r="C21" s="39">
        <f>MIN(4,MATCH(C18,Parameters!$C$6:$G$6,1))</f>
        <v>3</v>
      </c>
      <c r="D21" s="39"/>
      <c r="E21" s="39"/>
      <c r="F21" s="39"/>
      <c r="G21" s="39"/>
      <c r="H21" s="39"/>
      <c r="I21" s="39"/>
      <c r="J21" s="39"/>
    </row>
    <row r="22" spans="1:10" ht="25" customHeight="1">
      <c r="A22" s="39"/>
      <c r="B22" s="39" t="s">
        <v>140</v>
      </c>
      <c r="C22" s="39">
        <f>MIN(4,MATCH(C19,Parameters!$C$6:$G$6,1))</f>
        <v>3</v>
      </c>
      <c r="D22" s="39"/>
      <c r="E22" s="39"/>
      <c r="F22" s="39"/>
      <c r="G22" s="39"/>
      <c r="H22" s="39"/>
      <c r="I22" s="39"/>
      <c r="J22" s="39"/>
    </row>
    <row r="23" spans="1:10" ht="25" customHeight="1">
      <c r="A23" s="39"/>
      <c r="B23" s="39" t="s">
        <v>141</v>
      </c>
      <c r="C23" s="39">
        <f>MIN(4,MATCH(C20,Parameters!$C$28:$G$28,1))</f>
        <v>3</v>
      </c>
      <c r="D23" s="39"/>
      <c r="E23" s="39"/>
      <c r="F23" s="39"/>
      <c r="G23" s="39"/>
      <c r="H23" s="39"/>
      <c r="I23" s="39"/>
      <c r="J23" s="39"/>
    </row>
    <row r="24" spans="1:10" ht="25" customHeight="1">
      <c r="A24" s="39"/>
      <c r="B24" s="39"/>
      <c r="C24" s="39"/>
      <c r="D24" s="39"/>
      <c r="E24" s="39"/>
      <c r="F24" s="39"/>
      <c r="G24" s="39"/>
      <c r="H24" s="39"/>
      <c r="I24" s="39"/>
      <c r="J24" s="39"/>
    </row>
    <row r="25" spans="1:10" ht="25" customHeight="1">
      <c r="A25" s="39"/>
      <c r="B25" s="48" t="s">
        <v>142</v>
      </c>
      <c r="C25" s="48"/>
      <c r="D25" s="48"/>
      <c r="E25" s="48"/>
      <c r="F25" s="48"/>
      <c r="G25" s="48"/>
      <c r="H25" s="48"/>
      <c r="I25" s="39"/>
      <c r="J25" s="39"/>
    </row>
    <row r="26" spans="1:10" ht="25" customHeight="1">
      <c r="A26" s="39"/>
      <c r="B26" s="48" t="s">
        <v>143</v>
      </c>
      <c r="C26" s="48"/>
      <c r="D26" s="48"/>
      <c r="E26" s="48"/>
      <c r="F26" s="48"/>
      <c r="G26" s="48"/>
      <c r="H26" s="48"/>
      <c r="I26" s="39"/>
      <c r="J26" s="39"/>
    </row>
    <row r="27" spans="1:10" ht="25" customHeight="1">
      <c r="A27" s="39"/>
      <c r="B27" s="48" t="s">
        <v>144</v>
      </c>
      <c r="C27" s="48"/>
      <c r="D27" s="48"/>
      <c r="E27" s="48"/>
      <c r="F27" s="48"/>
      <c r="G27" s="48"/>
      <c r="H27" s="48"/>
      <c r="I27" s="39"/>
      <c r="J27" s="39"/>
    </row>
    <row r="28" spans="1:10" ht="25" customHeight="1">
      <c r="A28" s="39"/>
      <c r="B28" s="39"/>
      <c r="C28" s="39"/>
      <c r="D28" s="39"/>
      <c r="E28" s="39"/>
      <c r="F28" s="39"/>
      <c r="G28" s="39"/>
      <c r="H28" s="39"/>
      <c r="I28" s="39"/>
      <c r="J28" s="39"/>
    </row>
    <row r="29" spans="1:10" ht="25" customHeight="1">
      <c r="A29" s="39"/>
      <c r="B29" s="39"/>
      <c r="C29" s="39"/>
      <c r="D29" s="39"/>
      <c r="E29" s="39"/>
      <c r="F29" s="39"/>
      <c r="G29" s="39"/>
      <c r="H29" s="39"/>
      <c r="I29" s="39"/>
      <c r="J29" s="39"/>
    </row>
    <row r="30" spans="1:10" ht="25" customHeight="1">
      <c r="A30" s="39"/>
      <c r="B30" s="39"/>
      <c r="C30" s="39"/>
      <c r="D30" s="39"/>
      <c r="E30" s="39"/>
      <c r="F30" s="39"/>
      <c r="G30" s="39"/>
      <c r="H30" s="39"/>
      <c r="I30" s="39"/>
      <c r="J30" s="39"/>
    </row>
  </sheetData>
  <phoneticPr fontId="7" type="noConversion"/>
  <dataValidations count="5">
    <dataValidation type="list" sqref="C5" xr:uid="{00000000-0002-0000-0500-000000000000}">
      <formula1>"Rally2,WRC17,Rally1"</formula1>
    </dataValidation>
    <dataValidation type="whole" sqref="C6" xr:uid="{00000000-0002-0000-0500-000001000000}">
      <formula1>-C16</formula1>
      <formula2>0</formula2>
    </dataValidation>
    <dataValidation type="whole" sqref="C7" xr:uid="{00000000-0002-0000-0500-000002000000}">
      <formula1>-20</formula1>
      <formula2>0</formula2>
    </dataValidation>
    <dataValidation type="whole" sqref="C8" xr:uid="{00000000-0002-0000-0500-000003000000}">
      <formula1>-C17</formula1>
      <formula2>0</formula2>
    </dataValidation>
    <dataValidation type="decimal" operator="greaterThanOrEqual" sqref="C9" xr:uid="{00000000-0002-0000-0500-000004000000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LSC Sweep</vt:lpstr>
      <vt:lpstr>HSC Sweep</vt:lpstr>
      <vt:lpstr>LSR Sweep</vt:lpstr>
      <vt:lpstr>Full Sweep</vt:lpstr>
      <vt:lpstr>Parameters</vt:lpstr>
      <vt:lpstr>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2026-09-28T16:12:39Z</dcterms:modified>
</cp:coreProperties>
</file>