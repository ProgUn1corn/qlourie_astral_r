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D5DCEB5D-1A26-4980-AE5D-B24DCA0DE27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5" i="7" l="1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<sst xmlns="http://schemas.openxmlformats.org/spreadsheetml/2006/main" count="220" uniqueCount="87">
  <si>
    <t>Astral · LSC Sweep</t>
  </si>
  <si>
    <t>Valving</t>
  </si>
  <si>
    <t>Type-A</t>
  </si>
  <si>
    <t>Type-B · 独立设计草稿；切换仅作用于本页。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</si>
  <si>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</si>
  <si>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</si>
  <si>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</si>
  <si>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</si>
  <si>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</si>
  <si>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Astral · LSR Sweep</t>
  </si>
  <si>
    <t>LSR：−40 / −30 / −20 / −10 / 0 R；图中显示回弹力大小。</t>
  </si>
  <si>
    <t>Astral · Combined Sweep</t>
  </si>
  <si>
    <t>压缩与回弹各五条：最软 / 25% / 默认 / 75% / 最硬。</t>
  </si>
  <si>
    <t>Astral · Valving parameters</t>
  </si>
  <si>
    <t>黄色单元格可编辑；Type-B 是当前 Type-A 的独立副本，用于设计草稿。</t>
  </si>
  <si>
    <t>Type-B · Draft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</si>
  <si>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</si>
  <si>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</si>
  <si>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</si>
  <si>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</si>
  <si>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</si>
  <si>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</si>
  <si>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</si>
  <si>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</si>
  <si>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</si>
  <si>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</si>
  <si>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HSbump · 附加梁</t>
  </si>
  <si>
    <t>LSR · R（6 系）</t>
  </si>
  <si>
    <t>rebound</t>
  </si>
  <si>
    <t>Rebound knee</t>
  </si>
  <si>
    <t>HSrebound / rebound</t>
  </si>
  <si>
    <t>Clicks · 共用调节格数</t>
  </si>
  <si>
    <t>LSC · 所有车型</t>
  </si>
  <si>
    <t>Sweep 以 6 系的 c / C / R 格数显示；计算器支持 WRC17 的 60 格回弹。</t>
  </si>
  <si>
    <t>HSC · 所有车型</t>
  </si>
  <si>
    <t>LSR · Rally2 / Rally1</t>
  </si>
  <si>
    <t>LSR · WRC17</t>
  </si>
  <si>
    <t>0 为最硬；负数为从全关退出的格数。</t>
  </si>
  <si>
    <t>Model · 延续当前公式</t>
  </si>
  <si>
    <t>bump2 = bump1 × 中间段倍率；总高速系数 = bump2 + HSbump。</t>
  </si>
  <si>
    <t>回弹力 = rebound × MIN(v, Rebound knee) + HSrebound × MAX(0, v − Rebound knee)。</t>
  </si>
  <si>
    <t>连续分段接续仍为工作假设；这里计算基础阻尼，不叠加气体、弹簧、HBS/HRS 或 LRS/DSV。</t>
  </si>
  <si>
    <t>采样 0～1 m/s，间隔 0.05；关闭平滑，采样点以直线连接。</t>
  </si>
  <si>
    <t>研究来源：chatgpt-conversation://6a9ed043-7848-83e8-9d36-6e63c8202898</t>
  </si>
  <si>
    <t>Astral · Damping calculator</t>
  </si>
  <si>
    <t>A / B 独立切换 · 输入实际 c / C / R 格数及轴速</t>
  </si>
  <si>
    <t>车型</t>
  </si>
  <si>
    <t>Rally2</t>
  </si>
  <si>
    <t>当前输入 · 阻尼力大小</t>
  </si>
  <si>
    <t>压缩力 (N)</t>
  </si>
  <si>
    <t>LSR · R</t>
  </si>
  <si>
    <t>轴速 (m/s)</t>
  </si>
  <si>
    <t>回弹力 (N)</t>
  </si>
  <si>
    <t>c 总格数</t>
  </si>
  <si>
    <t>实际计算参数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</si>
  <si>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</si>
  <si>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</si>
  <si>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</si>
  <si>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</si>
  <si>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</si>
  <si>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</si>
  <si>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</si>
  <si>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LSC Sweep · 由本页 Valving 开关选择参数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</si>
  <si>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</si>
  <si>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</si>
  <si>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</si>
  <si>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</si>
  <si>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</si>
  <si>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</si>
  <si>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</si>
  <si>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</si>
  <si>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</si>
  <si>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</si>
  <si>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</si>
  <si>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</si>
  <si>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</si>
  <si>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</si>
  <si>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 · 由本页 Valving 开关选择参数</t>
  </si>
  <si>
    <t>LSR Sweep · 由本页 Valving 开关选择参数</t>
  </si>
  <si>
    <t>Full Sweep · 由本页 Valving 开关选择参数</t>
  </si>
  <si>
    <t>Calculator · 插值参数</t>
  </si>
  <si>
    <t>Type-B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</si>
  <si>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</si>
  <si>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</si>
  <si>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</si>
  <si>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</si>
  <si>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Astral · HSC Sweep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</si>
</sst>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0" fontId="6" fillId="0" borderId="0" xfId="1" applyFont="1" applyAlignment="1">
      <alignment vertical="center" wrapText="1"/>
    </xf>
    <xf numFmtId="0" fontId="1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2" fontId="11" fillId="0" borderId="0" xfId="1" applyNumberFormat="1" applyFont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139</c:v>
                </c:pt>
                <c:pt idx="4">
                  <c:v>178</c:v>
                </c:pt>
                <c:pt idx="5">
                  <c:v>217</c:v>
                </c:pt>
                <c:pt idx="6">
                  <c:v>256</c:v>
                </c:pt>
                <c:pt idx="7">
                  <c:v>295</c:v>
                </c:pt>
                <c:pt idx="8">
                  <c:v>334</c:v>
                </c:pt>
                <c:pt idx="9">
                  <c:v>373</c:v>
                </c:pt>
                <c:pt idx="10">
                  <c:v>412</c:v>
                </c:pt>
                <c:pt idx="11">
                  <c:v>451.00000000000006</c:v>
                </c:pt>
                <c:pt idx="12">
                  <c:v>490</c:v>
                </c:pt>
                <c:pt idx="13">
                  <c:v>654.00000000000011</c:v>
                </c:pt>
                <c:pt idx="14">
                  <c:v>818</c:v>
                </c:pt>
                <c:pt idx="15">
                  <c:v>982</c:v>
                </c:pt>
                <c:pt idx="16">
                  <c:v>1146.0000000000002</c:v>
                </c:pt>
                <c:pt idx="17">
                  <c:v>1310</c:v>
                </c:pt>
                <c:pt idx="18">
                  <c:v>1474</c:v>
                </c:pt>
                <c:pt idx="19">
                  <c:v>1638</c:v>
                </c:pt>
                <c:pt idx="20">
                  <c:v>1802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249.2</c:v>
                </c:pt>
                <c:pt idx="4">
                  <c:v>320.07500000000005</c:v>
                </c:pt>
                <c:pt idx="5">
                  <c:v>390.95000000000005</c:v>
                </c:pt>
                <c:pt idx="6">
                  <c:v>461.82499999999999</c:v>
                </c:pt>
                <c:pt idx="7">
                  <c:v>532.70000000000005</c:v>
                </c:pt>
                <c:pt idx="8">
                  <c:v>603.57500000000005</c:v>
                </c:pt>
                <c:pt idx="9">
                  <c:v>674.45</c:v>
                </c:pt>
                <c:pt idx="10">
                  <c:v>745.32500000000005</c:v>
                </c:pt>
                <c:pt idx="11">
                  <c:v>816.2</c:v>
                </c:pt>
                <c:pt idx="12">
                  <c:v>887.07499999999993</c:v>
                </c:pt>
                <c:pt idx="13">
                  <c:v>1082.9500000000003</c:v>
                </c:pt>
                <c:pt idx="14">
                  <c:v>1278.8249999999998</c:v>
                </c:pt>
                <c:pt idx="15">
                  <c:v>1474.7</c:v>
                </c:pt>
                <c:pt idx="16">
                  <c:v>1670.5750000000003</c:v>
                </c:pt>
                <c:pt idx="17">
                  <c:v>1866.45</c:v>
                </c:pt>
                <c:pt idx="18">
                  <c:v>2062.3250000000003</c:v>
                </c:pt>
                <c:pt idx="19">
                  <c:v>2258.1999999999998</c:v>
                </c:pt>
                <c:pt idx="20">
                  <c:v>2454.0749999999998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363</c:v>
                </c:pt>
                <c:pt idx="4">
                  <c:v>468</c:v>
                </c:pt>
                <c:pt idx="5">
                  <c:v>573</c:v>
                </c:pt>
                <c:pt idx="6">
                  <c:v>678</c:v>
                </c:pt>
                <c:pt idx="7">
                  <c:v>783</c:v>
                </c:pt>
                <c:pt idx="8">
                  <c:v>888</c:v>
                </c:pt>
                <c:pt idx="9">
                  <c:v>993</c:v>
                </c:pt>
                <c:pt idx="10">
                  <c:v>1098</c:v>
                </c:pt>
                <c:pt idx="11">
                  <c:v>1203</c:v>
                </c:pt>
                <c:pt idx="12">
                  <c:v>1308</c:v>
                </c:pt>
                <c:pt idx="13">
                  <c:v>1538</c:v>
                </c:pt>
                <c:pt idx="14">
                  <c:v>1768</c:v>
                </c:pt>
                <c:pt idx="15">
                  <c:v>1998</c:v>
                </c:pt>
                <c:pt idx="16">
                  <c:v>2228</c:v>
                </c:pt>
                <c:pt idx="17">
                  <c:v>2458</c:v>
                </c:pt>
                <c:pt idx="18">
                  <c:v>2688</c:v>
                </c:pt>
                <c:pt idx="19">
                  <c:v>2918</c:v>
                </c:pt>
                <c:pt idx="20">
                  <c:v>3148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479.04999999999995</c:v>
                </c:pt>
                <c:pt idx="4">
                  <c:v>620.42499999999995</c:v>
                </c:pt>
                <c:pt idx="5">
                  <c:v>761.8</c:v>
                </c:pt>
                <c:pt idx="6">
                  <c:v>903.17499999999995</c:v>
                </c:pt>
                <c:pt idx="7">
                  <c:v>1044.55</c:v>
                </c:pt>
                <c:pt idx="8">
                  <c:v>1185.9250000000002</c:v>
                </c:pt>
                <c:pt idx="9">
                  <c:v>1327.3000000000002</c:v>
                </c:pt>
                <c:pt idx="10">
                  <c:v>1468.675</c:v>
                </c:pt>
                <c:pt idx="11">
                  <c:v>1610.0500000000002</c:v>
                </c:pt>
                <c:pt idx="12">
                  <c:v>1751.425</c:v>
                </c:pt>
                <c:pt idx="13">
                  <c:v>2017.8000000000002</c:v>
                </c:pt>
                <c:pt idx="14">
                  <c:v>2284.1749999999997</c:v>
                </c:pt>
                <c:pt idx="15">
                  <c:v>2550.5500000000002</c:v>
                </c:pt>
                <c:pt idx="16">
                  <c:v>2816.9250000000002</c:v>
                </c:pt>
                <c:pt idx="17">
                  <c:v>3083.3</c:v>
                </c:pt>
                <c:pt idx="18">
                  <c:v>3349.6750000000002</c:v>
                </c:pt>
                <c:pt idx="19">
                  <c:v>3616.0499999999997</c:v>
                </c:pt>
                <c:pt idx="20">
                  <c:v>3882.4250000000002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595.99999999999989</c:v>
                </c:pt>
                <c:pt idx="4">
                  <c:v>776</c:v>
                </c:pt>
                <c:pt idx="5">
                  <c:v>956</c:v>
                </c:pt>
                <c:pt idx="6">
                  <c:v>1136</c:v>
                </c:pt>
                <c:pt idx="7">
                  <c:v>1316</c:v>
                </c:pt>
                <c:pt idx="8">
                  <c:v>1496</c:v>
                </c:pt>
                <c:pt idx="9">
                  <c:v>1676</c:v>
                </c:pt>
                <c:pt idx="10">
                  <c:v>1856</c:v>
                </c:pt>
                <c:pt idx="11">
                  <c:v>2036</c:v>
                </c:pt>
                <c:pt idx="12">
                  <c:v>2216</c:v>
                </c:pt>
                <c:pt idx="13">
                  <c:v>2521</c:v>
                </c:pt>
                <c:pt idx="14">
                  <c:v>2826</c:v>
                </c:pt>
                <c:pt idx="15">
                  <c:v>3131</c:v>
                </c:pt>
                <c:pt idx="16">
                  <c:v>3436</c:v>
                </c:pt>
                <c:pt idx="17">
                  <c:v>3741</c:v>
                </c:pt>
                <c:pt idx="18">
                  <c:v>4046</c:v>
                </c:pt>
                <c:pt idx="19">
                  <c:v>4351</c:v>
                </c:pt>
                <c:pt idx="20">
                  <c:v>4656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825</c:v>
                </c:pt>
                <c:pt idx="7">
                  <c:v>900</c:v>
                </c:pt>
                <c:pt idx="8">
                  <c:v>975</c:v>
                </c:pt>
                <c:pt idx="9">
                  <c:v>1050</c:v>
                </c:pt>
                <c:pt idx="10">
                  <c:v>1125</c:v>
                </c:pt>
                <c:pt idx="11">
                  <c:v>1200</c:v>
                </c:pt>
                <c:pt idx="12">
                  <c:v>1275</c:v>
                </c:pt>
                <c:pt idx="13">
                  <c:v>1375</c:v>
                </c:pt>
                <c:pt idx="14">
                  <c:v>1475</c:v>
                </c:pt>
                <c:pt idx="15">
                  <c:v>1575</c:v>
                </c:pt>
                <c:pt idx="16">
                  <c:v>1675</c:v>
                </c:pt>
                <c:pt idx="17">
                  <c:v>1775</c:v>
                </c:pt>
                <c:pt idx="18">
                  <c:v>1875</c:v>
                </c:pt>
                <c:pt idx="19">
                  <c:v>1975</c:v>
                </c:pt>
                <c:pt idx="20">
                  <c:v>2075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975</c:v>
                </c:pt>
                <c:pt idx="8">
                  <c:v>1050</c:v>
                </c:pt>
                <c:pt idx="9">
                  <c:v>1125</c:v>
                </c:pt>
                <c:pt idx="10">
                  <c:v>1200</c:v>
                </c:pt>
                <c:pt idx="11">
                  <c:v>1275</c:v>
                </c:pt>
                <c:pt idx="12">
                  <c:v>1350</c:v>
                </c:pt>
                <c:pt idx="13">
                  <c:v>1450</c:v>
                </c:pt>
                <c:pt idx="14">
                  <c:v>1550</c:v>
                </c:pt>
                <c:pt idx="15">
                  <c:v>1650</c:v>
                </c:pt>
                <c:pt idx="16">
                  <c:v>1750</c:v>
                </c:pt>
                <c:pt idx="17">
                  <c:v>1850</c:v>
                </c:pt>
                <c:pt idx="18">
                  <c:v>1950</c:v>
                </c:pt>
                <c:pt idx="19">
                  <c:v>2050</c:v>
                </c:pt>
                <c:pt idx="20">
                  <c:v>2150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1125</c:v>
                </c:pt>
                <c:pt idx="9">
                  <c:v>1200</c:v>
                </c:pt>
                <c:pt idx="10">
                  <c:v>1275</c:v>
                </c:pt>
                <c:pt idx="11">
                  <c:v>1350</c:v>
                </c:pt>
                <c:pt idx="12">
                  <c:v>1425</c:v>
                </c:pt>
                <c:pt idx="13">
                  <c:v>1525</c:v>
                </c:pt>
                <c:pt idx="14">
                  <c:v>1625</c:v>
                </c:pt>
                <c:pt idx="15">
                  <c:v>1725</c:v>
                </c:pt>
                <c:pt idx="16">
                  <c:v>1825</c:v>
                </c:pt>
                <c:pt idx="17">
                  <c:v>1925</c:v>
                </c:pt>
                <c:pt idx="18">
                  <c:v>2025</c:v>
                </c:pt>
                <c:pt idx="19">
                  <c:v>2125</c:v>
                </c:pt>
                <c:pt idx="20">
                  <c:v>2225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1275</c:v>
                </c:pt>
                <c:pt idx="10">
                  <c:v>1350</c:v>
                </c:pt>
                <c:pt idx="11">
                  <c:v>1425</c:v>
                </c:pt>
                <c:pt idx="12">
                  <c:v>1500</c:v>
                </c:pt>
                <c:pt idx="13">
                  <c:v>1600</c:v>
                </c:pt>
                <c:pt idx="14">
                  <c:v>1700</c:v>
                </c:pt>
                <c:pt idx="15">
                  <c:v>1800</c:v>
                </c:pt>
                <c:pt idx="16">
                  <c:v>1900</c:v>
                </c:pt>
                <c:pt idx="17">
                  <c:v>2000</c:v>
                </c:pt>
                <c:pt idx="18">
                  <c:v>2100</c:v>
                </c:pt>
                <c:pt idx="19">
                  <c:v>2200</c:v>
                </c:pt>
                <c:pt idx="20">
                  <c:v>2300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1425</c:v>
                </c:pt>
                <c:pt idx="11">
                  <c:v>1500</c:v>
                </c:pt>
                <c:pt idx="12">
                  <c:v>1575</c:v>
                </c:pt>
                <c:pt idx="13">
                  <c:v>1675</c:v>
                </c:pt>
                <c:pt idx="14">
                  <c:v>1775</c:v>
                </c:pt>
                <c:pt idx="15">
                  <c:v>1875</c:v>
                </c:pt>
                <c:pt idx="16">
                  <c:v>1975</c:v>
                </c:pt>
                <c:pt idx="17">
                  <c:v>2075</c:v>
                </c:pt>
                <c:pt idx="18">
                  <c:v>2175</c:v>
                </c:pt>
                <c:pt idx="19">
                  <c:v>2275</c:v>
                </c:pt>
                <c:pt idx="20">
                  <c:v>2375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Rebound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244.4</c:v>
                </c:pt>
                <c:pt idx="6">
                  <c:v>280.39999999999998</c:v>
                </c:pt>
                <c:pt idx="7">
                  <c:v>316.39999999999998</c:v>
                </c:pt>
                <c:pt idx="8">
                  <c:v>352.4</c:v>
                </c:pt>
                <c:pt idx="9">
                  <c:v>388.4</c:v>
                </c:pt>
                <c:pt idx="10">
                  <c:v>424.4</c:v>
                </c:pt>
                <c:pt idx="11">
                  <c:v>460.40000000000003</c:v>
                </c:pt>
                <c:pt idx="12">
                  <c:v>496.4</c:v>
                </c:pt>
                <c:pt idx="13">
                  <c:v>532.40000000000009</c:v>
                </c:pt>
                <c:pt idx="14">
                  <c:v>568.4</c:v>
                </c:pt>
                <c:pt idx="15">
                  <c:v>604.40000000000009</c:v>
                </c:pt>
                <c:pt idx="16">
                  <c:v>640.40000000000009</c:v>
                </c:pt>
                <c:pt idx="17">
                  <c:v>676.4</c:v>
                </c:pt>
                <c:pt idx="18">
                  <c:v>712.40000000000009</c:v>
                </c:pt>
                <c:pt idx="19">
                  <c:v>748.4</c:v>
                </c:pt>
                <c:pt idx="20">
                  <c:v>784.4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75</c:v>
                </c:pt>
                <c:pt idx="2">
                  <c:v>150</c:v>
                </c:pt>
                <c:pt idx="3">
                  <c:v>225</c:v>
                </c:pt>
                <c:pt idx="4">
                  <c:v>300</c:v>
                </c:pt>
                <c:pt idx="5">
                  <c:v>375</c:v>
                </c:pt>
                <c:pt idx="6">
                  <c:v>433.79999999999995</c:v>
                </c:pt>
                <c:pt idx="7">
                  <c:v>490.79999999999995</c:v>
                </c:pt>
                <c:pt idx="8">
                  <c:v>547.79999999999995</c:v>
                </c:pt>
                <c:pt idx="9">
                  <c:v>604.79999999999995</c:v>
                </c:pt>
                <c:pt idx="10">
                  <c:v>661.8</c:v>
                </c:pt>
                <c:pt idx="11">
                  <c:v>718.80000000000007</c:v>
                </c:pt>
                <c:pt idx="12">
                  <c:v>775.8</c:v>
                </c:pt>
                <c:pt idx="13">
                  <c:v>832.8</c:v>
                </c:pt>
                <c:pt idx="14">
                  <c:v>889.8</c:v>
                </c:pt>
                <c:pt idx="15">
                  <c:v>946.8</c:v>
                </c:pt>
                <c:pt idx="16">
                  <c:v>1003.8000000000001</c:v>
                </c:pt>
                <c:pt idx="17">
                  <c:v>1060.8</c:v>
                </c:pt>
                <c:pt idx="18">
                  <c:v>1117.8000000000002</c:v>
                </c:pt>
                <c:pt idx="19">
                  <c:v>1174.8</c:v>
                </c:pt>
                <c:pt idx="20">
                  <c:v>1231.8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591.99999999999989</c:v>
                </c:pt>
                <c:pt idx="7">
                  <c:v>671.99999999999989</c:v>
                </c:pt>
                <c:pt idx="8">
                  <c:v>752</c:v>
                </c:pt>
                <c:pt idx="9">
                  <c:v>832</c:v>
                </c:pt>
                <c:pt idx="10">
                  <c:v>912</c:v>
                </c:pt>
                <c:pt idx="11">
                  <c:v>992</c:v>
                </c:pt>
                <c:pt idx="12">
                  <c:v>1072</c:v>
                </c:pt>
                <c:pt idx="13">
                  <c:v>1152</c:v>
                </c:pt>
                <c:pt idx="14">
                  <c:v>1232</c:v>
                </c:pt>
                <c:pt idx="15">
                  <c:v>1312</c:v>
                </c:pt>
                <c:pt idx="16">
                  <c:v>1392</c:v>
                </c:pt>
                <c:pt idx="17">
                  <c:v>1472</c:v>
                </c:pt>
                <c:pt idx="18">
                  <c:v>1552</c:v>
                </c:pt>
                <c:pt idx="19">
                  <c:v>1632</c:v>
                </c:pt>
                <c:pt idx="20">
                  <c:v>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750</c:v>
                </c:pt>
                <c:pt idx="7">
                  <c:v>857</c:v>
                </c:pt>
                <c:pt idx="8">
                  <c:v>962</c:v>
                </c:pt>
                <c:pt idx="9">
                  <c:v>1067</c:v>
                </c:pt>
                <c:pt idx="10">
                  <c:v>1172</c:v>
                </c:pt>
                <c:pt idx="11">
                  <c:v>1277</c:v>
                </c:pt>
                <c:pt idx="12">
                  <c:v>1382</c:v>
                </c:pt>
                <c:pt idx="13">
                  <c:v>1487</c:v>
                </c:pt>
                <c:pt idx="14">
                  <c:v>1592</c:v>
                </c:pt>
                <c:pt idx="15">
                  <c:v>1697</c:v>
                </c:pt>
                <c:pt idx="16">
                  <c:v>1802</c:v>
                </c:pt>
                <c:pt idx="17">
                  <c:v>1907</c:v>
                </c:pt>
                <c:pt idx="18">
                  <c:v>2012</c:v>
                </c:pt>
                <c:pt idx="19">
                  <c:v>2117</c:v>
                </c:pt>
                <c:pt idx="20">
                  <c:v>2222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1042.8</c:v>
                </c:pt>
                <c:pt idx="8">
                  <c:v>1174.8</c:v>
                </c:pt>
                <c:pt idx="9">
                  <c:v>1306.8</c:v>
                </c:pt>
                <c:pt idx="10">
                  <c:v>1438.8</c:v>
                </c:pt>
                <c:pt idx="11">
                  <c:v>1570.8000000000002</c:v>
                </c:pt>
                <c:pt idx="12">
                  <c:v>1702.8</c:v>
                </c:pt>
                <c:pt idx="13">
                  <c:v>1834.8000000000002</c:v>
                </c:pt>
                <c:pt idx="14">
                  <c:v>1966.7999999999997</c:v>
                </c:pt>
                <c:pt idx="15">
                  <c:v>2098.8000000000002</c:v>
                </c:pt>
                <c:pt idx="16">
                  <c:v>2230.8000000000002</c:v>
                </c:pt>
                <c:pt idx="17">
                  <c:v>2362.8000000000002</c:v>
                </c:pt>
                <c:pt idx="18">
                  <c:v>2494.8000000000002</c:v>
                </c:pt>
                <c:pt idx="19">
                  <c:v>2626.7999999999997</c:v>
                </c:pt>
                <c:pt idx="20">
                  <c:v>2758.7999999999997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139</c:v>
                </c:pt>
                <c:pt idx="4">
                  <c:v>178</c:v>
                </c:pt>
                <c:pt idx="5">
                  <c:v>217</c:v>
                </c:pt>
                <c:pt idx="6">
                  <c:v>256</c:v>
                </c:pt>
                <c:pt idx="7">
                  <c:v>295</c:v>
                </c:pt>
                <c:pt idx="8">
                  <c:v>334</c:v>
                </c:pt>
                <c:pt idx="9">
                  <c:v>373</c:v>
                </c:pt>
                <c:pt idx="10">
                  <c:v>412</c:v>
                </c:pt>
                <c:pt idx="11">
                  <c:v>451.00000000000006</c:v>
                </c:pt>
                <c:pt idx="12">
                  <c:v>510</c:v>
                </c:pt>
                <c:pt idx="13">
                  <c:v>599</c:v>
                </c:pt>
                <c:pt idx="14">
                  <c:v>688</c:v>
                </c:pt>
                <c:pt idx="15">
                  <c:v>777</c:v>
                </c:pt>
                <c:pt idx="16">
                  <c:v>866.00000000000011</c:v>
                </c:pt>
                <c:pt idx="17">
                  <c:v>955</c:v>
                </c:pt>
                <c:pt idx="18">
                  <c:v>1044</c:v>
                </c:pt>
                <c:pt idx="19">
                  <c:v>1133</c:v>
                </c:pt>
                <c:pt idx="20">
                  <c:v>1222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249.2</c:v>
                </c:pt>
                <c:pt idx="4">
                  <c:v>320.07500000000005</c:v>
                </c:pt>
                <c:pt idx="5">
                  <c:v>390.95000000000005</c:v>
                </c:pt>
                <c:pt idx="6">
                  <c:v>461.82499999999999</c:v>
                </c:pt>
                <c:pt idx="7">
                  <c:v>532.70000000000005</c:v>
                </c:pt>
                <c:pt idx="8">
                  <c:v>603.57500000000005</c:v>
                </c:pt>
                <c:pt idx="9">
                  <c:v>674.45</c:v>
                </c:pt>
                <c:pt idx="10">
                  <c:v>745.32500000000005</c:v>
                </c:pt>
                <c:pt idx="11">
                  <c:v>816.2</c:v>
                </c:pt>
                <c:pt idx="12">
                  <c:v>904.57499999999993</c:v>
                </c:pt>
                <c:pt idx="13">
                  <c:v>1062.95</c:v>
                </c:pt>
                <c:pt idx="14">
                  <c:v>1221.3249999999998</c:v>
                </c:pt>
                <c:pt idx="15">
                  <c:v>1379.7</c:v>
                </c:pt>
                <c:pt idx="16">
                  <c:v>1538.0750000000003</c:v>
                </c:pt>
                <c:pt idx="17">
                  <c:v>1696.45</c:v>
                </c:pt>
                <c:pt idx="18">
                  <c:v>1854.8250000000003</c:v>
                </c:pt>
                <c:pt idx="19">
                  <c:v>2013.2</c:v>
                </c:pt>
                <c:pt idx="20">
                  <c:v>2171.5749999999998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363</c:v>
                </c:pt>
                <c:pt idx="4">
                  <c:v>468</c:v>
                </c:pt>
                <c:pt idx="5">
                  <c:v>573</c:v>
                </c:pt>
                <c:pt idx="6">
                  <c:v>678</c:v>
                </c:pt>
                <c:pt idx="7">
                  <c:v>783</c:v>
                </c:pt>
                <c:pt idx="8">
                  <c:v>888</c:v>
                </c:pt>
                <c:pt idx="9">
                  <c:v>993</c:v>
                </c:pt>
                <c:pt idx="10">
                  <c:v>1098</c:v>
                </c:pt>
                <c:pt idx="11">
                  <c:v>1203</c:v>
                </c:pt>
                <c:pt idx="12">
                  <c:v>1308</c:v>
                </c:pt>
                <c:pt idx="13">
                  <c:v>1538</c:v>
                </c:pt>
                <c:pt idx="14">
                  <c:v>1768</c:v>
                </c:pt>
                <c:pt idx="15">
                  <c:v>1998</c:v>
                </c:pt>
                <c:pt idx="16">
                  <c:v>2228</c:v>
                </c:pt>
                <c:pt idx="17">
                  <c:v>2458</c:v>
                </c:pt>
                <c:pt idx="18">
                  <c:v>2688</c:v>
                </c:pt>
                <c:pt idx="19">
                  <c:v>2918</c:v>
                </c:pt>
                <c:pt idx="20">
                  <c:v>3148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479.04999999999995</c:v>
                </c:pt>
                <c:pt idx="4">
                  <c:v>620.42499999999995</c:v>
                </c:pt>
                <c:pt idx="5">
                  <c:v>761.8</c:v>
                </c:pt>
                <c:pt idx="6">
                  <c:v>903.17499999999995</c:v>
                </c:pt>
                <c:pt idx="7">
                  <c:v>1044.55</c:v>
                </c:pt>
                <c:pt idx="8">
                  <c:v>1185.9250000000002</c:v>
                </c:pt>
                <c:pt idx="9">
                  <c:v>1327.3000000000002</c:v>
                </c:pt>
                <c:pt idx="10">
                  <c:v>1468.675</c:v>
                </c:pt>
                <c:pt idx="11">
                  <c:v>1610.0500000000002</c:v>
                </c:pt>
                <c:pt idx="12">
                  <c:v>1751.425</c:v>
                </c:pt>
                <c:pt idx="13">
                  <c:v>2022.8000000000002</c:v>
                </c:pt>
                <c:pt idx="14">
                  <c:v>2326.6749999999997</c:v>
                </c:pt>
                <c:pt idx="15">
                  <c:v>2630.55</c:v>
                </c:pt>
                <c:pt idx="16">
                  <c:v>2934.4250000000002</c:v>
                </c:pt>
                <c:pt idx="17">
                  <c:v>3238.3</c:v>
                </c:pt>
                <c:pt idx="18">
                  <c:v>3542.1750000000002</c:v>
                </c:pt>
                <c:pt idx="19">
                  <c:v>3846.0499999999997</c:v>
                </c:pt>
                <c:pt idx="20">
                  <c:v>4149.9250000000002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595.99999999999989</c:v>
                </c:pt>
                <c:pt idx="4">
                  <c:v>776</c:v>
                </c:pt>
                <c:pt idx="5">
                  <c:v>956</c:v>
                </c:pt>
                <c:pt idx="6">
                  <c:v>1136</c:v>
                </c:pt>
                <c:pt idx="7">
                  <c:v>1316</c:v>
                </c:pt>
                <c:pt idx="8">
                  <c:v>1496</c:v>
                </c:pt>
                <c:pt idx="9">
                  <c:v>1676</c:v>
                </c:pt>
                <c:pt idx="10">
                  <c:v>1856</c:v>
                </c:pt>
                <c:pt idx="11">
                  <c:v>2036</c:v>
                </c:pt>
                <c:pt idx="12">
                  <c:v>2216</c:v>
                </c:pt>
                <c:pt idx="13">
                  <c:v>2516</c:v>
                </c:pt>
                <c:pt idx="14">
                  <c:v>2896</c:v>
                </c:pt>
                <c:pt idx="15">
                  <c:v>3276</c:v>
                </c:pt>
                <c:pt idx="16">
                  <c:v>3656</c:v>
                </c:pt>
                <c:pt idx="17">
                  <c:v>4036</c:v>
                </c:pt>
                <c:pt idx="18">
                  <c:v>4416</c:v>
                </c:pt>
                <c:pt idx="19">
                  <c:v>4796</c:v>
                </c:pt>
                <c:pt idx="20">
                  <c:v>5176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-50</c:v>
                </c:pt>
                <c:pt idx="2">
                  <c:v>-100</c:v>
                </c:pt>
                <c:pt idx="3">
                  <c:v>-150</c:v>
                </c:pt>
                <c:pt idx="4">
                  <c:v>-200</c:v>
                </c:pt>
                <c:pt idx="5">
                  <c:v>-244.4</c:v>
                </c:pt>
                <c:pt idx="6">
                  <c:v>-280.39999999999998</c:v>
                </c:pt>
                <c:pt idx="7">
                  <c:v>-316.39999999999998</c:v>
                </c:pt>
                <c:pt idx="8">
                  <c:v>-352.4</c:v>
                </c:pt>
                <c:pt idx="9">
                  <c:v>-388.4</c:v>
                </c:pt>
                <c:pt idx="10">
                  <c:v>-424.4</c:v>
                </c:pt>
                <c:pt idx="11">
                  <c:v>-460.40000000000003</c:v>
                </c:pt>
                <c:pt idx="12">
                  <c:v>-496.4</c:v>
                </c:pt>
                <c:pt idx="13">
                  <c:v>-532.40000000000009</c:v>
                </c:pt>
                <c:pt idx="14">
                  <c:v>-568.4</c:v>
                </c:pt>
                <c:pt idx="15">
                  <c:v>-604.40000000000009</c:v>
                </c:pt>
                <c:pt idx="16">
                  <c:v>-640.40000000000009</c:v>
                </c:pt>
                <c:pt idx="17">
                  <c:v>-676.4</c:v>
                </c:pt>
                <c:pt idx="18">
                  <c:v>-712.40000000000009</c:v>
                </c:pt>
                <c:pt idx="19">
                  <c:v>-748.4</c:v>
                </c:pt>
                <c:pt idx="20">
                  <c:v>-784.4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-75</c:v>
                </c:pt>
                <c:pt idx="2">
                  <c:v>-150</c:v>
                </c:pt>
                <c:pt idx="3">
                  <c:v>-225</c:v>
                </c:pt>
                <c:pt idx="4">
                  <c:v>-300</c:v>
                </c:pt>
                <c:pt idx="5">
                  <c:v>-375</c:v>
                </c:pt>
                <c:pt idx="6">
                  <c:v>-433.79999999999995</c:v>
                </c:pt>
                <c:pt idx="7">
                  <c:v>-490.79999999999995</c:v>
                </c:pt>
                <c:pt idx="8">
                  <c:v>-547.79999999999995</c:v>
                </c:pt>
                <c:pt idx="9">
                  <c:v>-604.79999999999995</c:v>
                </c:pt>
                <c:pt idx="10">
                  <c:v>-661.8</c:v>
                </c:pt>
                <c:pt idx="11">
                  <c:v>-718.80000000000007</c:v>
                </c:pt>
                <c:pt idx="12">
                  <c:v>-775.8</c:v>
                </c:pt>
                <c:pt idx="13">
                  <c:v>-832.8</c:v>
                </c:pt>
                <c:pt idx="14">
                  <c:v>-889.8</c:v>
                </c:pt>
                <c:pt idx="15">
                  <c:v>-946.8</c:v>
                </c:pt>
                <c:pt idx="16">
                  <c:v>-1003.8000000000001</c:v>
                </c:pt>
                <c:pt idx="17">
                  <c:v>-1060.8</c:v>
                </c:pt>
                <c:pt idx="18">
                  <c:v>-1117.8000000000002</c:v>
                </c:pt>
                <c:pt idx="19">
                  <c:v>-1174.8</c:v>
                </c:pt>
                <c:pt idx="20">
                  <c:v>-1231.8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-591.99999999999989</c:v>
                </c:pt>
                <c:pt idx="7">
                  <c:v>-671.99999999999989</c:v>
                </c:pt>
                <c:pt idx="8">
                  <c:v>-752</c:v>
                </c:pt>
                <c:pt idx="9">
                  <c:v>-832</c:v>
                </c:pt>
                <c:pt idx="10">
                  <c:v>-912</c:v>
                </c:pt>
                <c:pt idx="11">
                  <c:v>-992</c:v>
                </c:pt>
                <c:pt idx="12">
                  <c:v>-1072</c:v>
                </c:pt>
                <c:pt idx="13">
                  <c:v>-1152</c:v>
                </c:pt>
                <c:pt idx="14">
                  <c:v>-1232</c:v>
                </c:pt>
                <c:pt idx="15">
                  <c:v>-1312</c:v>
                </c:pt>
                <c:pt idx="16">
                  <c:v>-1392</c:v>
                </c:pt>
                <c:pt idx="17">
                  <c:v>-1472</c:v>
                </c:pt>
                <c:pt idx="18">
                  <c:v>-1552</c:v>
                </c:pt>
                <c:pt idx="19">
                  <c:v>-1632</c:v>
                </c:pt>
                <c:pt idx="20">
                  <c:v>-1712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-750</c:v>
                </c:pt>
                <c:pt idx="7">
                  <c:v>-857</c:v>
                </c:pt>
                <c:pt idx="8">
                  <c:v>-962</c:v>
                </c:pt>
                <c:pt idx="9">
                  <c:v>-1067</c:v>
                </c:pt>
                <c:pt idx="10">
                  <c:v>-1172</c:v>
                </c:pt>
                <c:pt idx="11">
                  <c:v>-1277</c:v>
                </c:pt>
                <c:pt idx="12">
                  <c:v>-1382</c:v>
                </c:pt>
                <c:pt idx="13">
                  <c:v>-1487</c:v>
                </c:pt>
                <c:pt idx="14">
                  <c:v>-1592</c:v>
                </c:pt>
                <c:pt idx="15">
                  <c:v>-1697</c:v>
                </c:pt>
                <c:pt idx="16">
                  <c:v>-1802</c:v>
                </c:pt>
                <c:pt idx="17">
                  <c:v>-1907</c:v>
                </c:pt>
                <c:pt idx="18">
                  <c:v>-2012</c:v>
                </c:pt>
                <c:pt idx="19">
                  <c:v>-2117</c:v>
                </c:pt>
                <c:pt idx="20">
                  <c:v>-2222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-900</c:v>
                </c:pt>
                <c:pt idx="7">
                  <c:v>-1042.8</c:v>
                </c:pt>
                <c:pt idx="8">
                  <c:v>-1174.8</c:v>
                </c:pt>
                <c:pt idx="9">
                  <c:v>-1306.8</c:v>
                </c:pt>
                <c:pt idx="10">
                  <c:v>-1438.8</c:v>
                </c:pt>
                <c:pt idx="11">
                  <c:v>-1570.8000000000002</c:v>
                </c:pt>
                <c:pt idx="12">
                  <c:v>-1702.8</c:v>
                </c:pt>
                <c:pt idx="13">
                  <c:v>-1834.8000000000002</c:v>
                </c:pt>
                <c:pt idx="14">
                  <c:v>-1966.7999999999997</c:v>
                </c:pt>
                <c:pt idx="15">
                  <c:v>-2098.8000000000002</c:v>
                </c:pt>
                <c:pt idx="16">
                  <c:v>-2230.8000000000002</c:v>
                </c:pt>
                <c:pt idx="17">
                  <c:v>-2362.8000000000002</c:v>
                </c:pt>
                <c:pt idx="18">
                  <c:v>-2494.8000000000002</c:v>
                </c:pt>
                <c:pt idx="19">
                  <c:v>-2626.7999999999997</c:v>
                </c:pt>
                <c:pt idx="20">
                  <c:v>-2758.7999999999997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44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45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46</v>
      </c>
      <c r="C6" s="9" t="s">
        <v>47</v>
      </c>
      <c r="D6" s="1"/>
      <c r="E6" s="1"/>
      <c r="F6" s="20" t="s">
        <v>48</v>
      </c>
      <c r="G6" s="20"/>
      <c r="H6" s="20"/>
      <c r="I6" s="20"/>
      <c r="J6" s="20"/>
      <c r="K6" s="1"/>
      <c r="L6" s="1"/>
      <c r="M6" s="1"/>
      <c r="N6" s="1"/>
      <c r="O6" s="1"/>
    </row>
    <row r="7" spans="1:15" ht="23" customHeight="1">
      <c r="A7" s="1"/>
      <c r="B7" s="1" t="s">
        <v>18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20</v>
      </c>
      <c r="C8" s="3">
        <v>-10</v>
      </c>
      <c r="D8" s="1"/>
      <c r="E8" s="1"/>
      <c r="F8" s="22" t="s">
        <v>49</v>
      </c>
      <c r="G8" s="22"/>
      <c r="H8" s="22"/>
      <c r="I8" s="27">
        <f>IF(C18="OK",Samples!F165*MIN(C10,Samples!G165)+Samples!I165*MAX(0,C10-Samples!G165)+Samples!J165*MAX(0,C10-Samples!K165),"检查输入")</f>
        <v>2228</v>
      </c>
      <c r="J8" s="27"/>
      <c r="K8" s="1"/>
      <c r="L8" s="1"/>
      <c r="M8" s="1"/>
      <c r="N8" s="1"/>
      <c r="O8" s="1"/>
    </row>
    <row r="9" spans="1:15" ht="23" customHeight="1">
      <c r="A9" s="1"/>
      <c r="B9" s="1" t="s">
        <v>50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51</v>
      </c>
      <c r="C10" s="16">
        <v>0.8</v>
      </c>
      <c r="D10" s="1"/>
      <c r="E10" s="1"/>
      <c r="F10" s="22" t="s">
        <v>52</v>
      </c>
      <c r="G10" s="22"/>
      <c r="H10" s="22"/>
      <c r="I10" s="27">
        <f>IF(C18="OK",Samples!M165*MIN(C10,Samples!N165)+Samples!P165*MAX(0,C10-Samples!N165),"检查输入")</f>
        <v>1392</v>
      </c>
      <c r="J10" s="27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53</v>
      </c>
      <c r="C13" s="1">
        <f>Parameters!D23</f>
        <v>24</v>
      </c>
      <c r="D13" s="1"/>
      <c r="E13" s="1"/>
      <c r="F13" s="20" t="s">
        <v>54</v>
      </c>
      <c r="G13" s="20"/>
      <c r="H13" s="20"/>
      <c r="I13" s="20"/>
      <c r="J13" s="20"/>
      <c r="K13" s="1"/>
      <c r="L13" s="1"/>
      <c r="M13" s="1"/>
      <c r="N13" s="1"/>
      <c r="O13" s="1"/>
    </row>
    <row r="14" spans="1:15" ht="23" customHeight="1">
      <c r="A14" s="1"/>
      <c r="B14" s="1" t="s">
        <v>55</v>
      </c>
      <c r="C14" s="1">
        <f>Parameters!D24</f>
        <v>20</v>
      </c>
      <c r="D14" s="1"/>
      <c r="E14" s="1"/>
      <c r="F14" s="22" t="s">
        <v>21</v>
      </c>
      <c r="G14" s="22"/>
      <c r="H14" s="22"/>
      <c r="I14" s="18">
        <f>Samples!F165</f>
        <v>2500</v>
      </c>
      <c r="J14" s="1" t="s">
        <v>22</v>
      </c>
      <c r="K14" s="1"/>
      <c r="L14" s="1"/>
      <c r="M14" s="1"/>
      <c r="N14" s="1"/>
      <c r="O14" s="1"/>
    </row>
    <row r="15" spans="1:15" ht="23" customHeight="1">
      <c r="A15" s="1"/>
      <c r="B15" s="1" t="s">
        <v>56</v>
      </c>
      <c r="C15" s="1">
        <f>IF(C6="WRC17",Parameters!D26,Parameters!D25)</f>
        <v>40</v>
      </c>
      <c r="D15" s="1"/>
      <c r="E15" s="1"/>
      <c r="F15" s="22" t="s">
        <v>57</v>
      </c>
      <c r="G15" s="22"/>
      <c r="H15" s="22"/>
      <c r="I15" s="18">
        <f>Samples!I165</f>
        <v>2100</v>
      </c>
      <c r="J15" s="1" t="s">
        <v>22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2" t="s">
        <v>26</v>
      </c>
      <c r="G16" s="22"/>
      <c r="H16" s="22"/>
      <c r="I16" s="18">
        <f>Samples!J165</f>
        <v>2500</v>
      </c>
      <c r="J16" s="1" t="s">
        <v>22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2" t="s">
        <v>58</v>
      </c>
      <c r="G17" s="22"/>
      <c r="H17" s="22"/>
      <c r="I17" s="18">
        <f>Samples!L165</f>
        <v>4600</v>
      </c>
      <c r="J17" s="1" t="s">
        <v>22</v>
      </c>
      <c r="K17" s="1"/>
      <c r="L17" s="1"/>
      <c r="M17" s="1"/>
      <c r="N17" s="1"/>
      <c r="O17" s="1"/>
    </row>
    <row r="18" spans="1:15" ht="23" customHeight="1">
      <c r="A18" s="1"/>
      <c r="B18" s="1" t="s">
        <v>59</v>
      </c>
      <c r="C18" s="1" t="str">
        <f>IF(AND(OR(C4="Type-A",C4="Type-B"),OR(C6="Rally2",C6="WRC17",C6="Rally1"),COUNT(C7:C10)=4,C7&gt;=-C13,C7&lt;=0,C8&gt;=-C14,C8&lt;=0,C9&gt;=-C15,C9&lt;=0,C10&gt;=0,INT(C7)=C7,INT(C8)=C8,INT(C9)=C9),"OK","检查输入")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2" t="s">
        <v>28</v>
      </c>
      <c r="G19" s="22"/>
      <c r="H19" s="22"/>
      <c r="I19" s="18">
        <f>Samples!M165</f>
        <v>2000</v>
      </c>
      <c r="J19" s="1" t="s">
        <v>22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2" t="s">
        <v>60</v>
      </c>
      <c r="G20" s="22"/>
      <c r="H20" s="22"/>
      <c r="I20" s="18">
        <f>Samples!P165</f>
        <v>1600</v>
      </c>
      <c r="J20" s="1" t="s">
        <v>22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2" t="s">
        <v>82</v>
      </c>
      <c r="G22" s="22"/>
      <c r="H22" s="22"/>
      <c r="I22" s="5">
        <f>Samples!G165</f>
        <v>0.12</v>
      </c>
      <c r="J22" s="1" t="s">
        <v>23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2" t="s">
        <v>83</v>
      </c>
      <c r="G23" s="22"/>
      <c r="H23" s="22"/>
      <c r="I23" s="5">
        <f>Samples!K165</f>
        <v>0.6</v>
      </c>
      <c r="J23" s="1" t="s">
        <v>23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2" t="s">
        <v>29</v>
      </c>
      <c r="G24" s="22"/>
      <c r="H24" s="22"/>
      <c r="I24" s="5">
        <f>Samples!N165</f>
        <v>0.28000000000000003</v>
      </c>
      <c r="J24" s="1" t="s">
        <v>23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6" t="s">
        <v>61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"Rally2,WRC17,Rally1"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tabSelected="1" zoomScale="81" zoomScaleNormal="85" workbookViewId="0">
      <pane ySplit="4" topLeftCell="A2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</v>
      </c>
      <c r="C6" s="3">
        <v>-10</v>
      </c>
      <c r="D6" s="1"/>
      <c r="E6" s="22" t="s">
        <v>5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81" workbookViewId="0">
      <pane ySplit="4" topLeftCell="A1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86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81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7</v>
      </c>
      <c r="C6" s="3">
        <v>-12</v>
      </c>
      <c r="D6" s="1"/>
      <c r="E6" s="22" t="s">
        <v>8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topLeftCell="B1" zoomScale="75" workbookViewId="0">
      <pane ySplit="4" topLeftCell="A1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10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74" workbookViewId="0">
      <pane ySplit="4" topLeftCell="A1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workbookViewId="0">
      <pane ySplit="4" topLeftCell="A5" activePane="bottomLeft" state="frozen"/>
      <selection pane="bottomLeft" activeCell="F12" sqref="F12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1"/>
    </row>
    <row r="3" spans="1:15" ht="23" customHeight="1">
      <c r="A3" s="1"/>
      <c r="B3" s="25" t="s">
        <v>14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0" t="s">
        <v>2</v>
      </c>
      <c r="E5" s="20"/>
      <c r="F5" s="20"/>
      <c r="G5" s="20"/>
      <c r="H5" s="20"/>
      <c r="I5" s="1"/>
      <c r="J5" s="20" t="s">
        <v>15</v>
      </c>
      <c r="K5" s="20"/>
      <c r="L5" s="20"/>
      <c r="M5" s="20"/>
      <c r="N5" s="20"/>
      <c r="O5" s="1"/>
    </row>
    <row r="6" spans="1:15" ht="23" customHeight="1">
      <c r="A6" s="1"/>
      <c r="B6" s="1" t="s">
        <v>16</v>
      </c>
      <c r="C6" s="1" t="s">
        <v>17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18</v>
      </c>
      <c r="C7" s="1" t="s">
        <v>19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20</v>
      </c>
      <c r="C8" s="1" t="s">
        <v>19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21</v>
      </c>
      <c r="C10" s="1" t="s">
        <v>22</v>
      </c>
      <c r="D10" s="3">
        <v>1000</v>
      </c>
      <c r="E10" s="6">
        <f>(D10+F10)/2</f>
        <v>1750</v>
      </c>
      <c r="F10" s="3">
        <v>2500</v>
      </c>
      <c r="G10" s="6">
        <f>(F10+H10)/2</f>
        <v>3250</v>
      </c>
      <c r="H10" s="3">
        <v>4000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" customHeight="1">
      <c r="A11" s="1"/>
      <c r="B11" s="1" t="s">
        <v>82</v>
      </c>
      <c r="C11" s="1" t="s">
        <v>23</v>
      </c>
      <c r="D11" s="4">
        <v>0.1</v>
      </c>
      <c r="E11" s="5">
        <f>(D11+F11)/2</f>
        <v>0.11</v>
      </c>
      <c r="F11" s="4">
        <v>0.12</v>
      </c>
      <c r="G11" s="5">
        <f>(F11+H11)/2</f>
        <v>0.13</v>
      </c>
      <c r="H11" s="4">
        <v>0.14000000000000001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" customHeight="1">
      <c r="A12" s="1"/>
      <c r="B12" s="1" t="s">
        <v>24</v>
      </c>
      <c r="C12" s="1" t="s">
        <v>25</v>
      </c>
      <c r="D12" s="4">
        <v>0.78</v>
      </c>
      <c r="E12" s="5">
        <f>(D12+F12)/2</f>
        <v>0.81</v>
      </c>
      <c r="F12" s="4">
        <v>0.84</v>
      </c>
      <c r="G12" s="5">
        <f>(F12+H12)/2</f>
        <v>0.87</v>
      </c>
      <c r="H12" s="4">
        <v>0.9</v>
      </c>
      <c r="I12" s="1"/>
      <c r="J12" s="4">
        <v>0.44</v>
      </c>
      <c r="K12" s="5">
        <f>(J12+L12)/2</f>
        <v>0.47</v>
      </c>
      <c r="L12" s="4">
        <v>0.5</v>
      </c>
      <c r="M12" s="5">
        <f>(L12+N12)/2</f>
        <v>0.53</v>
      </c>
      <c r="N12" s="4">
        <v>0.56000000000000005</v>
      </c>
      <c r="O12" s="1"/>
    </row>
    <row r="13" spans="1:15" ht="23" customHeight="1">
      <c r="A13" s="1"/>
      <c r="B13" s="1" t="s">
        <v>26</v>
      </c>
      <c r="C13" s="1" t="s">
        <v>22</v>
      </c>
      <c r="D13" s="3">
        <v>1000</v>
      </c>
      <c r="E13" s="6">
        <f>(D13+F13)/2</f>
        <v>1750</v>
      </c>
      <c r="F13" s="3">
        <v>2500</v>
      </c>
      <c r="G13" s="6">
        <f>(F13+H13)/2</f>
        <v>3250</v>
      </c>
      <c r="H13" s="3">
        <v>4000</v>
      </c>
      <c r="I13" s="1"/>
      <c r="J13" s="3">
        <v>500</v>
      </c>
      <c r="K13" s="6">
        <f>(J13+L13)/2</f>
        <v>500</v>
      </c>
      <c r="L13" s="3">
        <v>500</v>
      </c>
      <c r="M13" s="6">
        <f>(L13+N13)/2</f>
        <v>500</v>
      </c>
      <c r="N13" s="3">
        <v>500</v>
      </c>
      <c r="O13" s="1"/>
    </row>
    <row r="14" spans="1:15" ht="23" customHeight="1">
      <c r="A14" s="1"/>
      <c r="B14" s="1" t="s">
        <v>83</v>
      </c>
      <c r="C14" s="1" t="s">
        <v>23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27</v>
      </c>
      <c r="C16" s="1" t="s">
        <v>19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28</v>
      </c>
      <c r="C17" s="1" t="s">
        <v>22</v>
      </c>
      <c r="D17" s="3">
        <v>1000</v>
      </c>
      <c r="E17" s="6">
        <f>(D17+F17)/2</f>
        <v>1500</v>
      </c>
      <c r="F17" s="3">
        <v>2000</v>
      </c>
      <c r="G17" s="6">
        <f>(F17+H17)/2</f>
        <v>2500</v>
      </c>
      <c r="H17" s="3">
        <v>3000</v>
      </c>
      <c r="I17" s="1"/>
      <c r="J17" s="3">
        <v>1500</v>
      </c>
      <c r="K17" s="6">
        <f>(J17+L17)/2</f>
        <v>2000</v>
      </c>
      <c r="L17" s="3">
        <v>2500</v>
      </c>
      <c r="M17" s="6">
        <f>(L17+N17)/2</f>
        <v>3000</v>
      </c>
      <c r="N17" s="3">
        <v>3500</v>
      </c>
      <c r="O17" s="1"/>
    </row>
    <row r="18" spans="1:15" ht="23" customHeight="1">
      <c r="A18" s="1"/>
      <c r="B18" s="1" t="s">
        <v>29</v>
      </c>
      <c r="C18" s="1" t="s">
        <v>23</v>
      </c>
      <c r="D18" s="4">
        <v>0.23</v>
      </c>
      <c r="E18" s="5">
        <f>(D18+F18)/2</f>
        <v>0.255</v>
      </c>
      <c r="F18" s="4">
        <v>0.28000000000000003</v>
      </c>
      <c r="G18" s="5">
        <f>(F18+H18)/2</f>
        <v>0.30500000000000005</v>
      </c>
      <c r="H18" s="4">
        <v>0.33</v>
      </c>
      <c r="I18" s="1"/>
      <c r="J18" s="4">
        <v>0.2</v>
      </c>
      <c r="K18" s="5">
        <f>(J18+L18)/2</f>
        <v>0.22500000000000001</v>
      </c>
      <c r="L18" s="4">
        <v>0.25</v>
      </c>
      <c r="M18" s="5">
        <f>(L18+N18)/2</f>
        <v>0.27500000000000002</v>
      </c>
      <c r="N18" s="4">
        <v>0.3</v>
      </c>
      <c r="O18" s="1"/>
    </row>
    <row r="19" spans="1:15" ht="23" customHeight="1">
      <c r="A19" s="1"/>
      <c r="B19" s="1" t="s">
        <v>30</v>
      </c>
      <c r="C19" s="1" t="s">
        <v>25</v>
      </c>
      <c r="D19" s="4">
        <v>0.72</v>
      </c>
      <c r="E19" s="5">
        <f>(D19+F19)/2</f>
        <v>0.76</v>
      </c>
      <c r="F19" s="4">
        <v>0.8</v>
      </c>
      <c r="G19" s="5">
        <f>(F19+H19)/2</f>
        <v>0.84000000000000008</v>
      </c>
      <c r="H19" s="4">
        <v>0.88</v>
      </c>
      <c r="I19" s="1"/>
      <c r="J19" s="4">
        <v>0.5</v>
      </c>
      <c r="K19" s="5">
        <f>(J19+L19)/2</f>
        <v>0.54</v>
      </c>
      <c r="L19" s="4">
        <v>0.57999999999999996</v>
      </c>
      <c r="M19" s="5">
        <f>(L19+N19)/2</f>
        <v>0.62</v>
      </c>
      <c r="N19" s="4">
        <v>0.66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0" t="s">
        <v>31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1"/>
    </row>
    <row r="23" spans="1:15" ht="23" customHeight="1">
      <c r="A23" s="1"/>
      <c r="B23" s="22" t="s">
        <v>32</v>
      </c>
      <c r="C23" s="22"/>
      <c r="D23" s="1">
        <v>24</v>
      </c>
      <c r="E23" s="1"/>
      <c r="F23" s="23" t="s">
        <v>33</v>
      </c>
      <c r="G23" s="23"/>
      <c r="H23" s="23"/>
      <c r="I23" s="23"/>
      <c r="J23" s="23"/>
      <c r="K23" s="23"/>
      <c r="L23" s="23"/>
      <c r="M23" s="23"/>
      <c r="N23" s="23"/>
      <c r="O23" s="1"/>
    </row>
    <row r="24" spans="1:15" ht="23" customHeight="1">
      <c r="A24" s="1"/>
      <c r="B24" s="22" t="s">
        <v>34</v>
      </c>
      <c r="C24" s="22"/>
      <c r="D24" s="1">
        <v>20</v>
      </c>
      <c r="E24" s="1"/>
      <c r="F24" s="23"/>
      <c r="G24" s="23"/>
      <c r="H24" s="23"/>
      <c r="I24" s="23"/>
      <c r="J24" s="23"/>
      <c r="K24" s="23"/>
      <c r="L24" s="23"/>
      <c r="M24" s="23"/>
      <c r="N24" s="23"/>
      <c r="O24" s="1"/>
    </row>
    <row r="25" spans="1:15" ht="23" customHeight="1">
      <c r="A25" s="1"/>
      <c r="B25" s="22" t="s">
        <v>35</v>
      </c>
      <c r="C25" s="22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2" t="s">
        <v>36</v>
      </c>
      <c r="C26" s="22"/>
      <c r="D26" s="1">
        <v>60</v>
      </c>
      <c r="E26" s="1"/>
      <c r="F26" s="22" t="s">
        <v>37</v>
      </c>
      <c r="G26" s="22"/>
      <c r="H26" s="22"/>
      <c r="I26" s="22"/>
      <c r="J26" s="22"/>
      <c r="K26" s="22"/>
      <c r="L26" s="22"/>
      <c r="M26" s="22"/>
      <c r="N26" s="22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0" t="s">
        <v>38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"/>
    </row>
    <row r="29" spans="1:15" ht="23" customHeight="1">
      <c r="A29" s="1"/>
      <c r="B29" s="19" t="s">
        <v>39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"/>
    </row>
    <row r="30" spans="1:15" ht="31" customHeight="1">
      <c r="A30" s="1"/>
      <c r="B30" s="21" t="s">
        <v>84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1"/>
    </row>
    <row r="31" spans="1:15" ht="23" customHeight="1">
      <c r="A31" s="1"/>
      <c r="B31" s="19" t="s">
        <v>40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"/>
    </row>
    <row r="32" spans="1:15" ht="23" customHeight="1">
      <c r="A32" s="1"/>
      <c r="B32" s="19" t="s">
        <v>41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"/>
    </row>
    <row r="33" spans="1:15" ht="23" customHeight="1">
      <c r="A33" s="1"/>
      <c r="B33" s="19" t="s">
        <v>42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"/>
    </row>
    <row r="34" spans="1:15" ht="23" customHeight="1">
      <c r="A34" s="1"/>
      <c r="B34" s="19" t="s">
        <v>85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"/>
    </row>
    <row r="35" spans="1:15" ht="23" customHeight="1">
      <c r="A35" s="1"/>
      <c r="B35" s="19" t="s">
        <v>43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62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63</v>
      </c>
      <c r="C4" s="12" t="s">
        <v>64</v>
      </c>
      <c r="D4" s="12" t="s">
        <v>65</v>
      </c>
      <c r="E4" s="12" t="s">
        <v>66</v>
      </c>
      <c r="F4" s="12" t="s">
        <v>21</v>
      </c>
      <c r="G4" s="12" t="s">
        <v>82</v>
      </c>
      <c r="H4" s="12" t="s">
        <v>67</v>
      </c>
      <c r="I4" s="12" t="s">
        <v>57</v>
      </c>
      <c r="J4" s="12" t="s">
        <v>68</v>
      </c>
      <c r="K4" s="12" t="s">
        <v>83</v>
      </c>
      <c r="L4" s="12" t="s">
        <v>69</v>
      </c>
      <c r="M4" s="12" t="s">
        <v>28</v>
      </c>
      <c r="N4" s="12" t="s">
        <v>29</v>
      </c>
      <c r="O4" s="12" t="s">
        <v>70</v>
      </c>
      <c r="P4" s="13" t="s">
        <v>60</v>
      </c>
      <c r="Q4" s="13" t="s">
        <v>71</v>
      </c>
      <c r="R4" s="13" t="s">
        <v>72</v>
      </c>
      <c r="S4" s="13" t="s">
        <v>73</v>
      </c>
      <c r="T4" s="13" t="s">
        <v>74</v>
      </c>
      <c r="U4" s="13" t="s">
        <v>75</v>
      </c>
      <c r="V4" s="13" t="s">
        <v>76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1000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0.78</v>
      </c>
      <c r="I5" s="7">
        <f>F5*H5</f>
        <v>780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2500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3280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1000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0.72</v>
      </c>
      <c r="P5" s="8">
        <f>M5*O5</f>
        <v>720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1750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0.11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0.81</v>
      </c>
      <c r="I6" s="7">
        <f>F6*H6</f>
        <v>1417.5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2500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3917.5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1500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0.255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0.76</v>
      </c>
      <c r="P6" s="8">
        <f>M6*O6</f>
        <v>1140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2500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0.12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0.84</v>
      </c>
      <c r="I7" s="7">
        <f>F7*H7</f>
        <v>2100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2500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4600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2000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0.28000000000000003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</v>
      </c>
      <c r="P7" s="8">
        <f>M7*O7</f>
        <v>1600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3250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0.13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0.87</v>
      </c>
      <c r="I8" s="7">
        <f>F8*H8</f>
        <v>2827.5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2500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5327.5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2500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0.30500000000000005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0.84000000000000008</v>
      </c>
      <c r="P8" s="8">
        <f>M8*O8</f>
        <v>2100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4000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0.14000000000000001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7">
        <f>F9*H9</f>
        <v>3600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2500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6100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3000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0.88</v>
      </c>
      <c r="P9" s="8">
        <f>M9*O9</f>
        <v>2640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51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50</v>
      </c>
      <c r="D15" s="14">
        <f t="shared" si="1"/>
        <v>87.5</v>
      </c>
      <c r="E15" s="14">
        <f t="shared" si="2"/>
        <v>125</v>
      </c>
      <c r="F15" s="14">
        <f t="shared" si="3"/>
        <v>162.5</v>
      </c>
      <c r="G15" s="14">
        <f t="shared" si="4"/>
        <v>200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100</v>
      </c>
      <c r="D16" s="14">
        <f t="shared" si="1"/>
        <v>175</v>
      </c>
      <c r="E16" s="14">
        <f t="shared" si="2"/>
        <v>250</v>
      </c>
      <c r="F16" s="14">
        <f t="shared" si="3"/>
        <v>325</v>
      </c>
      <c r="G16" s="14">
        <f t="shared" si="4"/>
        <v>400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139</v>
      </c>
      <c r="D17" s="14">
        <f t="shared" si="1"/>
        <v>249.2</v>
      </c>
      <c r="E17" s="14">
        <f t="shared" si="2"/>
        <v>363</v>
      </c>
      <c r="F17" s="14">
        <f t="shared" si="3"/>
        <v>479.04999999999995</v>
      </c>
      <c r="G17" s="14">
        <f t="shared" si="4"/>
        <v>595.99999999999989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178</v>
      </c>
      <c r="D18" s="14">
        <f t="shared" si="1"/>
        <v>320.07500000000005</v>
      </c>
      <c r="E18" s="14">
        <f t="shared" si="2"/>
        <v>468</v>
      </c>
      <c r="F18" s="14">
        <f t="shared" si="3"/>
        <v>620.42499999999995</v>
      </c>
      <c r="G18" s="14">
        <f t="shared" si="4"/>
        <v>776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217</v>
      </c>
      <c r="D19" s="14">
        <f t="shared" si="1"/>
        <v>390.95000000000005</v>
      </c>
      <c r="E19" s="14">
        <f t="shared" si="2"/>
        <v>573</v>
      </c>
      <c r="F19" s="14">
        <f t="shared" si="3"/>
        <v>761.8</v>
      </c>
      <c r="G19" s="14">
        <f t="shared" si="4"/>
        <v>956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256</v>
      </c>
      <c r="D20" s="14">
        <f t="shared" si="1"/>
        <v>461.82499999999999</v>
      </c>
      <c r="E20" s="14">
        <f t="shared" si="2"/>
        <v>678</v>
      </c>
      <c r="F20" s="14">
        <f t="shared" si="3"/>
        <v>903.17499999999995</v>
      </c>
      <c r="G20" s="14">
        <f t="shared" si="4"/>
        <v>1136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295</v>
      </c>
      <c r="D21" s="14">
        <f t="shared" si="1"/>
        <v>532.70000000000005</v>
      </c>
      <c r="E21" s="14">
        <f t="shared" si="2"/>
        <v>783</v>
      </c>
      <c r="F21" s="14">
        <f t="shared" si="3"/>
        <v>1044.55</v>
      </c>
      <c r="G21" s="14">
        <f t="shared" si="4"/>
        <v>1316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334</v>
      </c>
      <c r="D22" s="14">
        <f t="shared" si="1"/>
        <v>603.57500000000005</v>
      </c>
      <c r="E22" s="14">
        <f t="shared" si="2"/>
        <v>888</v>
      </c>
      <c r="F22" s="14">
        <f t="shared" si="3"/>
        <v>1185.9250000000002</v>
      </c>
      <c r="G22" s="14">
        <f t="shared" si="4"/>
        <v>1496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373</v>
      </c>
      <c r="D23" s="14">
        <f t="shared" si="1"/>
        <v>674.45</v>
      </c>
      <c r="E23" s="14">
        <f t="shared" si="2"/>
        <v>993</v>
      </c>
      <c r="F23" s="14">
        <f t="shared" si="3"/>
        <v>1327.3000000000002</v>
      </c>
      <c r="G23" s="14">
        <f t="shared" si="4"/>
        <v>1676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412</v>
      </c>
      <c r="D24" s="14">
        <f t="shared" si="1"/>
        <v>745.32500000000005</v>
      </c>
      <c r="E24" s="14">
        <f t="shared" si="2"/>
        <v>1098</v>
      </c>
      <c r="F24" s="14">
        <f t="shared" si="3"/>
        <v>1468.675</v>
      </c>
      <c r="G24" s="14">
        <f t="shared" si="4"/>
        <v>1856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451.00000000000006</v>
      </c>
      <c r="D25" s="14">
        <f t="shared" si="1"/>
        <v>816.2</v>
      </c>
      <c r="E25" s="14">
        <f t="shared" si="2"/>
        <v>1203</v>
      </c>
      <c r="F25" s="14">
        <f t="shared" si="3"/>
        <v>1610.0500000000002</v>
      </c>
      <c r="G25" s="14">
        <f t="shared" si="4"/>
        <v>2036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490</v>
      </c>
      <c r="D26" s="14">
        <f t="shared" si="1"/>
        <v>887.07499999999993</v>
      </c>
      <c r="E26" s="14">
        <f t="shared" si="2"/>
        <v>1308</v>
      </c>
      <c r="F26" s="14">
        <f t="shared" si="3"/>
        <v>1751.425</v>
      </c>
      <c r="G26" s="14">
        <f t="shared" si="4"/>
        <v>2216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654.00000000000011</v>
      </c>
      <c r="D27" s="14">
        <f t="shared" si="1"/>
        <v>1082.9500000000003</v>
      </c>
      <c r="E27" s="14">
        <f t="shared" si="2"/>
        <v>1538</v>
      </c>
      <c r="F27" s="14">
        <f t="shared" si="3"/>
        <v>2017.8000000000002</v>
      </c>
      <c r="G27" s="14">
        <f t="shared" si="4"/>
        <v>2521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818</v>
      </c>
      <c r="D28" s="14">
        <f t="shared" si="1"/>
        <v>1278.8249999999998</v>
      </c>
      <c r="E28" s="14">
        <f t="shared" si="2"/>
        <v>1768</v>
      </c>
      <c r="F28" s="14">
        <f t="shared" si="3"/>
        <v>2284.1749999999997</v>
      </c>
      <c r="G28" s="14">
        <f t="shared" si="4"/>
        <v>2826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982</v>
      </c>
      <c r="D29" s="14">
        <f t="shared" si="1"/>
        <v>1474.7</v>
      </c>
      <c r="E29" s="14">
        <f t="shared" si="2"/>
        <v>1998</v>
      </c>
      <c r="F29" s="14">
        <f t="shared" si="3"/>
        <v>2550.5500000000002</v>
      </c>
      <c r="G29" s="14">
        <f t="shared" si="4"/>
        <v>3131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1146.0000000000002</v>
      </c>
      <c r="D30" s="14">
        <f t="shared" si="1"/>
        <v>1670.5750000000003</v>
      </c>
      <c r="E30" s="14">
        <f t="shared" si="2"/>
        <v>2228</v>
      </c>
      <c r="F30" s="14">
        <f t="shared" si="3"/>
        <v>2816.9250000000002</v>
      </c>
      <c r="G30" s="14">
        <f t="shared" si="4"/>
        <v>3436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1310</v>
      </c>
      <c r="D31" s="14">
        <f t="shared" si="1"/>
        <v>1866.45</v>
      </c>
      <c r="E31" s="14">
        <f t="shared" si="2"/>
        <v>2458</v>
      </c>
      <c r="F31" s="14">
        <f t="shared" si="3"/>
        <v>3083.3</v>
      </c>
      <c r="G31" s="14">
        <f t="shared" si="4"/>
        <v>3741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1474</v>
      </c>
      <c r="D32" s="14">
        <f t="shared" si="1"/>
        <v>2062.3250000000003</v>
      </c>
      <c r="E32" s="14">
        <f t="shared" si="2"/>
        <v>2688</v>
      </c>
      <c r="F32" s="14">
        <f t="shared" si="3"/>
        <v>3349.6750000000002</v>
      </c>
      <c r="G32" s="14">
        <f t="shared" si="4"/>
        <v>4046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1638</v>
      </c>
      <c r="D33" s="14">
        <f t="shared" si="1"/>
        <v>2258.1999999999998</v>
      </c>
      <c r="E33" s="14">
        <f t="shared" si="2"/>
        <v>2918</v>
      </c>
      <c r="F33" s="14">
        <f t="shared" si="3"/>
        <v>3616.0499999999997</v>
      </c>
      <c r="G33" s="14">
        <f t="shared" si="4"/>
        <v>4351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1802</v>
      </c>
      <c r="D34" s="14">
        <f t="shared" si="1"/>
        <v>2454.0749999999998</v>
      </c>
      <c r="E34" s="14">
        <f t="shared" si="2"/>
        <v>3148</v>
      </c>
      <c r="F34" s="14">
        <f t="shared" si="3"/>
        <v>3882.4250000000002</v>
      </c>
      <c r="G34" s="14">
        <f t="shared" si="4"/>
        <v>4656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77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63</v>
      </c>
      <c r="C44" s="13" t="s">
        <v>64</v>
      </c>
      <c r="D44" s="13" t="s">
        <v>65</v>
      </c>
      <c r="E44" s="13" t="s">
        <v>66</v>
      </c>
      <c r="F44" s="13" t="s">
        <v>21</v>
      </c>
      <c r="G44" s="13" t="s">
        <v>82</v>
      </c>
      <c r="H44" s="13" t="s">
        <v>67</v>
      </c>
      <c r="I44" s="13" t="s">
        <v>57</v>
      </c>
      <c r="J44" s="13" t="s">
        <v>68</v>
      </c>
      <c r="K44" s="13" t="s">
        <v>83</v>
      </c>
      <c r="L44" s="13" t="s">
        <v>69</v>
      </c>
      <c r="M44" s="13" t="s">
        <v>28</v>
      </c>
      <c r="N44" s="13" t="s">
        <v>29</v>
      </c>
      <c r="O44" s="13" t="s">
        <v>70</v>
      </c>
      <c r="P44" s="13" t="s">
        <v>60</v>
      </c>
      <c r="Q44" s="13" t="s">
        <v>71</v>
      </c>
      <c r="R44" s="13" t="s">
        <v>72</v>
      </c>
      <c r="S44" s="13" t="s">
        <v>73</v>
      </c>
      <c r="T44" s="13" t="s">
        <v>74</v>
      </c>
      <c r="U44" s="13" t="s">
        <v>75</v>
      </c>
      <c r="V44" s="13" t="s">
        <v>76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</v>
      </c>
      <c r="I45" s="8">
        <f>F45*H45</f>
        <v>1500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8">
        <f>IF('HSC Sweep'!$C$4="Type-B",Parameters!$L$14,INDEX(Parameters!$D$14:$H$14,1,R45)+(INDEX(Parameters!$D$14:$H$14,1,R45+1)-INDEX(Parameters!$D$14:$H$14,1,R45))*U45)</f>
        <v>0.6</v>
      </c>
      <c r="L45" s="8">
        <f>I45+J45</f>
        <v>2000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1500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0.5</v>
      </c>
      <c r="P45" s="8">
        <f>M45*O45</f>
        <v>750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</v>
      </c>
      <c r="I46" s="8">
        <f>F46*H46</f>
        <v>1500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500</v>
      </c>
      <c r="K46" s="8">
        <f>IF('HSC Sweep'!$C$4="Type-B",Parameters!$L$14,INDEX(Parameters!$D$14:$H$14,1,R46)+(INDEX(Parameters!$D$14:$H$14,1,R46+1)-INDEX(Parameters!$D$14:$H$14,1,R46))*U46)</f>
        <v>0.6</v>
      </c>
      <c r="L46" s="8">
        <f>I46+J46</f>
        <v>2000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2000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0.54</v>
      </c>
      <c r="P46" s="8">
        <f>M46*O46</f>
        <v>1080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</v>
      </c>
      <c r="I47" s="8">
        <f>F47*H47</f>
        <v>1500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500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2000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8">
        <f>M47*O47</f>
        <v>1450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</v>
      </c>
      <c r="I48" s="8">
        <f>F48*H48</f>
        <v>1500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500</v>
      </c>
      <c r="K48" s="8">
        <f>IF('HSC Sweep'!$C$4="Type-B",Parameters!$L$14,INDEX(Parameters!$D$14:$H$14,1,R48)+(INDEX(Parameters!$D$14:$H$14,1,R48+1)-INDEX(Parameters!$D$14:$H$14,1,R48))*U48)</f>
        <v>0.6</v>
      </c>
      <c r="L48" s="8">
        <f>I48+J48</f>
        <v>2000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3000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0.62</v>
      </c>
      <c r="P48" s="8">
        <f>M48*O48</f>
        <v>1860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</v>
      </c>
      <c r="I49" s="8">
        <f>F49*H49</f>
        <v>1500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500</v>
      </c>
      <c r="K49" s="8">
        <f>IF('HSC Sweep'!$C$4="Type-B",Parameters!$L$14,INDEX(Parameters!$D$14:$H$14,1,R49)+(INDEX(Parameters!$D$14:$H$14,1,R49+1)-INDEX(Parameters!$D$14:$H$14,1,R49))*U49)</f>
        <v>0.6</v>
      </c>
      <c r="L49" s="8">
        <f>I49+J49</f>
        <v>2000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3500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0.66</v>
      </c>
      <c r="P49" s="8">
        <f>M49*O49</f>
        <v>2310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51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150</v>
      </c>
      <c r="D55" s="15">
        <f t="shared" si="6"/>
        <v>150</v>
      </c>
      <c r="E55" s="15">
        <f t="shared" si="7"/>
        <v>150</v>
      </c>
      <c r="F55" s="15">
        <f t="shared" si="8"/>
        <v>150</v>
      </c>
      <c r="G55" s="15">
        <f t="shared" si="9"/>
        <v>150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300</v>
      </c>
      <c r="D56" s="15">
        <f t="shared" si="6"/>
        <v>300</v>
      </c>
      <c r="E56" s="15">
        <f t="shared" si="7"/>
        <v>300</v>
      </c>
      <c r="F56" s="15">
        <f t="shared" si="8"/>
        <v>300</v>
      </c>
      <c r="G56" s="15">
        <f t="shared" si="9"/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450</v>
      </c>
      <c r="D57" s="15">
        <f t="shared" si="6"/>
        <v>450</v>
      </c>
      <c r="E57" s="15">
        <f t="shared" si="7"/>
        <v>450</v>
      </c>
      <c r="F57" s="15">
        <f t="shared" si="8"/>
        <v>450</v>
      </c>
      <c r="G57" s="15">
        <f t="shared" si="9"/>
        <v>450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600</v>
      </c>
      <c r="D58" s="15">
        <f t="shared" si="6"/>
        <v>600</v>
      </c>
      <c r="E58" s="15">
        <f t="shared" si="7"/>
        <v>600</v>
      </c>
      <c r="F58" s="15">
        <f t="shared" si="8"/>
        <v>600</v>
      </c>
      <c r="G58" s="15">
        <f t="shared" si="9"/>
        <v>600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750</v>
      </c>
      <c r="D59" s="15">
        <f t="shared" si="6"/>
        <v>750</v>
      </c>
      <c r="E59" s="15">
        <f t="shared" si="7"/>
        <v>750</v>
      </c>
      <c r="F59" s="15">
        <f t="shared" si="8"/>
        <v>750</v>
      </c>
      <c r="G59" s="15">
        <f t="shared" si="9"/>
        <v>750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825</v>
      </c>
      <c r="D60" s="15">
        <f t="shared" si="6"/>
        <v>900</v>
      </c>
      <c r="E60" s="15">
        <f t="shared" si="7"/>
        <v>900</v>
      </c>
      <c r="F60" s="15">
        <f t="shared" si="8"/>
        <v>900</v>
      </c>
      <c r="G60" s="15">
        <f t="shared" si="9"/>
        <v>900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900</v>
      </c>
      <c r="D61" s="15">
        <f t="shared" si="6"/>
        <v>975</v>
      </c>
      <c r="E61" s="15">
        <f t="shared" si="7"/>
        <v>1050</v>
      </c>
      <c r="F61" s="15">
        <f t="shared" si="8"/>
        <v>1050</v>
      </c>
      <c r="G61" s="15">
        <f t="shared" si="9"/>
        <v>1050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975</v>
      </c>
      <c r="D62" s="15">
        <f t="shared" si="6"/>
        <v>1050</v>
      </c>
      <c r="E62" s="15">
        <f t="shared" si="7"/>
        <v>1125</v>
      </c>
      <c r="F62" s="15">
        <f t="shared" si="8"/>
        <v>1200</v>
      </c>
      <c r="G62" s="15">
        <f t="shared" si="9"/>
        <v>1200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1050</v>
      </c>
      <c r="D63" s="15">
        <f t="shared" si="6"/>
        <v>1125</v>
      </c>
      <c r="E63" s="15">
        <f t="shared" si="7"/>
        <v>1200</v>
      </c>
      <c r="F63" s="15">
        <f t="shared" si="8"/>
        <v>1275</v>
      </c>
      <c r="G63" s="15">
        <f t="shared" si="9"/>
        <v>1350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1125</v>
      </c>
      <c r="D64" s="15">
        <f t="shared" si="6"/>
        <v>1200</v>
      </c>
      <c r="E64" s="15">
        <f t="shared" si="7"/>
        <v>1275</v>
      </c>
      <c r="F64" s="15">
        <f t="shared" si="8"/>
        <v>1350</v>
      </c>
      <c r="G64" s="15">
        <f t="shared" si="9"/>
        <v>1425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1200</v>
      </c>
      <c r="D65" s="15">
        <f t="shared" si="6"/>
        <v>1275</v>
      </c>
      <c r="E65" s="15">
        <f t="shared" si="7"/>
        <v>1350</v>
      </c>
      <c r="F65" s="15">
        <f t="shared" si="8"/>
        <v>1425</v>
      </c>
      <c r="G65" s="15">
        <f t="shared" si="9"/>
        <v>1500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1275</v>
      </c>
      <c r="D66" s="15">
        <f t="shared" si="6"/>
        <v>1350</v>
      </c>
      <c r="E66" s="15">
        <f t="shared" si="7"/>
        <v>1425</v>
      </c>
      <c r="F66" s="15">
        <f t="shared" si="8"/>
        <v>1500</v>
      </c>
      <c r="G66" s="15">
        <f t="shared" si="9"/>
        <v>1575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1375</v>
      </c>
      <c r="D67" s="15">
        <f t="shared" si="6"/>
        <v>1450</v>
      </c>
      <c r="E67" s="15">
        <f t="shared" si="7"/>
        <v>1525</v>
      </c>
      <c r="F67" s="15">
        <f t="shared" si="8"/>
        <v>1600</v>
      </c>
      <c r="G67" s="15">
        <f t="shared" si="9"/>
        <v>1675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1475</v>
      </c>
      <c r="D68" s="15">
        <f t="shared" si="6"/>
        <v>1550</v>
      </c>
      <c r="E68" s="15">
        <f t="shared" si="7"/>
        <v>1625</v>
      </c>
      <c r="F68" s="15">
        <f t="shared" si="8"/>
        <v>1700</v>
      </c>
      <c r="G68" s="15">
        <f t="shared" si="9"/>
        <v>1775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1575</v>
      </c>
      <c r="D69" s="15">
        <f t="shared" si="6"/>
        <v>1650</v>
      </c>
      <c r="E69" s="15">
        <f t="shared" si="7"/>
        <v>1725</v>
      </c>
      <c r="F69" s="15">
        <f t="shared" si="8"/>
        <v>1800</v>
      </c>
      <c r="G69" s="15">
        <f t="shared" si="9"/>
        <v>1875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1675</v>
      </c>
      <c r="D70" s="15">
        <f t="shared" si="6"/>
        <v>1750</v>
      </c>
      <c r="E70" s="15">
        <f t="shared" si="7"/>
        <v>1825</v>
      </c>
      <c r="F70" s="15">
        <f t="shared" si="8"/>
        <v>1900</v>
      </c>
      <c r="G70" s="15">
        <f t="shared" si="9"/>
        <v>1975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1775</v>
      </c>
      <c r="D71" s="15">
        <f t="shared" si="6"/>
        <v>1850</v>
      </c>
      <c r="E71" s="15">
        <f t="shared" si="7"/>
        <v>1925</v>
      </c>
      <c r="F71" s="15">
        <f t="shared" si="8"/>
        <v>2000</v>
      </c>
      <c r="G71" s="15">
        <f t="shared" si="9"/>
        <v>2075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1875</v>
      </c>
      <c r="D72" s="15">
        <f t="shared" si="6"/>
        <v>1950</v>
      </c>
      <c r="E72" s="15">
        <f t="shared" si="7"/>
        <v>2025</v>
      </c>
      <c r="F72" s="15">
        <f t="shared" si="8"/>
        <v>2100</v>
      </c>
      <c r="G72" s="15">
        <f t="shared" si="9"/>
        <v>2175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1975</v>
      </c>
      <c r="D73" s="15">
        <f t="shared" si="6"/>
        <v>2050</v>
      </c>
      <c r="E73" s="15">
        <f t="shared" si="7"/>
        <v>2125</v>
      </c>
      <c r="F73" s="15">
        <f t="shared" si="8"/>
        <v>2200</v>
      </c>
      <c r="G73" s="15">
        <f t="shared" si="9"/>
        <v>2275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2075</v>
      </c>
      <c r="D74" s="15">
        <f t="shared" si="6"/>
        <v>2150</v>
      </c>
      <c r="E74" s="15">
        <f t="shared" si="7"/>
        <v>2225</v>
      </c>
      <c r="F74" s="15">
        <f t="shared" si="8"/>
        <v>2300</v>
      </c>
      <c r="G74" s="15">
        <f t="shared" si="9"/>
        <v>2375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78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63</v>
      </c>
      <c r="C84" s="13" t="s">
        <v>64</v>
      </c>
      <c r="D84" s="13" t="s">
        <v>65</v>
      </c>
      <c r="E84" s="13" t="s">
        <v>66</v>
      </c>
      <c r="F84" s="13" t="s">
        <v>21</v>
      </c>
      <c r="G84" s="13" t="s">
        <v>82</v>
      </c>
      <c r="H84" s="13" t="s">
        <v>67</v>
      </c>
      <c r="I84" s="13" t="s">
        <v>57</v>
      </c>
      <c r="J84" s="13" t="s">
        <v>68</v>
      </c>
      <c r="K84" s="13" t="s">
        <v>83</v>
      </c>
      <c r="L84" s="13" t="s">
        <v>69</v>
      </c>
      <c r="M84" s="13" t="s">
        <v>28</v>
      </c>
      <c r="N84" s="13" t="s">
        <v>29</v>
      </c>
      <c r="O84" s="13" t="s">
        <v>70</v>
      </c>
      <c r="P84" s="13" t="s">
        <v>60</v>
      </c>
      <c r="Q84" s="13" t="s">
        <v>71</v>
      </c>
      <c r="R84" s="13" t="s">
        <v>72</v>
      </c>
      <c r="S84" s="13" t="s">
        <v>73</v>
      </c>
      <c r="T84" s="13" t="s">
        <v>74</v>
      </c>
      <c r="U84" s="13" t="s">
        <v>75</v>
      </c>
      <c r="V84" s="13" t="s">
        <v>76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1000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0.78</v>
      </c>
      <c r="I85" s="8">
        <f>F85*H85</f>
        <v>780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1000</v>
      </c>
      <c r="K85" s="8">
        <f>IF('LSR Sweep'!$C$4="Type-B",Parameters!$L$14,INDEX(Parameters!$D$14:$H$14,1,R85)+(INDEX(Parameters!$D$14:$H$14,1,R85+1)-INDEX(Parameters!$D$14:$H$14,1,R85))*U85)</f>
        <v>0.57999999999999996</v>
      </c>
      <c r="L85" s="8">
        <f>I85+J85</f>
        <v>1780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1000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0.72</v>
      </c>
      <c r="P85" s="8">
        <f>M85*O85</f>
        <v>720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1750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0.11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0.81</v>
      </c>
      <c r="I86" s="8">
        <f>F86*H86</f>
        <v>1417.5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1750</v>
      </c>
      <c r="K86" s="8">
        <f>IF('LSR Sweep'!$C$4="Type-B",Parameters!$L$14,INDEX(Parameters!$D$14:$H$14,1,R86)+(INDEX(Parameters!$D$14:$H$14,1,R86+1)-INDEX(Parameters!$D$14:$H$14,1,R86))*U86)</f>
        <v>0.59</v>
      </c>
      <c r="L86" s="8">
        <f>I86+J86</f>
        <v>3167.5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0.76</v>
      </c>
      <c r="P86" s="8">
        <f>M86*O86</f>
        <v>1140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2500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0.84</v>
      </c>
      <c r="I87" s="8">
        <f>F87*H87</f>
        <v>2100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2500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4600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</v>
      </c>
      <c r="P87" s="8">
        <f>M87*O87</f>
        <v>1600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3250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0.13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0.87</v>
      </c>
      <c r="I88" s="8">
        <f>F88*H88</f>
        <v>2827.5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3250</v>
      </c>
      <c r="K88" s="8">
        <f>IF('LSR Sweep'!$C$4="Type-B",Parameters!$L$14,INDEX(Parameters!$D$14:$H$14,1,R88)+(INDEX(Parameters!$D$14:$H$14,1,R88+1)-INDEX(Parameters!$D$14:$H$14,1,R88))*U88)</f>
        <v>0.61</v>
      </c>
      <c r="L88" s="8">
        <f>I88+J88</f>
        <v>6077.5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2500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8">
        <f>M88*O88</f>
        <v>2100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4000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0.14000000000000001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8">
        <f>F89*H89</f>
        <v>3600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4000</v>
      </c>
      <c r="K89" s="8">
        <f>IF('LSR Sweep'!$C$4="Type-B",Parameters!$L$14,INDEX(Parameters!$D$14:$H$14,1,R89)+(INDEX(Parameters!$D$14:$H$14,1,R89+1)-INDEX(Parameters!$D$14:$H$14,1,R89))*U89)</f>
        <v>0.62</v>
      </c>
      <c r="L89" s="8">
        <f>I89+J89</f>
        <v>7600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3000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0.88</v>
      </c>
      <c r="P89" s="8">
        <f>M89*O89</f>
        <v>2640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51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50</v>
      </c>
      <c r="D95" s="15">
        <f t="shared" si="11"/>
        <v>75</v>
      </c>
      <c r="E95" s="15">
        <f t="shared" si="12"/>
        <v>100</v>
      </c>
      <c r="F95" s="15">
        <f t="shared" si="13"/>
        <v>125</v>
      </c>
      <c r="G95" s="15">
        <f t="shared" si="14"/>
        <v>150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100</v>
      </c>
      <c r="D96" s="15">
        <f t="shared" si="11"/>
        <v>150</v>
      </c>
      <c r="E96" s="15">
        <f t="shared" si="12"/>
        <v>200</v>
      </c>
      <c r="F96" s="15">
        <f t="shared" si="13"/>
        <v>250</v>
      </c>
      <c r="G96" s="15">
        <f t="shared" si="14"/>
        <v>300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150</v>
      </c>
      <c r="D97" s="15">
        <f t="shared" si="11"/>
        <v>225</v>
      </c>
      <c r="E97" s="15">
        <f t="shared" si="12"/>
        <v>300</v>
      </c>
      <c r="F97" s="15">
        <f t="shared" si="13"/>
        <v>375</v>
      </c>
      <c r="G97" s="15">
        <f t="shared" si="14"/>
        <v>450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200</v>
      </c>
      <c r="D98" s="15">
        <f t="shared" si="11"/>
        <v>300</v>
      </c>
      <c r="E98" s="15">
        <f t="shared" si="12"/>
        <v>400</v>
      </c>
      <c r="F98" s="15">
        <f t="shared" si="13"/>
        <v>500</v>
      </c>
      <c r="G98" s="15">
        <f t="shared" si="14"/>
        <v>600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244.4</v>
      </c>
      <c r="D99" s="15">
        <f t="shared" si="11"/>
        <v>375</v>
      </c>
      <c r="E99" s="15">
        <f t="shared" si="12"/>
        <v>500</v>
      </c>
      <c r="F99" s="15">
        <f t="shared" si="13"/>
        <v>625</v>
      </c>
      <c r="G99" s="15">
        <f t="shared" si="14"/>
        <v>750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280.39999999999998</v>
      </c>
      <c r="D100" s="15">
        <f t="shared" si="11"/>
        <v>433.79999999999995</v>
      </c>
      <c r="E100" s="15">
        <f t="shared" si="12"/>
        <v>591.99999999999989</v>
      </c>
      <c r="F100" s="15">
        <f t="shared" si="13"/>
        <v>750</v>
      </c>
      <c r="G100" s="15">
        <f t="shared" si="14"/>
        <v>900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316.39999999999998</v>
      </c>
      <c r="D101" s="15">
        <f t="shared" si="11"/>
        <v>490.79999999999995</v>
      </c>
      <c r="E101" s="15">
        <f t="shared" si="12"/>
        <v>671.99999999999989</v>
      </c>
      <c r="F101" s="15">
        <f t="shared" si="13"/>
        <v>857</v>
      </c>
      <c r="G101" s="15">
        <f t="shared" si="14"/>
        <v>1042.8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352.4</v>
      </c>
      <c r="D102" s="15">
        <f t="shared" si="11"/>
        <v>547.79999999999995</v>
      </c>
      <c r="E102" s="15">
        <f t="shared" si="12"/>
        <v>752</v>
      </c>
      <c r="F102" s="15">
        <f t="shared" si="13"/>
        <v>962</v>
      </c>
      <c r="G102" s="15">
        <f t="shared" si="14"/>
        <v>1174.8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388.4</v>
      </c>
      <c r="D103" s="15">
        <f t="shared" si="11"/>
        <v>604.79999999999995</v>
      </c>
      <c r="E103" s="15">
        <f t="shared" si="12"/>
        <v>832</v>
      </c>
      <c r="F103" s="15">
        <f t="shared" si="13"/>
        <v>1067</v>
      </c>
      <c r="G103" s="15">
        <f t="shared" si="14"/>
        <v>1306.8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424.4</v>
      </c>
      <c r="D104" s="15">
        <f t="shared" si="11"/>
        <v>661.8</v>
      </c>
      <c r="E104" s="15">
        <f t="shared" si="12"/>
        <v>912</v>
      </c>
      <c r="F104" s="15">
        <f t="shared" si="13"/>
        <v>1172</v>
      </c>
      <c r="G104" s="15">
        <f t="shared" si="14"/>
        <v>1438.8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460.40000000000003</v>
      </c>
      <c r="D105" s="15">
        <f t="shared" si="11"/>
        <v>718.80000000000007</v>
      </c>
      <c r="E105" s="15">
        <f t="shared" si="12"/>
        <v>992</v>
      </c>
      <c r="F105" s="15">
        <f t="shared" si="13"/>
        <v>1277</v>
      </c>
      <c r="G105" s="15">
        <f t="shared" si="14"/>
        <v>1570.8000000000002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496.4</v>
      </c>
      <c r="D106" s="15">
        <f t="shared" si="11"/>
        <v>775.8</v>
      </c>
      <c r="E106" s="15">
        <f t="shared" si="12"/>
        <v>1072</v>
      </c>
      <c r="F106" s="15">
        <f t="shared" si="13"/>
        <v>1382</v>
      </c>
      <c r="G106" s="15">
        <f t="shared" si="14"/>
        <v>1702.8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532.40000000000009</v>
      </c>
      <c r="D107" s="15">
        <f t="shared" si="11"/>
        <v>832.8</v>
      </c>
      <c r="E107" s="15">
        <f t="shared" si="12"/>
        <v>1152</v>
      </c>
      <c r="F107" s="15">
        <f t="shared" si="13"/>
        <v>1487</v>
      </c>
      <c r="G107" s="15">
        <f t="shared" si="14"/>
        <v>1834.8000000000002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568.4</v>
      </c>
      <c r="D108" s="15">
        <f t="shared" si="11"/>
        <v>889.8</v>
      </c>
      <c r="E108" s="15">
        <f t="shared" si="12"/>
        <v>1232</v>
      </c>
      <c r="F108" s="15">
        <f t="shared" si="13"/>
        <v>1592</v>
      </c>
      <c r="G108" s="15">
        <f t="shared" si="14"/>
        <v>1966.7999999999997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604.40000000000009</v>
      </c>
      <c r="D109" s="15">
        <f t="shared" si="11"/>
        <v>946.8</v>
      </c>
      <c r="E109" s="15">
        <f t="shared" si="12"/>
        <v>1312</v>
      </c>
      <c r="F109" s="15">
        <f t="shared" si="13"/>
        <v>1697</v>
      </c>
      <c r="G109" s="15">
        <f t="shared" si="14"/>
        <v>2098.8000000000002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640.40000000000009</v>
      </c>
      <c r="D110" s="15">
        <f t="shared" si="11"/>
        <v>1003.8000000000001</v>
      </c>
      <c r="E110" s="15">
        <f t="shared" si="12"/>
        <v>1392</v>
      </c>
      <c r="F110" s="15">
        <f t="shared" si="13"/>
        <v>1802</v>
      </c>
      <c r="G110" s="15">
        <f t="shared" si="14"/>
        <v>2230.8000000000002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676.4</v>
      </c>
      <c r="D111" s="15">
        <f t="shared" si="11"/>
        <v>1060.8</v>
      </c>
      <c r="E111" s="15">
        <f t="shared" si="12"/>
        <v>1472</v>
      </c>
      <c r="F111" s="15">
        <f t="shared" si="13"/>
        <v>1907</v>
      </c>
      <c r="G111" s="15">
        <f t="shared" si="14"/>
        <v>2362.8000000000002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712.40000000000009</v>
      </c>
      <c r="D112" s="15">
        <f t="shared" si="11"/>
        <v>1117.8000000000002</v>
      </c>
      <c r="E112" s="15">
        <f t="shared" si="12"/>
        <v>1552</v>
      </c>
      <c r="F112" s="15">
        <f t="shared" si="13"/>
        <v>2012</v>
      </c>
      <c r="G112" s="15">
        <f t="shared" si="14"/>
        <v>2494.8000000000002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748.4</v>
      </c>
      <c r="D113" s="15">
        <f t="shared" si="11"/>
        <v>1174.8</v>
      </c>
      <c r="E113" s="15">
        <f t="shared" si="12"/>
        <v>1632</v>
      </c>
      <c r="F113" s="15">
        <f t="shared" si="13"/>
        <v>2117</v>
      </c>
      <c r="G113" s="15">
        <f t="shared" si="14"/>
        <v>2626.7999999999997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784.4</v>
      </c>
      <c r="D114" s="15">
        <f t="shared" si="11"/>
        <v>1231.8</v>
      </c>
      <c r="E114" s="15">
        <f t="shared" si="12"/>
        <v>1712</v>
      </c>
      <c r="F114" s="15">
        <f t="shared" si="13"/>
        <v>2222</v>
      </c>
      <c r="G114" s="15">
        <f t="shared" si="14"/>
        <v>2758.7999999999997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79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63</v>
      </c>
      <c r="C124" s="13" t="s">
        <v>64</v>
      </c>
      <c r="D124" s="13" t="s">
        <v>65</v>
      </c>
      <c r="E124" s="13" t="s">
        <v>66</v>
      </c>
      <c r="F124" s="13" t="s">
        <v>21</v>
      </c>
      <c r="G124" s="13" t="s">
        <v>82</v>
      </c>
      <c r="H124" s="13" t="s">
        <v>67</v>
      </c>
      <c r="I124" s="13" t="s">
        <v>57</v>
      </c>
      <c r="J124" s="13" t="s">
        <v>68</v>
      </c>
      <c r="K124" s="13" t="s">
        <v>83</v>
      </c>
      <c r="L124" s="13" t="s">
        <v>69</v>
      </c>
      <c r="M124" s="13" t="s">
        <v>28</v>
      </c>
      <c r="N124" s="13" t="s">
        <v>29</v>
      </c>
      <c r="O124" s="13" t="s">
        <v>70</v>
      </c>
      <c r="P124" s="13" t="s">
        <v>60</v>
      </c>
      <c r="Q124" s="13" t="s">
        <v>71</v>
      </c>
      <c r="R124" s="13" t="s">
        <v>72</v>
      </c>
      <c r="S124" s="13" t="s">
        <v>73</v>
      </c>
      <c r="T124" s="13" t="s">
        <v>74</v>
      </c>
      <c r="U124" s="13" t="s">
        <v>75</v>
      </c>
      <c r="V124" s="13" t="s">
        <v>76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1000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0.78</v>
      </c>
      <c r="I125" s="8">
        <f>F125*H125</f>
        <v>780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1000</v>
      </c>
      <c r="K125" s="8">
        <f>IF('Full Sweep'!$C$4="Type-B",Parameters!$L$14,INDEX(Parameters!$D$14:$H$14,1,R125)+(INDEX(Parameters!$D$14:$H$14,1,R125+1)-INDEX(Parameters!$D$14:$H$14,1,R125))*U125)</f>
        <v>0.57999999999999996</v>
      </c>
      <c r="L125" s="8">
        <f>I125+J125</f>
        <v>1780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1000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0.72</v>
      </c>
      <c r="P125" s="8">
        <f>M125*O125</f>
        <v>720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1750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0.11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0.81</v>
      </c>
      <c r="I126" s="8">
        <f>F126*H126</f>
        <v>1417.5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1750</v>
      </c>
      <c r="K126" s="8">
        <f>IF('Full Sweep'!$C$4="Type-B",Parameters!$L$14,INDEX(Parameters!$D$14:$H$14,1,R126)+(INDEX(Parameters!$D$14:$H$14,1,R126+1)-INDEX(Parameters!$D$14:$H$14,1,R126))*U126)</f>
        <v>0.59</v>
      </c>
      <c r="L126" s="8">
        <f>I126+J126</f>
        <v>3167.5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1500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0.76</v>
      </c>
      <c r="P126" s="8">
        <f>M126*O126</f>
        <v>1140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2500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0.84</v>
      </c>
      <c r="I127" s="8">
        <f>F127*H127</f>
        <v>2100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2500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4600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</v>
      </c>
      <c r="P127" s="8">
        <f>M127*O127</f>
        <v>1600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3250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0.13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0.87</v>
      </c>
      <c r="I128" s="8">
        <f>F128*H128</f>
        <v>2827.5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3250</v>
      </c>
      <c r="K128" s="8">
        <f>IF('Full Sweep'!$C$4="Type-B",Parameters!$L$14,INDEX(Parameters!$D$14:$H$14,1,R128)+(INDEX(Parameters!$D$14:$H$14,1,R128+1)-INDEX(Parameters!$D$14:$H$14,1,R128))*U128)</f>
        <v>0.61</v>
      </c>
      <c r="L128" s="8">
        <f>I128+J128</f>
        <v>6077.5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2500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8">
        <f>M128*O128</f>
        <v>2100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4000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0.14000000000000001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8">
        <f>F129*H129</f>
        <v>3600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4000</v>
      </c>
      <c r="K129" s="8">
        <f>IF('Full Sweep'!$C$4="Type-B",Parameters!$L$14,INDEX(Parameters!$D$14:$H$14,1,R129)+(INDEX(Parameters!$D$14:$H$14,1,R129+1)-INDEX(Parameters!$D$14:$H$14,1,R129))*U129)</f>
        <v>0.62</v>
      </c>
      <c r="L129" s="8">
        <f>I129+J129</f>
        <v>7600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3000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0.88</v>
      </c>
      <c r="P129" s="8">
        <f>M129*O129</f>
        <v>2640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51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50</v>
      </c>
      <c r="D135" s="15">
        <f t="shared" si="16"/>
        <v>87.5</v>
      </c>
      <c r="E135" s="15">
        <f t="shared" si="17"/>
        <v>125</v>
      </c>
      <c r="F135" s="15">
        <f t="shared" si="18"/>
        <v>162.5</v>
      </c>
      <c r="G135" s="15">
        <f t="shared" si="19"/>
        <v>200</v>
      </c>
      <c r="H135" s="15">
        <f t="shared" si="20"/>
        <v>-50</v>
      </c>
      <c r="I135" s="15">
        <f t="shared" si="21"/>
        <v>-75</v>
      </c>
      <c r="J135" s="15">
        <f t="shared" si="22"/>
        <v>-100</v>
      </c>
      <c r="K135" s="15">
        <f t="shared" si="23"/>
        <v>-125</v>
      </c>
      <c r="L135" s="15">
        <f t="shared" si="24"/>
        <v>-150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100</v>
      </c>
      <c r="D136" s="15">
        <f t="shared" si="16"/>
        <v>175</v>
      </c>
      <c r="E136" s="15">
        <f t="shared" si="17"/>
        <v>250</v>
      </c>
      <c r="F136" s="15">
        <f t="shared" si="18"/>
        <v>325</v>
      </c>
      <c r="G136" s="15">
        <f t="shared" si="19"/>
        <v>400</v>
      </c>
      <c r="H136" s="15">
        <f t="shared" si="20"/>
        <v>-100</v>
      </c>
      <c r="I136" s="15">
        <f t="shared" si="21"/>
        <v>-150</v>
      </c>
      <c r="J136" s="15">
        <f t="shared" si="22"/>
        <v>-200</v>
      </c>
      <c r="K136" s="15">
        <f t="shared" si="23"/>
        <v>-250</v>
      </c>
      <c r="L136" s="15">
        <f t="shared" si="24"/>
        <v>-300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139</v>
      </c>
      <c r="D137" s="15">
        <f t="shared" si="16"/>
        <v>249.2</v>
      </c>
      <c r="E137" s="15">
        <f t="shared" si="17"/>
        <v>363</v>
      </c>
      <c r="F137" s="15">
        <f t="shared" si="18"/>
        <v>479.04999999999995</v>
      </c>
      <c r="G137" s="15">
        <f t="shared" si="19"/>
        <v>595.99999999999989</v>
      </c>
      <c r="H137" s="15">
        <f t="shared" si="20"/>
        <v>-150</v>
      </c>
      <c r="I137" s="15">
        <f t="shared" si="21"/>
        <v>-225</v>
      </c>
      <c r="J137" s="15">
        <f t="shared" si="22"/>
        <v>-300</v>
      </c>
      <c r="K137" s="15">
        <f t="shared" si="23"/>
        <v>-375</v>
      </c>
      <c r="L137" s="15">
        <f t="shared" si="24"/>
        <v>-450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178</v>
      </c>
      <c r="D138" s="15">
        <f t="shared" si="16"/>
        <v>320.07500000000005</v>
      </c>
      <c r="E138" s="15">
        <f t="shared" si="17"/>
        <v>468</v>
      </c>
      <c r="F138" s="15">
        <f t="shared" si="18"/>
        <v>620.42499999999995</v>
      </c>
      <c r="G138" s="15">
        <f t="shared" si="19"/>
        <v>776</v>
      </c>
      <c r="H138" s="15">
        <f t="shared" si="20"/>
        <v>-200</v>
      </c>
      <c r="I138" s="15">
        <f t="shared" si="21"/>
        <v>-300</v>
      </c>
      <c r="J138" s="15">
        <f t="shared" si="22"/>
        <v>-400</v>
      </c>
      <c r="K138" s="15">
        <f t="shared" si="23"/>
        <v>-500</v>
      </c>
      <c r="L138" s="15">
        <f t="shared" si="24"/>
        <v>-600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217</v>
      </c>
      <c r="D139" s="15">
        <f t="shared" si="16"/>
        <v>390.95000000000005</v>
      </c>
      <c r="E139" s="15">
        <f t="shared" si="17"/>
        <v>573</v>
      </c>
      <c r="F139" s="15">
        <f t="shared" si="18"/>
        <v>761.8</v>
      </c>
      <c r="G139" s="15">
        <f t="shared" si="19"/>
        <v>956</v>
      </c>
      <c r="H139" s="15">
        <f t="shared" si="20"/>
        <v>-244.4</v>
      </c>
      <c r="I139" s="15">
        <f t="shared" si="21"/>
        <v>-375</v>
      </c>
      <c r="J139" s="15">
        <f t="shared" si="22"/>
        <v>-500</v>
      </c>
      <c r="K139" s="15">
        <f t="shared" si="23"/>
        <v>-625</v>
      </c>
      <c r="L139" s="15">
        <f t="shared" si="24"/>
        <v>-750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256</v>
      </c>
      <c r="D140" s="15">
        <f t="shared" si="16"/>
        <v>461.82499999999999</v>
      </c>
      <c r="E140" s="15">
        <f t="shared" si="17"/>
        <v>678</v>
      </c>
      <c r="F140" s="15">
        <f t="shared" si="18"/>
        <v>903.17499999999995</v>
      </c>
      <c r="G140" s="15">
        <f t="shared" si="19"/>
        <v>1136</v>
      </c>
      <c r="H140" s="15">
        <f t="shared" si="20"/>
        <v>-280.39999999999998</v>
      </c>
      <c r="I140" s="15">
        <f t="shared" si="21"/>
        <v>-433.79999999999995</v>
      </c>
      <c r="J140" s="15">
        <f t="shared" si="22"/>
        <v>-591.99999999999989</v>
      </c>
      <c r="K140" s="15">
        <f t="shared" si="23"/>
        <v>-750</v>
      </c>
      <c r="L140" s="15">
        <f t="shared" si="24"/>
        <v>-900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295</v>
      </c>
      <c r="D141" s="15">
        <f t="shared" si="16"/>
        <v>532.70000000000005</v>
      </c>
      <c r="E141" s="15">
        <f t="shared" si="17"/>
        <v>783</v>
      </c>
      <c r="F141" s="15">
        <f t="shared" si="18"/>
        <v>1044.55</v>
      </c>
      <c r="G141" s="15">
        <f t="shared" si="19"/>
        <v>1316</v>
      </c>
      <c r="H141" s="15">
        <f t="shared" si="20"/>
        <v>-316.39999999999998</v>
      </c>
      <c r="I141" s="15">
        <f t="shared" si="21"/>
        <v>-490.79999999999995</v>
      </c>
      <c r="J141" s="15">
        <f t="shared" si="22"/>
        <v>-671.99999999999989</v>
      </c>
      <c r="K141" s="15">
        <f t="shared" si="23"/>
        <v>-857</v>
      </c>
      <c r="L141" s="15">
        <f t="shared" si="24"/>
        <v>-1042.8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334</v>
      </c>
      <c r="D142" s="15">
        <f t="shared" si="16"/>
        <v>603.57500000000005</v>
      </c>
      <c r="E142" s="15">
        <f t="shared" si="17"/>
        <v>888</v>
      </c>
      <c r="F142" s="15">
        <f t="shared" si="18"/>
        <v>1185.9250000000002</v>
      </c>
      <c r="G142" s="15">
        <f t="shared" si="19"/>
        <v>1496</v>
      </c>
      <c r="H142" s="15">
        <f t="shared" si="20"/>
        <v>-352.4</v>
      </c>
      <c r="I142" s="15">
        <f t="shared" si="21"/>
        <v>-547.79999999999995</v>
      </c>
      <c r="J142" s="15">
        <f t="shared" si="22"/>
        <v>-752</v>
      </c>
      <c r="K142" s="15">
        <f t="shared" si="23"/>
        <v>-962</v>
      </c>
      <c r="L142" s="15">
        <f t="shared" si="24"/>
        <v>-1174.8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373</v>
      </c>
      <c r="D143" s="15">
        <f t="shared" si="16"/>
        <v>674.45</v>
      </c>
      <c r="E143" s="15">
        <f t="shared" si="17"/>
        <v>993</v>
      </c>
      <c r="F143" s="15">
        <f t="shared" si="18"/>
        <v>1327.3000000000002</v>
      </c>
      <c r="G143" s="15">
        <f t="shared" si="19"/>
        <v>1676</v>
      </c>
      <c r="H143" s="15">
        <f t="shared" si="20"/>
        <v>-388.4</v>
      </c>
      <c r="I143" s="15">
        <f t="shared" si="21"/>
        <v>-604.79999999999995</v>
      </c>
      <c r="J143" s="15">
        <f t="shared" si="22"/>
        <v>-832</v>
      </c>
      <c r="K143" s="15">
        <f t="shared" si="23"/>
        <v>-1067</v>
      </c>
      <c r="L143" s="15">
        <f t="shared" si="24"/>
        <v>-1306.8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412</v>
      </c>
      <c r="D144" s="15">
        <f t="shared" si="16"/>
        <v>745.32500000000005</v>
      </c>
      <c r="E144" s="15">
        <f t="shared" si="17"/>
        <v>1098</v>
      </c>
      <c r="F144" s="15">
        <f t="shared" si="18"/>
        <v>1468.675</v>
      </c>
      <c r="G144" s="15">
        <f t="shared" si="19"/>
        <v>1856</v>
      </c>
      <c r="H144" s="15">
        <f t="shared" si="20"/>
        <v>-424.4</v>
      </c>
      <c r="I144" s="15">
        <f t="shared" si="21"/>
        <v>-661.8</v>
      </c>
      <c r="J144" s="15">
        <f t="shared" si="22"/>
        <v>-912</v>
      </c>
      <c r="K144" s="15">
        <f t="shared" si="23"/>
        <v>-1172</v>
      </c>
      <c r="L144" s="15">
        <f t="shared" si="24"/>
        <v>-1438.8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451.00000000000006</v>
      </c>
      <c r="D145" s="15">
        <f t="shared" si="16"/>
        <v>816.2</v>
      </c>
      <c r="E145" s="15">
        <f t="shared" si="17"/>
        <v>1203</v>
      </c>
      <c r="F145" s="15">
        <f t="shared" si="18"/>
        <v>1610.0500000000002</v>
      </c>
      <c r="G145" s="15">
        <f t="shared" si="19"/>
        <v>2036</v>
      </c>
      <c r="H145" s="15">
        <f t="shared" si="20"/>
        <v>-460.40000000000003</v>
      </c>
      <c r="I145" s="15">
        <f t="shared" si="21"/>
        <v>-718.80000000000007</v>
      </c>
      <c r="J145" s="15">
        <f t="shared" si="22"/>
        <v>-992</v>
      </c>
      <c r="K145" s="15">
        <f t="shared" si="23"/>
        <v>-1277</v>
      </c>
      <c r="L145" s="15">
        <f t="shared" si="24"/>
        <v>-1570.8000000000002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510</v>
      </c>
      <c r="D146" s="15">
        <f t="shared" si="16"/>
        <v>904.57499999999993</v>
      </c>
      <c r="E146" s="15">
        <f t="shared" si="17"/>
        <v>1308</v>
      </c>
      <c r="F146" s="15">
        <f t="shared" si="18"/>
        <v>1751.425</v>
      </c>
      <c r="G146" s="15">
        <f t="shared" si="19"/>
        <v>2216</v>
      </c>
      <c r="H146" s="15">
        <f t="shared" si="20"/>
        <v>-496.4</v>
      </c>
      <c r="I146" s="15">
        <f t="shared" si="21"/>
        <v>-775.8</v>
      </c>
      <c r="J146" s="15">
        <f t="shared" si="22"/>
        <v>-1072</v>
      </c>
      <c r="K146" s="15">
        <f t="shared" si="23"/>
        <v>-1382</v>
      </c>
      <c r="L146" s="15">
        <f t="shared" si="24"/>
        <v>-1702.8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599</v>
      </c>
      <c r="D147" s="15">
        <f t="shared" si="16"/>
        <v>1062.95</v>
      </c>
      <c r="E147" s="15">
        <f t="shared" si="17"/>
        <v>1538</v>
      </c>
      <c r="F147" s="15">
        <f t="shared" si="18"/>
        <v>2022.8000000000002</v>
      </c>
      <c r="G147" s="15">
        <f t="shared" si="19"/>
        <v>2516</v>
      </c>
      <c r="H147" s="15">
        <f t="shared" si="20"/>
        <v>-532.40000000000009</v>
      </c>
      <c r="I147" s="15">
        <f t="shared" si="21"/>
        <v>-832.8</v>
      </c>
      <c r="J147" s="15">
        <f t="shared" si="22"/>
        <v>-1152</v>
      </c>
      <c r="K147" s="15">
        <f t="shared" si="23"/>
        <v>-1487</v>
      </c>
      <c r="L147" s="15">
        <f t="shared" si="24"/>
        <v>-1834.8000000000002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688</v>
      </c>
      <c r="D148" s="15">
        <f t="shared" si="16"/>
        <v>1221.3249999999998</v>
      </c>
      <c r="E148" s="15">
        <f t="shared" si="17"/>
        <v>1768</v>
      </c>
      <c r="F148" s="15">
        <f t="shared" si="18"/>
        <v>2326.6749999999997</v>
      </c>
      <c r="G148" s="15">
        <f t="shared" si="19"/>
        <v>2896</v>
      </c>
      <c r="H148" s="15">
        <f t="shared" si="20"/>
        <v>-568.4</v>
      </c>
      <c r="I148" s="15">
        <f t="shared" si="21"/>
        <v>-889.8</v>
      </c>
      <c r="J148" s="15">
        <f t="shared" si="22"/>
        <v>-1232</v>
      </c>
      <c r="K148" s="15">
        <f t="shared" si="23"/>
        <v>-1592</v>
      </c>
      <c r="L148" s="15">
        <f t="shared" si="24"/>
        <v>-1966.7999999999997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777</v>
      </c>
      <c r="D149" s="15">
        <f t="shared" si="16"/>
        <v>1379.7</v>
      </c>
      <c r="E149" s="15">
        <f t="shared" si="17"/>
        <v>1998</v>
      </c>
      <c r="F149" s="15">
        <f t="shared" si="18"/>
        <v>2630.55</v>
      </c>
      <c r="G149" s="15">
        <f t="shared" si="19"/>
        <v>3276</v>
      </c>
      <c r="H149" s="15">
        <f t="shared" si="20"/>
        <v>-604.40000000000009</v>
      </c>
      <c r="I149" s="15">
        <f t="shared" si="21"/>
        <v>-946.8</v>
      </c>
      <c r="J149" s="15">
        <f t="shared" si="22"/>
        <v>-1312</v>
      </c>
      <c r="K149" s="15">
        <f t="shared" si="23"/>
        <v>-1697</v>
      </c>
      <c r="L149" s="15">
        <f t="shared" si="24"/>
        <v>-2098.8000000000002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866.00000000000011</v>
      </c>
      <c r="D150" s="15">
        <f t="shared" si="16"/>
        <v>1538.0750000000003</v>
      </c>
      <c r="E150" s="15">
        <f t="shared" si="17"/>
        <v>2228</v>
      </c>
      <c r="F150" s="15">
        <f t="shared" si="18"/>
        <v>2934.4250000000002</v>
      </c>
      <c r="G150" s="15">
        <f t="shared" si="19"/>
        <v>3656</v>
      </c>
      <c r="H150" s="15">
        <f t="shared" si="20"/>
        <v>-640.40000000000009</v>
      </c>
      <c r="I150" s="15">
        <f t="shared" si="21"/>
        <v>-1003.8000000000001</v>
      </c>
      <c r="J150" s="15">
        <f t="shared" si="22"/>
        <v>-1392</v>
      </c>
      <c r="K150" s="15">
        <f t="shared" si="23"/>
        <v>-1802</v>
      </c>
      <c r="L150" s="15">
        <f t="shared" si="24"/>
        <v>-2230.8000000000002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955</v>
      </c>
      <c r="D151" s="15">
        <f t="shared" si="16"/>
        <v>1696.45</v>
      </c>
      <c r="E151" s="15">
        <f t="shared" si="17"/>
        <v>2458</v>
      </c>
      <c r="F151" s="15">
        <f t="shared" si="18"/>
        <v>3238.3</v>
      </c>
      <c r="G151" s="15">
        <f t="shared" si="19"/>
        <v>4036</v>
      </c>
      <c r="H151" s="15">
        <f t="shared" si="20"/>
        <v>-676.4</v>
      </c>
      <c r="I151" s="15">
        <f t="shared" si="21"/>
        <v>-1060.8</v>
      </c>
      <c r="J151" s="15">
        <f t="shared" si="22"/>
        <v>-1472</v>
      </c>
      <c r="K151" s="15">
        <f t="shared" si="23"/>
        <v>-1907</v>
      </c>
      <c r="L151" s="15">
        <f t="shared" si="24"/>
        <v>-2362.8000000000002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1044</v>
      </c>
      <c r="D152" s="15">
        <f t="shared" si="16"/>
        <v>1854.8250000000003</v>
      </c>
      <c r="E152" s="15">
        <f t="shared" si="17"/>
        <v>2688</v>
      </c>
      <c r="F152" s="15">
        <f t="shared" si="18"/>
        <v>3542.1750000000002</v>
      </c>
      <c r="G152" s="15">
        <f t="shared" si="19"/>
        <v>4416</v>
      </c>
      <c r="H152" s="15">
        <f t="shared" si="20"/>
        <v>-712.40000000000009</v>
      </c>
      <c r="I152" s="15">
        <f t="shared" si="21"/>
        <v>-1117.8000000000002</v>
      </c>
      <c r="J152" s="15">
        <f t="shared" si="22"/>
        <v>-1552</v>
      </c>
      <c r="K152" s="15">
        <f t="shared" si="23"/>
        <v>-2012</v>
      </c>
      <c r="L152" s="15">
        <f t="shared" si="24"/>
        <v>-2494.8000000000002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1133</v>
      </c>
      <c r="D153" s="15">
        <f t="shared" si="16"/>
        <v>2013.2</v>
      </c>
      <c r="E153" s="15">
        <f t="shared" si="17"/>
        <v>2918</v>
      </c>
      <c r="F153" s="15">
        <f t="shared" si="18"/>
        <v>3846.0499999999997</v>
      </c>
      <c r="G153" s="15">
        <f t="shared" si="19"/>
        <v>4796</v>
      </c>
      <c r="H153" s="15">
        <f t="shared" si="20"/>
        <v>-748.4</v>
      </c>
      <c r="I153" s="15">
        <f t="shared" si="21"/>
        <v>-1174.8</v>
      </c>
      <c r="J153" s="15">
        <f t="shared" si="22"/>
        <v>-1632</v>
      </c>
      <c r="K153" s="15">
        <f t="shared" si="23"/>
        <v>-2117</v>
      </c>
      <c r="L153" s="15">
        <f t="shared" si="24"/>
        <v>-2626.7999999999997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1222</v>
      </c>
      <c r="D154" s="15">
        <f t="shared" si="16"/>
        <v>2171.5749999999998</v>
      </c>
      <c r="E154" s="15">
        <f t="shared" si="17"/>
        <v>3148</v>
      </c>
      <c r="F154" s="15">
        <f t="shared" si="18"/>
        <v>4149.9250000000002</v>
      </c>
      <c r="G154" s="15">
        <f t="shared" si="19"/>
        <v>5176</v>
      </c>
      <c r="H154" s="15">
        <f t="shared" si="20"/>
        <v>-784.4</v>
      </c>
      <c r="I154" s="15">
        <f t="shared" si="21"/>
        <v>-1231.8</v>
      </c>
      <c r="J154" s="15">
        <f t="shared" si="22"/>
        <v>-1712</v>
      </c>
      <c r="K154" s="15">
        <f t="shared" si="23"/>
        <v>-2222</v>
      </c>
      <c r="L154" s="15">
        <f t="shared" si="24"/>
        <v>-2758.7999999999997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80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63</v>
      </c>
      <c r="C164" t="s">
        <v>64</v>
      </c>
      <c r="D164" t="s">
        <v>65</v>
      </c>
      <c r="E164" t="s">
        <v>66</v>
      </c>
      <c r="F164" t="s">
        <v>21</v>
      </c>
      <c r="G164" t="s">
        <v>82</v>
      </c>
      <c r="H164" t="s">
        <v>67</v>
      </c>
      <c r="I164" t="s">
        <v>57</v>
      </c>
      <c r="J164" t="s">
        <v>68</v>
      </c>
      <c r="K164" t="s">
        <v>83</v>
      </c>
      <c r="L164" t="s">
        <v>69</v>
      </c>
      <c r="M164" t="s">
        <v>28</v>
      </c>
      <c r="N164" t="s">
        <v>29</v>
      </c>
      <c r="O164" t="s">
        <v>70</v>
      </c>
      <c r="P164" t="s">
        <v>60</v>
      </c>
      <c r="Q164" t="s">
        <v>71</v>
      </c>
      <c r="R164" t="s">
        <v>72</v>
      </c>
      <c r="S164" t="s">
        <v>73</v>
      </c>
      <c r="T164" t="s">
        <v>74</v>
      </c>
      <c r="U164" t="s">
        <v>75</v>
      </c>
      <c r="V164" t="s">
        <v>76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0.84</v>
      </c>
      <c r="I165">
        <f>F165*H165</f>
        <v>2100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2500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4600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</v>
      </c>
      <c r="P165">
        <f>M165*O165</f>
        <v>1600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2026-10-02T13:14:04Z</dcterms:modified>
</cp:coreProperties>
</file>