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8F438803-EFD2-48DE-BEA3-6E7F30242DC9}" xr6:coauthVersionLast="47" xr6:coauthVersionMax="47" xr10:uidLastSave="{00000000-0000-0000-0000-000000000000}"/>
  <bookViews>
    <workbookView xWindow="-110" yWindow="-110" windowWidth="25820" windowHeight="15500" activeTab="5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<sst xmlns="http://schemas.openxmlformats.org/spreadsheetml/2006/main" count="220" uniqueCount="87">
  <si>
    <t>Astral · LSC Sweep</t>
  </si>
  <si>
    <t>Valving</t>
  </si>
  <si>
    <t>Type-A</t>
  </si>
  <si>
    <t>Type-A / Type-B · 切换仅作用于本页。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</si>
  <si>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</si>
  <si>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</si>
  <si>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</si>
  <si>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</si>
  <si>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</si>
  <si>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Astral · LSR Sweep</t>
  </si>
  <si>
    <t>LSR：−40 / −30 / −20 / −10 / 0 R；图中显示回弹力大小。</t>
  </si>
  <si>
    <t>Astral · Combined Sweep</t>
  </si>
  <si>
    <t>压缩与回弹各五条：最软 / 25% / 默认 / 75% / 最硬。</t>
  </si>
  <si>
    <t>Astral · Valving parameters</t>
  </si>
  <si>
    <t>黄色单元格可编辑；Type-A 与 Type-B 分别标定。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</si>
  <si>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</si>
  <si>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</si>
  <si>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</si>
  <si>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</si>
  <si>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</si>
  <si>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</si>
  <si>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</si>
  <si>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</si>
  <si>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</si>
  <si>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</si>
  <si>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</si>
  <si>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HSbump · 附加梁</t>
  </si>
  <si>
    <t>LSR · R（6 系）</t>
  </si>
  <si>
    <t>rebound</t>
  </si>
  <si>
    <t>Rebound knee</t>
  </si>
  <si>
    <t>HSrebound / rebound</t>
  </si>
  <si>
    <t>Clicks · 共用调节格数</t>
  </si>
  <si>
    <t>LSC · 所有车型</t>
  </si>
  <si>
    <t>Sweep 以 6 系的 c / C / R 格数显示；计算器支持 WRC17 的 60 格回弹。</t>
  </si>
  <si>
    <t>HSC · 所有车型</t>
  </si>
  <si>
    <t>LSR · Rally2 / Rally1</t>
  </si>
  <si>
    <t>LSR · WRC17</t>
  </si>
  <si>
    <t>0 为最硬；负数为从全关退出的格数。</t>
  </si>
  <si>
    <t>Model · 延续当前公式</t>
  </si>
  <si>
    <t>bump2 = bump1 × 中间段倍率；总高速系数 = bump2 + HSbump。</t>
  </si>
  <si>
    <t>回弹力 = rebound × MIN(v, Rebound knee) + HSrebound × MAX(0, v − Rebound knee)。</t>
  </si>
  <si>
    <t>连续分段接续仍为工作假设；这里计算基础阻尼，不叠加气体、弹簧、HBS/HRS 或 LRS/DSV。</t>
  </si>
  <si>
    <t>LSC 只调斜率；Type-A 的 HSC 调第二 knee，Type-B 的 HSC 调第一 knee。</t>
  </si>
  <si>
    <t>研究来源：chatgpt-conversation://6a9ed043-7848-83e8-9d36-6e63c8202898</t>
  </si>
  <si>
    <t>Astral · Damping calculator</t>
  </si>
  <si>
    <t>A / B 独立切换 · 输入实际 c / C / R 格数及轴速</t>
  </si>
  <si>
    <t>车型</t>
  </si>
  <si>
    <t>Rally2</t>
  </si>
  <si>
    <t>当前输入 · 阻尼力大小</t>
  </si>
  <si>
    <t>压缩力 (N)</t>
  </si>
  <si>
    <t>LSR · R</t>
  </si>
  <si>
    <t>轴速 (m/s)</t>
  </si>
  <si>
    <t>回弹力 (N)</t>
  </si>
  <si>
    <t>c 总格数</t>
  </si>
  <si>
    <t>实际计算参数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</si>
  <si>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</si>
  <si>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</si>
  <si>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</si>
  <si>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</si>
  <si>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</si>
  <si>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</si>
  <si>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</si>
  <si>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LSC Sweep · 由本页 Valving 开关选择参数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</si>
  <si>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</si>
  <si>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</si>
  <si>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</si>
  <si>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</si>
  <si>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</si>
  <si>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</si>
  <si>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</si>
  <si>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</si>
  <si>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</si>
  <si>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</si>
  <si>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</si>
  <si>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</si>
  <si>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</si>
  <si>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</si>
  <si>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 · 由本页 Valving 开关选择参数</t>
  </si>
  <si>
    <t>LSR Sweep · 由本页 Valving 开关选择参数</t>
  </si>
  <si>
    <t>Full Sweep · 由本页 Valving 开关选择参数</t>
  </si>
  <si>
    <t>Calculator · 插值参数</t>
  </si>
  <si>
    <t>Type-B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</si>
  <si>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</si>
  <si>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</si>
  <si>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</si>
  <si>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</si>
  <si>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Astral · HSC Sweep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</si>
</sst>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4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/>
  </cellStyleXfs>
  <cellXfs count="31">
    <xf numFmtId="0" fontId="0" fillId="0" borderId="0" xfId="0"/>
    <xf numFmtId="0" fontId="1" fillId="0" borderId="0" xfId="1" applyFont="1" applyAlignment="1">
      <alignment vertical="center"/>
    </xf>
    <xf numFmtId="9" fontId="1" fillId="0" borderId="0" xfId="1" applyNumberFormat="1" applyFont="1" applyAlignment="1">
      <alignment vertical="center"/>
    </xf>
    <xf numFmtId="1" fontId="5" fillId="3" borderId="0" xfId="1" applyNumberFormat="1" applyFont="1" applyFill="1" applyAlignment="1">
      <alignment vertical="center"/>
    </xf>
    <xf numFmtId="176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/>
    <xf numFmtId="49" fontId="5" fillId="3" borderId="0" xfId="1" applyNumberFormat="1" applyFont="1" applyFill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9" fillId="4" borderId="0" xfId="1" applyFont="1" applyFill="1" applyAlignment="1">
      <alignment vertical="center" wrapText="1"/>
    </xf>
    <xf numFmtId="0" fontId="9" fillId="4" borderId="0" xfId="1" applyFont="1" applyFill="1" applyAlignment="1">
      <alignment wrapText="1"/>
    </xf>
    <xf numFmtId="2" fontId="6" fillId="0" borderId="0" xfId="1" applyNumberFormat="1" applyFont="1" applyAlignment="1">
      <alignment vertical="center"/>
    </xf>
    <xf numFmtId="2" fontId="6" fillId="0" borderId="0" xfId="1" applyNumberFormat="1" applyFont="1"/>
    <xf numFmtId="2" fontId="5" fillId="3" borderId="0" xfId="1" applyNumberFormat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0" fontId="2" fillId="0" borderId="0" xfId="1" applyFont="1" applyAlignment="1">
      <alignment vertical="center"/>
    </xf>
    <xf numFmtId="0" fontId="1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7" fillId="0" borderId="0" xfId="1" applyFont="1" applyAlignment="1">
      <alignment vertical="center"/>
    </xf>
    <xf numFmtId="0" fontId="4" fillId="2" borderId="0" xfId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0" fontId="1" fillId="0" borderId="0" xfId="1" applyFont="1" applyAlignment="1">
      <alignment vertical="center" wrapText="1"/>
    </xf>
    <xf numFmtId="0" fontId="6" fillId="0" borderId="0" xfId="1" applyFont="1" applyAlignment="1">
      <alignment vertical="center"/>
    </xf>
    <xf numFmtId="0" fontId="6" fillId="0" borderId="0" xfId="1" applyFont="1" applyAlignment="1">
      <alignment vertical="center" wrapText="1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10" fillId="2" borderId="0" xfId="1" applyFont="1" applyFill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673.2</c:v>
                </c:pt>
                <c:pt idx="9">
                  <c:v>716.40000000000009</c:v>
                </c:pt>
                <c:pt idx="10">
                  <c:v>759.6</c:v>
                </c:pt>
                <c:pt idx="11">
                  <c:v>802.80000000000007</c:v>
                </c:pt>
                <c:pt idx="12">
                  <c:v>846</c:v>
                </c:pt>
                <c:pt idx="13">
                  <c:v>914.2</c:v>
                </c:pt>
                <c:pt idx="14">
                  <c:v>982.4</c:v>
                </c:pt>
                <c:pt idx="15">
                  <c:v>1050.6000000000001</c:v>
                </c:pt>
                <c:pt idx="16">
                  <c:v>1118.8000000000002</c:v>
                </c:pt>
                <c:pt idx="17">
                  <c:v>1187</c:v>
                </c:pt>
                <c:pt idx="18">
                  <c:v>1255.2</c:v>
                </c:pt>
                <c:pt idx="19">
                  <c:v>1323.4</c:v>
                </c:pt>
                <c:pt idx="20">
                  <c:v>1391.6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840</c:v>
                </c:pt>
                <c:pt idx="8">
                  <c:v>900</c:v>
                </c:pt>
                <c:pt idx="9">
                  <c:v>960</c:v>
                </c:pt>
                <c:pt idx="10">
                  <c:v>1020</c:v>
                </c:pt>
                <c:pt idx="11">
                  <c:v>1080</c:v>
                </c:pt>
                <c:pt idx="12">
                  <c:v>1140</c:v>
                </c:pt>
                <c:pt idx="13">
                  <c:v>1225</c:v>
                </c:pt>
                <c:pt idx="14">
                  <c:v>1310</c:v>
                </c:pt>
                <c:pt idx="15">
                  <c:v>1395</c:v>
                </c:pt>
                <c:pt idx="16">
                  <c:v>1480</c:v>
                </c:pt>
                <c:pt idx="17">
                  <c:v>1565</c:v>
                </c:pt>
                <c:pt idx="18">
                  <c:v>1650</c:v>
                </c:pt>
                <c:pt idx="19">
                  <c:v>1735</c:v>
                </c:pt>
                <c:pt idx="20">
                  <c:v>1820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1128</c:v>
                </c:pt>
                <c:pt idx="9">
                  <c:v>1206</c:v>
                </c:pt>
                <c:pt idx="10">
                  <c:v>1284</c:v>
                </c:pt>
                <c:pt idx="11">
                  <c:v>1362</c:v>
                </c:pt>
                <c:pt idx="12">
                  <c:v>1440</c:v>
                </c:pt>
                <c:pt idx="13">
                  <c:v>1543</c:v>
                </c:pt>
                <c:pt idx="14">
                  <c:v>1646</c:v>
                </c:pt>
                <c:pt idx="15">
                  <c:v>1749</c:v>
                </c:pt>
                <c:pt idx="16">
                  <c:v>1852</c:v>
                </c:pt>
                <c:pt idx="17">
                  <c:v>1955</c:v>
                </c:pt>
                <c:pt idx="18">
                  <c:v>2058</c:v>
                </c:pt>
                <c:pt idx="19">
                  <c:v>2161</c:v>
                </c:pt>
                <c:pt idx="20">
                  <c:v>2264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1357.2</c:v>
                </c:pt>
                <c:pt idx="9">
                  <c:v>1454.4</c:v>
                </c:pt>
                <c:pt idx="10">
                  <c:v>1551.6000000000001</c:v>
                </c:pt>
                <c:pt idx="11">
                  <c:v>1648.8000000000002</c:v>
                </c:pt>
                <c:pt idx="12">
                  <c:v>1746</c:v>
                </c:pt>
                <c:pt idx="13">
                  <c:v>1868.2000000000003</c:v>
                </c:pt>
                <c:pt idx="14">
                  <c:v>1990.4</c:v>
                </c:pt>
                <c:pt idx="15">
                  <c:v>2112.6000000000004</c:v>
                </c:pt>
                <c:pt idx="16">
                  <c:v>2234.8000000000002</c:v>
                </c:pt>
                <c:pt idx="17">
                  <c:v>2357</c:v>
                </c:pt>
                <c:pt idx="18">
                  <c:v>2479.2000000000003</c:v>
                </c:pt>
                <c:pt idx="19">
                  <c:v>2601.4</c:v>
                </c:pt>
                <c:pt idx="20">
                  <c:v>2723.6000000000004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1587.6000000000001</c:v>
                </c:pt>
                <c:pt idx="9">
                  <c:v>1705.2</c:v>
                </c:pt>
                <c:pt idx="10">
                  <c:v>1822.8000000000002</c:v>
                </c:pt>
                <c:pt idx="11">
                  <c:v>1940.4</c:v>
                </c:pt>
                <c:pt idx="12">
                  <c:v>2058</c:v>
                </c:pt>
                <c:pt idx="13">
                  <c:v>2200.6000000000004</c:v>
                </c:pt>
                <c:pt idx="14">
                  <c:v>2343.1999999999998</c:v>
                </c:pt>
                <c:pt idx="15">
                  <c:v>2485.8000000000002</c:v>
                </c:pt>
                <c:pt idx="16">
                  <c:v>2628.4</c:v>
                </c:pt>
                <c:pt idx="17">
                  <c:v>2771</c:v>
                </c:pt>
                <c:pt idx="18">
                  <c:v>2913.6000000000004</c:v>
                </c:pt>
                <c:pt idx="19">
                  <c:v>3056.2</c:v>
                </c:pt>
                <c:pt idx="20">
                  <c:v>3198.8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363</c:v>
                </c:pt>
                <c:pt idx="4">
                  <c:v>468</c:v>
                </c:pt>
                <c:pt idx="5">
                  <c:v>573</c:v>
                </c:pt>
                <c:pt idx="6">
                  <c:v>678</c:v>
                </c:pt>
                <c:pt idx="7">
                  <c:v>783</c:v>
                </c:pt>
                <c:pt idx="8">
                  <c:v>888</c:v>
                </c:pt>
                <c:pt idx="9">
                  <c:v>993</c:v>
                </c:pt>
                <c:pt idx="10">
                  <c:v>1098</c:v>
                </c:pt>
                <c:pt idx="11">
                  <c:v>1203</c:v>
                </c:pt>
                <c:pt idx="12">
                  <c:v>1328</c:v>
                </c:pt>
                <c:pt idx="13">
                  <c:v>1483</c:v>
                </c:pt>
                <c:pt idx="14">
                  <c:v>1638</c:v>
                </c:pt>
                <c:pt idx="15">
                  <c:v>1793</c:v>
                </c:pt>
                <c:pt idx="16">
                  <c:v>1948</c:v>
                </c:pt>
                <c:pt idx="17">
                  <c:v>2103</c:v>
                </c:pt>
                <c:pt idx="18">
                  <c:v>2258</c:v>
                </c:pt>
                <c:pt idx="19">
                  <c:v>2413</c:v>
                </c:pt>
                <c:pt idx="20">
                  <c:v>2568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363</c:v>
                </c:pt>
                <c:pt idx="4">
                  <c:v>468</c:v>
                </c:pt>
                <c:pt idx="5">
                  <c:v>573</c:v>
                </c:pt>
                <c:pt idx="6">
                  <c:v>678</c:v>
                </c:pt>
                <c:pt idx="7">
                  <c:v>783</c:v>
                </c:pt>
                <c:pt idx="8">
                  <c:v>888</c:v>
                </c:pt>
                <c:pt idx="9">
                  <c:v>993</c:v>
                </c:pt>
                <c:pt idx="10">
                  <c:v>1098</c:v>
                </c:pt>
                <c:pt idx="11">
                  <c:v>1203</c:v>
                </c:pt>
                <c:pt idx="12">
                  <c:v>1325.5</c:v>
                </c:pt>
                <c:pt idx="13">
                  <c:v>1518</c:v>
                </c:pt>
                <c:pt idx="14">
                  <c:v>1710.5</c:v>
                </c:pt>
                <c:pt idx="15">
                  <c:v>1903</c:v>
                </c:pt>
                <c:pt idx="16">
                  <c:v>2095.5</c:v>
                </c:pt>
                <c:pt idx="17">
                  <c:v>2288</c:v>
                </c:pt>
                <c:pt idx="18">
                  <c:v>2480.5</c:v>
                </c:pt>
                <c:pt idx="19">
                  <c:v>2673</c:v>
                </c:pt>
                <c:pt idx="20">
                  <c:v>2865.5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363</c:v>
                </c:pt>
                <c:pt idx="4">
                  <c:v>468</c:v>
                </c:pt>
                <c:pt idx="5">
                  <c:v>573</c:v>
                </c:pt>
                <c:pt idx="6">
                  <c:v>678</c:v>
                </c:pt>
                <c:pt idx="7">
                  <c:v>783</c:v>
                </c:pt>
                <c:pt idx="8">
                  <c:v>888</c:v>
                </c:pt>
                <c:pt idx="9">
                  <c:v>993</c:v>
                </c:pt>
                <c:pt idx="10">
                  <c:v>1098</c:v>
                </c:pt>
                <c:pt idx="11">
                  <c:v>1203</c:v>
                </c:pt>
                <c:pt idx="12">
                  <c:v>1308</c:v>
                </c:pt>
                <c:pt idx="13">
                  <c:v>1538</c:v>
                </c:pt>
                <c:pt idx="14">
                  <c:v>1768</c:v>
                </c:pt>
                <c:pt idx="15">
                  <c:v>1998</c:v>
                </c:pt>
                <c:pt idx="16">
                  <c:v>2228</c:v>
                </c:pt>
                <c:pt idx="17">
                  <c:v>2458</c:v>
                </c:pt>
                <c:pt idx="18">
                  <c:v>2688</c:v>
                </c:pt>
                <c:pt idx="19">
                  <c:v>2918</c:v>
                </c:pt>
                <c:pt idx="20">
                  <c:v>3148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363</c:v>
                </c:pt>
                <c:pt idx="4">
                  <c:v>468</c:v>
                </c:pt>
                <c:pt idx="5">
                  <c:v>573</c:v>
                </c:pt>
                <c:pt idx="6">
                  <c:v>678</c:v>
                </c:pt>
                <c:pt idx="7">
                  <c:v>783</c:v>
                </c:pt>
                <c:pt idx="8">
                  <c:v>888</c:v>
                </c:pt>
                <c:pt idx="9">
                  <c:v>993</c:v>
                </c:pt>
                <c:pt idx="10">
                  <c:v>1098</c:v>
                </c:pt>
                <c:pt idx="11">
                  <c:v>1203</c:v>
                </c:pt>
                <c:pt idx="12">
                  <c:v>1308</c:v>
                </c:pt>
                <c:pt idx="13">
                  <c:v>1543</c:v>
                </c:pt>
                <c:pt idx="14">
                  <c:v>1810.5</c:v>
                </c:pt>
                <c:pt idx="15">
                  <c:v>2078</c:v>
                </c:pt>
                <c:pt idx="16">
                  <c:v>2345.5</c:v>
                </c:pt>
                <c:pt idx="17">
                  <c:v>2613</c:v>
                </c:pt>
                <c:pt idx="18">
                  <c:v>2880.5</c:v>
                </c:pt>
                <c:pt idx="19">
                  <c:v>3148</c:v>
                </c:pt>
                <c:pt idx="20">
                  <c:v>3415.5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363</c:v>
                </c:pt>
                <c:pt idx="4">
                  <c:v>468</c:v>
                </c:pt>
                <c:pt idx="5">
                  <c:v>573</c:v>
                </c:pt>
                <c:pt idx="6">
                  <c:v>678</c:v>
                </c:pt>
                <c:pt idx="7">
                  <c:v>783</c:v>
                </c:pt>
                <c:pt idx="8">
                  <c:v>888</c:v>
                </c:pt>
                <c:pt idx="9">
                  <c:v>993</c:v>
                </c:pt>
                <c:pt idx="10">
                  <c:v>1098</c:v>
                </c:pt>
                <c:pt idx="11">
                  <c:v>1203</c:v>
                </c:pt>
                <c:pt idx="12">
                  <c:v>1308</c:v>
                </c:pt>
                <c:pt idx="13">
                  <c:v>1533</c:v>
                </c:pt>
                <c:pt idx="14">
                  <c:v>1837.9999999999998</c:v>
                </c:pt>
                <c:pt idx="15">
                  <c:v>2143</c:v>
                </c:pt>
                <c:pt idx="16">
                  <c:v>2448</c:v>
                </c:pt>
                <c:pt idx="17">
                  <c:v>2753</c:v>
                </c:pt>
                <c:pt idx="18">
                  <c:v>3058</c:v>
                </c:pt>
                <c:pt idx="19">
                  <c:v>3363</c:v>
                </c:pt>
                <c:pt idx="20">
                  <c:v>3668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Rebound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244.4</c:v>
                </c:pt>
                <c:pt idx="6">
                  <c:v>280.39999999999998</c:v>
                </c:pt>
                <c:pt idx="7">
                  <c:v>316.39999999999998</c:v>
                </c:pt>
                <c:pt idx="8">
                  <c:v>352.4</c:v>
                </c:pt>
                <c:pt idx="9">
                  <c:v>388.4</c:v>
                </c:pt>
                <c:pt idx="10">
                  <c:v>424.4</c:v>
                </c:pt>
                <c:pt idx="11">
                  <c:v>460.40000000000003</c:v>
                </c:pt>
                <c:pt idx="12">
                  <c:v>496.4</c:v>
                </c:pt>
                <c:pt idx="13">
                  <c:v>532.40000000000009</c:v>
                </c:pt>
                <c:pt idx="14">
                  <c:v>568.4</c:v>
                </c:pt>
                <c:pt idx="15">
                  <c:v>604.40000000000009</c:v>
                </c:pt>
                <c:pt idx="16">
                  <c:v>640.40000000000009</c:v>
                </c:pt>
                <c:pt idx="17">
                  <c:v>676.4</c:v>
                </c:pt>
                <c:pt idx="18">
                  <c:v>712.40000000000009</c:v>
                </c:pt>
                <c:pt idx="19">
                  <c:v>748.4</c:v>
                </c:pt>
                <c:pt idx="20">
                  <c:v>784.4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75</c:v>
                </c:pt>
                <c:pt idx="2">
                  <c:v>150</c:v>
                </c:pt>
                <c:pt idx="3">
                  <c:v>225</c:v>
                </c:pt>
                <c:pt idx="4">
                  <c:v>300</c:v>
                </c:pt>
                <c:pt idx="5">
                  <c:v>375</c:v>
                </c:pt>
                <c:pt idx="6">
                  <c:v>433.79999999999995</c:v>
                </c:pt>
                <c:pt idx="7">
                  <c:v>490.79999999999995</c:v>
                </c:pt>
                <c:pt idx="8">
                  <c:v>547.79999999999995</c:v>
                </c:pt>
                <c:pt idx="9">
                  <c:v>604.79999999999995</c:v>
                </c:pt>
                <c:pt idx="10">
                  <c:v>661.8</c:v>
                </c:pt>
                <c:pt idx="11">
                  <c:v>718.80000000000007</c:v>
                </c:pt>
                <c:pt idx="12">
                  <c:v>775.8</c:v>
                </c:pt>
                <c:pt idx="13">
                  <c:v>832.8</c:v>
                </c:pt>
                <c:pt idx="14">
                  <c:v>889.8</c:v>
                </c:pt>
                <c:pt idx="15">
                  <c:v>946.8</c:v>
                </c:pt>
                <c:pt idx="16">
                  <c:v>1003.8000000000001</c:v>
                </c:pt>
                <c:pt idx="17">
                  <c:v>1060.8</c:v>
                </c:pt>
                <c:pt idx="18">
                  <c:v>1117.8000000000002</c:v>
                </c:pt>
                <c:pt idx="19">
                  <c:v>1174.8</c:v>
                </c:pt>
                <c:pt idx="20">
                  <c:v>1231.8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591.99999999999989</c:v>
                </c:pt>
                <c:pt idx="7">
                  <c:v>671.99999999999989</c:v>
                </c:pt>
                <c:pt idx="8">
                  <c:v>752</c:v>
                </c:pt>
                <c:pt idx="9">
                  <c:v>832</c:v>
                </c:pt>
                <c:pt idx="10">
                  <c:v>912</c:v>
                </c:pt>
                <c:pt idx="11">
                  <c:v>992</c:v>
                </c:pt>
                <c:pt idx="12">
                  <c:v>1072</c:v>
                </c:pt>
                <c:pt idx="13">
                  <c:v>1152</c:v>
                </c:pt>
                <c:pt idx="14">
                  <c:v>1232</c:v>
                </c:pt>
                <c:pt idx="15">
                  <c:v>1312</c:v>
                </c:pt>
                <c:pt idx="16">
                  <c:v>1392</c:v>
                </c:pt>
                <c:pt idx="17">
                  <c:v>1472</c:v>
                </c:pt>
                <c:pt idx="18">
                  <c:v>1552</c:v>
                </c:pt>
                <c:pt idx="19">
                  <c:v>1632</c:v>
                </c:pt>
                <c:pt idx="20">
                  <c:v>1712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500</c:v>
                </c:pt>
                <c:pt idx="5">
                  <c:v>625</c:v>
                </c:pt>
                <c:pt idx="6">
                  <c:v>750</c:v>
                </c:pt>
                <c:pt idx="7">
                  <c:v>857</c:v>
                </c:pt>
                <c:pt idx="8">
                  <c:v>962</c:v>
                </c:pt>
                <c:pt idx="9">
                  <c:v>1067</c:v>
                </c:pt>
                <c:pt idx="10">
                  <c:v>1172</c:v>
                </c:pt>
                <c:pt idx="11">
                  <c:v>1277</c:v>
                </c:pt>
                <c:pt idx="12">
                  <c:v>1382</c:v>
                </c:pt>
                <c:pt idx="13">
                  <c:v>1487</c:v>
                </c:pt>
                <c:pt idx="14">
                  <c:v>1592</c:v>
                </c:pt>
                <c:pt idx="15">
                  <c:v>1697</c:v>
                </c:pt>
                <c:pt idx="16">
                  <c:v>1802</c:v>
                </c:pt>
                <c:pt idx="17">
                  <c:v>1907</c:v>
                </c:pt>
                <c:pt idx="18">
                  <c:v>2012</c:v>
                </c:pt>
                <c:pt idx="19">
                  <c:v>2117</c:v>
                </c:pt>
                <c:pt idx="20">
                  <c:v>2222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1042.8</c:v>
                </c:pt>
                <c:pt idx="8">
                  <c:v>1174.8</c:v>
                </c:pt>
                <c:pt idx="9">
                  <c:v>1306.8</c:v>
                </c:pt>
                <c:pt idx="10">
                  <c:v>1438.8</c:v>
                </c:pt>
                <c:pt idx="11">
                  <c:v>1570.8000000000002</c:v>
                </c:pt>
                <c:pt idx="12">
                  <c:v>1702.8</c:v>
                </c:pt>
                <c:pt idx="13">
                  <c:v>1834.8000000000002</c:v>
                </c:pt>
                <c:pt idx="14">
                  <c:v>1966.7999999999997</c:v>
                </c:pt>
                <c:pt idx="15">
                  <c:v>2098.8000000000002</c:v>
                </c:pt>
                <c:pt idx="16">
                  <c:v>2230.8000000000002</c:v>
                </c:pt>
                <c:pt idx="17">
                  <c:v>2362.8000000000002</c:v>
                </c:pt>
                <c:pt idx="18">
                  <c:v>2494.8000000000002</c:v>
                </c:pt>
                <c:pt idx="19">
                  <c:v>2626.7999999999997</c:v>
                </c:pt>
                <c:pt idx="20">
                  <c:v>2758.7999999999997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493.2</c:v>
                </c:pt>
                <c:pt idx="7">
                  <c:v>536.4</c:v>
                </c:pt>
                <c:pt idx="8">
                  <c:v>579.6</c:v>
                </c:pt>
                <c:pt idx="9">
                  <c:v>622.79999999999995</c:v>
                </c:pt>
                <c:pt idx="10">
                  <c:v>666</c:v>
                </c:pt>
                <c:pt idx="11">
                  <c:v>709.2</c:v>
                </c:pt>
                <c:pt idx="12">
                  <c:v>752.4</c:v>
                </c:pt>
                <c:pt idx="13">
                  <c:v>820.6</c:v>
                </c:pt>
                <c:pt idx="14">
                  <c:v>888.8</c:v>
                </c:pt>
                <c:pt idx="15">
                  <c:v>957</c:v>
                </c:pt>
                <c:pt idx="16">
                  <c:v>1025.2</c:v>
                </c:pt>
                <c:pt idx="17">
                  <c:v>1093.4000000000001</c:v>
                </c:pt>
                <c:pt idx="18">
                  <c:v>1161.6000000000001</c:v>
                </c:pt>
                <c:pt idx="19">
                  <c:v>1229.8</c:v>
                </c:pt>
                <c:pt idx="20">
                  <c:v>1298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780</c:v>
                </c:pt>
                <c:pt idx="8">
                  <c:v>840</c:v>
                </c:pt>
                <c:pt idx="9">
                  <c:v>900</c:v>
                </c:pt>
                <c:pt idx="10">
                  <c:v>960</c:v>
                </c:pt>
                <c:pt idx="11">
                  <c:v>1020</c:v>
                </c:pt>
                <c:pt idx="12">
                  <c:v>1080</c:v>
                </c:pt>
                <c:pt idx="13">
                  <c:v>1165</c:v>
                </c:pt>
                <c:pt idx="14">
                  <c:v>1250</c:v>
                </c:pt>
                <c:pt idx="15">
                  <c:v>1335</c:v>
                </c:pt>
                <c:pt idx="16">
                  <c:v>1420</c:v>
                </c:pt>
                <c:pt idx="17">
                  <c:v>1505</c:v>
                </c:pt>
                <c:pt idx="18">
                  <c:v>1590</c:v>
                </c:pt>
                <c:pt idx="19">
                  <c:v>1675</c:v>
                </c:pt>
                <c:pt idx="20">
                  <c:v>1760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1128</c:v>
                </c:pt>
                <c:pt idx="9">
                  <c:v>1206</c:v>
                </c:pt>
                <c:pt idx="10">
                  <c:v>1284</c:v>
                </c:pt>
                <c:pt idx="11">
                  <c:v>1362</c:v>
                </c:pt>
                <c:pt idx="12">
                  <c:v>1440</c:v>
                </c:pt>
                <c:pt idx="13">
                  <c:v>1543</c:v>
                </c:pt>
                <c:pt idx="14">
                  <c:v>1646</c:v>
                </c:pt>
                <c:pt idx="15">
                  <c:v>1749</c:v>
                </c:pt>
                <c:pt idx="16">
                  <c:v>1852</c:v>
                </c:pt>
                <c:pt idx="17">
                  <c:v>1955</c:v>
                </c:pt>
                <c:pt idx="18">
                  <c:v>2058</c:v>
                </c:pt>
                <c:pt idx="19">
                  <c:v>2161</c:v>
                </c:pt>
                <c:pt idx="20">
                  <c:v>2264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1440</c:v>
                </c:pt>
                <c:pt idx="9">
                  <c:v>1537.2</c:v>
                </c:pt>
                <c:pt idx="10">
                  <c:v>1634.4</c:v>
                </c:pt>
                <c:pt idx="11">
                  <c:v>1731.6000000000001</c:v>
                </c:pt>
                <c:pt idx="12">
                  <c:v>1828.8</c:v>
                </c:pt>
                <c:pt idx="13">
                  <c:v>1951</c:v>
                </c:pt>
                <c:pt idx="14">
                  <c:v>2073.1999999999998</c:v>
                </c:pt>
                <c:pt idx="15">
                  <c:v>2195.4</c:v>
                </c:pt>
                <c:pt idx="16">
                  <c:v>2317.6000000000004</c:v>
                </c:pt>
                <c:pt idx="17">
                  <c:v>2439.8000000000002</c:v>
                </c:pt>
                <c:pt idx="18">
                  <c:v>2562</c:v>
                </c:pt>
                <c:pt idx="19">
                  <c:v>2684.2</c:v>
                </c:pt>
                <c:pt idx="20">
                  <c:v>2806.4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1680</c:v>
                </c:pt>
                <c:pt idx="9">
                  <c:v>1890</c:v>
                </c:pt>
                <c:pt idx="10">
                  <c:v>2007.6</c:v>
                </c:pt>
                <c:pt idx="11">
                  <c:v>2125.2000000000003</c:v>
                </c:pt>
                <c:pt idx="12">
                  <c:v>2242.7999999999997</c:v>
                </c:pt>
                <c:pt idx="13">
                  <c:v>2385.4</c:v>
                </c:pt>
                <c:pt idx="14">
                  <c:v>2528</c:v>
                </c:pt>
                <c:pt idx="15">
                  <c:v>2670.6</c:v>
                </c:pt>
                <c:pt idx="16">
                  <c:v>2813.2</c:v>
                </c:pt>
                <c:pt idx="17">
                  <c:v>2955.8</c:v>
                </c:pt>
                <c:pt idx="18">
                  <c:v>3098.4</c:v>
                </c:pt>
                <c:pt idx="19">
                  <c:v>3241</c:v>
                </c:pt>
                <c:pt idx="20">
                  <c:v>3383.6000000000004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-75</c:v>
                </c:pt>
                <c:pt idx="2">
                  <c:v>-150</c:v>
                </c:pt>
                <c:pt idx="3">
                  <c:v>-225</c:v>
                </c:pt>
                <c:pt idx="4">
                  <c:v>-300</c:v>
                </c:pt>
                <c:pt idx="5">
                  <c:v>-337.5</c:v>
                </c:pt>
                <c:pt idx="6">
                  <c:v>-375</c:v>
                </c:pt>
                <c:pt idx="7">
                  <c:v>-412.5</c:v>
                </c:pt>
                <c:pt idx="8">
                  <c:v>-450</c:v>
                </c:pt>
                <c:pt idx="9">
                  <c:v>-487.5</c:v>
                </c:pt>
                <c:pt idx="10">
                  <c:v>-525</c:v>
                </c:pt>
                <c:pt idx="11">
                  <c:v>-562.5</c:v>
                </c:pt>
                <c:pt idx="12">
                  <c:v>-600</c:v>
                </c:pt>
                <c:pt idx="13">
                  <c:v>-637.5</c:v>
                </c:pt>
                <c:pt idx="14">
                  <c:v>-675</c:v>
                </c:pt>
                <c:pt idx="15">
                  <c:v>-712.5</c:v>
                </c:pt>
                <c:pt idx="16">
                  <c:v>-750</c:v>
                </c:pt>
                <c:pt idx="17">
                  <c:v>-787.5</c:v>
                </c:pt>
                <c:pt idx="18">
                  <c:v>-825</c:v>
                </c:pt>
                <c:pt idx="19">
                  <c:v>-862.5</c:v>
                </c:pt>
                <c:pt idx="20">
                  <c:v>-900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-477</c:v>
                </c:pt>
                <c:pt idx="6">
                  <c:v>-531</c:v>
                </c:pt>
                <c:pt idx="7">
                  <c:v>-585</c:v>
                </c:pt>
                <c:pt idx="8">
                  <c:v>-639</c:v>
                </c:pt>
                <c:pt idx="9">
                  <c:v>-693</c:v>
                </c:pt>
                <c:pt idx="10">
                  <c:v>-747</c:v>
                </c:pt>
                <c:pt idx="11">
                  <c:v>-801</c:v>
                </c:pt>
                <c:pt idx="12">
                  <c:v>-855</c:v>
                </c:pt>
                <c:pt idx="13">
                  <c:v>-909</c:v>
                </c:pt>
                <c:pt idx="14">
                  <c:v>-963</c:v>
                </c:pt>
                <c:pt idx="15">
                  <c:v>-1017</c:v>
                </c:pt>
                <c:pt idx="16">
                  <c:v>-1071</c:v>
                </c:pt>
                <c:pt idx="17">
                  <c:v>-1125</c:v>
                </c:pt>
                <c:pt idx="18">
                  <c:v>-1179</c:v>
                </c:pt>
                <c:pt idx="19">
                  <c:v>-1233</c:v>
                </c:pt>
                <c:pt idx="20">
                  <c:v>-1287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-125</c:v>
                </c:pt>
                <c:pt idx="2">
                  <c:v>-250</c:v>
                </c:pt>
                <c:pt idx="3">
                  <c:v>-375</c:v>
                </c:pt>
                <c:pt idx="4">
                  <c:v>-500</c:v>
                </c:pt>
                <c:pt idx="5">
                  <c:v>-625</c:v>
                </c:pt>
                <c:pt idx="6">
                  <c:v>-697.5</c:v>
                </c:pt>
                <c:pt idx="7">
                  <c:v>-770</c:v>
                </c:pt>
                <c:pt idx="8">
                  <c:v>-842.5</c:v>
                </c:pt>
                <c:pt idx="9">
                  <c:v>-915</c:v>
                </c:pt>
                <c:pt idx="10">
                  <c:v>-987.5</c:v>
                </c:pt>
                <c:pt idx="11">
                  <c:v>-1060</c:v>
                </c:pt>
                <c:pt idx="12">
                  <c:v>-1132.5</c:v>
                </c:pt>
                <c:pt idx="13">
                  <c:v>-1205</c:v>
                </c:pt>
                <c:pt idx="14">
                  <c:v>-1277.5</c:v>
                </c:pt>
                <c:pt idx="15">
                  <c:v>-1350</c:v>
                </c:pt>
                <c:pt idx="16">
                  <c:v>-1422.5</c:v>
                </c:pt>
                <c:pt idx="17">
                  <c:v>-1495</c:v>
                </c:pt>
                <c:pt idx="18">
                  <c:v>-1567.5</c:v>
                </c:pt>
                <c:pt idx="19">
                  <c:v>-1640</c:v>
                </c:pt>
                <c:pt idx="20">
                  <c:v>-1712.5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-150</c:v>
                </c:pt>
                <c:pt idx="2">
                  <c:v>-300</c:v>
                </c:pt>
                <c:pt idx="3">
                  <c:v>-450</c:v>
                </c:pt>
                <c:pt idx="4">
                  <c:v>-600</c:v>
                </c:pt>
                <c:pt idx="5">
                  <c:v>-750</c:v>
                </c:pt>
                <c:pt idx="6">
                  <c:v>-871.5</c:v>
                </c:pt>
                <c:pt idx="7">
                  <c:v>-964.5</c:v>
                </c:pt>
                <c:pt idx="8">
                  <c:v>-1057.5</c:v>
                </c:pt>
                <c:pt idx="9">
                  <c:v>-1150.5</c:v>
                </c:pt>
                <c:pt idx="10">
                  <c:v>-1243.5</c:v>
                </c:pt>
                <c:pt idx="11">
                  <c:v>-1336.5000000000002</c:v>
                </c:pt>
                <c:pt idx="12">
                  <c:v>-1429.5</c:v>
                </c:pt>
                <c:pt idx="13">
                  <c:v>-1522.5</c:v>
                </c:pt>
                <c:pt idx="14">
                  <c:v>-1615.5</c:v>
                </c:pt>
                <c:pt idx="15">
                  <c:v>-1708.5</c:v>
                </c:pt>
                <c:pt idx="16">
                  <c:v>-1801.5</c:v>
                </c:pt>
                <c:pt idx="17">
                  <c:v>-1894.5</c:v>
                </c:pt>
                <c:pt idx="18">
                  <c:v>-1987.5</c:v>
                </c:pt>
                <c:pt idx="19">
                  <c:v>-2080.5</c:v>
                </c:pt>
                <c:pt idx="20">
                  <c:v>-2173.5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-175</c:v>
                </c:pt>
                <c:pt idx="2">
                  <c:v>-350</c:v>
                </c:pt>
                <c:pt idx="3">
                  <c:v>-525</c:v>
                </c:pt>
                <c:pt idx="4">
                  <c:v>-700</c:v>
                </c:pt>
                <c:pt idx="5">
                  <c:v>-875</c:v>
                </c:pt>
                <c:pt idx="6">
                  <c:v>-1050</c:v>
                </c:pt>
                <c:pt idx="7">
                  <c:v>-1165.5</c:v>
                </c:pt>
                <c:pt idx="8">
                  <c:v>-1281</c:v>
                </c:pt>
                <c:pt idx="9">
                  <c:v>-1396.5</c:v>
                </c:pt>
                <c:pt idx="10">
                  <c:v>-1512</c:v>
                </c:pt>
                <c:pt idx="11">
                  <c:v>-1627.5</c:v>
                </c:pt>
                <c:pt idx="12">
                  <c:v>-1743</c:v>
                </c:pt>
                <c:pt idx="13">
                  <c:v>-1858.5</c:v>
                </c:pt>
                <c:pt idx="14">
                  <c:v>-1974</c:v>
                </c:pt>
                <c:pt idx="15">
                  <c:v>-2089.5</c:v>
                </c:pt>
                <c:pt idx="16">
                  <c:v>-2205</c:v>
                </c:pt>
                <c:pt idx="17">
                  <c:v>-2320.5</c:v>
                </c:pt>
                <c:pt idx="18">
                  <c:v>-2436</c:v>
                </c:pt>
                <c:pt idx="19">
                  <c:v>-2551.5</c:v>
                </c:pt>
                <c:pt idx="20">
                  <c:v>-2667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C4" sqref="C4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44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1" t="s">
        <v>45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46</v>
      </c>
      <c r="C6" s="9" t="s">
        <v>47</v>
      </c>
      <c r="D6" s="1"/>
      <c r="E6" s="1"/>
      <c r="F6" s="23" t="s">
        <v>48</v>
      </c>
      <c r="G6" s="23"/>
      <c r="H6" s="23"/>
      <c r="I6" s="23"/>
      <c r="J6" s="23"/>
      <c r="K6" s="1"/>
      <c r="L6" s="1"/>
      <c r="M6" s="1"/>
      <c r="N6" s="1"/>
      <c r="O6" s="1"/>
    </row>
    <row r="7" spans="1:15" ht="23" customHeight="1">
      <c r="A7" s="1"/>
      <c r="B7" s="1" t="s">
        <v>18</v>
      </c>
      <c r="C7" s="3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 t="s">
        <v>20</v>
      </c>
      <c r="C8" s="3">
        <v>-10</v>
      </c>
      <c r="D8" s="1"/>
      <c r="E8" s="1"/>
      <c r="F8" s="20" t="s">
        <v>49</v>
      </c>
      <c r="G8" s="20"/>
      <c r="H8" s="20"/>
      <c r="I8" s="24">
        <f>IF(C18="OK",Samples!F165*MIN(C10,Samples!G165)+Samples!I165*MAX(0,C10-Samples!G165)+Samples!J165*MAX(0,C10-Samples!K165),"检查输入")</f>
        <v>1308</v>
      </c>
      <c r="J8" s="24"/>
      <c r="K8" s="1"/>
      <c r="L8" s="1"/>
      <c r="M8" s="1"/>
      <c r="N8" s="1"/>
      <c r="O8" s="1"/>
    </row>
    <row r="9" spans="1:15" ht="23" customHeight="1">
      <c r="A9" s="1"/>
      <c r="B9" s="1" t="s">
        <v>50</v>
      </c>
      <c r="C9" s="3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3" customHeight="1">
      <c r="A10" s="1"/>
      <c r="B10" s="1" t="s">
        <v>51</v>
      </c>
      <c r="C10" s="16">
        <v>0.6</v>
      </c>
      <c r="D10" s="1"/>
      <c r="E10" s="1"/>
      <c r="F10" s="20" t="s">
        <v>52</v>
      </c>
      <c r="G10" s="20"/>
      <c r="H10" s="20"/>
      <c r="I10" s="24">
        <f>IF(C18="OK",Samples!M165*MIN(C10,Samples!N165)+Samples!P165*MAX(0,C10-Samples!N165),"检查输入")</f>
        <v>1072</v>
      </c>
      <c r="J10" s="24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 t="s">
        <v>53</v>
      </c>
      <c r="C13" s="1">
        <f>Parameters!D23</f>
        <v>24</v>
      </c>
      <c r="D13" s="1"/>
      <c r="E13" s="1"/>
      <c r="F13" s="23" t="s">
        <v>54</v>
      </c>
      <c r="G13" s="23"/>
      <c r="H13" s="23"/>
      <c r="I13" s="23"/>
      <c r="J13" s="23"/>
      <c r="K13" s="1"/>
      <c r="L13" s="1"/>
      <c r="M13" s="1"/>
      <c r="N13" s="1"/>
      <c r="O13" s="1"/>
    </row>
    <row r="14" spans="1:15" ht="23" customHeight="1">
      <c r="A14" s="1"/>
      <c r="B14" s="1" t="s">
        <v>55</v>
      </c>
      <c r="C14" s="1">
        <f>Parameters!D24</f>
        <v>20</v>
      </c>
      <c r="D14" s="1"/>
      <c r="E14" s="1"/>
      <c r="F14" s="20" t="s">
        <v>21</v>
      </c>
      <c r="G14" s="20"/>
      <c r="H14" s="20"/>
      <c r="I14" s="18">
        <f>Samples!F165</f>
        <v>2500</v>
      </c>
      <c r="J14" s="1" t="s">
        <v>22</v>
      </c>
      <c r="K14" s="1"/>
      <c r="L14" s="1"/>
      <c r="M14" s="1"/>
      <c r="N14" s="1"/>
      <c r="O14" s="1"/>
    </row>
    <row r="15" spans="1:15" ht="23" customHeight="1">
      <c r="A15" s="1"/>
      <c r="B15" s="1" t="s">
        <v>56</v>
      </c>
      <c r="C15" s="1">
        <f>IF(C6="WRC17",Parameters!D26,Parameters!D25)</f>
        <v>40</v>
      </c>
      <c r="D15" s="1"/>
      <c r="E15" s="1"/>
      <c r="F15" s="20" t="s">
        <v>57</v>
      </c>
      <c r="G15" s="20"/>
      <c r="H15" s="20"/>
      <c r="I15" s="18">
        <f>Samples!I165</f>
        <v>2100</v>
      </c>
      <c r="J15" s="1" t="s">
        <v>22</v>
      </c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20" t="s">
        <v>26</v>
      </c>
      <c r="G16" s="20"/>
      <c r="H16" s="20"/>
      <c r="I16" s="18">
        <f>Samples!J165</f>
        <v>2500</v>
      </c>
      <c r="J16" s="1" t="s">
        <v>22</v>
      </c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20" t="s">
        <v>58</v>
      </c>
      <c r="G17" s="20"/>
      <c r="H17" s="20"/>
      <c r="I17" s="18">
        <f>Samples!L165</f>
        <v>4600</v>
      </c>
      <c r="J17" s="1" t="s">
        <v>22</v>
      </c>
      <c r="K17" s="1"/>
      <c r="L17" s="1"/>
      <c r="M17" s="1"/>
      <c r="N17" s="1"/>
      <c r="O17" s="1"/>
    </row>
    <row r="18" spans="1:15" ht="23" customHeight="1">
      <c r="A18" s="1"/>
      <c r="B18" s="1" t="s">
        <v>59</v>
      </c>
      <c r="C18" s="1" t="str">
        <f>IF(AND(OR(C4="Type-A",C4="Type-B"),OR(C6="Rally2",C6="WRC17",C6="Rally1"),COUNT(C7:C10)=4,C7&gt;=-C13,C7&lt;=0,C8&gt;=-C14,C8&lt;=0,C9&gt;=-C15,C9&lt;=0,C10&gt;=0,INT(C7)=C7,INT(C8)=C8,INT(C9)=C9),"OK","检查输入")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20" t="s">
        <v>28</v>
      </c>
      <c r="G19" s="20"/>
      <c r="H19" s="20"/>
      <c r="I19" s="18">
        <f>Samples!M165</f>
        <v>2000</v>
      </c>
      <c r="J19" s="1" t="s">
        <v>22</v>
      </c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20" t="s">
        <v>60</v>
      </c>
      <c r="G20" s="20"/>
      <c r="H20" s="20"/>
      <c r="I20" s="18">
        <f>Samples!P165</f>
        <v>1600</v>
      </c>
      <c r="J20" s="1" t="s">
        <v>22</v>
      </c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20" t="s">
        <v>82</v>
      </c>
      <c r="G22" s="20"/>
      <c r="H22" s="20"/>
      <c r="I22" s="5">
        <f>Samples!G165</f>
        <v>0.12</v>
      </c>
      <c r="J22" s="1" t="s">
        <v>23</v>
      </c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20" t="s">
        <v>83</v>
      </c>
      <c r="G23" s="20"/>
      <c r="H23" s="20"/>
      <c r="I23" s="5">
        <f>Samples!K165</f>
        <v>0.6</v>
      </c>
      <c r="J23" s="1" t="s">
        <v>23</v>
      </c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20" t="s">
        <v>29</v>
      </c>
      <c r="G24" s="20"/>
      <c r="H24" s="20"/>
      <c r="I24" s="5">
        <f>Samples!N165</f>
        <v>0.28000000000000003</v>
      </c>
      <c r="J24" s="1" t="s">
        <v>23</v>
      </c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22" t="s">
        <v>61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13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"Rally2,WRC17,Rally1"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76" zoomScaleNormal="109" workbookViewId="0">
      <pane ySplit="4" topLeftCell="A13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0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81</v>
      </c>
      <c r="D4" s="1"/>
      <c r="E4" s="21" t="s">
        <v>3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</v>
      </c>
      <c r="C6" s="3">
        <v>-10</v>
      </c>
      <c r="D6" s="1"/>
      <c r="E6" s="20" t="s">
        <v>5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72" zoomScaleNormal="79" workbookViewId="0">
      <pane ySplit="4" topLeftCell="A10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86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1" t="s">
        <v>3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7</v>
      </c>
      <c r="C6" s="3">
        <v>-12</v>
      </c>
      <c r="D6" s="1"/>
      <c r="E6" s="20" t="s">
        <v>8</v>
      </c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82" workbookViewId="0">
      <pane ySplit="4" topLeftCell="A21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1" t="s">
        <v>3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10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topLeftCell="B1" zoomScale="73" workbookViewId="0">
      <pane ySplit="4" topLeftCell="A6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11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81</v>
      </c>
      <c r="D4" s="1"/>
      <c r="E4" s="21" t="s">
        <v>3</v>
      </c>
      <c r="F4" s="21"/>
      <c r="G4" s="21"/>
      <c r="H4" s="21"/>
      <c r="I4" s="21"/>
      <c r="J4" s="21"/>
      <c r="K4" s="21"/>
      <c r="L4" s="21"/>
      <c r="M4" s="21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0" t="s">
        <v>12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2" t="s">
        <v>6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tabSelected="1" workbookViewId="0">
      <pane ySplit="4" topLeftCell="A5" activePane="bottomLeft" state="frozen"/>
      <selection pane="bottomLeft" activeCell="N12" sqref="N12"/>
    </sheetView>
  </sheetViews>
  <sheetFormatPr defaultRowHeight="14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19" t="s">
        <v>13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1"/>
    </row>
    <row r="3" spans="1:15" ht="23" customHeight="1">
      <c r="A3" s="1"/>
      <c r="B3" s="21" t="s">
        <v>14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"/>
    </row>
    <row r="4" spans="1:1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23" t="s">
        <v>2</v>
      </c>
      <c r="E5" s="23"/>
      <c r="F5" s="23"/>
      <c r="G5" s="23"/>
      <c r="H5" s="23"/>
      <c r="I5" s="1"/>
      <c r="J5" s="23" t="s">
        <v>15</v>
      </c>
      <c r="K5" s="23"/>
      <c r="L5" s="23"/>
      <c r="M5" s="23"/>
      <c r="N5" s="23"/>
      <c r="O5" s="1"/>
    </row>
    <row r="6" spans="1:15" ht="23" customHeight="1">
      <c r="A6" s="1"/>
      <c r="B6" s="1" t="s">
        <v>16</v>
      </c>
      <c r="C6" s="1" t="s">
        <v>17</v>
      </c>
      <c r="D6" s="2">
        <v>0</v>
      </c>
      <c r="E6" s="2">
        <v>0.25</v>
      </c>
      <c r="F6" s="2">
        <v>0.5</v>
      </c>
      <c r="G6" s="2">
        <v>0.75</v>
      </c>
      <c r="H6" s="2">
        <v>1</v>
      </c>
      <c r="I6" s="2"/>
      <c r="J6" s="2">
        <f>D6</f>
        <v>0</v>
      </c>
      <c r="K6" s="2">
        <f>E6</f>
        <v>0.25</v>
      </c>
      <c r="L6" s="2">
        <f>F6</f>
        <v>0.5</v>
      </c>
      <c r="M6" s="2">
        <f>G6</f>
        <v>0.75</v>
      </c>
      <c r="N6" s="2">
        <f>H6</f>
        <v>1</v>
      </c>
      <c r="O6" s="1"/>
    </row>
    <row r="7" spans="1:15" ht="23" customHeight="1">
      <c r="A7" s="1"/>
      <c r="B7" s="1" t="s">
        <v>18</v>
      </c>
      <c r="C7" s="1" t="s">
        <v>19</v>
      </c>
      <c r="D7" s="1">
        <f>(D$6-1)*$D$23</f>
        <v>-24</v>
      </c>
      <c r="E7" s="1">
        <f>(E$6-1)*$D$23</f>
        <v>-18</v>
      </c>
      <c r="F7" s="1">
        <f>(F$6-1)*$D$23</f>
        <v>-12</v>
      </c>
      <c r="G7" s="1">
        <f>(G$6-1)*$D$23</f>
        <v>-6</v>
      </c>
      <c r="H7" s="1">
        <f>(H$6-1)*$D$23</f>
        <v>0</v>
      </c>
      <c r="I7" s="1"/>
      <c r="J7" s="1">
        <f>(J$6-1)*$D$23</f>
        <v>-24</v>
      </c>
      <c r="K7" s="1">
        <f>(K$6-1)*$D$23</f>
        <v>-18</v>
      </c>
      <c r="L7" s="1">
        <f>(L$6-1)*$D$23</f>
        <v>-12</v>
      </c>
      <c r="M7" s="1">
        <f>(M$6-1)*$D$23</f>
        <v>-6</v>
      </c>
      <c r="N7" s="1">
        <f>(N$6-1)*$D$23</f>
        <v>0</v>
      </c>
      <c r="O7" s="1"/>
    </row>
    <row r="8" spans="1:15" ht="23" customHeight="1">
      <c r="A8" s="1"/>
      <c r="B8" s="1" t="s">
        <v>20</v>
      </c>
      <c r="C8" s="1" t="s">
        <v>19</v>
      </c>
      <c r="D8" s="1">
        <f>(D$6-1)*$D$24</f>
        <v>-20</v>
      </c>
      <c r="E8" s="1">
        <f>(E$6-1)*$D$24</f>
        <v>-15</v>
      </c>
      <c r="F8" s="1">
        <f>(F$6-1)*$D$24</f>
        <v>-10</v>
      </c>
      <c r="G8" s="1">
        <f>(G$6-1)*$D$24</f>
        <v>-5</v>
      </c>
      <c r="H8" s="1">
        <f>(H$6-1)*$D$24</f>
        <v>0</v>
      </c>
      <c r="I8" s="1"/>
      <c r="J8" s="1">
        <f>(J$6-1)*$D$24</f>
        <v>-20</v>
      </c>
      <c r="K8" s="1">
        <f>(K$6-1)*$D$24</f>
        <v>-15</v>
      </c>
      <c r="L8" s="1">
        <f>(L$6-1)*$D$24</f>
        <v>-10</v>
      </c>
      <c r="M8" s="1">
        <f>(M$6-1)*$D$24</f>
        <v>-5</v>
      </c>
      <c r="N8" s="1">
        <f>(N$6-1)*$D$24</f>
        <v>0</v>
      </c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 t="s">
        <v>21</v>
      </c>
      <c r="C10" s="1" t="s">
        <v>22</v>
      </c>
      <c r="D10" s="3">
        <v>1000</v>
      </c>
      <c r="E10" s="6">
        <f>(D10+F10)/2</f>
        <v>1750</v>
      </c>
      <c r="F10" s="3">
        <v>2500</v>
      </c>
      <c r="G10" s="6">
        <f>(F10+H10)/2</f>
        <v>3250</v>
      </c>
      <c r="H10" s="3">
        <v>4000</v>
      </c>
      <c r="I10" s="1"/>
      <c r="J10" s="3">
        <v>1800</v>
      </c>
      <c r="K10" s="6">
        <f>(J10+L10)/2</f>
        <v>2400</v>
      </c>
      <c r="L10" s="3">
        <v>3000</v>
      </c>
      <c r="M10" s="6">
        <f>(L10+N10)/2</f>
        <v>3600</v>
      </c>
      <c r="N10" s="3">
        <v>4200</v>
      </c>
      <c r="O10" s="1"/>
    </row>
    <row r="11" spans="1:15" ht="23" customHeight="1">
      <c r="A11" s="1"/>
      <c r="B11" s="1" t="s">
        <v>82</v>
      </c>
      <c r="C11" s="1" t="s">
        <v>23</v>
      </c>
      <c r="D11" s="4">
        <v>0.12</v>
      </c>
      <c r="E11" s="5">
        <f>(D11+F11)/2</f>
        <v>0.12</v>
      </c>
      <c r="F11" s="4">
        <v>0.12</v>
      </c>
      <c r="G11" s="5">
        <f>(F11+H11)/2</f>
        <v>0.12</v>
      </c>
      <c r="H11" s="4">
        <v>0.12</v>
      </c>
      <c r="I11" s="1"/>
      <c r="J11" s="4">
        <v>0.25</v>
      </c>
      <c r="K11" s="5">
        <f>(J11+L11)/2</f>
        <v>0.3</v>
      </c>
      <c r="L11" s="4">
        <v>0.35</v>
      </c>
      <c r="M11" s="5">
        <f>(L11+N11)/2</f>
        <v>0.4</v>
      </c>
      <c r="N11" s="4">
        <v>0.45</v>
      </c>
      <c r="O11" s="1"/>
    </row>
    <row r="12" spans="1:15" ht="23" customHeight="1">
      <c r="A12" s="1"/>
      <c r="B12" s="1" t="s">
        <v>24</v>
      </c>
      <c r="C12" s="1" t="s">
        <v>25</v>
      </c>
      <c r="D12" s="4">
        <v>0.82</v>
      </c>
      <c r="E12" s="5">
        <f>(D12+F12)/2</f>
        <v>0.83</v>
      </c>
      <c r="F12" s="4">
        <v>0.84</v>
      </c>
      <c r="G12" s="5">
        <f>(F12+H12)/2</f>
        <v>0.85</v>
      </c>
      <c r="H12" s="4">
        <v>0.86</v>
      </c>
      <c r="I12" s="1"/>
      <c r="J12" s="4">
        <v>0.48</v>
      </c>
      <c r="K12" s="5">
        <f>(J12+L12)/2</f>
        <v>0.5</v>
      </c>
      <c r="L12" s="4">
        <v>0.52</v>
      </c>
      <c r="M12" s="5">
        <f>(L12+N12)/2</f>
        <v>0.54</v>
      </c>
      <c r="N12" s="4">
        <v>0.56000000000000005</v>
      </c>
      <c r="O12" s="1"/>
    </row>
    <row r="13" spans="1:15" ht="23" customHeight="1">
      <c r="A13" s="1"/>
      <c r="B13" s="1" t="s">
        <v>26</v>
      </c>
      <c r="C13" s="1" t="s">
        <v>22</v>
      </c>
      <c r="D13" s="3">
        <v>1000</v>
      </c>
      <c r="E13" s="6">
        <f>(D13+F13)/2</f>
        <v>1750</v>
      </c>
      <c r="F13" s="3">
        <v>2500</v>
      </c>
      <c r="G13" s="6">
        <f>(F13+H13)/2</f>
        <v>3250</v>
      </c>
      <c r="H13" s="3">
        <v>4000</v>
      </c>
      <c r="I13" s="1"/>
      <c r="J13" s="3">
        <v>500</v>
      </c>
      <c r="K13" s="6">
        <f>(J13+L13)/2</f>
        <v>500</v>
      </c>
      <c r="L13" s="3">
        <v>500</v>
      </c>
      <c r="M13" s="6">
        <f>(L13+N13)/2</f>
        <v>500</v>
      </c>
      <c r="N13" s="3">
        <v>500</v>
      </c>
      <c r="O13" s="1"/>
    </row>
    <row r="14" spans="1:15" ht="23" customHeight="1">
      <c r="A14" s="1"/>
      <c r="B14" s="1" t="s">
        <v>83</v>
      </c>
      <c r="C14" s="1" t="s">
        <v>23</v>
      </c>
      <c r="D14" s="4">
        <v>0.57999999999999996</v>
      </c>
      <c r="E14" s="4">
        <v>0.59</v>
      </c>
      <c r="F14" s="4">
        <v>0.6</v>
      </c>
      <c r="G14" s="4">
        <v>0.61</v>
      </c>
      <c r="H14" s="4">
        <v>0.62</v>
      </c>
      <c r="I14" s="1"/>
      <c r="J14" s="4">
        <f>$L$14</f>
        <v>0.6</v>
      </c>
      <c r="K14" s="4">
        <f>$L$14</f>
        <v>0.6</v>
      </c>
      <c r="L14" s="4">
        <v>0.6</v>
      </c>
      <c r="M14" s="4">
        <f>$L$14</f>
        <v>0.6</v>
      </c>
      <c r="N14" s="4">
        <f>$L$14</f>
        <v>0.6</v>
      </c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 t="s">
        <v>27</v>
      </c>
      <c r="C16" s="1" t="s">
        <v>19</v>
      </c>
      <c r="D16" s="1">
        <f>(D$6-1)*$D$25</f>
        <v>-40</v>
      </c>
      <c r="E16" s="1">
        <f>(E$6-1)*$D$25</f>
        <v>-30</v>
      </c>
      <c r="F16" s="1">
        <f>(F$6-1)*$D$25</f>
        <v>-20</v>
      </c>
      <c r="G16" s="1">
        <f>(G$6-1)*$D$25</f>
        <v>-10</v>
      </c>
      <c r="H16" s="1">
        <f>(H$6-1)*$D$25</f>
        <v>0</v>
      </c>
      <c r="I16" s="1"/>
      <c r="J16" s="1">
        <f>(J$6-1)*$D$25</f>
        <v>-40</v>
      </c>
      <c r="K16" s="1">
        <f>(K$6-1)*$D$25</f>
        <v>-30</v>
      </c>
      <c r="L16" s="1">
        <f>(L$6-1)*$D$25</f>
        <v>-20</v>
      </c>
      <c r="M16" s="1">
        <f>(M$6-1)*$D$25</f>
        <v>-10</v>
      </c>
      <c r="N16" s="1">
        <f>(N$6-1)*$D$25</f>
        <v>0</v>
      </c>
      <c r="O16" s="1"/>
    </row>
    <row r="17" spans="1:15" ht="23" customHeight="1">
      <c r="A17" s="1"/>
      <c r="B17" s="1" t="s">
        <v>28</v>
      </c>
      <c r="C17" s="1" t="s">
        <v>22</v>
      </c>
      <c r="D17" s="3">
        <v>1000</v>
      </c>
      <c r="E17" s="6">
        <f>(D17+F17)/2</f>
        <v>1500</v>
      </c>
      <c r="F17" s="3">
        <v>2000</v>
      </c>
      <c r="G17" s="6">
        <f>(F17+H17)/2</f>
        <v>2500</v>
      </c>
      <c r="H17" s="3">
        <v>3000</v>
      </c>
      <c r="I17" s="1"/>
      <c r="J17" s="3">
        <v>1500</v>
      </c>
      <c r="K17" s="6">
        <f>(J17+L17)/2</f>
        <v>2000</v>
      </c>
      <c r="L17" s="3">
        <v>2500</v>
      </c>
      <c r="M17" s="6">
        <f>(L17+N17)/2</f>
        <v>3000</v>
      </c>
      <c r="N17" s="3">
        <v>3500</v>
      </c>
      <c r="O17" s="1"/>
    </row>
    <row r="18" spans="1:15" ht="23" customHeight="1">
      <c r="A18" s="1"/>
      <c r="B18" s="1" t="s">
        <v>29</v>
      </c>
      <c r="C18" s="1" t="s">
        <v>23</v>
      </c>
      <c r="D18" s="4">
        <v>0.23</v>
      </c>
      <c r="E18" s="5">
        <f>(D18+F18)/2</f>
        <v>0.255</v>
      </c>
      <c r="F18" s="4">
        <v>0.28000000000000003</v>
      </c>
      <c r="G18" s="5">
        <f>(F18+H18)/2</f>
        <v>0.30500000000000005</v>
      </c>
      <c r="H18" s="4">
        <v>0.33</v>
      </c>
      <c r="I18" s="1"/>
      <c r="J18" s="4">
        <v>0.2</v>
      </c>
      <c r="K18" s="5">
        <f>(J18+L18)/2</f>
        <v>0.22500000000000001</v>
      </c>
      <c r="L18" s="4">
        <v>0.25</v>
      </c>
      <c r="M18" s="5">
        <f>(L18+N18)/2</f>
        <v>0.27500000000000002</v>
      </c>
      <c r="N18" s="4">
        <v>0.3</v>
      </c>
      <c r="O18" s="1"/>
    </row>
    <row r="19" spans="1:15" ht="23" customHeight="1">
      <c r="A19" s="1"/>
      <c r="B19" s="1" t="s">
        <v>30</v>
      </c>
      <c r="C19" s="1" t="s">
        <v>25</v>
      </c>
      <c r="D19" s="4">
        <v>0.72</v>
      </c>
      <c r="E19" s="5">
        <f>(D19+F19)/2</f>
        <v>0.76</v>
      </c>
      <c r="F19" s="4">
        <v>0.8</v>
      </c>
      <c r="G19" s="5">
        <f>(F19+H19)/2</f>
        <v>0.84000000000000008</v>
      </c>
      <c r="H19" s="4">
        <v>0.88</v>
      </c>
      <c r="I19" s="1"/>
      <c r="J19" s="4">
        <v>0.5</v>
      </c>
      <c r="K19" s="5">
        <f>(J19+L19)/2</f>
        <v>0.54</v>
      </c>
      <c r="L19" s="4">
        <v>0.57999999999999996</v>
      </c>
      <c r="M19" s="5">
        <f>(L19+N19)/2</f>
        <v>0.62</v>
      </c>
      <c r="N19" s="4">
        <v>0.66</v>
      </c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23" t="s">
        <v>31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1"/>
    </row>
    <row r="23" spans="1:15" ht="23" customHeight="1">
      <c r="A23" s="1"/>
      <c r="B23" s="20" t="s">
        <v>32</v>
      </c>
      <c r="C23" s="20"/>
      <c r="D23" s="1">
        <v>24</v>
      </c>
      <c r="E23" s="1"/>
      <c r="F23" s="25" t="s">
        <v>33</v>
      </c>
      <c r="G23" s="25"/>
      <c r="H23" s="25"/>
      <c r="I23" s="25"/>
      <c r="J23" s="25"/>
      <c r="K23" s="25"/>
      <c r="L23" s="25"/>
      <c r="M23" s="25"/>
      <c r="N23" s="25"/>
      <c r="O23" s="1"/>
    </row>
    <row r="24" spans="1:15" ht="23" customHeight="1">
      <c r="A24" s="1"/>
      <c r="B24" s="20" t="s">
        <v>34</v>
      </c>
      <c r="C24" s="20"/>
      <c r="D24" s="1">
        <v>20</v>
      </c>
      <c r="E24" s="1"/>
      <c r="F24" s="25"/>
      <c r="G24" s="25"/>
      <c r="H24" s="25"/>
      <c r="I24" s="25"/>
      <c r="J24" s="25"/>
      <c r="K24" s="25"/>
      <c r="L24" s="25"/>
      <c r="M24" s="25"/>
      <c r="N24" s="25"/>
      <c r="O24" s="1"/>
    </row>
    <row r="25" spans="1:15" ht="23" customHeight="1">
      <c r="A25" s="1"/>
      <c r="B25" s="20" t="s">
        <v>35</v>
      </c>
      <c r="C25" s="20"/>
      <c r="D25" s="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20" t="s">
        <v>36</v>
      </c>
      <c r="C26" s="20"/>
      <c r="D26" s="1">
        <v>60</v>
      </c>
      <c r="E26" s="1"/>
      <c r="F26" s="20" t="s">
        <v>37</v>
      </c>
      <c r="G26" s="20"/>
      <c r="H26" s="20"/>
      <c r="I26" s="20"/>
      <c r="J26" s="20"/>
      <c r="K26" s="20"/>
      <c r="L26" s="20"/>
      <c r="M26" s="20"/>
      <c r="N26" s="20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23" t="s">
        <v>38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1"/>
    </row>
    <row r="29" spans="1:15" ht="23" customHeight="1">
      <c r="A29" s="1"/>
      <c r="B29" s="26" t="s">
        <v>39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1"/>
    </row>
    <row r="30" spans="1:15" ht="31" customHeight="1">
      <c r="A30" s="1"/>
      <c r="B30" s="27" t="s">
        <v>84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1"/>
    </row>
    <row r="31" spans="1:15" ht="23" customHeight="1">
      <c r="A31" s="1"/>
      <c r="B31" s="26" t="s">
        <v>40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1"/>
    </row>
    <row r="32" spans="1:15" ht="23" customHeight="1">
      <c r="A32" s="1"/>
      <c r="B32" s="26" t="s">
        <v>41</v>
      </c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1"/>
    </row>
    <row r="33" spans="1:15" ht="23" customHeight="1">
      <c r="A33" s="1"/>
      <c r="B33" s="26" t="s">
        <v>42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1"/>
    </row>
    <row r="34" spans="1:15" ht="23" customHeight="1">
      <c r="A34" s="1"/>
      <c r="B34" s="26" t="s">
        <v>85</v>
      </c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1"/>
    </row>
    <row r="35" spans="1:15" ht="23" customHeight="1">
      <c r="A35" s="1"/>
      <c r="B35" s="26" t="s">
        <v>43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33:N33"/>
    <mergeCell ref="B34:N34"/>
    <mergeCell ref="B35:N35"/>
    <mergeCell ref="B28:N28"/>
    <mergeCell ref="B29:N29"/>
    <mergeCell ref="B30:N30"/>
    <mergeCell ref="B31:N31"/>
    <mergeCell ref="B32:N32"/>
    <mergeCell ref="B23:C23"/>
    <mergeCell ref="B24:C24"/>
    <mergeCell ref="B25:C25"/>
    <mergeCell ref="B26:C26"/>
    <mergeCell ref="F23:N24"/>
    <mergeCell ref="F26:N26"/>
    <mergeCell ref="B2:N2"/>
    <mergeCell ref="B3:N3"/>
    <mergeCell ref="D5:H5"/>
    <mergeCell ref="J5:N5"/>
    <mergeCell ref="B22:N22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28" customWidth="1"/>
    <col min="3" max="22" width="13" customWidth="1"/>
  </cols>
  <sheetData>
    <row r="1" spans="1:22" ht="22" customHeight="1">
      <c r="A1" s="1"/>
      <c r="B1" s="28" t="s">
        <v>62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2" customHeight="1">
      <c r="A2" s="1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35" customHeight="1">
      <c r="A4" s="1"/>
      <c r="B4" s="12" t="s">
        <v>63</v>
      </c>
      <c r="C4" s="12" t="s">
        <v>64</v>
      </c>
      <c r="D4" s="12" t="s">
        <v>65</v>
      </c>
      <c r="E4" s="12" t="s">
        <v>66</v>
      </c>
      <c r="F4" s="12" t="s">
        <v>21</v>
      </c>
      <c r="G4" s="12" t="s">
        <v>82</v>
      </c>
      <c r="H4" s="12" t="s">
        <v>67</v>
      </c>
      <c r="I4" s="12" t="s">
        <v>57</v>
      </c>
      <c r="J4" s="12" t="s">
        <v>68</v>
      </c>
      <c r="K4" s="12" t="s">
        <v>83</v>
      </c>
      <c r="L4" s="12" t="s">
        <v>69</v>
      </c>
      <c r="M4" s="12" t="s">
        <v>28</v>
      </c>
      <c r="N4" s="12" t="s">
        <v>29</v>
      </c>
      <c r="O4" s="12" t="s">
        <v>70</v>
      </c>
      <c r="P4" s="13" t="s">
        <v>60</v>
      </c>
      <c r="Q4" s="13" t="s">
        <v>71</v>
      </c>
      <c r="R4" s="13" t="s">
        <v>72</v>
      </c>
      <c r="S4" s="13" t="s">
        <v>73</v>
      </c>
      <c r="T4" s="13" t="s">
        <v>74</v>
      </c>
      <c r="U4" s="13" t="s">
        <v>75</v>
      </c>
      <c r="V4" s="13" t="s">
        <v>76</v>
      </c>
    </row>
    <row r="5" spans="1:22" ht="22" customHeight="1">
      <c r="A5" s="1"/>
      <c r="B5" s="7" t="str">
        <f>"c "&amp;C5</f>
        <v>c -24</v>
      </c>
      <c r="C5" s="7">
        <f>Parameters!D7</f>
        <v>-24</v>
      </c>
      <c r="D5" s="7">
        <f>'LSC Sweep'!$C$6</f>
        <v>-10</v>
      </c>
      <c r="E5" s="7">
        <f>Parameters!D16</f>
        <v>-40</v>
      </c>
      <c r="F5" s="7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7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0.35</v>
      </c>
      <c r="H5" s="7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0.48</v>
      </c>
      <c r="I5" s="7">
        <f>F5*H5</f>
        <v>864</v>
      </c>
      <c r="J5" s="7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500</v>
      </c>
      <c r="K5" s="7">
        <f>IF('LSC Sweep'!$C$4="Type-B",Parameters!$L$14,INDEX(Parameters!$D$14:$H$14,1,R5)+(INDEX(Parameters!$D$14:$H$14,1,R5+1)-INDEX(Parameters!$D$14:$H$14,1,R5))*U5)</f>
        <v>0.6</v>
      </c>
      <c r="L5" s="7">
        <f>I5+J5</f>
        <v>1364</v>
      </c>
      <c r="M5" s="7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1500</v>
      </c>
      <c r="N5" s="7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</v>
      </c>
      <c r="O5" s="7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0.5</v>
      </c>
      <c r="P5" s="8">
        <f>M5*O5</f>
        <v>750</v>
      </c>
      <c r="Q5" s="8">
        <f>MIN(4,MAX(1,INT((1+C5/Parameters!$D$23)*4)+1))</f>
        <v>1</v>
      </c>
      <c r="R5" s="8">
        <f>MIN(4,MAX(1,INT((1+D5/Parameters!$D$24)*4)+1))</f>
        <v>3</v>
      </c>
      <c r="S5" s="8">
        <f>MIN(4,MAX(1,INT((1+E5/Parameters!$D$25)*4)+1))</f>
        <v>1</v>
      </c>
      <c r="T5" s="8">
        <f>MAX(0,MIN(1,(1+C5/Parameters!$D$23)*4-(Q5-1)))</f>
        <v>0</v>
      </c>
      <c r="U5" s="8">
        <f>MAX(0,MIN(1,(1+D5/Parameters!$D$24)*4-(R5-1)))</f>
        <v>0</v>
      </c>
      <c r="V5" s="8">
        <f>MAX(0,MIN(1,(1+E5/Parameters!$D$25)*4-(S5-1)))</f>
        <v>0</v>
      </c>
    </row>
    <row r="6" spans="1:22" ht="22" customHeight="1">
      <c r="A6" s="1"/>
      <c r="B6" s="7" t="str">
        <f>"c "&amp;C6</f>
        <v>c -18</v>
      </c>
      <c r="C6" s="7">
        <f>Parameters!E7</f>
        <v>-18</v>
      </c>
      <c r="D6" s="7">
        <f>'LSC Sweep'!$C$6</f>
        <v>-10</v>
      </c>
      <c r="E6" s="7">
        <f>Parameters!E16</f>
        <v>-30</v>
      </c>
      <c r="F6" s="7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7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0.35</v>
      </c>
      <c r="H6" s="7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0.5</v>
      </c>
      <c r="I6" s="7">
        <f>F6*H6</f>
        <v>1200</v>
      </c>
      <c r="J6" s="7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500</v>
      </c>
      <c r="K6" s="7">
        <f>IF('LSC Sweep'!$C$4="Type-B",Parameters!$L$14,INDEX(Parameters!$D$14:$H$14,1,R6)+(INDEX(Parameters!$D$14:$H$14,1,R6+1)-INDEX(Parameters!$D$14:$H$14,1,R6))*U6)</f>
        <v>0.6</v>
      </c>
      <c r="L6" s="7">
        <f>I6+J6</f>
        <v>1700</v>
      </c>
      <c r="M6" s="7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2000</v>
      </c>
      <c r="N6" s="7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0.22500000000000001</v>
      </c>
      <c r="O6" s="7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0.54</v>
      </c>
      <c r="P6" s="8">
        <f>M6*O6</f>
        <v>1080</v>
      </c>
      <c r="Q6" s="8">
        <f>MIN(4,MAX(1,INT((1+C6/Parameters!$D$23)*4)+1))</f>
        <v>2</v>
      </c>
      <c r="R6" s="8">
        <f>MIN(4,MAX(1,INT((1+D6/Parameters!$D$24)*4)+1))</f>
        <v>3</v>
      </c>
      <c r="S6" s="8">
        <f>MIN(4,MAX(1,INT((1+E6/Parameters!$D$25)*4)+1))</f>
        <v>2</v>
      </c>
      <c r="T6" s="8">
        <f>MAX(0,MIN(1,(1+C6/Parameters!$D$23)*4-(Q6-1)))</f>
        <v>0</v>
      </c>
      <c r="U6" s="8">
        <f>MAX(0,MIN(1,(1+D6/Parameters!$D$24)*4-(R6-1)))</f>
        <v>0</v>
      </c>
      <c r="V6" s="8">
        <f>MAX(0,MIN(1,(1+E6/Parameters!$D$25)*4-(S6-1)))</f>
        <v>0</v>
      </c>
    </row>
    <row r="7" spans="1:22" ht="22" customHeight="1">
      <c r="A7" s="1"/>
      <c r="B7" s="7" t="str">
        <f>"c "&amp;C7</f>
        <v>c -12</v>
      </c>
      <c r="C7" s="7">
        <f>Parameters!F7</f>
        <v>-12</v>
      </c>
      <c r="D7" s="7">
        <f>'LSC Sweep'!$C$6</f>
        <v>-10</v>
      </c>
      <c r="E7" s="7">
        <f>Parameters!F16</f>
        <v>-20</v>
      </c>
      <c r="F7" s="7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7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0.35</v>
      </c>
      <c r="H7" s="7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0.52</v>
      </c>
      <c r="I7" s="7">
        <f>F7*H7</f>
        <v>1560</v>
      </c>
      <c r="J7" s="7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500</v>
      </c>
      <c r="K7" s="7">
        <f>IF('LSC Sweep'!$C$4="Type-B",Parameters!$L$14,INDEX(Parameters!$D$14:$H$14,1,R7)+(INDEX(Parameters!$D$14:$H$14,1,R7+1)-INDEX(Parameters!$D$14:$H$14,1,R7))*U7)</f>
        <v>0.6</v>
      </c>
      <c r="L7" s="7">
        <f>I7+J7</f>
        <v>2060</v>
      </c>
      <c r="M7" s="7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2500</v>
      </c>
      <c r="N7" s="7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7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0.57999999999999996</v>
      </c>
      <c r="P7" s="8">
        <f>M7*O7</f>
        <v>1450</v>
      </c>
      <c r="Q7" s="8">
        <f>MIN(4,MAX(1,INT((1+C7/Parameters!$D$23)*4)+1))</f>
        <v>3</v>
      </c>
      <c r="R7" s="8">
        <f>MIN(4,MAX(1,INT((1+D7/Parameters!$D$24)*4)+1))</f>
        <v>3</v>
      </c>
      <c r="S7" s="8">
        <f>MIN(4,MAX(1,INT((1+E7/Parameters!$D$25)*4)+1))</f>
        <v>3</v>
      </c>
      <c r="T7" s="8">
        <f>MAX(0,MIN(1,(1+C7/Parameters!$D$23)*4-(Q7-1)))</f>
        <v>0</v>
      </c>
      <c r="U7" s="8">
        <f>MAX(0,MIN(1,(1+D7/Parameters!$D$24)*4-(R7-1)))</f>
        <v>0</v>
      </c>
      <c r="V7" s="8">
        <f>MAX(0,MIN(1,(1+E7/Parameters!$D$25)*4-(S7-1)))</f>
        <v>0</v>
      </c>
    </row>
    <row r="8" spans="1:22" ht="22" customHeight="1">
      <c r="A8" s="1"/>
      <c r="B8" s="7" t="str">
        <f>"c "&amp;C8</f>
        <v>c -6</v>
      </c>
      <c r="C8" s="7">
        <f>Parameters!G7</f>
        <v>-6</v>
      </c>
      <c r="D8" s="7">
        <f>'LSC Sweep'!$C$6</f>
        <v>-10</v>
      </c>
      <c r="E8" s="7">
        <f>Parameters!G16</f>
        <v>-10</v>
      </c>
      <c r="F8" s="7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7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0.35</v>
      </c>
      <c r="H8" s="7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0.54</v>
      </c>
      <c r="I8" s="7">
        <f>F8*H8</f>
        <v>1944.0000000000002</v>
      </c>
      <c r="J8" s="7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500</v>
      </c>
      <c r="K8" s="7">
        <f>IF('LSC Sweep'!$C$4="Type-B",Parameters!$L$14,INDEX(Parameters!$D$14:$H$14,1,R8)+(INDEX(Parameters!$D$14:$H$14,1,R8+1)-INDEX(Parameters!$D$14:$H$14,1,R8))*U8)</f>
        <v>0.6</v>
      </c>
      <c r="L8" s="7">
        <f>I8+J8</f>
        <v>2444</v>
      </c>
      <c r="M8" s="7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3000</v>
      </c>
      <c r="N8" s="7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0.27500000000000002</v>
      </c>
      <c r="O8" s="7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0.62</v>
      </c>
      <c r="P8" s="8">
        <f>M8*O8</f>
        <v>1860</v>
      </c>
      <c r="Q8" s="8">
        <f>MIN(4,MAX(1,INT((1+C8/Parameters!$D$23)*4)+1))</f>
        <v>4</v>
      </c>
      <c r="R8" s="8">
        <f>MIN(4,MAX(1,INT((1+D8/Parameters!$D$24)*4)+1))</f>
        <v>3</v>
      </c>
      <c r="S8" s="8">
        <f>MIN(4,MAX(1,INT((1+E8/Parameters!$D$25)*4)+1))</f>
        <v>4</v>
      </c>
      <c r="T8" s="8">
        <f>MAX(0,MIN(1,(1+C8/Parameters!$D$23)*4-(Q8-1)))</f>
        <v>0</v>
      </c>
      <c r="U8" s="8">
        <f>MAX(0,MIN(1,(1+D8/Parameters!$D$24)*4-(R8-1)))</f>
        <v>0</v>
      </c>
      <c r="V8" s="8">
        <f>MAX(0,MIN(1,(1+E8/Parameters!$D$25)*4-(S8-1)))</f>
        <v>0</v>
      </c>
    </row>
    <row r="9" spans="1:22" ht="22" customHeight="1">
      <c r="A9" s="1"/>
      <c r="B9" s="7" t="str">
        <f>"c "&amp;C9</f>
        <v>c 0</v>
      </c>
      <c r="C9" s="7">
        <f>Parameters!H7</f>
        <v>0</v>
      </c>
      <c r="D9" s="7">
        <f>'LSC Sweep'!$C$6</f>
        <v>-10</v>
      </c>
      <c r="E9" s="7">
        <f>Parameters!H16</f>
        <v>0</v>
      </c>
      <c r="F9" s="7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7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0.35</v>
      </c>
      <c r="H9" s="7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0.56000000000000005</v>
      </c>
      <c r="I9" s="7">
        <f>F9*H9</f>
        <v>2352</v>
      </c>
      <c r="J9" s="7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500</v>
      </c>
      <c r="K9" s="7">
        <f>IF('LSC Sweep'!$C$4="Type-B",Parameters!$L$14,INDEX(Parameters!$D$14:$H$14,1,R9)+(INDEX(Parameters!$D$14:$H$14,1,R9+1)-INDEX(Parameters!$D$14:$H$14,1,R9))*U9)</f>
        <v>0.6</v>
      </c>
      <c r="L9" s="7">
        <f>I9+J9</f>
        <v>2852</v>
      </c>
      <c r="M9" s="7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3500</v>
      </c>
      <c r="N9" s="7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</v>
      </c>
      <c r="O9" s="7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0.66</v>
      </c>
      <c r="P9" s="8">
        <f>M9*O9</f>
        <v>2310</v>
      </c>
      <c r="Q9" s="8">
        <f>MIN(4,MAX(1,INT((1+C9/Parameters!$D$23)*4)+1))</f>
        <v>4</v>
      </c>
      <c r="R9" s="8">
        <f>MIN(4,MAX(1,INT((1+D9/Parameters!$D$24)*4)+1))</f>
        <v>3</v>
      </c>
      <c r="S9" s="8">
        <f>MIN(4,MAX(1,INT((1+E9/Parameters!$D$25)*4)+1))</f>
        <v>4</v>
      </c>
      <c r="T9" s="8">
        <f>MAX(0,MIN(1,(1+C9/Parameters!$D$23)*4-(Q9-1)))</f>
        <v>1</v>
      </c>
      <c r="U9" s="8">
        <f>MAX(0,MIN(1,(1+D9/Parameters!$D$24)*4-(R9-1)))</f>
        <v>0</v>
      </c>
      <c r="V9" s="8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22" customHeight="1">
      <c r="A13" s="1"/>
      <c r="B13" s="10" t="s">
        <v>51</v>
      </c>
      <c r="C13" s="10" t="str">
        <f>B5</f>
        <v>c -24</v>
      </c>
      <c r="D13" s="10" t="str">
        <f>B6</f>
        <v>c -18</v>
      </c>
      <c r="E13" s="10" t="str">
        <f>B7</f>
        <v>c -12</v>
      </c>
      <c r="F13" s="10" t="str">
        <f>B8</f>
        <v>c -6</v>
      </c>
      <c r="G13" s="10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2" customHeight="1">
      <c r="A14" s="1"/>
      <c r="B14" s="14">
        <v>0</v>
      </c>
      <c r="C14" s="14">
        <f t="shared" ref="C14:C34" si="0">$F$5*MIN($B14,$G$5)+$I$5*MAX(0,$B14-$G$5)+$J$5*MAX(0,$B14-$K$5)</f>
        <v>0</v>
      </c>
      <c r="D14" s="14">
        <f t="shared" ref="D14:D34" si="1">$F$6*MIN($B14,$G$6)+$I$6*MAX(0,$B14-$G$6)+$J$6*MAX(0,$B14-$K$6)</f>
        <v>0</v>
      </c>
      <c r="E14" s="14">
        <f t="shared" ref="E14:E34" si="2">$F$7*MIN($B14,$G$7)+$I$7*MAX(0,$B14-$G$7)+$J$7*MAX(0,$B14-$K$7)</f>
        <v>0</v>
      </c>
      <c r="F14" s="14">
        <f t="shared" ref="F14:F34" si="3">$F$8*MIN($B14,$G$8)+$I$8*MAX(0,$B14-$G$8)+$J$8*MAX(0,$B14-$K$8)</f>
        <v>0</v>
      </c>
      <c r="G14" s="14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2" customHeight="1">
      <c r="A15" s="1"/>
      <c r="B15" s="14">
        <v>0.05</v>
      </c>
      <c r="C15" s="14">
        <f t="shared" si="0"/>
        <v>90</v>
      </c>
      <c r="D15" s="14">
        <f t="shared" si="1"/>
        <v>120</v>
      </c>
      <c r="E15" s="14">
        <f t="shared" si="2"/>
        <v>150</v>
      </c>
      <c r="F15" s="14">
        <f t="shared" si="3"/>
        <v>180</v>
      </c>
      <c r="G15" s="14">
        <f t="shared" si="4"/>
        <v>210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2" customHeight="1">
      <c r="A16" s="1"/>
      <c r="B16" s="14">
        <v>0.1</v>
      </c>
      <c r="C16" s="14">
        <f t="shared" si="0"/>
        <v>180</v>
      </c>
      <c r="D16" s="14">
        <f t="shared" si="1"/>
        <v>240</v>
      </c>
      <c r="E16" s="14">
        <f t="shared" si="2"/>
        <v>300</v>
      </c>
      <c r="F16" s="14">
        <f t="shared" si="3"/>
        <v>360</v>
      </c>
      <c r="G16" s="14">
        <f t="shared" si="4"/>
        <v>420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2" customHeight="1">
      <c r="A17" s="1"/>
      <c r="B17" s="14">
        <v>0.15</v>
      </c>
      <c r="C17" s="14">
        <f t="shared" si="0"/>
        <v>270</v>
      </c>
      <c r="D17" s="14">
        <f t="shared" si="1"/>
        <v>360</v>
      </c>
      <c r="E17" s="14">
        <f t="shared" si="2"/>
        <v>450</v>
      </c>
      <c r="F17" s="14">
        <f t="shared" si="3"/>
        <v>540</v>
      </c>
      <c r="G17" s="14">
        <f t="shared" si="4"/>
        <v>630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2" customHeight="1">
      <c r="A18" s="1"/>
      <c r="B18" s="14">
        <v>0.2</v>
      </c>
      <c r="C18" s="14">
        <f t="shared" si="0"/>
        <v>360</v>
      </c>
      <c r="D18" s="14">
        <f t="shared" si="1"/>
        <v>480</v>
      </c>
      <c r="E18" s="14">
        <f t="shared" si="2"/>
        <v>600</v>
      </c>
      <c r="F18" s="14">
        <f t="shared" si="3"/>
        <v>720</v>
      </c>
      <c r="G18" s="14">
        <f t="shared" si="4"/>
        <v>840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2" customHeight="1">
      <c r="A19" s="1"/>
      <c r="B19" s="14">
        <v>0.25</v>
      </c>
      <c r="C19" s="14">
        <f t="shared" si="0"/>
        <v>450</v>
      </c>
      <c r="D19" s="14">
        <f t="shared" si="1"/>
        <v>600</v>
      </c>
      <c r="E19" s="14">
        <f t="shared" si="2"/>
        <v>750</v>
      </c>
      <c r="F19" s="14">
        <f t="shared" si="3"/>
        <v>900</v>
      </c>
      <c r="G19" s="14">
        <f t="shared" si="4"/>
        <v>1050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2" customHeight="1">
      <c r="A20" s="1"/>
      <c r="B20" s="14">
        <v>0.3</v>
      </c>
      <c r="C20" s="14">
        <f t="shared" si="0"/>
        <v>540</v>
      </c>
      <c r="D20" s="14">
        <f t="shared" si="1"/>
        <v>720</v>
      </c>
      <c r="E20" s="14">
        <f t="shared" si="2"/>
        <v>900</v>
      </c>
      <c r="F20" s="14">
        <f t="shared" si="3"/>
        <v>1080</v>
      </c>
      <c r="G20" s="14">
        <f t="shared" si="4"/>
        <v>1260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2" customHeight="1">
      <c r="A21" s="1"/>
      <c r="B21" s="14">
        <v>0.35</v>
      </c>
      <c r="C21" s="14">
        <f t="shared" si="0"/>
        <v>630</v>
      </c>
      <c r="D21" s="14">
        <f t="shared" si="1"/>
        <v>840</v>
      </c>
      <c r="E21" s="14">
        <f t="shared" si="2"/>
        <v>1050</v>
      </c>
      <c r="F21" s="14">
        <f t="shared" si="3"/>
        <v>1260</v>
      </c>
      <c r="G21" s="14">
        <f t="shared" si="4"/>
        <v>1470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2" customHeight="1">
      <c r="A22" s="1"/>
      <c r="B22" s="14">
        <v>0.4</v>
      </c>
      <c r="C22" s="14">
        <f t="shared" si="0"/>
        <v>673.2</v>
      </c>
      <c r="D22" s="14">
        <f t="shared" si="1"/>
        <v>900</v>
      </c>
      <c r="E22" s="14">
        <f t="shared" si="2"/>
        <v>1128</v>
      </c>
      <c r="F22" s="14">
        <f t="shared" si="3"/>
        <v>1357.2</v>
      </c>
      <c r="G22" s="14">
        <f t="shared" si="4"/>
        <v>1587.6000000000001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2" customHeight="1">
      <c r="A23" s="1"/>
      <c r="B23" s="14">
        <v>0.45</v>
      </c>
      <c r="C23" s="14">
        <f t="shared" si="0"/>
        <v>716.40000000000009</v>
      </c>
      <c r="D23" s="14">
        <f t="shared" si="1"/>
        <v>960</v>
      </c>
      <c r="E23" s="14">
        <f t="shared" si="2"/>
        <v>1206</v>
      </c>
      <c r="F23" s="14">
        <f t="shared" si="3"/>
        <v>1454.4</v>
      </c>
      <c r="G23" s="14">
        <f t="shared" si="4"/>
        <v>1705.2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2" customHeight="1">
      <c r="A24" s="1"/>
      <c r="B24" s="14">
        <v>0.5</v>
      </c>
      <c r="C24" s="14">
        <f t="shared" si="0"/>
        <v>759.6</v>
      </c>
      <c r="D24" s="14">
        <f t="shared" si="1"/>
        <v>1020</v>
      </c>
      <c r="E24" s="14">
        <f t="shared" si="2"/>
        <v>1284</v>
      </c>
      <c r="F24" s="14">
        <f t="shared" si="3"/>
        <v>1551.6000000000001</v>
      </c>
      <c r="G24" s="14">
        <f t="shared" si="4"/>
        <v>1822.8000000000002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2" customHeight="1">
      <c r="A25" s="1"/>
      <c r="B25" s="14">
        <v>0.55000000000000004</v>
      </c>
      <c r="C25" s="14">
        <f t="shared" si="0"/>
        <v>802.80000000000007</v>
      </c>
      <c r="D25" s="14">
        <f t="shared" si="1"/>
        <v>1080</v>
      </c>
      <c r="E25" s="14">
        <f t="shared" si="2"/>
        <v>1362</v>
      </c>
      <c r="F25" s="14">
        <f t="shared" si="3"/>
        <v>1648.8000000000002</v>
      </c>
      <c r="G25" s="14">
        <f t="shared" si="4"/>
        <v>1940.4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2" customHeight="1">
      <c r="A26" s="1"/>
      <c r="B26" s="14">
        <v>0.6</v>
      </c>
      <c r="C26" s="14">
        <f t="shared" si="0"/>
        <v>846</v>
      </c>
      <c r="D26" s="14">
        <f t="shared" si="1"/>
        <v>1140</v>
      </c>
      <c r="E26" s="14">
        <f t="shared" si="2"/>
        <v>1440</v>
      </c>
      <c r="F26" s="14">
        <f t="shared" si="3"/>
        <v>1746</v>
      </c>
      <c r="G26" s="14">
        <f t="shared" si="4"/>
        <v>2058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2" customHeight="1">
      <c r="A27" s="1"/>
      <c r="B27" s="14">
        <v>0.65</v>
      </c>
      <c r="C27" s="14">
        <f t="shared" si="0"/>
        <v>914.2</v>
      </c>
      <c r="D27" s="14">
        <f t="shared" si="1"/>
        <v>1225</v>
      </c>
      <c r="E27" s="14">
        <f t="shared" si="2"/>
        <v>1543</v>
      </c>
      <c r="F27" s="14">
        <f t="shared" si="3"/>
        <v>1868.2000000000003</v>
      </c>
      <c r="G27" s="14">
        <f t="shared" si="4"/>
        <v>2200.6000000000004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2" customHeight="1">
      <c r="A28" s="1"/>
      <c r="B28" s="14">
        <v>0.7</v>
      </c>
      <c r="C28" s="14">
        <f t="shared" si="0"/>
        <v>982.4</v>
      </c>
      <c r="D28" s="14">
        <f t="shared" si="1"/>
        <v>1310</v>
      </c>
      <c r="E28" s="14">
        <f t="shared" si="2"/>
        <v>1646</v>
      </c>
      <c r="F28" s="14">
        <f t="shared" si="3"/>
        <v>1990.4</v>
      </c>
      <c r="G28" s="14">
        <f t="shared" si="4"/>
        <v>2343.1999999999998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2" customHeight="1">
      <c r="A29" s="1"/>
      <c r="B29" s="14">
        <v>0.75</v>
      </c>
      <c r="C29" s="14">
        <f t="shared" si="0"/>
        <v>1050.6000000000001</v>
      </c>
      <c r="D29" s="14">
        <f t="shared" si="1"/>
        <v>1395</v>
      </c>
      <c r="E29" s="14">
        <f t="shared" si="2"/>
        <v>1749</v>
      </c>
      <c r="F29" s="14">
        <f t="shared" si="3"/>
        <v>2112.6000000000004</v>
      </c>
      <c r="G29" s="14">
        <f t="shared" si="4"/>
        <v>2485.8000000000002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2" customHeight="1">
      <c r="A30" s="1"/>
      <c r="B30" s="14">
        <v>0.8</v>
      </c>
      <c r="C30" s="14">
        <f t="shared" si="0"/>
        <v>1118.8000000000002</v>
      </c>
      <c r="D30" s="14">
        <f t="shared" si="1"/>
        <v>1480</v>
      </c>
      <c r="E30" s="14">
        <f t="shared" si="2"/>
        <v>1852</v>
      </c>
      <c r="F30" s="14">
        <f t="shared" si="3"/>
        <v>2234.8000000000002</v>
      </c>
      <c r="G30" s="14">
        <f t="shared" si="4"/>
        <v>2628.4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2" customHeight="1">
      <c r="A31" s="1"/>
      <c r="B31" s="14">
        <v>0.85</v>
      </c>
      <c r="C31" s="14">
        <f t="shared" si="0"/>
        <v>1187</v>
      </c>
      <c r="D31" s="14">
        <f t="shared" si="1"/>
        <v>1565</v>
      </c>
      <c r="E31" s="14">
        <f t="shared" si="2"/>
        <v>1955</v>
      </c>
      <c r="F31" s="14">
        <f t="shared" si="3"/>
        <v>2357</v>
      </c>
      <c r="G31" s="14">
        <f t="shared" si="4"/>
        <v>2771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2" customHeight="1">
      <c r="A32" s="1"/>
      <c r="B32" s="14">
        <v>0.9</v>
      </c>
      <c r="C32" s="14">
        <f t="shared" si="0"/>
        <v>1255.2</v>
      </c>
      <c r="D32" s="14">
        <f t="shared" si="1"/>
        <v>1650</v>
      </c>
      <c r="E32" s="14">
        <f t="shared" si="2"/>
        <v>2058</v>
      </c>
      <c r="F32" s="14">
        <f t="shared" si="3"/>
        <v>2479.2000000000003</v>
      </c>
      <c r="G32" s="14">
        <f t="shared" si="4"/>
        <v>2913.6000000000004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2" customHeight="1">
      <c r="A33" s="1"/>
      <c r="B33" s="14">
        <v>0.95</v>
      </c>
      <c r="C33" s="14">
        <f t="shared" si="0"/>
        <v>1323.4</v>
      </c>
      <c r="D33" s="14">
        <f t="shared" si="1"/>
        <v>1735</v>
      </c>
      <c r="E33" s="14">
        <f t="shared" si="2"/>
        <v>2161</v>
      </c>
      <c r="F33" s="14">
        <f t="shared" si="3"/>
        <v>2601.4</v>
      </c>
      <c r="G33" s="14">
        <f t="shared" si="4"/>
        <v>3056.2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2" customHeight="1">
      <c r="A34" s="1"/>
      <c r="B34" s="14">
        <v>1</v>
      </c>
      <c r="C34" s="14">
        <f t="shared" si="0"/>
        <v>1391.6</v>
      </c>
      <c r="D34" s="14">
        <f t="shared" si="1"/>
        <v>1820</v>
      </c>
      <c r="E34" s="14">
        <f t="shared" si="2"/>
        <v>2264</v>
      </c>
      <c r="F34" s="14">
        <f t="shared" si="3"/>
        <v>2723.6000000000004</v>
      </c>
      <c r="G34" s="14">
        <f t="shared" si="4"/>
        <v>3198.8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22" customHeight="1">
      <c r="A41" s="1"/>
      <c r="B41" s="28" t="s">
        <v>77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35" customHeight="1">
      <c r="B44" s="13" t="s">
        <v>63</v>
      </c>
      <c r="C44" s="13" t="s">
        <v>64</v>
      </c>
      <c r="D44" s="13" t="s">
        <v>65</v>
      </c>
      <c r="E44" s="13" t="s">
        <v>66</v>
      </c>
      <c r="F44" s="13" t="s">
        <v>21</v>
      </c>
      <c r="G44" s="13" t="s">
        <v>82</v>
      </c>
      <c r="H44" s="13" t="s">
        <v>67</v>
      </c>
      <c r="I44" s="13" t="s">
        <v>57</v>
      </c>
      <c r="J44" s="13" t="s">
        <v>68</v>
      </c>
      <c r="K44" s="13" t="s">
        <v>83</v>
      </c>
      <c r="L44" s="13" t="s">
        <v>69</v>
      </c>
      <c r="M44" s="13" t="s">
        <v>28</v>
      </c>
      <c r="N44" s="13" t="s">
        <v>29</v>
      </c>
      <c r="O44" s="13" t="s">
        <v>70</v>
      </c>
      <c r="P44" s="13" t="s">
        <v>60</v>
      </c>
      <c r="Q44" s="13" t="s">
        <v>71</v>
      </c>
      <c r="R44" s="13" t="s">
        <v>72</v>
      </c>
      <c r="S44" s="13" t="s">
        <v>73</v>
      </c>
      <c r="T44" s="13" t="s">
        <v>74</v>
      </c>
      <c r="U44" s="13" t="s">
        <v>75</v>
      </c>
      <c r="V44" s="13" t="s">
        <v>76</v>
      </c>
    </row>
    <row r="45" spans="1:22" ht="22" customHeight="1">
      <c r="B45" s="8" t="str">
        <f>"C "&amp;D45</f>
        <v>C -20</v>
      </c>
      <c r="C45" s="8">
        <f>'HSC Sweep'!$C$6</f>
        <v>-12</v>
      </c>
      <c r="D45" s="8">
        <f>Parameters!D8</f>
        <v>-20</v>
      </c>
      <c r="E45" s="8">
        <f>Parameters!D16</f>
        <v>-40</v>
      </c>
      <c r="F45" s="8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2500</v>
      </c>
      <c r="G45" s="8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0.12</v>
      </c>
      <c r="H45" s="8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0.84</v>
      </c>
      <c r="I45" s="8">
        <f>F45*H45</f>
        <v>2100</v>
      </c>
      <c r="J45" s="8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1000</v>
      </c>
      <c r="K45" s="8">
        <f>IF('HSC Sweep'!$C$4="Type-B",Parameters!$L$14,INDEX(Parameters!$D$14:$H$14,1,R45)+(INDEX(Parameters!$D$14:$H$14,1,R45+1)-INDEX(Parameters!$D$14:$H$14,1,R45))*U45)</f>
        <v>0.57999999999999996</v>
      </c>
      <c r="L45" s="8">
        <f>I45+J45</f>
        <v>3100</v>
      </c>
      <c r="M45" s="8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1000</v>
      </c>
      <c r="N45" s="8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8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0.72</v>
      </c>
      <c r="P45" s="8">
        <f>M45*O45</f>
        <v>720</v>
      </c>
      <c r="Q45" s="8">
        <f>MIN(4,MAX(1,INT((1+C45/Parameters!$D$23)*4)+1))</f>
        <v>3</v>
      </c>
      <c r="R45" s="8">
        <f>MIN(4,MAX(1,INT((1+D45/Parameters!$D$24)*4)+1))</f>
        <v>1</v>
      </c>
      <c r="S45" s="8">
        <f>MIN(4,MAX(1,INT((1+E45/Parameters!$D$25)*4)+1))</f>
        <v>1</v>
      </c>
      <c r="T45" s="8">
        <f>MAX(0,MIN(1,(1+C45/Parameters!$D$23)*4-(Q45-1)))</f>
        <v>0</v>
      </c>
      <c r="U45" s="8">
        <f>MAX(0,MIN(1,(1+D45/Parameters!$D$24)*4-(R45-1)))</f>
        <v>0</v>
      </c>
      <c r="V45" s="8">
        <f>MAX(0,MIN(1,(1+E45/Parameters!$D$25)*4-(S45-1)))</f>
        <v>0</v>
      </c>
    </row>
    <row r="46" spans="1:22" ht="22" customHeight="1">
      <c r="B46" s="8" t="str">
        <f>"C "&amp;D46</f>
        <v>C -15</v>
      </c>
      <c r="C46" s="8">
        <f>'HSC Sweep'!$C$6</f>
        <v>-12</v>
      </c>
      <c r="D46" s="8">
        <f>Parameters!E8</f>
        <v>-15</v>
      </c>
      <c r="E46" s="8">
        <f>Parameters!E16</f>
        <v>-30</v>
      </c>
      <c r="F46" s="8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2500</v>
      </c>
      <c r="G46" s="8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0.12</v>
      </c>
      <c r="H46" s="8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0.84</v>
      </c>
      <c r="I46" s="8">
        <f>F46*H46</f>
        <v>2100</v>
      </c>
      <c r="J46" s="8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1750</v>
      </c>
      <c r="K46" s="8">
        <f>IF('HSC Sweep'!$C$4="Type-B",Parameters!$L$14,INDEX(Parameters!$D$14:$H$14,1,R46)+(INDEX(Parameters!$D$14:$H$14,1,R46+1)-INDEX(Parameters!$D$14:$H$14,1,R46))*U46)</f>
        <v>0.59</v>
      </c>
      <c r="L46" s="8">
        <f>I46+J46</f>
        <v>3850</v>
      </c>
      <c r="M46" s="8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1500</v>
      </c>
      <c r="N46" s="8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0.255</v>
      </c>
      <c r="O46" s="8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0.76</v>
      </c>
      <c r="P46" s="8">
        <f>M46*O46</f>
        <v>1140</v>
      </c>
      <c r="Q46" s="8">
        <f>MIN(4,MAX(1,INT((1+C46/Parameters!$D$23)*4)+1))</f>
        <v>3</v>
      </c>
      <c r="R46" s="8">
        <f>MIN(4,MAX(1,INT((1+D46/Parameters!$D$24)*4)+1))</f>
        <v>2</v>
      </c>
      <c r="S46" s="8">
        <f>MIN(4,MAX(1,INT((1+E46/Parameters!$D$25)*4)+1))</f>
        <v>2</v>
      </c>
      <c r="T46" s="8">
        <f>MAX(0,MIN(1,(1+C46/Parameters!$D$23)*4-(Q46-1)))</f>
        <v>0</v>
      </c>
      <c r="U46" s="8">
        <f>MAX(0,MIN(1,(1+D46/Parameters!$D$24)*4-(R46-1)))</f>
        <v>0</v>
      </c>
      <c r="V46" s="8">
        <f>MAX(0,MIN(1,(1+E46/Parameters!$D$25)*4-(S46-1)))</f>
        <v>0</v>
      </c>
    </row>
    <row r="47" spans="1:22" ht="22" customHeight="1">
      <c r="B47" s="8" t="str">
        <f>"C "&amp;D47</f>
        <v>C -10</v>
      </c>
      <c r="C47" s="8">
        <f>'HSC Sweep'!$C$6</f>
        <v>-12</v>
      </c>
      <c r="D47" s="8">
        <f>Parameters!F8</f>
        <v>-10</v>
      </c>
      <c r="E47" s="8">
        <f>Parameters!F16</f>
        <v>-20</v>
      </c>
      <c r="F47" s="8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2500</v>
      </c>
      <c r="G47" s="8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0.12</v>
      </c>
      <c r="H47" s="8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0.84</v>
      </c>
      <c r="I47" s="8">
        <f>F47*H47</f>
        <v>2100</v>
      </c>
      <c r="J47" s="8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2500</v>
      </c>
      <c r="K47" s="8">
        <f>IF('HSC Sweep'!$C$4="Type-B",Parameters!$L$14,INDEX(Parameters!$D$14:$H$14,1,R47)+(INDEX(Parameters!$D$14:$H$14,1,R47+1)-INDEX(Parameters!$D$14:$H$14,1,R47))*U47)</f>
        <v>0.6</v>
      </c>
      <c r="L47" s="8">
        <f>I47+J47</f>
        <v>4600</v>
      </c>
      <c r="M47" s="8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2000</v>
      </c>
      <c r="N47" s="8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0.28000000000000003</v>
      </c>
      <c r="O47" s="8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</v>
      </c>
      <c r="P47" s="8">
        <f>M47*O47</f>
        <v>1600</v>
      </c>
      <c r="Q47" s="8">
        <f>MIN(4,MAX(1,INT((1+C47/Parameters!$D$23)*4)+1))</f>
        <v>3</v>
      </c>
      <c r="R47" s="8">
        <f>MIN(4,MAX(1,INT((1+D47/Parameters!$D$24)*4)+1))</f>
        <v>3</v>
      </c>
      <c r="S47" s="8">
        <f>MIN(4,MAX(1,INT((1+E47/Parameters!$D$25)*4)+1))</f>
        <v>3</v>
      </c>
      <c r="T47" s="8">
        <f>MAX(0,MIN(1,(1+C47/Parameters!$D$23)*4-(Q47-1)))</f>
        <v>0</v>
      </c>
      <c r="U47" s="8">
        <f>MAX(0,MIN(1,(1+D47/Parameters!$D$24)*4-(R47-1)))</f>
        <v>0</v>
      </c>
      <c r="V47" s="8">
        <f>MAX(0,MIN(1,(1+E47/Parameters!$D$25)*4-(S47-1)))</f>
        <v>0</v>
      </c>
    </row>
    <row r="48" spans="1:22" ht="22" customHeight="1">
      <c r="B48" s="8" t="str">
        <f>"C "&amp;D48</f>
        <v>C -5</v>
      </c>
      <c r="C48" s="8">
        <f>'HSC Sweep'!$C$6</f>
        <v>-12</v>
      </c>
      <c r="D48" s="8">
        <f>Parameters!G8</f>
        <v>-5</v>
      </c>
      <c r="E48" s="8">
        <f>Parameters!G16</f>
        <v>-10</v>
      </c>
      <c r="F48" s="8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2500</v>
      </c>
      <c r="G48" s="8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0.12</v>
      </c>
      <c r="H48" s="8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0.84</v>
      </c>
      <c r="I48" s="8">
        <f>F48*H48</f>
        <v>2100</v>
      </c>
      <c r="J48" s="8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3250</v>
      </c>
      <c r="K48" s="8">
        <f>IF('HSC Sweep'!$C$4="Type-B",Parameters!$L$14,INDEX(Parameters!$D$14:$H$14,1,R48)+(INDEX(Parameters!$D$14:$H$14,1,R48+1)-INDEX(Parameters!$D$14:$H$14,1,R48))*U48)</f>
        <v>0.61</v>
      </c>
      <c r="L48" s="8">
        <f>I48+J48</f>
        <v>5350</v>
      </c>
      <c r="M48" s="8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2500</v>
      </c>
      <c r="N48" s="8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0.30500000000000005</v>
      </c>
      <c r="O48" s="8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0.84000000000000008</v>
      </c>
      <c r="P48" s="8">
        <f>M48*O48</f>
        <v>2100</v>
      </c>
      <c r="Q48" s="8">
        <f>MIN(4,MAX(1,INT((1+C48/Parameters!$D$23)*4)+1))</f>
        <v>3</v>
      </c>
      <c r="R48" s="8">
        <f>MIN(4,MAX(1,INT((1+D48/Parameters!$D$24)*4)+1))</f>
        <v>4</v>
      </c>
      <c r="S48" s="8">
        <f>MIN(4,MAX(1,INT((1+E48/Parameters!$D$25)*4)+1))</f>
        <v>4</v>
      </c>
      <c r="T48" s="8">
        <f>MAX(0,MIN(1,(1+C48/Parameters!$D$23)*4-(Q48-1)))</f>
        <v>0</v>
      </c>
      <c r="U48" s="8">
        <f>MAX(0,MIN(1,(1+D48/Parameters!$D$24)*4-(R48-1)))</f>
        <v>0</v>
      </c>
      <c r="V48" s="8">
        <f>MAX(0,MIN(1,(1+E48/Parameters!$D$25)*4-(S48-1)))</f>
        <v>0</v>
      </c>
    </row>
    <row r="49" spans="2:22" ht="22" customHeight="1">
      <c r="B49" s="8" t="str">
        <f>"C "&amp;D49</f>
        <v>C 0</v>
      </c>
      <c r="C49" s="8">
        <f>'HSC Sweep'!$C$6</f>
        <v>-12</v>
      </c>
      <c r="D49" s="8">
        <f>Parameters!H8</f>
        <v>0</v>
      </c>
      <c r="E49" s="8">
        <f>Parameters!H16</f>
        <v>0</v>
      </c>
      <c r="F49" s="8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2500</v>
      </c>
      <c r="G49" s="8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0.12</v>
      </c>
      <c r="H49" s="8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0.84</v>
      </c>
      <c r="I49" s="8">
        <f>F49*H49</f>
        <v>2100</v>
      </c>
      <c r="J49" s="8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4000</v>
      </c>
      <c r="K49" s="8">
        <f>IF('HSC Sweep'!$C$4="Type-B",Parameters!$L$14,INDEX(Parameters!$D$14:$H$14,1,R49)+(INDEX(Parameters!$D$14:$H$14,1,R49+1)-INDEX(Parameters!$D$14:$H$14,1,R49))*U49)</f>
        <v>0.62</v>
      </c>
      <c r="L49" s="8">
        <f>I49+J49</f>
        <v>6100</v>
      </c>
      <c r="M49" s="8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3000</v>
      </c>
      <c r="N49" s="8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0.33</v>
      </c>
      <c r="O49" s="8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0.88</v>
      </c>
      <c r="P49" s="8">
        <f>M49*O49</f>
        <v>2640</v>
      </c>
      <c r="Q49" s="8">
        <f>MIN(4,MAX(1,INT((1+C49/Parameters!$D$23)*4)+1))</f>
        <v>3</v>
      </c>
      <c r="R49" s="8">
        <f>MIN(4,MAX(1,INT((1+D49/Parameters!$D$24)*4)+1))</f>
        <v>4</v>
      </c>
      <c r="S49" s="8">
        <f>MIN(4,MAX(1,INT((1+E49/Parameters!$D$25)*4)+1))</f>
        <v>4</v>
      </c>
      <c r="T49" s="8">
        <f>MAX(0,MIN(1,(1+C49/Parameters!$D$23)*4-(Q49-1)))</f>
        <v>0</v>
      </c>
      <c r="U49" s="8">
        <f>MAX(0,MIN(1,(1+D49/Parameters!$D$24)*4-(R49-1)))</f>
        <v>1</v>
      </c>
      <c r="V49" s="8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22" customHeight="1">
      <c r="B53" s="11" t="s">
        <v>51</v>
      </c>
      <c r="C53" s="11" t="str">
        <f>B45</f>
        <v>C -20</v>
      </c>
      <c r="D53" s="11" t="str">
        <f>B46</f>
        <v>C -15</v>
      </c>
      <c r="E53" s="11" t="str">
        <f>B47</f>
        <v>C -10</v>
      </c>
      <c r="F53" s="11" t="str">
        <f>B48</f>
        <v>C -5</v>
      </c>
      <c r="G53" s="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2" customHeight="1">
      <c r="B54" s="15">
        <v>0</v>
      </c>
      <c r="C54" s="15">
        <f t="shared" ref="C54:C74" si="5">$F$45*MIN($B54,$G$45)+$I$45*MAX(0,$B54-$G$45)+$J$45*MAX(0,$B54-$K$45)</f>
        <v>0</v>
      </c>
      <c r="D54" s="15">
        <f t="shared" ref="D54:D74" si="6">$F$46*MIN($B54,$G$46)+$I$46*MAX(0,$B54-$G$46)+$J$46*MAX(0,$B54-$K$46)</f>
        <v>0</v>
      </c>
      <c r="E54" s="15">
        <f t="shared" ref="E54:E74" si="7">$F$47*MIN($B54,$G$47)+$I$47*MAX(0,$B54-$G$47)+$J$47*MAX(0,$B54-$K$47)</f>
        <v>0</v>
      </c>
      <c r="F54" s="15">
        <f t="shared" ref="F54:F74" si="8">$F$48*MIN($B54,$G$48)+$I$48*MAX(0,$B54-$G$48)+$J$48*MAX(0,$B54-$K$48)</f>
        <v>0</v>
      </c>
      <c r="G54" s="15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2" customHeight="1">
      <c r="B55" s="15">
        <v>0.05</v>
      </c>
      <c r="C55" s="15">
        <f t="shared" si="5"/>
        <v>125</v>
      </c>
      <c r="D55" s="15">
        <f t="shared" si="6"/>
        <v>125</v>
      </c>
      <c r="E55" s="15">
        <f t="shared" si="7"/>
        <v>125</v>
      </c>
      <c r="F55" s="15">
        <f t="shared" si="8"/>
        <v>125</v>
      </c>
      <c r="G55" s="15">
        <f t="shared" si="9"/>
        <v>125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2" customHeight="1">
      <c r="B56" s="15">
        <v>0.1</v>
      </c>
      <c r="C56" s="15">
        <f t="shared" si="5"/>
        <v>250</v>
      </c>
      <c r="D56" s="15">
        <f t="shared" si="6"/>
        <v>250</v>
      </c>
      <c r="E56" s="15">
        <f t="shared" si="7"/>
        <v>250</v>
      </c>
      <c r="F56" s="15">
        <f t="shared" si="8"/>
        <v>250</v>
      </c>
      <c r="G56" s="15">
        <f t="shared" si="9"/>
        <v>250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2" customHeight="1">
      <c r="B57" s="15">
        <v>0.15</v>
      </c>
      <c r="C57" s="15">
        <f t="shared" si="5"/>
        <v>363</v>
      </c>
      <c r="D57" s="15">
        <f t="shared" si="6"/>
        <v>363</v>
      </c>
      <c r="E57" s="15">
        <f t="shared" si="7"/>
        <v>363</v>
      </c>
      <c r="F57" s="15">
        <f t="shared" si="8"/>
        <v>363</v>
      </c>
      <c r="G57" s="15">
        <f t="shared" si="9"/>
        <v>363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2" customHeight="1">
      <c r="B58" s="15">
        <v>0.2</v>
      </c>
      <c r="C58" s="15">
        <f t="shared" si="5"/>
        <v>468</v>
      </c>
      <c r="D58" s="15">
        <f t="shared" si="6"/>
        <v>468</v>
      </c>
      <c r="E58" s="15">
        <f t="shared" si="7"/>
        <v>468</v>
      </c>
      <c r="F58" s="15">
        <f t="shared" si="8"/>
        <v>468</v>
      </c>
      <c r="G58" s="15">
        <f t="shared" si="9"/>
        <v>468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2" customHeight="1">
      <c r="B59" s="15">
        <v>0.25</v>
      </c>
      <c r="C59" s="15">
        <f t="shared" si="5"/>
        <v>573</v>
      </c>
      <c r="D59" s="15">
        <f t="shared" si="6"/>
        <v>573</v>
      </c>
      <c r="E59" s="15">
        <f t="shared" si="7"/>
        <v>573</v>
      </c>
      <c r="F59" s="15">
        <f t="shared" si="8"/>
        <v>573</v>
      </c>
      <c r="G59" s="15">
        <f t="shared" si="9"/>
        <v>573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2" customHeight="1">
      <c r="B60" s="15">
        <v>0.3</v>
      </c>
      <c r="C60" s="15">
        <f t="shared" si="5"/>
        <v>678</v>
      </c>
      <c r="D60" s="15">
        <f t="shared" si="6"/>
        <v>678</v>
      </c>
      <c r="E60" s="15">
        <f t="shared" si="7"/>
        <v>678</v>
      </c>
      <c r="F60" s="15">
        <f t="shared" si="8"/>
        <v>678</v>
      </c>
      <c r="G60" s="15">
        <f t="shared" si="9"/>
        <v>678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2" customHeight="1">
      <c r="B61" s="15">
        <v>0.35</v>
      </c>
      <c r="C61" s="15">
        <f t="shared" si="5"/>
        <v>783</v>
      </c>
      <c r="D61" s="15">
        <f t="shared" si="6"/>
        <v>783</v>
      </c>
      <c r="E61" s="15">
        <f t="shared" si="7"/>
        <v>783</v>
      </c>
      <c r="F61" s="15">
        <f t="shared" si="8"/>
        <v>783</v>
      </c>
      <c r="G61" s="15">
        <f t="shared" si="9"/>
        <v>783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2" customHeight="1">
      <c r="B62" s="15">
        <v>0.4</v>
      </c>
      <c r="C62" s="15">
        <f t="shared" si="5"/>
        <v>888</v>
      </c>
      <c r="D62" s="15">
        <f t="shared" si="6"/>
        <v>888</v>
      </c>
      <c r="E62" s="15">
        <f t="shared" si="7"/>
        <v>888</v>
      </c>
      <c r="F62" s="15">
        <f t="shared" si="8"/>
        <v>888</v>
      </c>
      <c r="G62" s="15">
        <f t="shared" si="9"/>
        <v>888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2" customHeight="1">
      <c r="B63" s="15">
        <v>0.45</v>
      </c>
      <c r="C63" s="15">
        <f t="shared" si="5"/>
        <v>993</v>
      </c>
      <c r="D63" s="15">
        <f t="shared" si="6"/>
        <v>993</v>
      </c>
      <c r="E63" s="15">
        <f t="shared" si="7"/>
        <v>993</v>
      </c>
      <c r="F63" s="15">
        <f t="shared" si="8"/>
        <v>993</v>
      </c>
      <c r="G63" s="15">
        <f t="shared" si="9"/>
        <v>993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2" customHeight="1">
      <c r="B64" s="15">
        <v>0.5</v>
      </c>
      <c r="C64" s="15">
        <f t="shared" si="5"/>
        <v>1098</v>
      </c>
      <c r="D64" s="15">
        <f t="shared" si="6"/>
        <v>1098</v>
      </c>
      <c r="E64" s="15">
        <f t="shared" si="7"/>
        <v>1098</v>
      </c>
      <c r="F64" s="15">
        <f t="shared" si="8"/>
        <v>1098</v>
      </c>
      <c r="G64" s="15">
        <f t="shared" si="9"/>
        <v>1098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2" customHeight="1">
      <c r="B65" s="15">
        <v>0.55000000000000004</v>
      </c>
      <c r="C65" s="15">
        <f t="shared" si="5"/>
        <v>1203</v>
      </c>
      <c r="D65" s="15">
        <f t="shared" si="6"/>
        <v>1203</v>
      </c>
      <c r="E65" s="15">
        <f t="shared" si="7"/>
        <v>1203</v>
      </c>
      <c r="F65" s="15">
        <f t="shared" si="8"/>
        <v>1203</v>
      </c>
      <c r="G65" s="15">
        <f t="shared" si="9"/>
        <v>1203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2" customHeight="1">
      <c r="B66" s="15">
        <v>0.6</v>
      </c>
      <c r="C66" s="15">
        <f t="shared" si="5"/>
        <v>1328</v>
      </c>
      <c r="D66" s="15">
        <f t="shared" si="6"/>
        <v>1325.5</v>
      </c>
      <c r="E66" s="15">
        <f t="shared" si="7"/>
        <v>1308</v>
      </c>
      <c r="F66" s="15">
        <f t="shared" si="8"/>
        <v>1308</v>
      </c>
      <c r="G66" s="15">
        <f t="shared" si="9"/>
        <v>1308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2" customHeight="1">
      <c r="B67" s="15">
        <v>0.65</v>
      </c>
      <c r="C67" s="15">
        <f t="shared" si="5"/>
        <v>1483</v>
      </c>
      <c r="D67" s="15">
        <f t="shared" si="6"/>
        <v>1518</v>
      </c>
      <c r="E67" s="15">
        <f t="shared" si="7"/>
        <v>1538</v>
      </c>
      <c r="F67" s="15">
        <f t="shared" si="8"/>
        <v>1543</v>
      </c>
      <c r="G67" s="15">
        <f t="shared" si="9"/>
        <v>1533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2" customHeight="1">
      <c r="B68" s="15">
        <v>0.7</v>
      </c>
      <c r="C68" s="15">
        <f t="shared" si="5"/>
        <v>1638</v>
      </c>
      <c r="D68" s="15">
        <f t="shared" si="6"/>
        <v>1710.5</v>
      </c>
      <c r="E68" s="15">
        <f t="shared" si="7"/>
        <v>1768</v>
      </c>
      <c r="F68" s="15">
        <f t="shared" si="8"/>
        <v>1810.5</v>
      </c>
      <c r="G68" s="15">
        <f t="shared" si="9"/>
        <v>1837.9999999999998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2" customHeight="1">
      <c r="B69" s="15">
        <v>0.75</v>
      </c>
      <c r="C69" s="15">
        <f t="shared" si="5"/>
        <v>1793</v>
      </c>
      <c r="D69" s="15">
        <f t="shared" si="6"/>
        <v>1903</v>
      </c>
      <c r="E69" s="15">
        <f t="shared" si="7"/>
        <v>1998</v>
      </c>
      <c r="F69" s="15">
        <f t="shared" si="8"/>
        <v>2078</v>
      </c>
      <c r="G69" s="15">
        <f t="shared" si="9"/>
        <v>2143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2" customHeight="1">
      <c r="B70" s="15">
        <v>0.8</v>
      </c>
      <c r="C70" s="15">
        <f t="shared" si="5"/>
        <v>1948</v>
      </c>
      <c r="D70" s="15">
        <f t="shared" si="6"/>
        <v>2095.5</v>
      </c>
      <c r="E70" s="15">
        <f t="shared" si="7"/>
        <v>2228</v>
      </c>
      <c r="F70" s="15">
        <f t="shared" si="8"/>
        <v>2345.5</v>
      </c>
      <c r="G70" s="15">
        <f t="shared" si="9"/>
        <v>2448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2" customHeight="1">
      <c r="B71" s="15">
        <v>0.85</v>
      </c>
      <c r="C71" s="15">
        <f t="shared" si="5"/>
        <v>2103</v>
      </c>
      <c r="D71" s="15">
        <f t="shared" si="6"/>
        <v>2288</v>
      </c>
      <c r="E71" s="15">
        <f t="shared" si="7"/>
        <v>2458</v>
      </c>
      <c r="F71" s="15">
        <f t="shared" si="8"/>
        <v>2613</v>
      </c>
      <c r="G71" s="15">
        <f t="shared" si="9"/>
        <v>2753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2" customHeight="1">
      <c r="B72" s="15">
        <v>0.9</v>
      </c>
      <c r="C72" s="15">
        <f t="shared" si="5"/>
        <v>2258</v>
      </c>
      <c r="D72" s="15">
        <f t="shared" si="6"/>
        <v>2480.5</v>
      </c>
      <c r="E72" s="15">
        <f t="shared" si="7"/>
        <v>2688</v>
      </c>
      <c r="F72" s="15">
        <f t="shared" si="8"/>
        <v>2880.5</v>
      </c>
      <c r="G72" s="15">
        <f t="shared" si="9"/>
        <v>3058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2" customHeight="1">
      <c r="B73" s="15">
        <v>0.95</v>
      </c>
      <c r="C73" s="15">
        <f t="shared" si="5"/>
        <v>2413</v>
      </c>
      <c r="D73" s="15">
        <f t="shared" si="6"/>
        <v>2673</v>
      </c>
      <c r="E73" s="15">
        <f t="shared" si="7"/>
        <v>2918</v>
      </c>
      <c r="F73" s="15">
        <f t="shared" si="8"/>
        <v>3148</v>
      </c>
      <c r="G73" s="15">
        <f t="shared" si="9"/>
        <v>3363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2" customHeight="1">
      <c r="B74" s="15">
        <v>1</v>
      </c>
      <c r="C74" s="15">
        <f t="shared" si="5"/>
        <v>2568</v>
      </c>
      <c r="D74" s="15">
        <f t="shared" si="6"/>
        <v>2865.5</v>
      </c>
      <c r="E74" s="15">
        <f t="shared" si="7"/>
        <v>3148</v>
      </c>
      <c r="F74" s="15">
        <f t="shared" si="8"/>
        <v>3415.5</v>
      </c>
      <c r="G74" s="15">
        <f t="shared" si="9"/>
        <v>3668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22" customHeight="1">
      <c r="B81" s="29" t="s">
        <v>78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35" customHeight="1">
      <c r="B84" s="13" t="s">
        <v>63</v>
      </c>
      <c r="C84" s="13" t="s">
        <v>64</v>
      </c>
      <c r="D84" s="13" t="s">
        <v>65</v>
      </c>
      <c r="E84" s="13" t="s">
        <v>66</v>
      </c>
      <c r="F84" s="13" t="s">
        <v>21</v>
      </c>
      <c r="G84" s="13" t="s">
        <v>82</v>
      </c>
      <c r="H84" s="13" t="s">
        <v>67</v>
      </c>
      <c r="I84" s="13" t="s">
        <v>57</v>
      </c>
      <c r="J84" s="13" t="s">
        <v>68</v>
      </c>
      <c r="K84" s="13" t="s">
        <v>83</v>
      </c>
      <c r="L84" s="13" t="s">
        <v>69</v>
      </c>
      <c r="M84" s="13" t="s">
        <v>28</v>
      </c>
      <c r="N84" s="13" t="s">
        <v>29</v>
      </c>
      <c r="O84" s="13" t="s">
        <v>70</v>
      </c>
      <c r="P84" s="13" t="s">
        <v>60</v>
      </c>
      <c r="Q84" s="13" t="s">
        <v>71</v>
      </c>
      <c r="R84" s="13" t="s">
        <v>72</v>
      </c>
      <c r="S84" s="13" t="s">
        <v>73</v>
      </c>
      <c r="T84" s="13" t="s">
        <v>74</v>
      </c>
      <c r="U84" s="13" t="s">
        <v>75</v>
      </c>
      <c r="V84" s="13" t="s">
        <v>76</v>
      </c>
    </row>
    <row r="85" spans="2:22" ht="22" customHeight="1">
      <c r="B85" s="8" t="str">
        <f>"R "&amp;E85</f>
        <v>R -40</v>
      </c>
      <c r="C85" s="8">
        <f>Parameters!D7</f>
        <v>-24</v>
      </c>
      <c r="D85" s="8">
        <f>Parameters!D8</f>
        <v>-20</v>
      </c>
      <c r="E85" s="8">
        <f>Parameters!D16</f>
        <v>-40</v>
      </c>
      <c r="F85" s="8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1000</v>
      </c>
      <c r="G85" s="8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8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0.82</v>
      </c>
      <c r="I85" s="8">
        <f>F85*H85</f>
        <v>820</v>
      </c>
      <c r="J85" s="8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1000</v>
      </c>
      <c r="K85" s="8">
        <f>IF('LSR Sweep'!$C$4="Type-B",Parameters!$L$14,INDEX(Parameters!$D$14:$H$14,1,R85)+(INDEX(Parameters!$D$14:$H$14,1,R85+1)-INDEX(Parameters!$D$14:$H$14,1,R85))*U85)</f>
        <v>0.57999999999999996</v>
      </c>
      <c r="L85" s="8">
        <f>I85+J85</f>
        <v>1820</v>
      </c>
      <c r="M85" s="8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1000</v>
      </c>
      <c r="N85" s="8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8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0.72</v>
      </c>
      <c r="P85" s="8">
        <f>M85*O85</f>
        <v>720</v>
      </c>
      <c r="Q85" s="8">
        <f>MIN(4,MAX(1,INT((1+C85/Parameters!$D$23)*4)+1))</f>
        <v>1</v>
      </c>
      <c r="R85" s="8">
        <f>MIN(4,MAX(1,INT((1+D85/Parameters!$D$24)*4)+1))</f>
        <v>1</v>
      </c>
      <c r="S85" s="8">
        <f>MIN(4,MAX(1,INT((1+E85/Parameters!$D$25)*4)+1))</f>
        <v>1</v>
      </c>
      <c r="T85" s="8">
        <f>MAX(0,MIN(1,(1+C85/Parameters!$D$23)*4-(Q85-1)))</f>
        <v>0</v>
      </c>
      <c r="U85" s="8">
        <f>MAX(0,MIN(1,(1+D85/Parameters!$D$24)*4-(R85-1)))</f>
        <v>0</v>
      </c>
      <c r="V85" s="8">
        <f>MAX(0,MIN(1,(1+E85/Parameters!$D$25)*4-(S85-1)))</f>
        <v>0</v>
      </c>
    </row>
    <row r="86" spans="2:22" ht="22" customHeight="1">
      <c r="B86" s="8" t="str">
        <f>"R "&amp;E86</f>
        <v>R -30</v>
      </c>
      <c r="C86" s="8">
        <f>Parameters!E7</f>
        <v>-18</v>
      </c>
      <c r="D86" s="8">
        <f>Parameters!E8</f>
        <v>-15</v>
      </c>
      <c r="E86" s="8">
        <f>Parameters!E16</f>
        <v>-30</v>
      </c>
      <c r="F86" s="8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1750</v>
      </c>
      <c r="G86" s="8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8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0.83</v>
      </c>
      <c r="I86" s="8">
        <f>F86*H86</f>
        <v>1452.5</v>
      </c>
      <c r="J86" s="8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1750</v>
      </c>
      <c r="K86" s="8">
        <f>IF('LSR Sweep'!$C$4="Type-B",Parameters!$L$14,INDEX(Parameters!$D$14:$H$14,1,R86)+(INDEX(Parameters!$D$14:$H$14,1,R86+1)-INDEX(Parameters!$D$14:$H$14,1,R86))*U86)</f>
        <v>0.59</v>
      </c>
      <c r="L86" s="8">
        <f>I86+J86</f>
        <v>3202.5</v>
      </c>
      <c r="M86" s="8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1500</v>
      </c>
      <c r="N86" s="8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8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0.76</v>
      </c>
      <c r="P86" s="8">
        <f>M86*O86</f>
        <v>1140</v>
      </c>
      <c r="Q86" s="8">
        <f>MIN(4,MAX(1,INT((1+C86/Parameters!$D$23)*4)+1))</f>
        <v>2</v>
      </c>
      <c r="R86" s="8">
        <f>MIN(4,MAX(1,INT((1+D86/Parameters!$D$24)*4)+1))</f>
        <v>2</v>
      </c>
      <c r="S86" s="8">
        <f>MIN(4,MAX(1,INT((1+E86/Parameters!$D$25)*4)+1))</f>
        <v>2</v>
      </c>
      <c r="T86" s="8">
        <f>MAX(0,MIN(1,(1+C86/Parameters!$D$23)*4-(Q86-1)))</f>
        <v>0</v>
      </c>
      <c r="U86" s="8">
        <f>MAX(0,MIN(1,(1+D86/Parameters!$D$24)*4-(R86-1)))</f>
        <v>0</v>
      </c>
      <c r="V86" s="8">
        <f>MAX(0,MIN(1,(1+E86/Parameters!$D$25)*4-(S86-1)))</f>
        <v>0</v>
      </c>
    </row>
    <row r="87" spans="2:22" ht="22" customHeight="1">
      <c r="B87" s="8" t="str">
        <f>"R "&amp;E87</f>
        <v>R -20</v>
      </c>
      <c r="C87" s="8">
        <f>Parameters!F7</f>
        <v>-12</v>
      </c>
      <c r="D87" s="8">
        <f>Parameters!F8</f>
        <v>-10</v>
      </c>
      <c r="E87" s="8">
        <f>Parameters!F16</f>
        <v>-20</v>
      </c>
      <c r="F87" s="8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2500</v>
      </c>
      <c r="G87" s="8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8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0.84</v>
      </c>
      <c r="I87" s="8">
        <f>F87*H87</f>
        <v>2100</v>
      </c>
      <c r="J87" s="8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2500</v>
      </c>
      <c r="K87" s="8">
        <f>IF('LSR Sweep'!$C$4="Type-B",Parameters!$L$14,INDEX(Parameters!$D$14:$H$14,1,R87)+(INDEX(Parameters!$D$14:$H$14,1,R87+1)-INDEX(Parameters!$D$14:$H$14,1,R87))*U87)</f>
        <v>0.6</v>
      </c>
      <c r="L87" s="8">
        <f>I87+J87</f>
        <v>4600</v>
      </c>
      <c r="M87" s="8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8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8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</v>
      </c>
      <c r="P87" s="8">
        <f>M87*O87</f>
        <v>1600</v>
      </c>
      <c r="Q87" s="8">
        <f>MIN(4,MAX(1,INT((1+C87/Parameters!$D$23)*4)+1))</f>
        <v>3</v>
      </c>
      <c r="R87" s="8">
        <f>MIN(4,MAX(1,INT((1+D87/Parameters!$D$24)*4)+1))</f>
        <v>3</v>
      </c>
      <c r="S87" s="8">
        <f>MIN(4,MAX(1,INT((1+E87/Parameters!$D$25)*4)+1))</f>
        <v>3</v>
      </c>
      <c r="T87" s="8">
        <f>MAX(0,MIN(1,(1+C87/Parameters!$D$23)*4-(Q87-1)))</f>
        <v>0</v>
      </c>
      <c r="U87" s="8">
        <f>MAX(0,MIN(1,(1+D87/Parameters!$D$24)*4-(R87-1)))</f>
        <v>0</v>
      </c>
      <c r="V87" s="8">
        <f>MAX(0,MIN(1,(1+E87/Parameters!$D$25)*4-(S87-1)))</f>
        <v>0</v>
      </c>
    </row>
    <row r="88" spans="2:22" ht="22" customHeight="1">
      <c r="B88" s="8" t="str">
        <f>"R "&amp;E88</f>
        <v>R -10</v>
      </c>
      <c r="C88" s="8">
        <f>Parameters!G7</f>
        <v>-6</v>
      </c>
      <c r="D88" s="8">
        <f>Parameters!G8</f>
        <v>-5</v>
      </c>
      <c r="E88" s="8">
        <f>Parameters!G16</f>
        <v>-10</v>
      </c>
      <c r="F88" s="8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3250</v>
      </c>
      <c r="G88" s="8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8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0.85</v>
      </c>
      <c r="I88" s="8">
        <f>F88*H88</f>
        <v>2762.5</v>
      </c>
      <c r="J88" s="8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3250</v>
      </c>
      <c r="K88" s="8">
        <f>IF('LSR Sweep'!$C$4="Type-B",Parameters!$L$14,INDEX(Parameters!$D$14:$H$14,1,R88)+(INDEX(Parameters!$D$14:$H$14,1,R88+1)-INDEX(Parameters!$D$14:$H$14,1,R88))*U88)</f>
        <v>0.61</v>
      </c>
      <c r="L88" s="8">
        <f>I88+J88</f>
        <v>6012.5</v>
      </c>
      <c r="M88" s="8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2500</v>
      </c>
      <c r="N88" s="8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8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0.84000000000000008</v>
      </c>
      <c r="P88" s="8">
        <f>M88*O88</f>
        <v>2100</v>
      </c>
      <c r="Q88" s="8">
        <f>MIN(4,MAX(1,INT((1+C88/Parameters!$D$23)*4)+1))</f>
        <v>4</v>
      </c>
      <c r="R88" s="8">
        <f>MIN(4,MAX(1,INT((1+D88/Parameters!$D$24)*4)+1))</f>
        <v>4</v>
      </c>
      <c r="S88" s="8">
        <f>MIN(4,MAX(1,INT((1+E88/Parameters!$D$25)*4)+1))</f>
        <v>4</v>
      </c>
      <c r="T88" s="8">
        <f>MAX(0,MIN(1,(1+C88/Parameters!$D$23)*4-(Q88-1)))</f>
        <v>0</v>
      </c>
      <c r="U88" s="8">
        <f>MAX(0,MIN(1,(1+D88/Parameters!$D$24)*4-(R88-1)))</f>
        <v>0</v>
      </c>
      <c r="V88" s="8">
        <f>MAX(0,MIN(1,(1+E88/Parameters!$D$25)*4-(S88-1)))</f>
        <v>0</v>
      </c>
    </row>
    <row r="89" spans="2:22" ht="22" customHeight="1">
      <c r="B89" s="8" t="str">
        <f>"R "&amp;E89</f>
        <v>R 0</v>
      </c>
      <c r="C89" s="8">
        <f>Parameters!H7</f>
        <v>0</v>
      </c>
      <c r="D89" s="8">
        <f>Parameters!H8</f>
        <v>0</v>
      </c>
      <c r="E89" s="8">
        <f>Parameters!H16</f>
        <v>0</v>
      </c>
      <c r="F89" s="8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4000</v>
      </c>
      <c r="G89" s="8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8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0.86</v>
      </c>
      <c r="I89" s="8">
        <f>F89*H89</f>
        <v>3440</v>
      </c>
      <c r="J89" s="8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4000</v>
      </c>
      <c r="K89" s="8">
        <f>IF('LSR Sweep'!$C$4="Type-B",Parameters!$L$14,INDEX(Parameters!$D$14:$H$14,1,R89)+(INDEX(Parameters!$D$14:$H$14,1,R89+1)-INDEX(Parameters!$D$14:$H$14,1,R89))*U89)</f>
        <v>0.62</v>
      </c>
      <c r="L89" s="8">
        <f>I89+J89</f>
        <v>7440</v>
      </c>
      <c r="M89" s="8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3000</v>
      </c>
      <c r="N89" s="8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8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0.88</v>
      </c>
      <c r="P89" s="8">
        <f>M89*O89</f>
        <v>2640</v>
      </c>
      <c r="Q89" s="8">
        <f>MIN(4,MAX(1,INT((1+C89/Parameters!$D$23)*4)+1))</f>
        <v>4</v>
      </c>
      <c r="R89" s="8">
        <f>MIN(4,MAX(1,INT((1+D89/Parameters!$D$24)*4)+1))</f>
        <v>4</v>
      </c>
      <c r="S89" s="8">
        <f>MIN(4,MAX(1,INT((1+E89/Parameters!$D$25)*4)+1))</f>
        <v>4</v>
      </c>
      <c r="T89" s="8">
        <f>MAX(0,MIN(1,(1+C89/Parameters!$D$23)*4-(Q89-1)))</f>
        <v>1</v>
      </c>
      <c r="U89" s="8">
        <f>MAX(0,MIN(1,(1+D89/Parameters!$D$24)*4-(R89-1)))</f>
        <v>1</v>
      </c>
      <c r="V89" s="8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22" customHeight="1">
      <c r="B93" s="11" t="s">
        <v>51</v>
      </c>
      <c r="C93" s="11" t="str">
        <f>B85</f>
        <v>R -40</v>
      </c>
      <c r="D93" s="11" t="str">
        <f>B86</f>
        <v>R -30</v>
      </c>
      <c r="E93" s="11" t="str">
        <f>B87</f>
        <v>R -20</v>
      </c>
      <c r="F93" s="11" t="str">
        <f>B88</f>
        <v>R -10</v>
      </c>
      <c r="G93" s="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2" customHeight="1">
      <c r="B94" s="15">
        <v>0</v>
      </c>
      <c r="C94" s="15">
        <f t="shared" ref="C94:C114" si="10">$M$85*MIN($B94,$N$85)+$P$85*MAX(0,$B94-$N$85)</f>
        <v>0</v>
      </c>
      <c r="D94" s="15">
        <f t="shared" ref="D94:D114" si="11">$M$86*MIN($B94,$N$86)+$P$86*MAX(0,$B94-$N$86)</f>
        <v>0</v>
      </c>
      <c r="E94" s="15">
        <f t="shared" ref="E94:E114" si="12">$M$87*MIN($B94,$N$87)+$P$87*MAX(0,$B94-$N$87)</f>
        <v>0</v>
      </c>
      <c r="F94" s="15">
        <f t="shared" ref="F94:F114" si="13">$M$88*MIN($B94,$N$88)+$P$88*MAX(0,$B94-$N$88)</f>
        <v>0</v>
      </c>
      <c r="G94" s="15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2" customHeight="1">
      <c r="B95" s="15">
        <v>0.05</v>
      </c>
      <c r="C95" s="15">
        <f t="shared" si="10"/>
        <v>50</v>
      </c>
      <c r="D95" s="15">
        <f t="shared" si="11"/>
        <v>75</v>
      </c>
      <c r="E95" s="15">
        <f t="shared" si="12"/>
        <v>100</v>
      </c>
      <c r="F95" s="15">
        <f t="shared" si="13"/>
        <v>125</v>
      </c>
      <c r="G95" s="15">
        <f t="shared" si="14"/>
        <v>150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2" customHeight="1">
      <c r="B96" s="15">
        <v>0.1</v>
      </c>
      <c r="C96" s="15">
        <f t="shared" si="10"/>
        <v>100</v>
      </c>
      <c r="D96" s="15">
        <f t="shared" si="11"/>
        <v>150</v>
      </c>
      <c r="E96" s="15">
        <f t="shared" si="12"/>
        <v>200</v>
      </c>
      <c r="F96" s="15">
        <f t="shared" si="13"/>
        <v>250</v>
      </c>
      <c r="G96" s="15">
        <f t="shared" si="14"/>
        <v>300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2" customHeight="1">
      <c r="B97" s="15">
        <v>0.15</v>
      </c>
      <c r="C97" s="15">
        <f t="shared" si="10"/>
        <v>150</v>
      </c>
      <c r="D97" s="15">
        <f t="shared" si="11"/>
        <v>225</v>
      </c>
      <c r="E97" s="15">
        <f t="shared" si="12"/>
        <v>300</v>
      </c>
      <c r="F97" s="15">
        <f t="shared" si="13"/>
        <v>375</v>
      </c>
      <c r="G97" s="15">
        <f t="shared" si="14"/>
        <v>450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2" customHeight="1">
      <c r="B98" s="15">
        <v>0.2</v>
      </c>
      <c r="C98" s="15">
        <f t="shared" si="10"/>
        <v>200</v>
      </c>
      <c r="D98" s="15">
        <f t="shared" si="11"/>
        <v>300</v>
      </c>
      <c r="E98" s="15">
        <f t="shared" si="12"/>
        <v>400</v>
      </c>
      <c r="F98" s="15">
        <f t="shared" si="13"/>
        <v>500</v>
      </c>
      <c r="G98" s="15">
        <f t="shared" si="14"/>
        <v>600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2" customHeight="1">
      <c r="B99" s="15">
        <v>0.25</v>
      </c>
      <c r="C99" s="15">
        <f t="shared" si="10"/>
        <v>244.4</v>
      </c>
      <c r="D99" s="15">
        <f t="shared" si="11"/>
        <v>375</v>
      </c>
      <c r="E99" s="15">
        <f t="shared" si="12"/>
        <v>500</v>
      </c>
      <c r="F99" s="15">
        <f t="shared" si="13"/>
        <v>625</v>
      </c>
      <c r="G99" s="15">
        <f t="shared" si="14"/>
        <v>750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2" customHeight="1">
      <c r="B100" s="15">
        <v>0.3</v>
      </c>
      <c r="C100" s="15">
        <f t="shared" si="10"/>
        <v>280.39999999999998</v>
      </c>
      <c r="D100" s="15">
        <f t="shared" si="11"/>
        <v>433.79999999999995</v>
      </c>
      <c r="E100" s="15">
        <f t="shared" si="12"/>
        <v>591.99999999999989</v>
      </c>
      <c r="F100" s="15">
        <f t="shared" si="13"/>
        <v>750</v>
      </c>
      <c r="G100" s="15">
        <f t="shared" si="14"/>
        <v>900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2" customHeight="1">
      <c r="B101" s="15">
        <v>0.35</v>
      </c>
      <c r="C101" s="15">
        <f t="shared" si="10"/>
        <v>316.39999999999998</v>
      </c>
      <c r="D101" s="15">
        <f t="shared" si="11"/>
        <v>490.79999999999995</v>
      </c>
      <c r="E101" s="15">
        <f t="shared" si="12"/>
        <v>671.99999999999989</v>
      </c>
      <c r="F101" s="15">
        <f t="shared" si="13"/>
        <v>857</v>
      </c>
      <c r="G101" s="15">
        <f t="shared" si="14"/>
        <v>1042.8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2" customHeight="1">
      <c r="B102" s="15">
        <v>0.4</v>
      </c>
      <c r="C102" s="15">
        <f t="shared" si="10"/>
        <v>352.4</v>
      </c>
      <c r="D102" s="15">
        <f t="shared" si="11"/>
        <v>547.79999999999995</v>
      </c>
      <c r="E102" s="15">
        <f t="shared" si="12"/>
        <v>752</v>
      </c>
      <c r="F102" s="15">
        <f t="shared" si="13"/>
        <v>962</v>
      </c>
      <c r="G102" s="15">
        <f t="shared" si="14"/>
        <v>1174.8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2" customHeight="1">
      <c r="B103" s="15">
        <v>0.45</v>
      </c>
      <c r="C103" s="15">
        <f t="shared" si="10"/>
        <v>388.4</v>
      </c>
      <c r="D103" s="15">
        <f t="shared" si="11"/>
        <v>604.79999999999995</v>
      </c>
      <c r="E103" s="15">
        <f t="shared" si="12"/>
        <v>832</v>
      </c>
      <c r="F103" s="15">
        <f t="shared" si="13"/>
        <v>1067</v>
      </c>
      <c r="G103" s="15">
        <f t="shared" si="14"/>
        <v>1306.8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2" customHeight="1">
      <c r="B104" s="15">
        <v>0.5</v>
      </c>
      <c r="C104" s="15">
        <f t="shared" si="10"/>
        <v>424.4</v>
      </c>
      <c r="D104" s="15">
        <f t="shared" si="11"/>
        <v>661.8</v>
      </c>
      <c r="E104" s="15">
        <f t="shared" si="12"/>
        <v>912</v>
      </c>
      <c r="F104" s="15">
        <f t="shared" si="13"/>
        <v>1172</v>
      </c>
      <c r="G104" s="15">
        <f t="shared" si="14"/>
        <v>1438.8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2" customHeight="1">
      <c r="B105" s="15">
        <v>0.55000000000000004</v>
      </c>
      <c r="C105" s="15">
        <f t="shared" si="10"/>
        <v>460.40000000000003</v>
      </c>
      <c r="D105" s="15">
        <f t="shared" si="11"/>
        <v>718.80000000000007</v>
      </c>
      <c r="E105" s="15">
        <f t="shared" si="12"/>
        <v>992</v>
      </c>
      <c r="F105" s="15">
        <f t="shared" si="13"/>
        <v>1277</v>
      </c>
      <c r="G105" s="15">
        <f t="shared" si="14"/>
        <v>1570.8000000000002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2" customHeight="1">
      <c r="B106" s="15">
        <v>0.6</v>
      </c>
      <c r="C106" s="15">
        <f t="shared" si="10"/>
        <v>496.4</v>
      </c>
      <c r="D106" s="15">
        <f t="shared" si="11"/>
        <v>775.8</v>
      </c>
      <c r="E106" s="15">
        <f t="shared" si="12"/>
        <v>1072</v>
      </c>
      <c r="F106" s="15">
        <f t="shared" si="13"/>
        <v>1382</v>
      </c>
      <c r="G106" s="15">
        <f t="shared" si="14"/>
        <v>1702.8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2" customHeight="1">
      <c r="B107" s="15">
        <v>0.65</v>
      </c>
      <c r="C107" s="15">
        <f t="shared" si="10"/>
        <v>532.40000000000009</v>
      </c>
      <c r="D107" s="15">
        <f t="shared" si="11"/>
        <v>832.8</v>
      </c>
      <c r="E107" s="15">
        <f t="shared" si="12"/>
        <v>1152</v>
      </c>
      <c r="F107" s="15">
        <f t="shared" si="13"/>
        <v>1487</v>
      </c>
      <c r="G107" s="15">
        <f t="shared" si="14"/>
        <v>1834.8000000000002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2" customHeight="1">
      <c r="B108" s="15">
        <v>0.7</v>
      </c>
      <c r="C108" s="15">
        <f t="shared" si="10"/>
        <v>568.4</v>
      </c>
      <c r="D108" s="15">
        <f t="shared" si="11"/>
        <v>889.8</v>
      </c>
      <c r="E108" s="15">
        <f t="shared" si="12"/>
        <v>1232</v>
      </c>
      <c r="F108" s="15">
        <f t="shared" si="13"/>
        <v>1592</v>
      </c>
      <c r="G108" s="15">
        <f t="shared" si="14"/>
        <v>1966.7999999999997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2" customHeight="1">
      <c r="B109" s="15">
        <v>0.75</v>
      </c>
      <c r="C109" s="15">
        <f t="shared" si="10"/>
        <v>604.40000000000009</v>
      </c>
      <c r="D109" s="15">
        <f t="shared" si="11"/>
        <v>946.8</v>
      </c>
      <c r="E109" s="15">
        <f t="shared" si="12"/>
        <v>1312</v>
      </c>
      <c r="F109" s="15">
        <f t="shared" si="13"/>
        <v>1697</v>
      </c>
      <c r="G109" s="15">
        <f t="shared" si="14"/>
        <v>2098.8000000000002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2" customHeight="1">
      <c r="B110" s="15">
        <v>0.8</v>
      </c>
      <c r="C110" s="15">
        <f t="shared" si="10"/>
        <v>640.40000000000009</v>
      </c>
      <c r="D110" s="15">
        <f t="shared" si="11"/>
        <v>1003.8000000000001</v>
      </c>
      <c r="E110" s="15">
        <f t="shared" si="12"/>
        <v>1392</v>
      </c>
      <c r="F110" s="15">
        <f t="shared" si="13"/>
        <v>1802</v>
      </c>
      <c r="G110" s="15">
        <f t="shared" si="14"/>
        <v>2230.8000000000002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2" customHeight="1">
      <c r="B111" s="15">
        <v>0.85</v>
      </c>
      <c r="C111" s="15">
        <f t="shared" si="10"/>
        <v>676.4</v>
      </c>
      <c r="D111" s="15">
        <f t="shared" si="11"/>
        <v>1060.8</v>
      </c>
      <c r="E111" s="15">
        <f t="shared" si="12"/>
        <v>1472</v>
      </c>
      <c r="F111" s="15">
        <f t="shared" si="13"/>
        <v>1907</v>
      </c>
      <c r="G111" s="15">
        <f t="shared" si="14"/>
        <v>2362.8000000000002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2" customHeight="1">
      <c r="B112" s="15">
        <v>0.9</v>
      </c>
      <c r="C112" s="15">
        <f t="shared" si="10"/>
        <v>712.40000000000009</v>
      </c>
      <c r="D112" s="15">
        <f t="shared" si="11"/>
        <v>1117.8000000000002</v>
      </c>
      <c r="E112" s="15">
        <f t="shared" si="12"/>
        <v>1552</v>
      </c>
      <c r="F112" s="15">
        <f t="shared" si="13"/>
        <v>2012</v>
      </c>
      <c r="G112" s="15">
        <f t="shared" si="14"/>
        <v>2494.8000000000002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2" customHeight="1">
      <c r="B113" s="15">
        <v>0.95</v>
      </c>
      <c r="C113" s="15">
        <f t="shared" si="10"/>
        <v>748.4</v>
      </c>
      <c r="D113" s="15">
        <f t="shared" si="11"/>
        <v>1174.8</v>
      </c>
      <c r="E113" s="15">
        <f t="shared" si="12"/>
        <v>1632</v>
      </c>
      <c r="F113" s="15">
        <f t="shared" si="13"/>
        <v>2117</v>
      </c>
      <c r="G113" s="15">
        <f t="shared" si="14"/>
        <v>2626.7999999999997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2" customHeight="1">
      <c r="B114" s="15">
        <v>1</v>
      </c>
      <c r="C114" s="15">
        <f t="shared" si="10"/>
        <v>784.4</v>
      </c>
      <c r="D114" s="15">
        <f t="shared" si="11"/>
        <v>1231.8</v>
      </c>
      <c r="E114" s="15">
        <f t="shared" si="12"/>
        <v>1712</v>
      </c>
      <c r="F114" s="15">
        <f t="shared" si="13"/>
        <v>2222</v>
      </c>
      <c r="G114" s="15">
        <f t="shared" si="14"/>
        <v>2758.7999999999997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22" customHeight="1">
      <c r="B121" s="29" t="s">
        <v>79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35" customHeight="1">
      <c r="B124" s="13" t="s">
        <v>63</v>
      </c>
      <c r="C124" s="13" t="s">
        <v>64</v>
      </c>
      <c r="D124" s="13" t="s">
        <v>65</v>
      </c>
      <c r="E124" s="13" t="s">
        <v>66</v>
      </c>
      <c r="F124" s="13" t="s">
        <v>21</v>
      </c>
      <c r="G124" s="13" t="s">
        <v>82</v>
      </c>
      <c r="H124" s="13" t="s">
        <v>67</v>
      </c>
      <c r="I124" s="13" t="s">
        <v>57</v>
      </c>
      <c r="J124" s="13" t="s">
        <v>68</v>
      </c>
      <c r="K124" s="13" t="s">
        <v>83</v>
      </c>
      <c r="L124" s="13" t="s">
        <v>69</v>
      </c>
      <c r="M124" s="13" t="s">
        <v>28</v>
      </c>
      <c r="N124" s="13" t="s">
        <v>29</v>
      </c>
      <c r="O124" s="13" t="s">
        <v>70</v>
      </c>
      <c r="P124" s="13" t="s">
        <v>60</v>
      </c>
      <c r="Q124" s="13" t="s">
        <v>71</v>
      </c>
      <c r="R124" s="13" t="s">
        <v>72</v>
      </c>
      <c r="S124" s="13" t="s">
        <v>73</v>
      </c>
      <c r="T124" s="13" t="s">
        <v>74</v>
      </c>
      <c r="U124" s="13" t="s">
        <v>75</v>
      </c>
      <c r="V124" s="13" t="s">
        <v>76</v>
      </c>
    </row>
    <row r="125" spans="2:22" ht="22" customHeight="1">
      <c r="B125" s="8" t="str">
        <f>"c "&amp;C125&amp;" / C "&amp;D125</f>
        <v>c -24 / C -20</v>
      </c>
      <c r="C125" s="8">
        <f>Parameters!D7</f>
        <v>-24</v>
      </c>
      <c r="D125" s="8">
        <f>Parameters!D8</f>
        <v>-20</v>
      </c>
      <c r="E125" s="8">
        <f>Parameters!D16</f>
        <v>-40</v>
      </c>
      <c r="F125" s="8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1800</v>
      </c>
      <c r="G125" s="8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0.25</v>
      </c>
      <c r="H125" s="8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0.48</v>
      </c>
      <c r="I125" s="8">
        <f>F125*H125</f>
        <v>864</v>
      </c>
      <c r="J125" s="8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500</v>
      </c>
      <c r="K125" s="8">
        <f>IF('Full Sweep'!$C$4="Type-B",Parameters!$L$14,INDEX(Parameters!$D$14:$H$14,1,R125)+(INDEX(Parameters!$D$14:$H$14,1,R125+1)-INDEX(Parameters!$D$14:$H$14,1,R125))*U125)</f>
        <v>0.6</v>
      </c>
      <c r="L125" s="8">
        <f>I125+J125</f>
        <v>1364</v>
      </c>
      <c r="M125" s="8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1500</v>
      </c>
      <c r="N125" s="8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</v>
      </c>
      <c r="O125" s="8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0.5</v>
      </c>
      <c r="P125" s="8">
        <f>M125*O125</f>
        <v>750</v>
      </c>
      <c r="Q125" s="8">
        <f>MIN(4,MAX(1,INT((1+C125/Parameters!$D$23)*4)+1))</f>
        <v>1</v>
      </c>
      <c r="R125" s="8">
        <f>MIN(4,MAX(1,INT((1+D125/Parameters!$D$24)*4)+1))</f>
        <v>1</v>
      </c>
      <c r="S125" s="8">
        <f>MIN(4,MAX(1,INT((1+E125/Parameters!$D$25)*4)+1))</f>
        <v>1</v>
      </c>
      <c r="T125" s="8">
        <f>MAX(0,MIN(1,(1+C125/Parameters!$D$23)*4-(Q125-1)))</f>
        <v>0</v>
      </c>
      <c r="U125" s="8">
        <f>MAX(0,MIN(1,(1+D125/Parameters!$D$24)*4-(R125-1)))</f>
        <v>0</v>
      </c>
      <c r="V125" s="8">
        <f>MAX(0,MIN(1,(1+E125/Parameters!$D$25)*4-(S125-1)))</f>
        <v>0</v>
      </c>
    </row>
    <row r="126" spans="2:22" ht="22" customHeight="1">
      <c r="B126" s="8" t="str">
        <f>"c "&amp;C126&amp;" / C "&amp;D126</f>
        <v>c -18 / C -15</v>
      </c>
      <c r="C126" s="8">
        <f>Parameters!E7</f>
        <v>-18</v>
      </c>
      <c r="D126" s="8">
        <f>Parameters!E8</f>
        <v>-15</v>
      </c>
      <c r="E126" s="8">
        <f>Parameters!E16</f>
        <v>-30</v>
      </c>
      <c r="F126" s="8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2400</v>
      </c>
      <c r="G126" s="8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0.3</v>
      </c>
      <c r="H126" s="8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0.5</v>
      </c>
      <c r="I126" s="8">
        <f>F126*H126</f>
        <v>1200</v>
      </c>
      <c r="J126" s="8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500</v>
      </c>
      <c r="K126" s="8">
        <f>IF('Full Sweep'!$C$4="Type-B",Parameters!$L$14,INDEX(Parameters!$D$14:$H$14,1,R126)+(INDEX(Parameters!$D$14:$H$14,1,R126+1)-INDEX(Parameters!$D$14:$H$14,1,R126))*U126)</f>
        <v>0.6</v>
      </c>
      <c r="L126" s="8">
        <f>I126+J126</f>
        <v>1700</v>
      </c>
      <c r="M126" s="8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2000</v>
      </c>
      <c r="N126" s="8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0.22500000000000001</v>
      </c>
      <c r="O126" s="8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0.54</v>
      </c>
      <c r="P126" s="8">
        <f>M126*O126</f>
        <v>1080</v>
      </c>
      <c r="Q126" s="8">
        <f>MIN(4,MAX(1,INT((1+C126/Parameters!$D$23)*4)+1))</f>
        <v>2</v>
      </c>
      <c r="R126" s="8">
        <f>MIN(4,MAX(1,INT((1+D126/Parameters!$D$24)*4)+1))</f>
        <v>2</v>
      </c>
      <c r="S126" s="8">
        <f>MIN(4,MAX(1,INT((1+E126/Parameters!$D$25)*4)+1))</f>
        <v>2</v>
      </c>
      <c r="T126" s="8">
        <f>MAX(0,MIN(1,(1+C126/Parameters!$D$23)*4-(Q126-1)))</f>
        <v>0</v>
      </c>
      <c r="U126" s="8">
        <f>MAX(0,MIN(1,(1+D126/Parameters!$D$24)*4-(R126-1)))</f>
        <v>0</v>
      </c>
      <c r="V126" s="8">
        <f>MAX(0,MIN(1,(1+E126/Parameters!$D$25)*4-(S126-1)))</f>
        <v>0</v>
      </c>
    </row>
    <row r="127" spans="2:22" ht="22" customHeight="1">
      <c r="B127" s="8" t="str">
        <f>"c "&amp;C127&amp;" / C "&amp;D127</f>
        <v>c -12 / C -10</v>
      </c>
      <c r="C127" s="8">
        <f>Parameters!F7</f>
        <v>-12</v>
      </c>
      <c r="D127" s="8">
        <f>Parameters!F8</f>
        <v>-10</v>
      </c>
      <c r="E127" s="8">
        <f>Parameters!F16</f>
        <v>-20</v>
      </c>
      <c r="F127" s="8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3000</v>
      </c>
      <c r="G127" s="8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0.35</v>
      </c>
      <c r="H127" s="8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0.52</v>
      </c>
      <c r="I127" s="8">
        <f>F127*H127</f>
        <v>1560</v>
      </c>
      <c r="J127" s="8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500</v>
      </c>
      <c r="K127" s="8">
        <f>IF('Full Sweep'!$C$4="Type-B",Parameters!$L$14,INDEX(Parameters!$D$14:$H$14,1,R127)+(INDEX(Parameters!$D$14:$H$14,1,R127+1)-INDEX(Parameters!$D$14:$H$14,1,R127))*U127)</f>
        <v>0.6</v>
      </c>
      <c r="L127" s="8">
        <f>I127+J127</f>
        <v>2060</v>
      </c>
      <c r="M127" s="8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2500</v>
      </c>
      <c r="N127" s="8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8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0.57999999999999996</v>
      </c>
      <c r="P127" s="8">
        <f>M127*O127</f>
        <v>1450</v>
      </c>
      <c r="Q127" s="8">
        <f>MIN(4,MAX(1,INT((1+C127/Parameters!$D$23)*4)+1))</f>
        <v>3</v>
      </c>
      <c r="R127" s="8">
        <f>MIN(4,MAX(1,INT((1+D127/Parameters!$D$24)*4)+1))</f>
        <v>3</v>
      </c>
      <c r="S127" s="8">
        <f>MIN(4,MAX(1,INT((1+E127/Parameters!$D$25)*4)+1))</f>
        <v>3</v>
      </c>
      <c r="T127" s="8">
        <f>MAX(0,MIN(1,(1+C127/Parameters!$D$23)*4-(Q127-1)))</f>
        <v>0</v>
      </c>
      <c r="U127" s="8">
        <f>MAX(0,MIN(1,(1+D127/Parameters!$D$24)*4-(R127-1)))</f>
        <v>0</v>
      </c>
      <c r="V127" s="8">
        <f>MAX(0,MIN(1,(1+E127/Parameters!$D$25)*4-(S127-1)))</f>
        <v>0</v>
      </c>
    </row>
    <row r="128" spans="2:22" ht="22" customHeight="1">
      <c r="B128" s="8" t="str">
        <f>"c "&amp;C128&amp;" / C "&amp;D128</f>
        <v>c -6 / C -5</v>
      </c>
      <c r="C128" s="8">
        <f>Parameters!G7</f>
        <v>-6</v>
      </c>
      <c r="D128" s="8">
        <f>Parameters!G8</f>
        <v>-5</v>
      </c>
      <c r="E128" s="8">
        <f>Parameters!G16</f>
        <v>-10</v>
      </c>
      <c r="F128" s="8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3600</v>
      </c>
      <c r="G128" s="8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0.4</v>
      </c>
      <c r="H128" s="8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0.54</v>
      </c>
      <c r="I128" s="8">
        <f>F128*H128</f>
        <v>1944.0000000000002</v>
      </c>
      <c r="J128" s="8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500</v>
      </c>
      <c r="K128" s="8">
        <f>IF('Full Sweep'!$C$4="Type-B",Parameters!$L$14,INDEX(Parameters!$D$14:$H$14,1,R128)+(INDEX(Parameters!$D$14:$H$14,1,R128+1)-INDEX(Parameters!$D$14:$H$14,1,R128))*U128)</f>
        <v>0.6</v>
      </c>
      <c r="L128" s="8">
        <f>I128+J128</f>
        <v>2444</v>
      </c>
      <c r="M128" s="8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3000</v>
      </c>
      <c r="N128" s="8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0.27500000000000002</v>
      </c>
      <c r="O128" s="8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0.62</v>
      </c>
      <c r="P128" s="8">
        <f>M128*O128</f>
        <v>1860</v>
      </c>
      <c r="Q128" s="8">
        <f>MIN(4,MAX(1,INT((1+C128/Parameters!$D$23)*4)+1))</f>
        <v>4</v>
      </c>
      <c r="R128" s="8">
        <f>MIN(4,MAX(1,INT((1+D128/Parameters!$D$24)*4)+1))</f>
        <v>4</v>
      </c>
      <c r="S128" s="8">
        <f>MIN(4,MAX(1,INT((1+E128/Parameters!$D$25)*4)+1))</f>
        <v>4</v>
      </c>
      <c r="T128" s="8">
        <f>MAX(0,MIN(1,(1+C128/Parameters!$D$23)*4-(Q128-1)))</f>
        <v>0</v>
      </c>
      <c r="U128" s="8">
        <f>MAX(0,MIN(1,(1+D128/Parameters!$D$24)*4-(R128-1)))</f>
        <v>0</v>
      </c>
      <c r="V128" s="8">
        <f>MAX(0,MIN(1,(1+E128/Parameters!$D$25)*4-(S128-1)))</f>
        <v>0</v>
      </c>
    </row>
    <row r="129" spans="2:22" ht="22" customHeight="1">
      <c r="B129" s="8" t="str">
        <f>"c "&amp;C129&amp;" / C "&amp;D129</f>
        <v>c 0 / C 0</v>
      </c>
      <c r="C129" s="8">
        <f>Parameters!H7</f>
        <v>0</v>
      </c>
      <c r="D129" s="8">
        <f>Parameters!H8</f>
        <v>0</v>
      </c>
      <c r="E129" s="8">
        <f>Parameters!H16</f>
        <v>0</v>
      </c>
      <c r="F129" s="8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4200</v>
      </c>
      <c r="G129" s="8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0.45</v>
      </c>
      <c r="H129" s="8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0.56000000000000005</v>
      </c>
      <c r="I129" s="8">
        <f>F129*H129</f>
        <v>2352</v>
      </c>
      <c r="J129" s="8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500</v>
      </c>
      <c r="K129" s="8">
        <f>IF('Full Sweep'!$C$4="Type-B",Parameters!$L$14,INDEX(Parameters!$D$14:$H$14,1,R129)+(INDEX(Parameters!$D$14:$H$14,1,R129+1)-INDEX(Parameters!$D$14:$H$14,1,R129))*U129)</f>
        <v>0.6</v>
      </c>
      <c r="L129" s="8">
        <f>I129+J129</f>
        <v>2852</v>
      </c>
      <c r="M129" s="8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3500</v>
      </c>
      <c r="N129" s="8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</v>
      </c>
      <c r="O129" s="8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0.66</v>
      </c>
      <c r="P129" s="8">
        <f>M129*O129</f>
        <v>2310</v>
      </c>
      <c r="Q129" s="8">
        <f>MIN(4,MAX(1,INT((1+C129/Parameters!$D$23)*4)+1))</f>
        <v>4</v>
      </c>
      <c r="R129" s="8">
        <f>MIN(4,MAX(1,INT((1+D129/Parameters!$D$24)*4)+1))</f>
        <v>4</v>
      </c>
      <c r="S129" s="8">
        <f>MIN(4,MAX(1,INT((1+E129/Parameters!$D$25)*4)+1))</f>
        <v>4</v>
      </c>
      <c r="T129" s="8">
        <f>MAX(0,MIN(1,(1+C129/Parameters!$D$23)*4-(Q129-1)))</f>
        <v>1</v>
      </c>
      <c r="U129" s="8">
        <f>MAX(0,MIN(1,(1+D129/Parameters!$D$24)*4-(R129-1)))</f>
        <v>1</v>
      </c>
      <c r="V129" s="8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22" customHeight="1">
      <c r="B133" s="11" t="s">
        <v>51</v>
      </c>
      <c r="C133" s="11" t="str">
        <f>B125</f>
        <v>c -24 / C -20</v>
      </c>
      <c r="D133" s="11" t="str">
        <f>B126</f>
        <v>c -18 / C -15</v>
      </c>
      <c r="E133" s="11" t="str">
        <f>B127</f>
        <v>c -12 / C -10</v>
      </c>
      <c r="F133" s="11" t="str">
        <f>B128</f>
        <v>c -6 / C -5</v>
      </c>
      <c r="G133" s="11" t="str">
        <f>B129</f>
        <v>c 0 / C 0</v>
      </c>
      <c r="H133" s="11" t="str">
        <f>"R "&amp;E125</f>
        <v>R -40</v>
      </c>
      <c r="I133" s="11" t="str">
        <f>"R "&amp;E126</f>
        <v>R -30</v>
      </c>
      <c r="J133" s="11" t="str">
        <f>"R "&amp;E127</f>
        <v>R -20</v>
      </c>
      <c r="K133" s="11" t="str">
        <f>"R "&amp;E128</f>
        <v>R -10</v>
      </c>
      <c r="L133" s="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2" customHeight="1">
      <c r="B134" s="15">
        <v>0</v>
      </c>
      <c r="C134" s="15">
        <f t="shared" ref="C134:C154" si="15">$F$125*MIN($B134,$G$125)+$I$125*MAX(0,$B134-$G$125)+$J$125*MAX(0,$B134-$K$125)</f>
        <v>0</v>
      </c>
      <c r="D134" s="15">
        <f t="shared" ref="D134:D154" si="16">$F$126*MIN($B134,$G$126)+$I$126*MAX(0,$B134-$G$126)+$J$126*MAX(0,$B134-$K$126)</f>
        <v>0</v>
      </c>
      <c r="E134" s="15">
        <f t="shared" ref="E134:E154" si="17">$F$127*MIN($B134,$G$127)+$I$127*MAX(0,$B134-$G$127)+$J$127*MAX(0,$B134-$K$127)</f>
        <v>0</v>
      </c>
      <c r="F134" s="15">
        <f t="shared" ref="F134:F154" si="18">$F$128*MIN($B134,$G$128)+$I$128*MAX(0,$B134-$G$128)+$J$128*MAX(0,$B134-$K$128)</f>
        <v>0</v>
      </c>
      <c r="G134" s="15">
        <f t="shared" ref="G134:G154" si="19">$F$129*MIN($B134,$G$129)+$I$129*MAX(0,$B134-$G$129)+$J$129*MAX(0,$B134-$K$129)</f>
        <v>0</v>
      </c>
      <c r="H134" s="15">
        <f t="shared" ref="H134:H154" si="20">-($M$125*MIN($B134,$N$125)+$P$125*MAX(0,$B134-$N$125))</f>
        <v>0</v>
      </c>
      <c r="I134" s="15">
        <f t="shared" ref="I134:I154" si="21">-($M$126*MIN($B134,$N$126)+$P$126*MAX(0,$B134-$N$126))</f>
        <v>0</v>
      </c>
      <c r="J134" s="15">
        <f t="shared" ref="J134:J154" si="22">-($M$127*MIN($B134,$N$127)+$P$127*MAX(0,$B134-$N$127))</f>
        <v>0</v>
      </c>
      <c r="K134" s="15">
        <f t="shared" ref="K134:K154" si="23">-($M$128*MIN($B134,$N$128)+$P$128*MAX(0,$B134-$N$128))</f>
        <v>0</v>
      </c>
      <c r="L134" s="15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2" customHeight="1">
      <c r="B135" s="15">
        <v>0.05</v>
      </c>
      <c r="C135" s="15">
        <f t="shared" si="15"/>
        <v>90</v>
      </c>
      <c r="D135" s="15">
        <f t="shared" si="16"/>
        <v>120</v>
      </c>
      <c r="E135" s="15">
        <f t="shared" si="17"/>
        <v>150</v>
      </c>
      <c r="F135" s="15">
        <f t="shared" si="18"/>
        <v>180</v>
      </c>
      <c r="G135" s="15">
        <f t="shared" si="19"/>
        <v>210</v>
      </c>
      <c r="H135" s="15">
        <f t="shared" si="20"/>
        <v>-75</v>
      </c>
      <c r="I135" s="15">
        <f t="shared" si="21"/>
        <v>-100</v>
      </c>
      <c r="J135" s="15">
        <f t="shared" si="22"/>
        <v>-125</v>
      </c>
      <c r="K135" s="15">
        <f t="shared" si="23"/>
        <v>-150</v>
      </c>
      <c r="L135" s="15">
        <f t="shared" si="24"/>
        <v>-175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2" customHeight="1">
      <c r="B136" s="15">
        <v>0.1</v>
      </c>
      <c r="C136" s="15">
        <f t="shared" si="15"/>
        <v>180</v>
      </c>
      <c r="D136" s="15">
        <f t="shared" si="16"/>
        <v>240</v>
      </c>
      <c r="E136" s="15">
        <f t="shared" si="17"/>
        <v>300</v>
      </c>
      <c r="F136" s="15">
        <f t="shared" si="18"/>
        <v>360</v>
      </c>
      <c r="G136" s="15">
        <f t="shared" si="19"/>
        <v>420</v>
      </c>
      <c r="H136" s="15">
        <f t="shared" si="20"/>
        <v>-150</v>
      </c>
      <c r="I136" s="15">
        <f t="shared" si="21"/>
        <v>-200</v>
      </c>
      <c r="J136" s="15">
        <f t="shared" si="22"/>
        <v>-250</v>
      </c>
      <c r="K136" s="15">
        <f t="shared" si="23"/>
        <v>-300</v>
      </c>
      <c r="L136" s="15">
        <f t="shared" si="24"/>
        <v>-350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2" customHeight="1">
      <c r="B137" s="15">
        <v>0.15</v>
      </c>
      <c r="C137" s="15">
        <f t="shared" si="15"/>
        <v>270</v>
      </c>
      <c r="D137" s="15">
        <f t="shared" si="16"/>
        <v>360</v>
      </c>
      <c r="E137" s="15">
        <f t="shared" si="17"/>
        <v>450</v>
      </c>
      <c r="F137" s="15">
        <f t="shared" si="18"/>
        <v>540</v>
      </c>
      <c r="G137" s="15">
        <f t="shared" si="19"/>
        <v>630</v>
      </c>
      <c r="H137" s="15">
        <f t="shared" si="20"/>
        <v>-225</v>
      </c>
      <c r="I137" s="15">
        <f t="shared" si="21"/>
        <v>-300</v>
      </c>
      <c r="J137" s="15">
        <f t="shared" si="22"/>
        <v>-375</v>
      </c>
      <c r="K137" s="15">
        <f t="shared" si="23"/>
        <v>-450</v>
      </c>
      <c r="L137" s="15">
        <f t="shared" si="24"/>
        <v>-525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2" customHeight="1">
      <c r="B138" s="15">
        <v>0.2</v>
      </c>
      <c r="C138" s="15">
        <f t="shared" si="15"/>
        <v>360</v>
      </c>
      <c r="D138" s="15">
        <f t="shared" si="16"/>
        <v>480</v>
      </c>
      <c r="E138" s="15">
        <f t="shared" si="17"/>
        <v>600</v>
      </c>
      <c r="F138" s="15">
        <f t="shared" si="18"/>
        <v>720</v>
      </c>
      <c r="G138" s="15">
        <f t="shared" si="19"/>
        <v>840</v>
      </c>
      <c r="H138" s="15">
        <f t="shared" si="20"/>
        <v>-300</v>
      </c>
      <c r="I138" s="15">
        <f t="shared" si="21"/>
        <v>-400</v>
      </c>
      <c r="J138" s="15">
        <f t="shared" si="22"/>
        <v>-500</v>
      </c>
      <c r="K138" s="15">
        <f t="shared" si="23"/>
        <v>-600</v>
      </c>
      <c r="L138" s="15">
        <f t="shared" si="24"/>
        <v>-700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2" customHeight="1">
      <c r="B139" s="15">
        <v>0.25</v>
      </c>
      <c r="C139" s="15">
        <f t="shared" si="15"/>
        <v>450</v>
      </c>
      <c r="D139" s="15">
        <f t="shared" si="16"/>
        <v>600</v>
      </c>
      <c r="E139" s="15">
        <f t="shared" si="17"/>
        <v>750</v>
      </c>
      <c r="F139" s="15">
        <f t="shared" si="18"/>
        <v>900</v>
      </c>
      <c r="G139" s="15">
        <f t="shared" si="19"/>
        <v>1050</v>
      </c>
      <c r="H139" s="15">
        <f t="shared" si="20"/>
        <v>-337.5</v>
      </c>
      <c r="I139" s="15">
        <f t="shared" si="21"/>
        <v>-477</v>
      </c>
      <c r="J139" s="15">
        <f t="shared" si="22"/>
        <v>-625</v>
      </c>
      <c r="K139" s="15">
        <f t="shared" si="23"/>
        <v>-750</v>
      </c>
      <c r="L139" s="15">
        <f t="shared" si="24"/>
        <v>-875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2" customHeight="1">
      <c r="B140" s="15">
        <v>0.3</v>
      </c>
      <c r="C140" s="15">
        <f t="shared" si="15"/>
        <v>493.2</v>
      </c>
      <c r="D140" s="15">
        <f t="shared" si="16"/>
        <v>720</v>
      </c>
      <c r="E140" s="15">
        <f t="shared" si="17"/>
        <v>900</v>
      </c>
      <c r="F140" s="15">
        <f t="shared" si="18"/>
        <v>1080</v>
      </c>
      <c r="G140" s="15">
        <f t="shared" si="19"/>
        <v>1260</v>
      </c>
      <c r="H140" s="15">
        <f t="shared" si="20"/>
        <v>-375</v>
      </c>
      <c r="I140" s="15">
        <f t="shared" si="21"/>
        <v>-531</v>
      </c>
      <c r="J140" s="15">
        <f t="shared" si="22"/>
        <v>-697.5</v>
      </c>
      <c r="K140" s="15">
        <f t="shared" si="23"/>
        <v>-871.5</v>
      </c>
      <c r="L140" s="15">
        <f t="shared" si="24"/>
        <v>-1050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2" customHeight="1">
      <c r="B141" s="15">
        <v>0.35</v>
      </c>
      <c r="C141" s="15">
        <f t="shared" si="15"/>
        <v>536.4</v>
      </c>
      <c r="D141" s="15">
        <f t="shared" si="16"/>
        <v>780</v>
      </c>
      <c r="E141" s="15">
        <f t="shared" si="17"/>
        <v>1050</v>
      </c>
      <c r="F141" s="15">
        <f t="shared" si="18"/>
        <v>1260</v>
      </c>
      <c r="G141" s="15">
        <f t="shared" si="19"/>
        <v>1470</v>
      </c>
      <c r="H141" s="15">
        <f t="shared" si="20"/>
        <v>-412.5</v>
      </c>
      <c r="I141" s="15">
        <f t="shared" si="21"/>
        <v>-585</v>
      </c>
      <c r="J141" s="15">
        <f t="shared" si="22"/>
        <v>-770</v>
      </c>
      <c r="K141" s="15">
        <f t="shared" si="23"/>
        <v>-964.5</v>
      </c>
      <c r="L141" s="15">
        <f t="shared" si="24"/>
        <v>-1165.5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2" customHeight="1">
      <c r="B142" s="15">
        <v>0.4</v>
      </c>
      <c r="C142" s="15">
        <f t="shared" si="15"/>
        <v>579.6</v>
      </c>
      <c r="D142" s="15">
        <f t="shared" si="16"/>
        <v>840</v>
      </c>
      <c r="E142" s="15">
        <f t="shared" si="17"/>
        <v>1128</v>
      </c>
      <c r="F142" s="15">
        <f t="shared" si="18"/>
        <v>1440</v>
      </c>
      <c r="G142" s="15">
        <f t="shared" si="19"/>
        <v>1680</v>
      </c>
      <c r="H142" s="15">
        <f t="shared" si="20"/>
        <v>-450</v>
      </c>
      <c r="I142" s="15">
        <f t="shared" si="21"/>
        <v>-639</v>
      </c>
      <c r="J142" s="15">
        <f t="shared" si="22"/>
        <v>-842.5</v>
      </c>
      <c r="K142" s="15">
        <f t="shared" si="23"/>
        <v>-1057.5</v>
      </c>
      <c r="L142" s="15">
        <f t="shared" si="24"/>
        <v>-1281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2" customHeight="1">
      <c r="B143" s="15">
        <v>0.45</v>
      </c>
      <c r="C143" s="15">
        <f t="shared" si="15"/>
        <v>622.79999999999995</v>
      </c>
      <c r="D143" s="15">
        <f t="shared" si="16"/>
        <v>900</v>
      </c>
      <c r="E143" s="15">
        <f t="shared" si="17"/>
        <v>1206</v>
      </c>
      <c r="F143" s="15">
        <f t="shared" si="18"/>
        <v>1537.2</v>
      </c>
      <c r="G143" s="15">
        <f t="shared" si="19"/>
        <v>1890</v>
      </c>
      <c r="H143" s="15">
        <f t="shared" si="20"/>
        <v>-487.5</v>
      </c>
      <c r="I143" s="15">
        <f t="shared" si="21"/>
        <v>-693</v>
      </c>
      <c r="J143" s="15">
        <f t="shared" si="22"/>
        <v>-915</v>
      </c>
      <c r="K143" s="15">
        <f t="shared" si="23"/>
        <v>-1150.5</v>
      </c>
      <c r="L143" s="15">
        <f t="shared" si="24"/>
        <v>-1396.5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2" customHeight="1">
      <c r="B144" s="15">
        <v>0.5</v>
      </c>
      <c r="C144" s="15">
        <f t="shared" si="15"/>
        <v>666</v>
      </c>
      <c r="D144" s="15">
        <f t="shared" si="16"/>
        <v>960</v>
      </c>
      <c r="E144" s="15">
        <f t="shared" si="17"/>
        <v>1284</v>
      </c>
      <c r="F144" s="15">
        <f t="shared" si="18"/>
        <v>1634.4</v>
      </c>
      <c r="G144" s="15">
        <f t="shared" si="19"/>
        <v>2007.6</v>
      </c>
      <c r="H144" s="15">
        <f t="shared" si="20"/>
        <v>-525</v>
      </c>
      <c r="I144" s="15">
        <f t="shared" si="21"/>
        <v>-747</v>
      </c>
      <c r="J144" s="15">
        <f t="shared" si="22"/>
        <v>-987.5</v>
      </c>
      <c r="K144" s="15">
        <f t="shared" si="23"/>
        <v>-1243.5</v>
      </c>
      <c r="L144" s="15">
        <f t="shared" si="24"/>
        <v>-1512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2" customHeight="1">
      <c r="B145" s="15">
        <v>0.55000000000000004</v>
      </c>
      <c r="C145" s="15">
        <f t="shared" si="15"/>
        <v>709.2</v>
      </c>
      <c r="D145" s="15">
        <f t="shared" si="16"/>
        <v>1020</v>
      </c>
      <c r="E145" s="15">
        <f t="shared" si="17"/>
        <v>1362</v>
      </c>
      <c r="F145" s="15">
        <f t="shared" si="18"/>
        <v>1731.6000000000001</v>
      </c>
      <c r="G145" s="15">
        <f t="shared" si="19"/>
        <v>2125.2000000000003</v>
      </c>
      <c r="H145" s="15">
        <f t="shared" si="20"/>
        <v>-562.5</v>
      </c>
      <c r="I145" s="15">
        <f t="shared" si="21"/>
        <v>-801</v>
      </c>
      <c r="J145" s="15">
        <f t="shared" si="22"/>
        <v>-1060</v>
      </c>
      <c r="K145" s="15">
        <f t="shared" si="23"/>
        <v>-1336.5000000000002</v>
      </c>
      <c r="L145" s="15">
        <f t="shared" si="24"/>
        <v>-1627.5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2" customHeight="1">
      <c r="B146" s="15">
        <v>0.6</v>
      </c>
      <c r="C146" s="15">
        <f t="shared" si="15"/>
        <v>752.4</v>
      </c>
      <c r="D146" s="15">
        <f t="shared" si="16"/>
        <v>1080</v>
      </c>
      <c r="E146" s="15">
        <f t="shared" si="17"/>
        <v>1440</v>
      </c>
      <c r="F146" s="15">
        <f t="shared" si="18"/>
        <v>1828.8</v>
      </c>
      <c r="G146" s="15">
        <f t="shared" si="19"/>
        <v>2242.7999999999997</v>
      </c>
      <c r="H146" s="15">
        <f t="shared" si="20"/>
        <v>-600</v>
      </c>
      <c r="I146" s="15">
        <f t="shared" si="21"/>
        <v>-855</v>
      </c>
      <c r="J146" s="15">
        <f t="shared" si="22"/>
        <v>-1132.5</v>
      </c>
      <c r="K146" s="15">
        <f t="shared" si="23"/>
        <v>-1429.5</v>
      </c>
      <c r="L146" s="15">
        <f t="shared" si="24"/>
        <v>-1743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2" customHeight="1">
      <c r="B147" s="15">
        <v>0.65</v>
      </c>
      <c r="C147" s="15">
        <f t="shared" si="15"/>
        <v>820.6</v>
      </c>
      <c r="D147" s="15">
        <f t="shared" si="16"/>
        <v>1165</v>
      </c>
      <c r="E147" s="15">
        <f t="shared" si="17"/>
        <v>1543</v>
      </c>
      <c r="F147" s="15">
        <f t="shared" si="18"/>
        <v>1951</v>
      </c>
      <c r="G147" s="15">
        <f t="shared" si="19"/>
        <v>2385.4</v>
      </c>
      <c r="H147" s="15">
        <f t="shared" si="20"/>
        <v>-637.5</v>
      </c>
      <c r="I147" s="15">
        <f t="shared" si="21"/>
        <v>-909</v>
      </c>
      <c r="J147" s="15">
        <f t="shared" si="22"/>
        <v>-1205</v>
      </c>
      <c r="K147" s="15">
        <f t="shared" si="23"/>
        <v>-1522.5</v>
      </c>
      <c r="L147" s="15">
        <f t="shared" si="24"/>
        <v>-1858.5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2" customHeight="1">
      <c r="B148" s="15">
        <v>0.7</v>
      </c>
      <c r="C148" s="15">
        <f t="shared" si="15"/>
        <v>888.8</v>
      </c>
      <c r="D148" s="15">
        <f t="shared" si="16"/>
        <v>1250</v>
      </c>
      <c r="E148" s="15">
        <f t="shared" si="17"/>
        <v>1646</v>
      </c>
      <c r="F148" s="15">
        <f t="shared" si="18"/>
        <v>2073.1999999999998</v>
      </c>
      <c r="G148" s="15">
        <f t="shared" si="19"/>
        <v>2528</v>
      </c>
      <c r="H148" s="15">
        <f t="shared" si="20"/>
        <v>-675</v>
      </c>
      <c r="I148" s="15">
        <f t="shared" si="21"/>
        <v>-963</v>
      </c>
      <c r="J148" s="15">
        <f t="shared" si="22"/>
        <v>-1277.5</v>
      </c>
      <c r="K148" s="15">
        <f t="shared" si="23"/>
        <v>-1615.5</v>
      </c>
      <c r="L148" s="15">
        <f t="shared" si="24"/>
        <v>-1974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2" customHeight="1">
      <c r="B149" s="15">
        <v>0.75</v>
      </c>
      <c r="C149" s="15">
        <f t="shared" si="15"/>
        <v>957</v>
      </c>
      <c r="D149" s="15">
        <f t="shared" si="16"/>
        <v>1335</v>
      </c>
      <c r="E149" s="15">
        <f t="shared" si="17"/>
        <v>1749</v>
      </c>
      <c r="F149" s="15">
        <f t="shared" si="18"/>
        <v>2195.4</v>
      </c>
      <c r="G149" s="15">
        <f t="shared" si="19"/>
        <v>2670.6</v>
      </c>
      <c r="H149" s="15">
        <f t="shared" si="20"/>
        <v>-712.5</v>
      </c>
      <c r="I149" s="15">
        <f t="shared" si="21"/>
        <v>-1017</v>
      </c>
      <c r="J149" s="15">
        <f t="shared" si="22"/>
        <v>-1350</v>
      </c>
      <c r="K149" s="15">
        <f t="shared" si="23"/>
        <v>-1708.5</v>
      </c>
      <c r="L149" s="15">
        <f t="shared" si="24"/>
        <v>-2089.5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2" customHeight="1">
      <c r="B150" s="15">
        <v>0.8</v>
      </c>
      <c r="C150" s="15">
        <f t="shared" si="15"/>
        <v>1025.2</v>
      </c>
      <c r="D150" s="15">
        <f t="shared" si="16"/>
        <v>1420</v>
      </c>
      <c r="E150" s="15">
        <f t="shared" si="17"/>
        <v>1852</v>
      </c>
      <c r="F150" s="15">
        <f t="shared" si="18"/>
        <v>2317.6000000000004</v>
      </c>
      <c r="G150" s="15">
        <f t="shared" si="19"/>
        <v>2813.2</v>
      </c>
      <c r="H150" s="15">
        <f t="shared" si="20"/>
        <v>-750</v>
      </c>
      <c r="I150" s="15">
        <f t="shared" si="21"/>
        <v>-1071</v>
      </c>
      <c r="J150" s="15">
        <f t="shared" si="22"/>
        <v>-1422.5</v>
      </c>
      <c r="K150" s="15">
        <f t="shared" si="23"/>
        <v>-1801.5</v>
      </c>
      <c r="L150" s="15">
        <f t="shared" si="24"/>
        <v>-2205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2" customHeight="1">
      <c r="B151" s="15">
        <v>0.85</v>
      </c>
      <c r="C151" s="15">
        <f t="shared" si="15"/>
        <v>1093.4000000000001</v>
      </c>
      <c r="D151" s="15">
        <f t="shared" si="16"/>
        <v>1505</v>
      </c>
      <c r="E151" s="15">
        <f t="shared" si="17"/>
        <v>1955</v>
      </c>
      <c r="F151" s="15">
        <f t="shared" si="18"/>
        <v>2439.8000000000002</v>
      </c>
      <c r="G151" s="15">
        <f t="shared" si="19"/>
        <v>2955.8</v>
      </c>
      <c r="H151" s="15">
        <f t="shared" si="20"/>
        <v>-787.5</v>
      </c>
      <c r="I151" s="15">
        <f t="shared" si="21"/>
        <v>-1125</v>
      </c>
      <c r="J151" s="15">
        <f t="shared" si="22"/>
        <v>-1495</v>
      </c>
      <c r="K151" s="15">
        <f t="shared" si="23"/>
        <v>-1894.5</v>
      </c>
      <c r="L151" s="15">
        <f t="shared" si="24"/>
        <v>-2320.5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2" customHeight="1">
      <c r="B152" s="15">
        <v>0.9</v>
      </c>
      <c r="C152" s="15">
        <f t="shared" si="15"/>
        <v>1161.6000000000001</v>
      </c>
      <c r="D152" s="15">
        <f t="shared" si="16"/>
        <v>1590</v>
      </c>
      <c r="E152" s="15">
        <f t="shared" si="17"/>
        <v>2058</v>
      </c>
      <c r="F152" s="15">
        <f t="shared" si="18"/>
        <v>2562</v>
      </c>
      <c r="G152" s="15">
        <f t="shared" si="19"/>
        <v>3098.4</v>
      </c>
      <c r="H152" s="15">
        <f t="shared" si="20"/>
        <v>-825</v>
      </c>
      <c r="I152" s="15">
        <f t="shared" si="21"/>
        <v>-1179</v>
      </c>
      <c r="J152" s="15">
        <f t="shared" si="22"/>
        <v>-1567.5</v>
      </c>
      <c r="K152" s="15">
        <f t="shared" si="23"/>
        <v>-1987.5</v>
      </c>
      <c r="L152" s="15">
        <f t="shared" si="24"/>
        <v>-2436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2" customHeight="1">
      <c r="B153" s="15">
        <v>0.95</v>
      </c>
      <c r="C153" s="15">
        <f t="shared" si="15"/>
        <v>1229.8</v>
      </c>
      <c r="D153" s="15">
        <f t="shared" si="16"/>
        <v>1675</v>
      </c>
      <c r="E153" s="15">
        <f t="shared" si="17"/>
        <v>2161</v>
      </c>
      <c r="F153" s="15">
        <f t="shared" si="18"/>
        <v>2684.2</v>
      </c>
      <c r="G153" s="15">
        <f t="shared" si="19"/>
        <v>3241</v>
      </c>
      <c r="H153" s="15">
        <f t="shared" si="20"/>
        <v>-862.5</v>
      </c>
      <c r="I153" s="15">
        <f t="shared" si="21"/>
        <v>-1233</v>
      </c>
      <c r="J153" s="15">
        <f t="shared" si="22"/>
        <v>-1640</v>
      </c>
      <c r="K153" s="15">
        <f t="shared" si="23"/>
        <v>-2080.5</v>
      </c>
      <c r="L153" s="15">
        <f t="shared" si="24"/>
        <v>-2551.5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2" customHeight="1">
      <c r="B154" s="15">
        <v>1</v>
      </c>
      <c r="C154" s="15">
        <f t="shared" si="15"/>
        <v>1298</v>
      </c>
      <c r="D154" s="15">
        <f t="shared" si="16"/>
        <v>1760</v>
      </c>
      <c r="E154" s="15">
        <f t="shared" si="17"/>
        <v>2264</v>
      </c>
      <c r="F154" s="15">
        <f t="shared" si="18"/>
        <v>2806.4</v>
      </c>
      <c r="G154" s="15">
        <f t="shared" si="19"/>
        <v>3383.6000000000004</v>
      </c>
      <c r="H154" s="15">
        <f t="shared" si="20"/>
        <v>-900</v>
      </c>
      <c r="I154" s="15">
        <f t="shared" si="21"/>
        <v>-1287</v>
      </c>
      <c r="J154" s="15">
        <f t="shared" si="22"/>
        <v>-1712.5</v>
      </c>
      <c r="K154" s="15">
        <f t="shared" si="23"/>
        <v>-2173.5</v>
      </c>
      <c r="L154" s="15">
        <f t="shared" si="24"/>
        <v>-2667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>
      <c r="B161" s="30" t="s">
        <v>80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63</v>
      </c>
      <c r="C164" t="s">
        <v>64</v>
      </c>
      <c r="D164" t="s">
        <v>65</v>
      </c>
      <c r="E164" t="s">
        <v>66</v>
      </c>
      <c r="F164" t="s">
        <v>21</v>
      </c>
      <c r="G164" t="s">
        <v>82</v>
      </c>
      <c r="H164" t="s">
        <v>67</v>
      </c>
      <c r="I164" t="s">
        <v>57</v>
      </c>
      <c r="J164" t="s">
        <v>68</v>
      </c>
      <c r="K164" t="s">
        <v>83</v>
      </c>
      <c r="L164" t="s">
        <v>69</v>
      </c>
      <c r="M164" t="s">
        <v>28</v>
      </c>
      <c r="N164" t="s">
        <v>29</v>
      </c>
      <c r="O164" t="s">
        <v>70</v>
      </c>
      <c r="P164" t="s">
        <v>60</v>
      </c>
      <c r="Q164" t="s">
        <v>71</v>
      </c>
      <c r="R164" t="s">
        <v>72</v>
      </c>
      <c r="S164" t="s">
        <v>73</v>
      </c>
      <c r="T164" t="s">
        <v>74</v>
      </c>
      <c r="U164" t="s">
        <v>75</v>
      </c>
      <c r="V164" t="s">
        <v>76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2500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0.84</v>
      </c>
      <c r="I165">
        <f>F165*H165</f>
        <v>2100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2500</v>
      </c>
      <c r="K165">
        <f>IF(Calculator!$C$4="Type-B",Parameters!$L$14,INDEX(Parameters!$D$14:$H$14,1,R165)+(INDEX(Parameters!$D$14:$H$14,1,R165+1)-INDEX(Parameters!$D$14:$H$14,1,R165))*U165)</f>
        <v>0.6</v>
      </c>
      <c r="L165">
        <f>I165+J165</f>
        <v>4600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0.28000000000000003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</v>
      </c>
      <c r="P165">
        <f>M165*O165</f>
        <v>1600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2026-10-03T14:52:42Z</dcterms:modified>
</cp:coreProperties>
</file>