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61AA2477-6E76-484F-B0B2-0B0FA72C70D7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LSC Sweep" sheetId="1" r:id="rId1"/>
    <sheet name="HSC Sweep" sheetId="2" r:id="rId2"/>
    <sheet name="LSR Sweep" sheetId="5" r:id="rId3"/>
    <sheet name="Full Sweep" sheetId="3" r:id="rId4"/>
    <sheet name="Parameter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4" l="1"/>
  <c r="D32" i="4"/>
  <c r="F31" i="4"/>
  <c r="D31" i="4"/>
  <c r="F30" i="4"/>
  <c r="E30" i="4"/>
  <c r="D30" i="4"/>
  <c r="C30" i="4"/>
  <c r="F29" i="4"/>
  <c r="E29" i="4"/>
  <c r="D29" i="4"/>
  <c r="C29" i="4"/>
  <c r="F12" i="4"/>
  <c r="D12" i="4"/>
  <c r="F10" i="4"/>
  <c r="D10" i="4"/>
  <c r="F9" i="4"/>
  <c r="D9" i="4"/>
  <c r="F8" i="4"/>
  <c r="D8" i="4"/>
  <c r="F7" i="4"/>
  <c r="D7" i="4"/>
  <c r="F42" i="5"/>
  <c r="C42" i="5"/>
  <c r="E42" i="5" s="1"/>
  <c r="C41" i="5"/>
  <c r="C40" i="5"/>
  <c r="D40" i="5" s="1"/>
  <c r="C39" i="5"/>
  <c r="D39" i="5" s="1"/>
  <c r="C38" i="5"/>
  <c r="F38" i="5" s="1"/>
  <c r="B3" i="5"/>
  <c r="L48" i="3"/>
  <c r="K48" i="3"/>
  <c r="J48" i="3"/>
  <c r="I48" i="3"/>
  <c r="H48" i="3"/>
  <c r="G42" i="3"/>
  <c r="D42" i="3"/>
  <c r="K42" i="3" s="1"/>
  <c r="C42" i="3"/>
  <c r="F42" i="3" s="1"/>
  <c r="D41" i="3"/>
  <c r="C41" i="3"/>
  <c r="K40" i="3"/>
  <c r="J40" i="3"/>
  <c r="G40" i="3"/>
  <c r="F40" i="3"/>
  <c r="D40" i="3"/>
  <c r="C40" i="3"/>
  <c r="E40" i="3" s="1"/>
  <c r="D39" i="3"/>
  <c r="C39" i="3"/>
  <c r="K38" i="3"/>
  <c r="J38" i="3"/>
  <c r="G38" i="3"/>
  <c r="D38" i="3"/>
  <c r="C38" i="3"/>
  <c r="F38" i="3" s="1"/>
  <c r="J42" i="2"/>
  <c r="D42" i="2"/>
  <c r="K42" i="2" s="1"/>
  <c r="C42" i="2"/>
  <c r="K41" i="2"/>
  <c r="J41" i="2"/>
  <c r="E41" i="2"/>
  <c r="D41" i="2"/>
  <c r="C41" i="2"/>
  <c r="G41" i="2" s="1"/>
  <c r="K40" i="2"/>
  <c r="J40" i="2"/>
  <c r="D40" i="2"/>
  <c r="C40" i="2"/>
  <c r="D39" i="2"/>
  <c r="C39" i="2"/>
  <c r="D38" i="2"/>
  <c r="K38" i="2" s="1"/>
  <c r="C38" i="2"/>
  <c r="E42" i="1"/>
  <c r="D42" i="1"/>
  <c r="C42" i="1"/>
  <c r="D41" i="1"/>
  <c r="C41" i="1"/>
  <c r="G41" i="1" s="1"/>
  <c r="K40" i="1"/>
  <c r="F40" i="1"/>
  <c r="E40" i="1"/>
  <c r="D40" i="1"/>
  <c r="J40" i="1" s="1"/>
  <c r="C40" i="1"/>
  <c r="G40" i="1" s="1"/>
  <c r="D39" i="1"/>
  <c r="C39" i="1"/>
  <c r="G39" i="1" s="1"/>
  <c r="G38" i="1"/>
  <c r="F38" i="1"/>
  <c r="E38" i="1"/>
  <c r="D38" i="1"/>
  <c r="C38" i="1"/>
  <c r="F41" i="5" l="1"/>
  <c r="I40" i="1"/>
  <c r="L40" i="1" s="1"/>
  <c r="E68" i="1"/>
  <c r="E53" i="1"/>
  <c r="E62" i="1"/>
  <c r="E72" i="1"/>
  <c r="E67" i="1"/>
  <c r="E57" i="1"/>
  <c r="E70" i="1"/>
  <c r="E55" i="1"/>
  <c r="E61" i="1"/>
  <c r="E51" i="1"/>
  <c r="E60" i="1"/>
  <c r="E50" i="1"/>
  <c r="E71" i="1"/>
  <c r="E59" i="1"/>
  <c r="E56" i="1"/>
  <c r="E65" i="1"/>
  <c r="J39" i="3"/>
  <c r="K39" i="3"/>
  <c r="E38" i="2"/>
  <c r="G38" i="2"/>
  <c r="F38" i="2"/>
  <c r="E41" i="1"/>
  <c r="I40" i="3"/>
  <c r="E52" i="3" s="1"/>
  <c r="K41" i="3"/>
  <c r="J41" i="3"/>
  <c r="I38" i="1"/>
  <c r="F39" i="5"/>
  <c r="G39" i="5" s="1"/>
  <c r="E39" i="1"/>
  <c r="J38" i="2"/>
  <c r="E67" i="3"/>
  <c r="G39" i="2"/>
  <c r="F39" i="2"/>
  <c r="F41" i="3"/>
  <c r="E41" i="3"/>
  <c r="G41" i="3"/>
  <c r="K38" i="1"/>
  <c r="C62" i="1" s="1"/>
  <c r="J38" i="1"/>
  <c r="K39" i="1"/>
  <c r="J39" i="1"/>
  <c r="F39" i="1"/>
  <c r="J41" i="1"/>
  <c r="K41" i="1"/>
  <c r="F41" i="1"/>
  <c r="K39" i="2"/>
  <c r="J39" i="2"/>
  <c r="E39" i="5"/>
  <c r="E40" i="5"/>
  <c r="F40" i="5"/>
  <c r="G40" i="5" s="1"/>
  <c r="F41" i="2"/>
  <c r="F63" i="2" s="1"/>
  <c r="E65" i="3"/>
  <c r="E53" i="3"/>
  <c r="E60" i="3"/>
  <c r="E69" i="3"/>
  <c r="E62" i="3"/>
  <c r="F42" i="2"/>
  <c r="E42" i="2"/>
  <c r="G42" i="2"/>
  <c r="I42" i="1"/>
  <c r="G67" i="1" s="1"/>
  <c r="G52" i="1"/>
  <c r="G71" i="1"/>
  <c r="G70" i="1"/>
  <c r="G55" i="1"/>
  <c r="E39" i="2"/>
  <c r="F50" i="2"/>
  <c r="G60" i="1"/>
  <c r="F55" i="2"/>
  <c r="E49" i="3"/>
  <c r="E64" i="3"/>
  <c r="I41" i="2"/>
  <c r="G39" i="3"/>
  <c r="F39" i="3"/>
  <c r="E39" i="3"/>
  <c r="G40" i="2"/>
  <c r="F40" i="2"/>
  <c r="E40" i="2"/>
  <c r="G42" i="1"/>
  <c r="F42" i="1"/>
  <c r="E38" i="3"/>
  <c r="D41" i="5"/>
  <c r="K42" i="1"/>
  <c r="J42" i="1"/>
  <c r="E41" i="5"/>
  <c r="E42" i="3"/>
  <c r="D42" i="5"/>
  <c r="J42" i="3"/>
  <c r="D38" i="5"/>
  <c r="E38" i="5"/>
  <c r="C50" i="1" l="1"/>
  <c r="D65" i="5"/>
  <c r="I65" i="3" s="1"/>
  <c r="D58" i="5"/>
  <c r="I58" i="3" s="1"/>
  <c r="D73" i="5"/>
  <c r="D49" i="5"/>
  <c r="I49" i="3" s="1"/>
  <c r="D68" i="5"/>
  <c r="I68" i="3" s="1"/>
  <c r="D63" i="5"/>
  <c r="I63" i="3" s="1"/>
  <c r="D70" i="5"/>
  <c r="D56" i="5"/>
  <c r="I56" i="3" s="1"/>
  <c r="D69" i="5"/>
  <c r="I69" i="3" s="1"/>
  <c r="D52" i="5"/>
  <c r="I52" i="3" s="1"/>
  <c r="D54" i="5"/>
  <c r="I54" i="3" s="1"/>
  <c r="D61" i="5"/>
  <c r="I61" i="3" s="1"/>
  <c r="D67" i="5"/>
  <c r="I67" i="3" s="1"/>
  <c r="D51" i="5"/>
  <c r="I51" i="3" s="1"/>
  <c r="D66" i="5"/>
  <c r="I66" i="3" s="1"/>
  <c r="D72" i="5"/>
  <c r="D57" i="5"/>
  <c r="I57" i="3" s="1"/>
  <c r="D71" i="5"/>
  <c r="D55" i="5"/>
  <c r="I55" i="3" s="1"/>
  <c r="D60" i="5"/>
  <c r="I60" i="3" s="1"/>
  <c r="D59" i="5"/>
  <c r="I59" i="3" s="1"/>
  <c r="D53" i="5"/>
  <c r="I53" i="3" s="1"/>
  <c r="D62" i="5"/>
  <c r="I62" i="3" s="1"/>
  <c r="D64" i="5"/>
  <c r="I64" i="3" s="1"/>
  <c r="D50" i="5"/>
  <c r="I50" i="3" s="1"/>
  <c r="E55" i="5"/>
  <c r="J55" i="3" s="1"/>
  <c r="E69" i="5"/>
  <c r="J69" i="3" s="1"/>
  <c r="E56" i="5"/>
  <c r="J56" i="3" s="1"/>
  <c r="E51" i="5"/>
  <c r="J51" i="3" s="1"/>
  <c r="E70" i="5"/>
  <c r="E59" i="5"/>
  <c r="J59" i="3" s="1"/>
  <c r="E66" i="5"/>
  <c r="J66" i="3" s="1"/>
  <c r="E53" i="5"/>
  <c r="J53" i="3" s="1"/>
  <c r="E72" i="5"/>
  <c r="E62" i="5"/>
  <c r="J62" i="3" s="1"/>
  <c r="E50" i="5"/>
  <c r="J50" i="3" s="1"/>
  <c r="E73" i="5"/>
  <c r="E54" i="5"/>
  <c r="J54" i="3" s="1"/>
  <c r="E49" i="5"/>
  <c r="J49" i="3" s="1"/>
  <c r="E65" i="5"/>
  <c r="J65" i="3" s="1"/>
  <c r="E63" i="5"/>
  <c r="J63" i="3" s="1"/>
  <c r="E71" i="5"/>
  <c r="E60" i="5"/>
  <c r="J60" i="3" s="1"/>
  <c r="E61" i="5"/>
  <c r="J61" i="3" s="1"/>
  <c r="E67" i="5"/>
  <c r="J67" i="3" s="1"/>
  <c r="E68" i="5"/>
  <c r="J68" i="3" s="1"/>
  <c r="E58" i="5"/>
  <c r="J58" i="3" s="1"/>
  <c r="E57" i="5"/>
  <c r="J57" i="3" s="1"/>
  <c r="E52" i="5"/>
  <c r="J52" i="3" s="1"/>
  <c r="E64" i="5"/>
  <c r="J64" i="3" s="1"/>
  <c r="F71" i="2"/>
  <c r="D59" i="1"/>
  <c r="D54" i="1"/>
  <c r="D73" i="1"/>
  <c r="D49" i="1"/>
  <c r="D68" i="1"/>
  <c r="D58" i="1"/>
  <c r="D72" i="1"/>
  <c r="D53" i="1"/>
  <c r="D67" i="1"/>
  <c r="D62" i="1"/>
  <c r="D64" i="1"/>
  <c r="D63" i="1"/>
  <c r="D70" i="1"/>
  <c r="D55" i="1"/>
  <c r="I39" i="1"/>
  <c r="L39" i="1" s="1"/>
  <c r="D71" i="1"/>
  <c r="D57" i="1"/>
  <c r="D51" i="1"/>
  <c r="D66" i="1"/>
  <c r="D60" i="1"/>
  <c r="D69" i="1"/>
  <c r="D65" i="1"/>
  <c r="D52" i="1"/>
  <c r="D61" i="1"/>
  <c r="F52" i="2"/>
  <c r="E59" i="3"/>
  <c r="C70" i="3"/>
  <c r="C58" i="3"/>
  <c r="C65" i="3"/>
  <c r="C53" i="3"/>
  <c r="C50" i="3"/>
  <c r="C67" i="3"/>
  <c r="C55" i="3"/>
  <c r="C62" i="3"/>
  <c r="C73" i="3"/>
  <c r="C71" i="3"/>
  <c r="C60" i="3"/>
  <c r="C69" i="3"/>
  <c r="C54" i="3"/>
  <c r="C57" i="3"/>
  <c r="I38" i="3"/>
  <c r="L38" i="3" s="1"/>
  <c r="C61" i="3"/>
  <c r="C59" i="3"/>
  <c r="C70" i="1"/>
  <c r="I39" i="3"/>
  <c r="L39" i="3" s="1"/>
  <c r="E49" i="1"/>
  <c r="C59" i="1"/>
  <c r="C73" i="1"/>
  <c r="L42" i="1"/>
  <c r="G65" i="1"/>
  <c r="G56" i="1"/>
  <c r="G54" i="1"/>
  <c r="G64" i="1"/>
  <c r="G73" i="1"/>
  <c r="G51" i="1"/>
  <c r="G57" i="1"/>
  <c r="F66" i="2"/>
  <c r="I41" i="1"/>
  <c r="L41" i="1" s="1"/>
  <c r="E63" i="3"/>
  <c r="E61" i="3"/>
  <c r="I40" i="2"/>
  <c r="L40" i="2" s="1"/>
  <c r="E65" i="2"/>
  <c r="E50" i="2"/>
  <c r="I42" i="2"/>
  <c r="L42" i="2" s="1"/>
  <c r="G66" i="2"/>
  <c r="G61" i="2"/>
  <c r="G52" i="2"/>
  <c r="G71" i="2"/>
  <c r="G65" i="2"/>
  <c r="G62" i="2"/>
  <c r="G51" i="2"/>
  <c r="G66" i="1"/>
  <c r="E54" i="3"/>
  <c r="G50" i="1"/>
  <c r="E73" i="1"/>
  <c r="C67" i="1"/>
  <c r="G42" i="5"/>
  <c r="G55" i="5" s="1"/>
  <c r="L55" i="3" s="1"/>
  <c r="G59" i="5"/>
  <c r="L59" i="3" s="1"/>
  <c r="G49" i="5"/>
  <c r="L49" i="3" s="1"/>
  <c r="G65" i="5"/>
  <c r="L65" i="3" s="1"/>
  <c r="G51" i="5"/>
  <c r="L51" i="3" s="1"/>
  <c r="G64" i="5"/>
  <c r="L64" i="3" s="1"/>
  <c r="G50" i="5"/>
  <c r="L50" i="3" s="1"/>
  <c r="G73" i="5"/>
  <c r="G68" i="5"/>
  <c r="L68" i="3" s="1"/>
  <c r="G56" i="5"/>
  <c r="L56" i="3" s="1"/>
  <c r="G60" i="5"/>
  <c r="L60" i="3" s="1"/>
  <c r="F73" i="2"/>
  <c r="G53" i="1"/>
  <c r="C60" i="1"/>
  <c r="G63" i="1"/>
  <c r="G59" i="1"/>
  <c r="F57" i="2"/>
  <c r="F62" i="2"/>
  <c r="E56" i="3"/>
  <c r="C68" i="1"/>
  <c r="F72" i="2"/>
  <c r="C62" i="2"/>
  <c r="C57" i="2"/>
  <c r="C66" i="2"/>
  <c r="C51" i="2"/>
  <c r="C59" i="2"/>
  <c r="C58" i="2"/>
  <c r="C64" i="2"/>
  <c r="C52" i="2"/>
  <c r="I38" i="2"/>
  <c r="L38" i="2" s="1"/>
  <c r="C65" i="2"/>
  <c r="C69" i="2"/>
  <c r="C55" i="2"/>
  <c r="E64" i="1"/>
  <c r="C71" i="1"/>
  <c r="E63" i="1"/>
  <c r="F67" i="2"/>
  <c r="C54" i="1"/>
  <c r="F67" i="3"/>
  <c r="F55" i="3"/>
  <c r="F62" i="3"/>
  <c r="F50" i="3"/>
  <c r="F69" i="3"/>
  <c r="F64" i="3"/>
  <c r="F73" i="3"/>
  <c r="F57" i="3"/>
  <c r="I41" i="3"/>
  <c r="L41" i="3" s="1"/>
  <c r="F70" i="3"/>
  <c r="F54" i="3"/>
  <c r="F49" i="3"/>
  <c r="F58" i="3"/>
  <c r="F65" i="3"/>
  <c r="G38" i="5"/>
  <c r="C70" i="5" s="1"/>
  <c r="F65" i="2"/>
  <c r="I42" i="3"/>
  <c r="L42" i="3" s="1"/>
  <c r="E71" i="3"/>
  <c r="L40" i="3"/>
  <c r="G41" i="5"/>
  <c r="F62" i="5" s="1"/>
  <c r="K62" i="3" s="1"/>
  <c r="F53" i="2"/>
  <c r="C55" i="1"/>
  <c r="E70" i="3"/>
  <c r="C51" i="1"/>
  <c r="E54" i="1"/>
  <c r="F60" i="2"/>
  <c r="F49" i="2"/>
  <c r="F54" i="2"/>
  <c r="F61" i="2"/>
  <c r="F51" i="2"/>
  <c r="F70" i="2"/>
  <c r="F69" i="2"/>
  <c r="F56" i="2"/>
  <c r="L41" i="2"/>
  <c r="F68" i="2"/>
  <c r="C57" i="1"/>
  <c r="E69" i="1"/>
  <c r="C49" i="1"/>
  <c r="C64" i="1"/>
  <c r="G62" i="1"/>
  <c r="F59" i="2"/>
  <c r="E58" i="3"/>
  <c r="G58" i="1"/>
  <c r="E72" i="3"/>
  <c r="G68" i="1"/>
  <c r="F58" i="2"/>
  <c r="E68" i="3"/>
  <c r="E51" i="3"/>
  <c r="L38" i="1"/>
  <c r="C56" i="1"/>
  <c r="C66" i="1"/>
  <c r="C65" i="1"/>
  <c r="C52" i="1"/>
  <c r="G49" i="1"/>
  <c r="E66" i="3"/>
  <c r="I39" i="2"/>
  <c r="L39" i="2" s="1"/>
  <c r="D52" i="2"/>
  <c r="E55" i="3"/>
  <c r="C58" i="1"/>
  <c r="E66" i="1"/>
  <c r="E57" i="3"/>
  <c r="C69" i="1"/>
  <c r="C72" i="1"/>
  <c r="E58" i="1"/>
  <c r="G72" i="1"/>
  <c r="G69" i="1"/>
  <c r="E73" i="3"/>
  <c r="C53" i="1"/>
  <c r="C61" i="1"/>
  <c r="G61" i="1"/>
  <c r="E50" i="3"/>
  <c r="C63" i="1"/>
  <c r="E52" i="1"/>
  <c r="F64" i="2"/>
  <c r="C73" i="5" l="1"/>
  <c r="C58" i="5"/>
  <c r="H58" i="3" s="1"/>
  <c r="C68" i="5"/>
  <c r="H68" i="3" s="1"/>
  <c r="C49" i="5"/>
  <c r="H49" i="3" s="1"/>
  <c r="C63" i="5"/>
  <c r="H63" i="3" s="1"/>
  <c r="C54" i="5"/>
  <c r="H54" i="3" s="1"/>
  <c r="C59" i="5"/>
  <c r="H59" i="3" s="1"/>
  <c r="G66" i="5"/>
  <c r="L66" i="3" s="1"/>
  <c r="G57" i="5"/>
  <c r="L57" i="3" s="1"/>
  <c r="F56" i="5"/>
  <c r="K56" i="3" s="1"/>
  <c r="G71" i="5"/>
  <c r="F51" i="5"/>
  <c r="K51" i="3" s="1"/>
  <c r="G52" i="5"/>
  <c r="L52" i="3" s="1"/>
  <c r="F54" i="5"/>
  <c r="K54" i="3" s="1"/>
  <c r="G62" i="5"/>
  <c r="L62" i="3" s="1"/>
  <c r="C61" i="5"/>
  <c r="H61" i="3" s="1"/>
  <c r="C52" i="5"/>
  <c r="H52" i="3" s="1"/>
  <c r="C64" i="5"/>
  <c r="H64" i="3" s="1"/>
  <c r="G58" i="5"/>
  <c r="L58" i="3" s="1"/>
  <c r="G53" i="5"/>
  <c r="L53" i="3" s="1"/>
  <c r="G67" i="5"/>
  <c r="L67" i="3" s="1"/>
  <c r="G63" i="5"/>
  <c r="L63" i="3" s="1"/>
  <c r="C55" i="5"/>
  <c r="H55" i="3" s="1"/>
  <c r="C71" i="5"/>
  <c r="D54" i="2"/>
  <c r="G51" i="3"/>
  <c r="E54" i="2"/>
  <c r="F50" i="1"/>
  <c r="D66" i="3"/>
  <c r="D55" i="2"/>
  <c r="F67" i="5"/>
  <c r="K67" i="3" s="1"/>
  <c r="G66" i="3"/>
  <c r="E60" i="2"/>
  <c r="F69" i="1"/>
  <c r="D63" i="3"/>
  <c r="D65" i="2"/>
  <c r="F53" i="5"/>
  <c r="K53" i="3" s="1"/>
  <c r="G52" i="3"/>
  <c r="G64" i="2"/>
  <c r="E70" i="2"/>
  <c r="F53" i="1"/>
  <c r="D71" i="3"/>
  <c r="D50" i="2"/>
  <c r="F58" i="5"/>
  <c r="K58" i="3" s="1"/>
  <c r="G57" i="3"/>
  <c r="C62" i="5"/>
  <c r="H62" i="3" s="1"/>
  <c r="G55" i="2"/>
  <c r="E73" i="2"/>
  <c r="F54" i="1"/>
  <c r="D57" i="3"/>
  <c r="D59" i="2"/>
  <c r="F63" i="5"/>
  <c r="K63" i="3" s="1"/>
  <c r="G69" i="3"/>
  <c r="C67" i="5"/>
  <c r="H67" i="3" s="1"/>
  <c r="F51" i="3"/>
  <c r="C50" i="2"/>
  <c r="G73" i="2"/>
  <c r="E55" i="2"/>
  <c r="F66" i="1"/>
  <c r="D69" i="3"/>
  <c r="C51" i="3"/>
  <c r="D51" i="2"/>
  <c r="F73" i="5"/>
  <c r="F72" i="5"/>
  <c r="G64" i="3"/>
  <c r="C53" i="5"/>
  <c r="H53" i="3" s="1"/>
  <c r="F66" i="3"/>
  <c r="C61" i="2"/>
  <c r="G56" i="2"/>
  <c r="E51" i="2"/>
  <c r="F59" i="1"/>
  <c r="D73" i="3"/>
  <c r="C66" i="3"/>
  <c r="D66" i="2"/>
  <c r="F60" i="5"/>
  <c r="K60" i="3" s="1"/>
  <c r="F68" i="5"/>
  <c r="K68" i="3" s="1"/>
  <c r="G73" i="3"/>
  <c r="C72" i="5"/>
  <c r="F52" i="3"/>
  <c r="C71" i="2"/>
  <c r="G72" i="5"/>
  <c r="G50" i="2"/>
  <c r="E66" i="2"/>
  <c r="F64" i="1"/>
  <c r="D62" i="3"/>
  <c r="C63" i="3"/>
  <c r="D62" i="2"/>
  <c r="D67" i="2"/>
  <c r="F49" i="5"/>
  <c r="K49" i="3" s="1"/>
  <c r="F69" i="5"/>
  <c r="K69" i="3" s="1"/>
  <c r="G61" i="3"/>
  <c r="E52" i="2"/>
  <c r="D59" i="3"/>
  <c r="D53" i="3"/>
  <c r="G57" i="2"/>
  <c r="D63" i="2"/>
  <c r="F67" i="1"/>
  <c r="G67" i="2"/>
  <c r="D70" i="2"/>
  <c r="F70" i="5"/>
  <c r="F56" i="3"/>
  <c r="G54" i="2"/>
  <c r="G58" i="2"/>
  <c r="F62" i="1"/>
  <c r="D56" i="3"/>
  <c r="C65" i="5"/>
  <c r="H65" i="3" s="1"/>
  <c r="C63" i="2"/>
  <c r="G68" i="2"/>
  <c r="E63" i="2"/>
  <c r="D52" i="3"/>
  <c r="D64" i="2"/>
  <c r="G59" i="3"/>
  <c r="G59" i="2"/>
  <c r="D56" i="2"/>
  <c r="F71" i="5"/>
  <c r="G54" i="3"/>
  <c r="C66" i="5"/>
  <c r="H66" i="3" s="1"/>
  <c r="F61" i="3"/>
  <c r="C49" i="2"/>
  <c r="G61" i="5"/>
  <c r="L61" i="3" s="1"/>
  <c r="G69" i="2"/>
  <c r="E61" i="2"/>
  <c r="F68" i="1"/>
  <c r="D58" i="3"/>
  <c r="C68" i="3"/>
  <c r="F60" i="1"/>
  <c r="D50" i="3"/>
  <c r="G49" i="3"/>
  <c r="G55" i="3"/>
  <c r="F71" i="1"/>
  <c r="D57" i="2"/>
  <c r="F50" i="5"/>
  <c r="K50" i="3" s="1"/>
  <c r="F55" i="1"/>
  <c r="D58" i="2"/>
  <c r="F65" i="5"/>
  <c r="K65" i="3" s="1"/>
  <c r="E62" i="2"/>
  <c r="F70" i="1"/>
  <c r="D65" i="3"/>
  <c r="F52" i="1"/>
  <c r="D68" i="2"/>
  <c r="G71" i="3"/>
  <c r="C56" i="5"/>
  <c r="H56" i="3" s="1"/>
  <c r="F60" i="3"/>
  <c r="C72" i="2"/>
  <c r="G53" i="2"/>
  <c r="E67" i="2"/>
  <c r="D49" i="3"/>
  <c r="D53" i="2"/>
  <c r="F61" i="5"/>
  <c r="K61" i="3" s="1"/>
  <c r="G56" i="3"/>
  <c r="C57" i="5"/>
  <c r="H57" i="3" s="1"/>
  <c r="F71" i="3"/>
  <c r="C67" i="2"/>
  <c r="G60" i="2"/>
  <c r="F57" i="1"/>
  <c r="C69" i="5"/>
  <c r="H69" i="3" s="1"/>
  <c r="C53" i="2"/>
  <c r="F64" i="5"/>
  <c r="K64" i="3" s="1"/>
  <c r="C51" i="5"/>
  <c r="H51" i="3" s="1"/>
  <c r="F68" i="3"/>
  <c r="C68" i="2"/>
  <c r="E69" i="2"/>
  <c r="F63" i="1"/>
  <c r="C52" i="3"/>
  <c r="D69" i="2"/>
  <c r="G62" i="3"/>
  <c r="F59" i="3"/>
  <c r="C73" i="2"/>
  <c r="G70" i="5"/>
  <c r="E72" i="2"/>
  <c r="F58" i="1"/>
  <c r="D54" i="3"/>
  <c r="C49" i="3"/>
  <c r="D60" i="2"/>
  <c r="F57" i="5"/>
  <c r="K57" i="3" s="1"/>
  <c r="G58" i="3"/>
  <c r="C60" i="5"/>
  <c r="H60" i="3" s="1"/>
  <c r="F72" i="3"/>
  <c r="C60" i="2"/>
  <c r="C54" i="2"/>
  <c r="G54" i="5"/>
  <c r="L54" i="3" s="1"/>
  <c r="G63" i="2"/>
  <c r="E64" i="2"/>
  <c r="F65" i="1"/>
  <c r="F49" i="1"/>
  <c r="D70" i="3"/>
  <c r="C64" i="3"/>
  <c r="D56" i="1"/>
  <c r="G67" i="3"/>
  <c r="D55" i="3"/>
  <c r="G68" i="3"/>
  <c r="G60" i="3"/>
  <c r="E59" i="2"/>
  <c r="F51" i="1"/>
  <c r="D67" i="3"/>
  <c r="G50" i="3"/>
  <c r="E71" i="2"/>
  <c r="F61" i="1"/>
  <c r="D60" i="3"/>
  <c r="D72" i="2"/>
  <c r="G63" i="3"/>
  <c r="D72" i="3"/>
  <c r="F66" i="5"/>
  <c r="K66" i="3" s="1"/>
  <c r="G65" i="3"/>
  <c r="G72" i="2"/>
  <c r="E57" i="2"/>
  <c r="D61" i="3"/>
  <c r="F59" i="5"/>
  <c r="K59" i="3" s="1"/>
  <c r="D49" i="2"/>
  <c r="E53" i="2"/>
  <c r="D64" i="3"/>
  <c r="D73" i="2"/>
  <c r="G72" i="3"/>
  <c r="E58" i="2"/>
  <c r="D61" i="2"/>
  <c r="F55" i="5"/>
  <c r="K55" i="3" s="1"/>
  <c r="G53" i="3"/>
  <c r="F53" i="3"/>
  <c r="E56" i="2"/>
  <c r="F72" i="1"/>
  <c r="C56" i="3"/>
  <c r="G69" i="5"/>
  <c r="L69" i="3" s="1"/>
  <c r="E68" i="2"/>
  <c r="D68" i="3"/>
  <c r="F52" i="5"/>
  <c r="K52" i="3" s="1"/>
  <c r="C50" i="5"/>
  <c r="H50" i="3" s="1"/>
  <c r="C56" i="2"/>
  <c r="G49" i="2"/>
  <c r="D71" i="2"/>
  <c r="G70" i="3"/>
  <c r="F63" i="3"/>
  <c r="C70" i="2"/>
  <c r="G70" i="2"/>
  <c r="E49" i="2"/>
  <c r="F56" i="1"/>
  <c r="F73" i="1"/>
  <c r="D51" i="3"/>
  <c r="C72" i="3"/>
  <c r="D50" i="1"/>
</calcChain>
</file>

<file path=xl/sharedStrings.xml><?xml version="1.0" encoding="utf-8"?>
<sst xmlns="http://schemas.openxmlformats.org/spreadsheetml/2006/main" count="149" uniqueCount="104">
  <si>
    <t>Astral · LSC sweep</t>
  </si>
  <si>
    <t>HSC 固定 −10 C；LSC：−20 / −15 / −10 / −5 / 0 c</t>
  </si>
  <si>
    <t>各曲线的计算参数</t>
  </si>
  <si>
    <t>曲线</t>
  </si>
  <si>
    <t>LSC clicks</t>
  </si>
  <si>
    <t>HSC clicks</t>
  </si>
  <si>
    <t>cL</t>
  </si>
  <si>
    <t>k1 (m/s)</t>
  </si>
  <si>
    <t>rL</t>
  </si>
  <si>
    <t>cM</t>
  </si>
  <si>
    <t>A</t>
  </si>
  <si>
    <t>k2 (m/s)</t>
  </si>
  <si>
    <t>cH</t>
  </si>
  <si>
    <t>-20 c</t>
  </si>
  <si>
    <t>-15 c</t>
  </si>
  <si>
    <t>-10 c</t>
  </si>
  <si>
    <t>-5 c</t>
  </si>
  <si>
    <t>0 c</t>
  </si>
  <si>
    <t>斜率单位 N·s/m；采样点之间使用直线连接。</t>
  </si>
  <si>
    <t>采样数据 · 阻尼力 F (N)</t>
  </si>
  <si>
    <t>速度 (m/s)</t>
  </si>
  <si>
    <t>LSC -20</t>
  </si>
  <si>
    <t>LSC -15</t>
  </si>
  <si>
    <t>LSC -10</t>
  </si>
  <si>
    <t>LSC -5</t>
  </si>
  <si>
    <t>LSC 0</t>
  </si>
  <si>
    <t>Astral · HSC sweep</t>
  </si>
  <si>
    <t>LSC 固定 −10 c；HSC：−20 / −15 / −10 / −5 / 0 C</t>
  </si>
  <si>
    <t>-20 C</t>
  </si>
  <si>
    <t>-15 C</t>
  </si>
  <si>
    <t>-10 C</t>
  </si>
  <si>
    <t>-5 C</t>
  </si>
  <si>
    <t>0 C</t>
  </si>
  <si>
    <t>HSC -20</t>
  </si>
  <si>
    <t>HSC -15</t>
  </si>
  <si>
    <t>HSC -10</t>
  </si>
  <si>
    <t>HSC -5</t>
  </si>
  <si>
    <t>HSC 0</t>
  </si>
  <si>
    <t>Astral · Combined LSC + HSC sweep</t>
  </si>
  <si>
    <t>LSC 与 HSC 同步：−20 / −15 / −10 / −5 / 0，共五组</t>
  </si>
  <si>
    <t>LSC / HSC</t>
  </si>
  <si>
    <t>-20 / -20</t>
  </si>
  <si>
    <t>-15 / -15</t>
  </si>
  <si>
    <t>-10 / -10</t>
  </si>
  <si>
    <t>-5 / -5</t>
  </si>
  <si>
    <t>0 / 0</t>
  </si>
  <si>
    <t>压缩为正、回弹为负；各旋钮独立扫描，同色对应相对挡位。回弹参数见 LSR Sweep。</t>
  </si>
  <si>
    <t>Dyno 采样数据 · 压缩 (+) / 回弹 (−)，N</t>
  </si>
  <si>
    <t>LSC -20 / HSC -20</t>
  </si>
  <si>
    <t>LSC -15 / HSC -15</t>
  </si>
  <si>
    <t>LSC -10 / HSC -10</t>
  </si>
  <si>
    <t>LSC -5 / HSC -5</t>
  </si>
  <si>
    <t>LSC 0 / HSC 0</t>
  </si>
  <si>
    <t>Astral · LSR sweep</t>
  </si>
  <si>
    <t>LSR clicks</t>
  </si>
  <si>
    <t>cR_L</t>
  </si>
  <si>
    <t>kR (m/s)</t>
  </si>
  <si>
    <t>rR</t>
  </si>
  <si>
    <t>cR_H</t>
  </si>
  <si>
    <t>LSR -40</t>
  </si>
  <si>
    <t>LSR -30</t>
  </si>
  <si>
    <t>LSR -20</t>
  </si>
  <si>
    <t>LSR -10</t>
  </si>
  <si>
    <t>LSR 0</t>
  </si>
  <si>
    <t>在 Parameters 选择阀系；同一旋钮联动系数、膝点和倍率。斜率单位 N·s/m。</t>
  </si>
  <si>
    <t>采样数据 · 回弹阻尼力大小 F_R (N)</t>
  </si>
  <si>
    <t>Astral · Damper model v13</t>
  </si>
  <si>
    <t>参数来自研究会话最后一版；黄色为可编辑端点与默认值。</t>
  </si>
  <si>
    <t>调节项 / clicks</t>
  </si>
  <si>
    <t>单位</t>
  </si>
  <si>
    <t>LSC 初段斜率 cL</t>
  </si>
  <si>
    <t>N·s/m</t>
  </si>
  <si>
    <t>由 LSC clicks 控制</t>
  </si>
  <si>
    <t>第一膝点 k1</t>
  </si>
  <si>
    <t>m/s</t>
  </si>
  <si>
    <t>由 LSC clicks 控制，越硬越后</t>
  </si>
  <si>
    <t>LSC 中间段倍率 rL</t>
  </si>
  <si>
    <t>倍率</t>
  </si>
  <si>
    <t>HSC 附加斜率 A</t>
  </si>
  <si>
    <t>由 HSC clicks 控制</t>
  </si>
  <si>
    <t>第二膝点 k2</t>
  </si>
  <si>
    <t>计算关系</t>
  </si>
  <si>
    <t>cM = cL × rL；中间段斜率仅由 LSC 控制。</t>
  </si>
  <si>
    <t>cH = cM + A</t>
  </si>
  <si>
    <t>F(v) = cL × MIN(v, k1) + cM × MAX(0, v − k1) + A × MAX(0, v − k2)</t>
  </si>
  <si>
    <t>v 为压缩轴速；F 为压缩阻尼力大小。连续分段接续是本轮工作假设。</t>
  </si>
  <si>
    <t>计算保留明确折点；图表关闭曲线平滑，采样点之间使用直线连接。</t>
  </si>
  <si>
    <t>基础阻尼贡献：不叠加气体预压力、弹簧、HBS/HRS 或 LRS/DSV 动态倍率。</t>
  </si>
  <si>
    <t>HSC 越接近 0，第二膝点越晚、附加斜率越大；曲线交叉按公式保留。</t>
  </si>
  <si>
    <t>来源：研究会话 v13；当前修订：k2 为 0.52～0.68，取消 HSC 中间段倍率（2026-09-20）。</t>
  </si>
  <si>
    <t>chatgpt-conversation://6a9ed043-7848-83e8-9d36-6e63c8202898</t>
  </si>
  <si>
    <t>Type-A</t>
  </si>
  <si>
    <t>Type-B</t>
  </si>
  <si>
    <t>回弹膝点 kR</t>
  </si>
  <si>
    <t>高速回弹倍率 rR</t>
  </si>
  <si>
    <t>LSR 每 click 增量</t>
  </si>
  <si>
    <t>选用阀系</t>
  </si>
  <si>
    <t>可填 Type-A / Type-B</t>
  </si>
  <si>
    <t>cR_L = reboundBase + 45 × LSR clicks；cR_H = cR_L × rR</t>
  </si>
  <si>
    <t>F_R(u) = cR_L × MIN(u, kR) + cR_H × MAX(0, u − kR)</t>
  </si>
  <si>
    <t>u 为伸展轴速大小；回弹力以正值绘图。连续接续仍为工作假设。</t>
  </si>
  <si>
    <t>LSR 范围来自当前 Rally2 Gravel JBeam；kR 与 rR 来自本次用户设计（2026-09-20）。</t>
  </si>
  <si>
    <t>仅一个回弹旋钮：LSR 越接近 0，低速系数越高、膝点越后、高速倍率越大。</t>
  </si>
  <si>
    <t>采样：0～1.00 m/s，每 0.05 m/s 一点，共 21 点；不另加膝点采样。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</si>
</sst>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"/>
    <numFmt numFmtId="177" formatCode="0.0"/>
  </numFmts>
  <fonts count="8">
    <font>
      <sz val="11"/>
      <name val="Carlito"/>
    </font>
    <font>
      <sz val="10"/>
      <color rgb="FF253444"/>
      <name val="Arial"/>
      <family val="2"/>
    </font>
    <font>
      <b/>
      <sz val="16"/>
      <color rgb="FF253444"/>
      <name val="Arial"/>
      <family val="2"/>
    </font>
    <font>
      <sz val="10"/>
      <color rgb="FF657385"/>
      <name val="Arial"/>
      <family val="2"/>
    </font>
    <font>
      <b/>
      <sz val="10"/>
      <color rgb="FFFFFFFF"/>
      <name val="Arial"/>
      <family val="2"/>
    </font>
    <font>
      <b/>
      <sz val="10"/>
      <color rgb="FF253444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  <fill>
      <patternFill patternType="solid">
        <fgColor rgb="FFFFFFFF"/>
      </patternFill>
    </fill>
    <fill>
      <patternFill patternType="solid">
        <fgColor rgb="FF31465D"/>
      </patternFill>
    </fill>
    <fill>
      <patternFill patternType="solid">
        <fgColor rgb="FFFFF1CA"/>
      </patternFill>
    </fill>
    <fill>
      <patternFill patternType="solid">
        <fgColor rgb="FFE8EDF3"/>
      </patternFill>
    </fill>
  </fills>
  <borders count="2">
    <border>
      <left/>
      <right/>
      <top/>
      <bottom/>
      <diagonal/>
    </border>
    <border>
      <left/>
      <right/>
      <top/>
      <bottom style="thin">
        <color rgb="FFCCD3DB"/>
      </bottom>
      <diagonal/>
    </border>
  </borders>
  <cellStyleXfs count="2">
    <xf numFmtId="0" fontId="0" fillId="0" borderId="0"/>
    <xf numFmtId="0" fontId="6" fillId="0" borderId="0"/>
  </cellStyleXfs>
  <cellXfs count="39">
    <xf numFmtId="0" fontId="0" fillId="0" borderId="0" xfId="0"/>
    <xf numFmtId="0" fontId="1" fillId="0" borderId="0" xfId="1" applyFont="1"/>
    <xf numFmtId="0" fontId="2" fillId="0" borderId="0" xfId="1" applyFont="1"/>
    <xf numFmtId="0" fontId="3" fillId="0" borderId="0" xfId="1" applyFont="1"/>
    <xf numFmtId="0" fontId="1" fillId="0" borderId="1" xfId="1" applyFont="1" applyBorder="1"/>
    <xf numFmtId="0" fontId="4" fillId="2" borderId="0" xfId="1" applyFont="1" applyFill="1" applyAlignment="1">
      <alignment horizontal="center" vertical="center"/>
    </xf>
    <xf numFmtId="1" fontId="1" fillId="0" borderId="0" xfId="1" applyNumberFormat="1" applyFont="1"/>
    <xf numFmtId="1" fontId="1" fillId="3" borderId="0" xfId="1" applyNumberFormat="1" applyFont="1" applyFill="1"/>
    <xf numFmtId="176" fontId="1" fillId="0" borderId="0" xfId="1" applyNumberFormat="1" applyFont="1"/>
    <xf numFmtId="176" fontId="1" fillId="3" borderId="0" xfId="1" applyNumberFormat="1" applyFont="1" applyFill="1"/>
    <xf numFmtId="0" fontId="5" fillId="0" borderId="0" xfId="1" applyFont="1"/>
    <xf numFmtId="0" fontId="1" fillId="4" borderId="0" xfId="1" applyFont="1" applyFill="1"/>
    <xf numFmtId="1" fontId="1" fillId="0" borderId="0" xfId="1" applyNumberFormat="1" applyFont="1" applyAlignment="1">
      <alignment horizontal="right"/>
    </xf>
    <xf numFmtId="176" fontId="1" fillId="0" borderId="0" xfId="1" applyNumberFormat="1" applyFont="1" applyAlignment="1">
      <alignment horizontal="right"/>
    </xf>
    <xf numFmtId="177" fontId="1" fillId="0" borderId="0" xfId="1" applyNumberFormat="1" applyFont="1" applyAlignment="1">
      <alignment horizontal="right"/>
    </xf>
    <xf numFmtId="1" fontId="1" fillId="4" borderId="0" xfId="1" applyNumberFormat="1" applyFont="1" applyFill="1" applyAlignment="1">
      <alignment horizontal="right"/>
    </xf>
    <xf numFmtId="176" fontId="1" fillId="4" borderId="0" xfId="1" applyNumberFormat="1" applyFont="1" applyFill="1" applyAlignment="1">
      <alignment horizontal="right"/>
    </xf>
    <xf numFmtId="177" fontId="1" fillId="4" borderId="0" xfId="1" applyNumberFormat="1" applyFont="1" applyFill="1" applyAlignment="1">
      <alignment horizontal="right"/>
    </xf>
    <xf numFmtId="2" fontId="1" fillId="0" borderId="0" xfId="1" applyNumberFormat="1" applyFont="1" applyAlignment="1">
      <alignment horizontal="right"/>
    </xf>
    <xf numFmtId="176" fontId="1" fillId="5" borderId="0" xfId="0" applyNumberFormat="1" applyFont="1" applyFill="1"/>
    <xf numFmtId="0" fontId="1" fillId="0" borderId="0" xfId="0" applyFont="1"/>
    <xf numFmtId="0" fontId="4" fillId="6" borderId="0" xfId="0" applyFont="1" applyFill="1" applyAlignment="1">
      <alignment horizontal="center" vertical="center"/>
    </xf>
    <xf numFmtId="1" fontId="1" fillId="0" borderId="0" xfId="0" applyNumberFormat="1" applyFont="1"/>
    <xf numFmtId="176" fontId="1" fillId="0" borderId="0" xfId="0" applyNumberFormat="1" applyFont="1"/>
    <xf numFmtId="1" fontId="1" fillId="7" borderId="0" xfId="0" applyNumberFormat="1" applyFont="1" applyFill="1"/>
    <xf numFmtId="0" fontId="1" fillId="7" borderId="0" xfId="0" applyFont="1" applyFill="1"/>
    <xf numFmtId="176" fontId="1" fillId="7" borderId="0" xfId="0" applyNumberFormat="1" applyFont="1" applyFill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5" fillId="0" borderId="0" xfId="0" applyFont="1"/>
    <xf numFmtId="0" fontId="1" fillId="8" borderId="0" xfId="0" applyFont="1" applyFill="1"/>
    <xf numFmtId="1" fontId="1" fillId="0" borderId="0" xfId="0" applyNumberFormat="1" applyFont="1" applyAlignment="1">
      <alignment horizontal="right"/>
    </xf>
    <xf numFmtId="1" fontId="1" fillId="8" borderId="0" xfId="0" applyNumberFormat="1" applyFont="1" applyFill="1" applyAlignment="1">
      <alignment horizontal="right"/>
    </xf>
    <xf numFmtId="176" fontId="1" fillId="0" borderId="0" xfId="0" applyNumberFormat="1" applyFont="1" applyAlignment="1">
      <alignment horizontal="right"/>
    </xf>
    <xf numFmtId="176" fontId="1" fillId="8" borderId="0" xfId="0" applyNumberFormat="1" applyFont="1" applyFill="1" applyAlignment="1">
      <alignment horizontal="right"/>
    </xf>
    <xf numFmtId="177" fontId="1" fillId="0" borderId="0" xfId="0" applyNumberFormat="1" applyFont="1" applyAlignment="1">
      <alignment horizontal="right"/>
    </xf>
    <xf numFmtId="177" fontId="1" fillId="8" borderId="0" xfId="0" applyNumberFormat="1" applyFont="1" applyFill="1" applyAlignment="1">
      <alignment horizontal="right"/>
    </xf>
    <xf numFmtId="2" fontId="1" fillId="0" borderId="0" xfId="0" applyNumberFormat="1" applyFont="1" applyAlignment="1">
      <alignment horizontal="right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126.36000000000001</c:v>
                </c:pt>
                <c:pt idx="3">
                  <c:v>173.16</c:v>
                </c:pt>
                <c:pt idx="4">
                  <c:v>219.96</c:v>
                </c:pt>
                <c:pt idx="5">
                  <c:v>266.76</c:v>
                </c:pt>
                <c:pt idx="6">
                  <c:v>313.56</c:v>
                </c:pt>
                <c:pt idx="7">
                  <c:v>360.36</c:v>
                </c:pt>
                <c:pt idx="8">
                  <c:v>407.16</c:v>
                </c:pt>
                <c:pt idx="9">
                  <c:v>453.96</c:v>
                </c:pt>
                <c:pt idx="10">
                  <c:v>500.76000000000005</c:v>
                </c:pt>
                <c:pt idx="11">
                  <c:v>547.56000000000006</c:v>
                </c:pt>
                <c:pt idx="12">
                  <c:v>594.36</c:v>
                </c:pt>
                <c:pt idx="13">
                  <c:v>766.1600000000002</c:v>
                </c:pt>
                <c:pt idx="14">
                  <c:v>937.96</c:v>
                </c:pt>
                <c:pt idx="15">
                  <c:v>1109.76</c:v>
                </c:pt>
                <c:pt idx="16">
                  <c:v>1281.5600000000002</c:v>
                </c:pt>
                <c:pt idx="17">
                  <c:v>1453.3600000000001</c:v>
                </c:pt>
                <c:pt idx="18">
                  <c:v>1625.1600000000003</c:v>
                </c:pt>
                <c:pt idx="19">
                  <c:v>1796.96</c:v>
                </c:pt>
                <c:pt idx="20">
                  <c:v>1968.76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v>LSC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264.48</c:v>
                </c:pt>
                <c:pt idx="4">
                  <c:v>336.68000000000006</c:v>
                </c:pt>
                <c:pt idx="5">
                  <c:v>408.88</c:v>
                </c:pt>
                <c:pt idx="6">
                  <c:v>481.08</c:v>
                </c:pt>
                <c:pt idx="7">
                  <c:v>553.28</c:v>
                </c:pt>
                <c:pt idx="8">
                  <c:v>625.48</c:v>
                </c:pt>
                <c:pt idx="9">
                  <c:v>697.68000000000006</c:v>
                </c:pt>
                <c:pt idx="10">
                  <c:v>769.88</c:v>
                </c:pt>
                <c:pt idx="11">
                  <c:v>842.08</c:v>
                </c:pt>
                <c:pt idx="12">
                  <c:v>914.28</c:v>
                </c:pt>
                <c:pt idx="13">
                  <c:v>1111.48</c:v>
                </c:pt>
                <c:pt idx="14">
                  <c:v>1308.6799999999998</c:v>
                </c:pt>
                <c:pt idx="15">
                  <c:v>1505.88</c:v>
                </c:pt>
                <c:pt idx="16">
                  <c:v>1703.0800000000002</c:v>
                </c:pt>
                <c:pt idx="17">
                  <c:v>1900.28</c:v>
                </c:pt>
                <c:pt idx="18">
                  <c:v>2097.48</c:v>
                </c:pt>
                <c:pt idx="19">
                  <c:v>2294.6800000000003</c:v>
                </c:pt>
                <c:pt idx="20">
                  <c:v>2491.88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v>LSC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v>LSC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462.52</c:v>
                </c:pt>
                <c:pt idx="4">
                  <c:v>592.72</c:v>
                </c:pt>
                <c:pt idx="5">
                  <c:v>722.92000000000007</c:v>
                </c:pt>
                <c:pt idx="6">
                  <c:v>853.12000000000012</c:v>
                </c:pt>
                <c:pt idx="7">
                  <c:v>983.31999999999994</c:v>
                </c:pt>
                <c:pt idx="8">
                  <c:v>1113.5200000000002</c:v>
                </c:pt>
                <c:pt idx="9">
                  <c:v>1243.7200000000003</c:v>
                </c:pt>
                <c:pt idx="10">
                  <c:v>1373.92</c:v>
                </c:pt>
                <c:pt idx="11">
                  <c:v>1504.1200000000003</c:v>
                </c:pt>
                <c:pt idx="12">
                  <c:v>1634.3200000000002</c:v>
                </c:pt>
                <c:pt idx="13">
                  <c:v>1889.5200000000004</c:v>
                </c:pt>
                <c:pt idx="14">
                  <c:v>2144.7199999999998</c:v>
                </c:pt>
                <c:pt idx="15">
                  <c:v>2399.9200000000005</c:v>
                </c:pt>
                <c:pt idx="16">
                  <c:v>2655.1200000000003</c:v>
                </c:pt>
                <c:pt idx="17">
                  <c:v>2910.32</c:v>
                </c:pt>
                <c:pt idx="18">
                  <c:v>3165.5200000000004</c:v>
                </c:pt>
                <c:pt idx="19">
                  <c:v>3420.7200000000003</c:v>
                </c:pt>
                <c:pt idx="20">
                  <c:v>3675.9200000000005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v>LSC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726.68</c:v>
                </c:pt>
                <c:pt idx="5">
                  <c:v>889.48</c:v>
                </c:pt>
                <c:pt idx="6">
                  <c:v>1052.28</c:v>
                </c:pt>
                <c:pt idx="7">
                  <c:v>1215.08</c:v>
                </c:pt>
                <c:pt idx="8">
                  <c:v>1377.88</c:v>
                </c:pt>
                <c:pt idx="9">
                  <c:v>1540.68</c:v>
                </c:pt>
                <c:pt idx="10">
                  <c:v>1703.4799999999998</c:v>
                </c:pt>
                <c:pt idx="11">
                  <c:v>1866.28</c:v>
                </c:pt>
                <c:pt idx="12">
                  <c:v>2029.0799999999997</c:v>
                </c:pt>
                <c:pt idx="13">
                  <c:v>2316.88</c:v>
                </c:pt>
                <c:pt idx="14">
                  <c:v>2604.6799999999998</c:v>
                </c:pt>
                <c:pt idx="15">
                  <c:v>2892.4799999999996</c:v>
                </c:pt>
                <c:pt idx="16">
                  <c:v>3180.28</c:v>
                </c:pt>
                <c:pt idx="17">
                  <c:v>3468.08</c:v>
                </c:pt>
                <c:pt idx="18">
                  <c:v>3755.88</c:v>
                </c:pt>
                <c:pt idx="19">
                  <c:v>4043.68</c:v>
                </c:pt>
                <c:pt idx="20">
                  <c:v>4331.4799999999996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1300</c:v>
                </c:pt>
                <c:pt idx="13">
                  <c:v>1450</c:v>
                </c:pt>
                <c:pt idx="14">
                  <c:v>1600</c:v>
                </c:pt>
                <c:pt idx="15">
                  <c:v>1750</c:v>
                </c:pt>
                <c:pt idx="16">
                  <c:v>1900</c:v>
                </c:pt>
                <c:pt idx="17">
                  <c:v>2050</c:v>
                </c:pt>
                <c:pt idx="18">
                  <c:v>2200</c:v>
                </c:pt>
                <c:pt idx="19">
                  <c:v>2350</c:v>
                </c:pt>
                <c:pt idx="20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v>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1295</c:v>
                </c:pt>
                <c:pt idx="13">
                  <c:v>1482.5</c:v>
                </c:pt>
                <c:pt idx="14">
                  <c:v>1670</c:v>
                </c:pt>
                <c:pt idx="15">
                  <c:v>1857.5</c:v>
                </c:pt>
                <c:pt idx="16">
                  <c:v>2045.0000000000002</c:v>
                </c:pt>
                <c:pt idx="17">
                  <c:v>2232.5</c:v>
                </c:pt>
                <c:pt idx="18">
                  <c:v>2420</c:v>
                </c:pt>
                <c:pt idx="19">
                  <c:v>2607.5</c:v>
                </c:pt>
                <c:pt idx="20">
                  <c:v>2795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v>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v>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1457.5</c:v>
                </c:pt>
                <c:pt idx="14">
                  <c:v>1720</c:v>
                </c:pt>
                <c:pt idx="15">
                  <c:v>1982.5</c:v>
                </c:pt>
                <c:pt idx="16">
                  <c:v>2245</c:v>
                </c:pt>
                <c:pt idx="17">
                  <c:v>2507.5</c:v>
                </c:pt>
                <c:pt idx="18">
                  <c:v>2770</c:v>
                </c:pt>
                <c:pt idx="19">
                  <c:v>3032.5</c:v>
                </c:pt>
                <c:pt idx="20">
                  <c:v>3295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v>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'HSC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'HSC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1400</c:v>
                </c:pt>
                <c:pt idx="14">
                  <c:v>1699.9999999999998</c:v>
                </c:pt>
                <c:pt idx="15">
                  <c:v>2000</c:v>
                </c:pt>
                <c:pt idx="16">
                  <c:v>2300</c:v>
                </c:pt>
                <c:pt idx="17">
                  <c:v>2600</c:v>
                </c:pt>
                <c:pt idx="18">
                  <c:v>2900</c:v>
                </c:pt>
                <c:pt idx="19">
                  <c:v>3200</c:v>
                </c:pt>
                <c:pt idx="20">
                  <c:v>3500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4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60.75</c:v>
                </c:pt>
                <c:pt idx="2">
                  <c:v>121.5</c:v>
                </c:pt>
                <c:pt idx="3">
                  <c:v>182.25</c:v>
                </c:pt>
                <c:pt idx="4">
                  <c:v>243</c:v>
                </c:pt>
                <c:pt idx="5">
                  <c:v>303.75</c:v>
                </c:pt>
                <c:pt idx="6">
                  <c:v>364.5</c:v>
                </c:pt>
                <c:pt idx="7">
                  <c:v>409.45499999999998</c:v>
                </c:pt>
                <c:pt idx="8">
                  <c:v>454.41</c:v>
                </c:pt>
                <c:pt idx="9">
                  <c:v>499.36500000000001</c:v>
                </c:pt>
                <c:pt idx="10">
                  <c:v>544.32000000000005</c:v>
                </c:pt>
                <c:pt idx="11">
                  <c:v>589.27500000000009</c:v>
                </c:pt>
                <c:pt idx="12">
                  <c:v>634.23</c:v>
                </c:pt>
                <c:pt idx="13">
                  <c:v>679.18500000000006</c:v>
                </c:pt>
                <c:pt idx="14">
                  <c:v>724.14</c:v>
                </c:pt>
                <c:pt idx="15">
                  <c:v>769.09500000000003</c:v>
                </c:pt>
                <c:pt idx="16">
                  <c:v>814.05</c:v>
                </c:pt>
                <c:pt idx="17">
                  <c:v>859.00500000000011</c:v>
                </c:pt>
                <c:pt idx="18">
                  <c:v>903.96000000000015</c:v>
                </c:pt>
                <c:pt idx="19">
                  <c:v>948.91499999999996</c:v>
                </c:pt>
                <c:pt idx="20">
                  <c:v>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83.25</c:v>
                </c:pt>
                <c:pt idx="2">
                  <c:v>166.5</c:v>
                </c:pt>
                <c:pt idx="3">
                  <c:v>249.75</c:v>
                </c:pt>
                <c:pt idx="4">
                  <c:v>333</c:v>
                </c:pt>
                <c:pt idx="5">
                  <c:v>416.25</c:v>
                </c:pt>
                <c:pt idx="6">
                  <c:v>499.5</c:v>
                </c:pt>
                <c:pt idx="7">
                  <c:v>573.59249999999997</c:v>
                </c:pt>
                <c:pt idx="8">
                  <c:v>638.52749999999992</c:v>
                </c:pt>
                <c:pt idx="9">
                  <c:v>703.46249999999998</c:v>
                </c:pt>
                <c:pt idx="10">
                  <c:v>768.39749999999992</c:v>
                </c:pt>
                <c:pt idx="11">
                  <c:v>833.33249999999998</c:v>
                </c:pt>
                <c:pt idx="12">
                  <c:v>898.26749999999993</c:v>
                </c:pt>
                <c:pt idx="13">
                  <c:v>963.20249999999999</c:v>
                </c:pt>
                <c:pt idx="14">
                  <c:v>1028.1374999999998</c:v>
                </c:pt>
                <c:pt idx="15">
                  <c:v>1093.0725</c:v>
                </c:pt>
                <c:pt idx="16">
                  <c:v>1158.0075000000002</c:v>
                </c:pt>
                <c:pt idx="17">
                  <c:v>1222.9425000000001</c:v>
                </c:pt>
                <c:pt idx="18">
                  <c:v>1287.8775000000001</c:v>
                </c:pt>
                <c:pt idx="19">
                  <c:v>1352.8125</c:v>
                </c:pt>
                <c:pt idx="20">
                  <c:v>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105.75</c:v>
                </c:pt>
                <c:pt idx="2">
                  <c:v>211.5</c:v>
                </c:pt>
                <c:pt idx="3">
                  <c:v>317.25</c:v>
                </c:pt>
                <c:pt idx="4">
                  <c:v>423</c:v>
                </c:pt>
                <c:pt idx="5">
                  <c:v>528.75</c:v>
                </c:pt>
                <c:pt idx="6">
                  <c:v>634.5</c:v>
                </c:pt>
                <c:pt idx="7">
                  <c:v>740.25</c:v>
                </c:pt>
                <c:pt idx="8">
                  <c:v>826.96500000000003</c:v>
                </c:pt>
                <c:pt idx="9">
                  <c:v>913.68000000000006</c:v>
                </c:pt>
                <c:pt idx="10">
                  <c:v>1000.395</c:v>
                </c:pt>
                <c:pt idx="11">
                  <c:v>1087.1100000000001</c:v>
                </c:pt>
                <c:pt idx="12">
                  <c:v>1173.825</c:v>
                </c:pt>
                <c:pt idx="13">
                  <c:v>1260.54</c:v>
                </c:pt>
                <c:pt idx="14">
                  <c:v>1347.2550000000001</c:v>
                </c:pt>
                <c:pt idx="15">
                  <c:v>1433.97</c:v>
                </c:pt>
                <c:pt idx="16">
                  <c:v>1520.6849999999999</c:v>
                </c:pt>
                <c:pt idx="17">
                  <c:v>1607.4</c:v>
                </c:pt>
                <c:pt idx="18">
                  <c:v>1694.115</c:v>
                </c:pt>
                <c:pt idx="19">
                  <c:v>1780.83</c:v>
                </c:pt>
                <c:pt idx="20">
                  <c:v>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128.25</c:v>
                </c:pt>
                <c:pt idx="2">
                  <c:v>256.5</c:v>
                </c:pt>
                <c:pt idx="3">
                  <c:v>384.75</c:v>
                </c:pt>
                <c:pt idx="4">
                  <c:v>513</c:v>
                </c:pt>
                <c:pt idx="5">
                  <c:v>641.25</c:v>
                </c:pt>
                <c:pt idx="6">
                  <c:v>769.5</c:v>
                </c:pt>
                <c:pt idx="7">
                  <c:v>897.74999999999989</c:v>
                </c:pt>
                <c:pt idx="8">
                  <c:v>1017.0225</c:v>
                </c:pt>
                <c:pt idx="9">
                  <c:v>1127.3175000000001</c:v>
                </c:pt>
                <c:pt idx="10">
                  <c:v>1237.6125</c:v>
                </c:pt>
                <c:pt idx="11">
                  <c:v>1347.9075000000003</c:v>
                </c:pt>
                <c:pt idx="12">
                  <c:v>1458.2024999999999</c:v>
                </c:pt>
                <c:pt idx="13">
                  <c:v>1568.4974999999999</c:v>
                </c:pt>
                <c:pt idx="14">
                  <c:v>1678.7925</c:v>
                </c:pt>
                <c:pt idx="15">
                  <c:v>1789.0875000000001</c:v>
                </c:pt>
                <c:pt idx="16">
                  <c:v>1899.3825000000002</c:v>
                </c:pt>
                <c:pt idx="17">
                  <c:v>2009.6775</c:v>
                </c:pt>
                <c:pt idx="18">
                  <c:v>2119.9724999999999</c:v>
                </c:pt>
                <c:pt idx="19">
                  <c:v>2230.2674999999999</c:v>
                </c:pt>
                <c:pt idx="20">
                  <c:v>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'LSR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'LSR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150.75</c:v>
                </c:pt>
                <c:pt idx="2">
                  <c:v>301.5</c:v>
                </c:pt>
                <c:pt idx="3">
                  <c:v>452.25</c:v>
                </c:pt>
                <c:pt idx="4">
                  <c:v>603</c:v>
                </c:pt>
                <c:pt idx="5">
                  <c:v>753.75</c:v>
                </c:pt>
                <c:pt idx="6">
                  <c:v>904.5</c:v>
                </c:pt>
                <c:pt idx="7">
                  <c:v>1055.25</c:v>
                </c:pt>
                <c:pt idx="8">
                  <c:v>1206</c:v>
                </c:pt>
                <c:pt idx="9">
                  <c:v>1341.675</c:v>
                </c:pt>
                <c:pt idx="10">
                  <c:v>1477.35</c:v>
                </c:pt>
                <c:pt idx="11">
                  <c:v>1613.0250000000001</c:v>
                </c:pt>
                <c:pt idx="12">
                  <c:v>1748.6999999999998</c:v>
                </c:pt>
                <c:pt idx="13">
                  <c:v>1884.375</c:v>
                </c:pt>
                <c:pt idx="14">
                  <c:v>2020.0499999999997</c:v>
                </c:pt>
                <c:pt idx="15">
                  <c:v>2155.7249999999999</c:v>
                </c:pt>
                <c:pt idx="16">
                  <c:v>2291.4</c:v>
                </c:pt>
                <c:pt idx="17">
                  <c:v>2427.0749999999998</c:v>
                </c:pt>
                <c:pt idx="18">
                  <c:v>2562.75</c:v>
                </c:pt>
                <c:pt idx="19">
                  <c:v>2698.4249999999997</c:v>
                </c:pt>
                <c:pt idx="20">
                  <c:v>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3000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LSC + HSC sweep · Compression / 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LSC -20 / HSC -20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Sweep'!$C$49:$C$69</c:f>
              <c:numCache>
                <c:formatCode>0.0</c:formatCode>
                <c:ptCount val="21"/>
                <c:pt idx="0">
                  <c:v>0</c:v>
                </c:pt>
                <c:pt idx="1">
                  <c:v>65</c:v>
                </c:pt>
                <c:pt idx="2">
                  <c:v>126.36000000000001</c:v>
                </c:pt>
                <c:pt idx="3">
                  <c:v>173.16</c:v>
                </c:pt>
                <c:pt idx="4">
                  <c:v>219.96</c:v>
                </c:pt>
                <c:pt idx="5">
                  <c:v>266.76</c:v>
                </c:pt>
                <c:pt idx="6">
                  <c:v>313.56</c:v>
                </c:pt>
                <c:pt idx="7">
                  <c:v>360.36</c:v>
                </c:pt>
                <c:pt idx="8">
                  <c:v>407.16</c:v>
                </c:pt>
                <c:pt idx="9">
                  <c:v>453.96</c:v>
                </c:pt>
                <c:pt idx="10">
                  <c:v>500.76000000000005</c:v>
                </c:pt>
                <c:pt idx="11">
                  <c:v>547.56000000000006</c:v>
                </c:pt>
                <c:pt idx="12">
                  <c:v>634.3599999999999</c:v>
                </c:pt>
                <c:pt idx="13">
                  <c:v>731.16000000000008</c:v>
                </c:pt>
                <c:pt idx="14">
                  <c:v>827.95999999999992</c:v>
                </c:pt>
                <c:pt idx="15">
                  <c:v>924.76</c:v>
                </c:pt>
                <c:pt idx="16">
                  <c:v>1021.5600000000001</c:v>
                </c:pt>
                <c:pt idx="17">
                  <c:v>1118.3599999999999</c:v>
                </c:pt>
                <c:pt idx="18">
                  <c:v>1215.1600000000001</c:v>
                </c:pt>
                <c:pt idx="19">
                  <c:v>1311.96</c:v>
                </c:pt>
                <c:pt idx="20">
                  <c:v>1408.76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v>LSC -15 / HSC -15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Sweep'!$D$49:$D$69</c:f>
              <c:numCache>
                <c:formatCode>0.0</c:formatCode>
                <c:ptCount val="21"/>
                <c:pt idx="0">
                  <c:v>0</c:v>
                </c:pt>
                <c:pt idx="1">
                  <c:v>95</c:v>
                </c:pt>
                <c:pt idx="2">
                  <c:v>190</c:v>
                </c:pt>
                <c:pt idx="3">
                  <c:v>264.48</c:v>
                </c:pt>
                <c:pt idx="4">
                  <c:v>336.68000000000006</c:v>
                </c:pt>
                <c:pt idx="5">
                  <c:v>408.88</c:v>
                </c:pt>
                <c:pt idx="6">
                  <c:v>481.08</c:v>
                </c:pt>
                <c:pt idx="7">
                  <c:v>553.28</c:v>
                </c:pt>
                <c:pt idx="8">
                  <c:v>625.48</c:v>
                </c:pt>
                <c:pt idx="9">
                  <c:v>697.68000000000006</c:v>
                </c:pt>
                <c:pt idx="10">
                  <c:v>769.88</c:v>
                </c:pt>
                <c:pt idx="11">
                  <c:v>842.08</c:v>
                </c:pt>
                <c:pt idx="12">
                  <c:v>949.28</c:v>
                </c:pt>
                <c:pt idx="13">
                  <c:v>1108.98</c:v>
                </c:pt>
                <c:pt idx="14">
                  <c:v>1268.6799999999998</c:v>
                </c:pt>
                <c:pt idx="15">
                  <c:v>1428.38</c:v>
                </c:pt>
                <c:pt idx="16">
                  <c:v>1588.0800000000002</c:v>
                </c:pt>
                <c:pt idx="17">
                  <c:v>1747.78</c:v>
                </c:pt>
                <c:pt idx="18">
                  <c:v>1907.48</c:v>
                </c:pt>
                <c:pt idx="19">
                  <c:v>2067.1800000000003</c:v>
                </c:pt>
                <c:pt idx="20">
                  <c:v>2226.88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v>LSC -10 / HSC -10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Sweep'!$E$49:$E$69</c:f>
              <c:numCache>
                <c:formatCode>0.0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360</c:v>
                </c:pt>
                <c:pt idx="4">
                  <c:v>460</c:v>
                </c:pt>
                <c:pt idx="5">
                  <c:v>560</c:v>
                </c:pt>
                <c:pt idx="6">
                  <c:v>660</c:v>
                </c:pt>
                <c:pt idx="7">
                  <c:v>760</c:v>
                </c:pt>
                <c:pt idx="8">
                  <c:v>860</c:v>
                </c:pt>
                <c:pt idx="9">
                  <c:v>960</c:v>
                </c:pt>
                <c:pt idx="10">
                  <c:v>1060</c:v>
                </c:pt>
                <c:pt idx="11">
                  <c:v>1160</c:v>
                </c:pt>
                <c:pt idx="12">
                  <c:v>1260</c:v>
                </c:pt>
                <c:pt idx="13">
                  <c:v>1485</c:v>
                </c:pt>
                <c:pt idx="14">
                  <c:v>1710</c:v>
                </c:pt>
                <c:pt idx="15">
                  <c:v>1935</c:v>
                </c:pt>
                <c:pt idx="16">
                  <c:v>2160</c:v>
                </c:pt>
                <c:pt idx="17">
                  <c:v>2385</c:v>
                </c:pt>
                <c:pt idx="18">
                  <c:v>2610</c:v>
                </c:pt>
                <c:pt idx="19">
                  <c:v>2835</c:v>
                </c:pt>
                <c:pt idx="20">
                  <c:v>3060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v>LSC -5 / HSC -5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Sweep'!$F$49:$F$69</c:f>
              <c:numCache>
                <c:formatCode>0.0</c:formatCode>
                <c:ptCount val="21"/>
                <c:pt idx="0">
                  <c:v>0</c:v>
                </c:pt>
                <c:pt idx="1">
                  <c:v>155</c:v>
                </c:pt>
                <c:pt idx="2">
                  <c:v>310</c:v>
                </c:pt>
                <c:pt idx="3">
                  <c:v>462.52</c:v>
                </c:pt>
                <c:pt idx="4">
                  <c:v>592.72</c:v>
                </c:pt>
                <c:pt idx="5">
                  <c:v>722.92000000000007</c:v>
                </c:pt>
                <c:pt idx="6">
                  <c:v>853.12000000000012</c:v>
                </c:pt>
                <c:pt idx="7">
                  <c:v>983.31999999999994</c:v>
                </c:pt>
                <c:pt idx="8">
                  <c:v>1113.5200000000002</c:v>
                </c:pt>
                <c:pt idx="9">
                  <c:v>1243.7200000000003</c:v>
                </c:pt>
                <c:pt idx="10">
                  <c:v>1373.92</c:v>
                </c:pt>
                <c:pt idx="11">
                  <c:v>1504.1200000000003</c:v>
                </c:pt>
                <c:pt idx="12">
                  <c:v>1634.3200000000002</c:v>
                </c:pt>
                <c:pt idx="13">
                  <c:v>1862.0200000000002</c:v>
                </c:pt>
                <c:pt idx="14">
                  <c:v>2154.7199999999998</c:v>
                </c:pt>
                <c:pt idx="15">
                  <c:v>2447.42</c:v>
                </c:pt>
                <c:pt idx="16">
                  <c:v>2740.1200000000003</c:v>
                </c:pt>
                <c:pt idx="17">
                  <c:v>3032.82</c:v>
                </c:pt>
                <c:pt idx="18">
                  <c:v>3325.5200000000004</c:v>
                </c:pt>
                <c:pt idx="19">
                  <c:v>3618.2200000000003</c:v>
                </c:pt>
                <c:pt idx="20">
                  <c:v>3910.9200000000005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v>LSC 0 / HSC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Sweep'!$G$49:$G$69</c:f>
              <c:numCache>
                <c:formatCode>0.0</c:formatCode>
                <c:ptCount val="21"/>
                <c:pt idx="0">
                  <c:v>0</c:v>
                </c:pt>
                <c:pt idx="1">
                  <c:v>185</c:v>
                </c:pt>
                <c:pt idx="2">
                  <c:v>370</c:v>
                </c:pt>
                <c:pt idx="3">
                  <c:v>555</c:v>
                </c:pt>
                <c:pt idx="4">
                  <c:v>726.68</c:v>
                </c:pt>
                <c:pt idx="5">
                  <c:v>889.48</c:v>
                </c:pt>
                <c:pt idx="6">
                  <c:v>1052.28</c:v>
                </c:pt>
                <c:pt idx="7">
                  <c:v>1215.08</c:v>
                </c:pt>
                <c:pt idx="8">
                  <c:v>1377.88</c:v>
                </c:pt>
                <c:pt idx="9">
                  <c:v>1540.68</c:v>
                </c:pt>
                <c:pt idx="10">
                  <c:v>1703.4799999999998</c:v>
                </c:pt>
                <c:pt idx="11">
                  <c:v>1866.28</c:v>
                </c:pt>
                <c:pt idx="12">
                  <c:v>2029.0799999999997</c:v>
                </c:pt>
                <c:pt idx="13">
                  <c:v>2231.88</c:v>
                </c:pt>
                <c:pt idx="14">
                  <c:v>2594.6799999999994</c:v>
                </c:pt>
                <c:pt idx="15">
                  <c:v>2957.4799999999996</c:v>
                </c:pt>
                <c:pt idx="16">
                  <c:v>3320.28</c:v>
                </c:pt>
                <c:pt idx="17">
                  <c:v>3683.08</c:v>
                </c:pt>
                <c:pt idx="18">
                  <c:v>4045.88</c:v>
                </c:pt>
                <c:pt idx="19">
                  <c:v>4408.6799999999994</c:v>
                </c:pt>
                <c:pt idx="20">
                  <c:v>4771.4799999999996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v>LSR -40</c:v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Sweep'!$H$49:$H$69</c:f>
              <c:numCache>
                <c:formatCode>General</c:formatCode>
                <c:ptCount val="21"/>
                <c:pt idx="0">
                  <c:v>0</c:v>
                </c:pt>
                <c:pt idx="1">
                  <c:v>-60.75</c:v>
                </c:pt>
                <c:pt idx="2">
                  <c:v>-121.5</c:v>
                </c:pt>
                <c:pt idx="3">
                  <c:v>-182.25</c:v>
                </c:pt>
                <c:pt idx="4">
                  <c:v>-243</c:v>
                </c:pt>
                <c:pt idx="5">
                  <c:v>-303.75</c:v>
                </c:pt>
                <c:pt idx="6">
                  <c:v>-364.5</c:v>
                </c:pt>
                <c:pt idx="7">
                  <c:v>-409.45499999999998</c:v>
                </c:pt>
                <c:pt idx="8">
                  <c:v>-454.41</c:v>
                </c:pt>
                <c:pt idx="9">
                  <c:v>-499.36500000000001</c:v>
                </c:pt>
                <c:pt idx="10">
                  <c:v>-544.32000000000005</c:v>
                </c:pt>
                <c:pt idx="11">
                  <c:v>-589.27500000000009</c:v>
                </c:pt>
                <c:pt idx="12">
                  <c:v>-634.23</c:v>
                </c:pt>
                <c:pt idx="13">
                  <c:v>-679.18500000000006</c:v>
                </c:pt>
                <c:pt idx="14">
                  <c:v>-724.14</c:v>
                </c:pt>
                <c:pt idx="15">
                  <c:v>-769.09500000000003</c:v>
                </c:pt>
                <c:pt idx="16">
                  <c:v>-814.05</c:v>
                </c:pt>
                <c:pt idx="17">
                  <c:v>-859.00500000000011</c:v>
                </c:pt>
                <c:pt idx="18">
                  <c:v>-903.96000000000015</c:v>
                </c:pt>
                <c:pt idx="19">
                  <c:v>-948.91499999999996</c:v>
                </c:pt>
                <c:pt idx="20">
                  <c:v>-993.87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v>LSR -30</c:v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Sweep'!$I$49:$I$69</c:f>
              <c:numCache>
                <c:formatCode>General</c:formatCode>
                <c:ptCount val="21"/>
                <c:pt idx="0">
                  <c:v>0</c:v>
                </c:pt>
                <c:pt idx="1">
                  <c:v>-83.25</c:v>
                </c:pt>
                <c:pt idx="2">
                  <c:v>-166.5</c:v>
                </c:pt>
                <c:pt idx="3">
                  <c:v>-249.75</c:v>
                </c:pt>
                <c:pt idx="4">
                  <c:v>-333</c:v>
                </c:pt>
                <c:pt idx="5">
                  <c:v>-416.25</c:v>
                </c:pt>
                <c:pt idx="6">
                  <c:v>-499.5</c:v>
                </c:pt>
                <c:pt idx="7">
                  <c:v>-573.59249999999997</c:v>
                </c:pt>
                <c:pt idx="8">
                  <c:v>-638.52749999999992</c:v>
                </c:pt>
                <c:pt idx="9">
                  <c:v>-703.46249999999998</c:v>
                </c:pt>
                <c:pt idx="10">
                  <c:v>-768.39749999999992</c:v>
                </c:pt>
                <c:pt idx="11">
                  <c:v>-833.33249999999998</c:v>
                </c:pt>
                <c:pt idx="12">
                  <c:v>-898.26749999999993</c:v>
                </c:pt>
                <c:pt idx="13">
                  <c:v>-963.20249999999999</c:v>
                </c:pt>
                <c:pt idx="14">
                  <c:v>-1028.1374999999998</c:v>
                </c:pt>
                <c:pt idx="15">
                  <c:v>-1093.0725</c:v>
                </c:pt>
                <c:pt idx="16">
                  <c:v>-1158.0075000000002</c:v>
                </c:pt>
                <c:pt idx="17">
                  <c:v>-1222.9425000000001</c:v>
                </c:pt>
                <c:pt idx="18">
                  <c:v>-1287.8775000000001</c:v>
                </c:pt>
                <c:pt idx="19">
                  <c:v>-1352.8125</c:v>
                </c:pt>
                <c:pt idx="20">
                  <c:v>-1417.7474999999999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v>LSR -20</c:v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Sweep'!$J$49:$J$69</c:f>
              <c:numCache>
                <c:formatCode>General</c:formatCode>
                <c:ptCount val="21"/>
                <c:pt idx="0">
                  <c:v>0</c:v>
                </c:pt>
                <c:pt idx="1">
                  <c:v>-105.75</c:v>
                </c:pt>
                <c:pt idx="2">
                  <c:v>-211.5</c:v>
                </c:pt>
                <c:pt idx="3">
                  <c:v>-317.25</c:v>
                </c:pt>
                <c:pt idx="4">
                  <c:v>-423</c:v>
                </c:pt>
                <c:pt idx="5">
                  <c:v>-528.75</c:v>
                </c:pt>
                <c:pt idx="6">
                  <c:v>-634.5</c:v>
                </c:pt>
                <c:pt idx="7">
                  <c:v>-740.25</c:v>
                </c:pt>
                <c:pt idx="8">
                  <c:v>-826.96500000000003</c:v>
                </c:pt>
                <c:pt idx="9">
                  <c:v>-913.68000000000006</c:v>
                </c:pt>
                <c:pt idx="10">
                  <c:v>-1000.395</c:v>
                </c:pt>
                <c:pt idx="11">
                  <c:v>-1087.1100000000001</c:v>
                </c:pt>
                <c:pt idx="12">
                  <c:v>-1173.825</c:v>
                </c:pt>
                <c:pt idx="13">
                  <c:v>-1260.54</c:v>
                </c:pt>
                <c:pt idx="14">
                  <c:v>-1347.2550000000001</c:v>
                </c:pt>
                <c:pt idx="15">
                  <c:v>-1433.97</c:v>
                </c:pt>
                <c:pt idx="16">
                  <c:v>-1520.6849999999999</c:v>
                </c:pt>
                <c:pt idx="17">
                  <c:v>-1607.4</c:v>
                </c:pt>
                <c:pt idx="18">
                  <c:v>-1694.115</c:v>
                </c:pt>
                <c:pt idx="19">
                  <c:v>-1780.83</c:v>
                </c:pt>
                <c:pt idx="20">
                  <c:v>-1867.5450000000001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v>LSR -10</c:v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Sweep'!$K$49:$K$69</c:f>
              <c:numCache>
                <c:formatCode>General</c:formatCode>
                <c:ptCount val="21"/>
                <c:pt idx="0">
                  <c:v>0</c:v>
                </c:pt>
                <c:pt idx="1">
                  <c:v>-128.25</c:v>
                </c:pt>
                <c:pt idx="2">
                  <c:v>-256.5</c:v>
                </c:pt>
                <c:pt idx="3">
                  <c:v>-384.75</c:v>
                </c:pt>
                <c:pt idx="4">
                  <c:v>-513</c:v>
                </c:pt>
                <c:pt idx="5">
                  <c:v>-641.25</c:v>
                </c:pt>
                <c:pt idx="6">
                  <c:v>-769.5</c:v>
                </c:pt>
                <c:pt idx="7">
                  <c:v>-897.74999999999989</c:v>
                </c:pt>
                <c:pt idx="8">
                  <c:v>-1017.0225</c:v>
                </c:pt>
                <c:pt idx="9">
                  <c:v>-1127.3175000000001</c:v>
                </c:pt>
                <c:pt idx="10">
                  <c:v>-1237.6125</c:v>
                </c:pt>
                <c:pt idx="11">
                  <c:v>-1347.9075000000003</c:v>
                </c:pt>
                <c:pt idx="12">
                  <c:v>-1458.2024999999999</c:v>
                </c:pt>
                <c:pt idx="13">
                  <c:v>-1568.4974999999999</c:v>
                </c:pt>
                <c:pt idx="14">
                  <c:v>-1678.7925</c:v>
                </c:pt>
                <c:pt idx="15">
                  <c:v>-1789.0875000000001</c:v>
                </c:pt>
                <c:pt idx="16">
                  <c:v>-1899.3825000000002</c:v>
                </c:pt>
                <c:pt idx="17">
                  <c:v>-2009.6775</c:v>
                </c:pt>
                <c:pt idx="18">
                  <c:v>-2119.9724999999999</c:v>
                </c:pt>
                <c:pt idx="19">
                  <c:v>-2230.2674999999999</c:v>
                </c:pt>
                <c:pt idx="20">
                  <c:v>-2340.5625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v>LSR 0</c:v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'Full Sweep'!$B$49:$B$69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'Full Sweep'!$L$49:$L$69</c:f>
              <c:numCache>
                <c:formatCode>General</c:formatCode>
                <c:ptCount val="21"/>
                <c:pt idx="0">
                  <c:v>0</c:v>
                </c:pt>
                <c:pt idx="1">
                  <c:v>-150.75</c:v>
                </c:pt>
                <c:pt idx="2">
                  <c:v>-301.5</c:v>
                </c:pt>
                <c:pt idx="3">
                  <c:v>-452.25</c:v>
                </c:pt>
                <c:pt idx="4">
                  <c:v>-603</c:v>
                </c:pt>
                <c:pt idx="5">
                  <c:v>-753.75</c:v>
                </c:pt>
                <c:pt idx="6">
                  <c:v>-904.5</c:v>
                </c:pt>
                <c:pt idx="7">
                  <c:v>-1055.25</c:v>
                </c:pt>
                <c:pt idx="8">
                  <c:v>-1206</c:v>
                </c:pt>
                <c:pt idx="9">
                  <c:v>-1341.675</c:v>
                </c:pt>
                <c:pt idx="10">
                  <c:v>-1477.35</c:v>
                </c:pt>
                <c:pt idx="11">
                  <c:v>-1613.0250000000001</c:v>
                </c:pt>
                <c:pt idx="12">
                  <c:v>-1748.6999999999998</c:v>
                </c:pt>
                <c:pt idx="13">
                  <c:v>-1884.375</c:v>
                </c:pt>
                <c:pt idx="14">
                  <c:v>-2020.0499999999997</c:v>
                </c:pt>
                <c:pt idx="15">
                  <c:v>-2155.7249999999999</c:v>
                </c:pt>
                <c:pt idx="16">
                  <c:v>-2291.4</c:v>
                </c:pt>
                <c:pt idx="17">
                  <c:v>-2427.0749999999998</c:v>
                </c:pt>
                <c:pt idx="18">
                  <c:v>-2562.75</c:v>
                </c:pt>
                <c:pt idx="19">
                  <c:v>-2698.4249999999997</c:v>
                </c:pt>
                <c:pt idx="20">
                  <c:v>-2834.1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ax val="5000"/>
          <c:min val="-500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13</xdr:col>
      <xdr:colOff>0</xdr:colOff>
      <xdr:row>33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65D"/>
  </sheetPr>
  <dimension ref="A1:M74"/>
  <sheetViews>
    <sheetView showGridLines="0" topLeftCell="A16" zoomScaleNormal="100" workbookViewId="0">
      <selection activeCell="E40" sqref="E40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13</v>
      </c>
      <c r="C38" s="12">
        <f>Parameters!C6</f>
        <v>-20</v>
      </c>
      <c r="D38" s="12">
        <f>Parameters!E6</f>
        <v>-10</v>
      </c>
      <c r="E38" s="12">
        <f>INDEX(Parameters!$C$7:$G$7,1,MATCH($C38,Parameters!$C$6:$G$6,0))</f>
        <v>1300</v>
      </c>
      <c r="F38" s="13">
        <f>INDEX(Parameters!$C$8:$G$8,1,MATCH($C38,Parameters!$C$6:$G$6,0))</f>
        <v>0.09</v>
      </c>
      <c r="G38" s="13">
        <f>INDEX(Parameters!$C$9:$G$9,1,MATCH($C38,Parameters!$C$6:$G$6,0))</f>
        <v>0.72</v>
      </c>
      <c r="H38" s="13"/>
      <c r="I38" s="14">
        <f>E38*G38</f>
        <v>936</v>
      </c>
      <c r="J38" s="14">
        <f>INDEX(Parameters!$C$10:$G$10,1,MATCH($D38,Parameters!$C$6:$G$6,0))</f>
        <v>2500</v>
      </c>
      <c r="K38" s="13">
        <f>INDEX(Parameters!$C$11:$G$11,1,MATCH($D38,Parameters!$C$6:$G$6,0))</f>
        <v>0.6</v>
      </c>
      <c r="L38" s="14">
        <f>I38+J38</f>
        <v>3436</v>
      </c>
      <c r="M38" s="1"/>
    </row>
    <row r="39" spans="1:13" ht="23" customHeight="1">
      <c r="A39" s="1"/>
      <c r="B39" s="1" t="s">
        <v>14</v>
      </c>
      <c r="C39" s="12">
        <f>Parameters!D6</f>
        <v>-15</v>
      </c>
      <c r="D39" s="12">
        <f>Parameters!E6</f>
        <v>-10</v>
      </c>
      <c r="E39" s="12">
        <f>INDEX(Parameters!$C$7:$G$7,1,MATCH($C39,Parameters!$C$6:$G$6,0))</f>
        <v>1900</v>
      </c>
      <c r="F39" s="13">
        <f>INDEX(Parameters!$C$8:$G$8,1,MATCH($C39,Parameters!$C$6:$G$6,0))</f>
        <v>0.105</v>
      </c>
      <c r="G39" s="13">
        <f>INDEX(Parameters!$C$9:$G$9,1,MATCH($C39,Parameters!$C$6:$G$6,0))</f>
        <v>0.76</v>
      </c>
      <c r="H39" s="13"/>
      <c r="I39" s="14">
        <f>E39*G39</f>
        <v>1444</v>
      </c>
      <c r="J39" s="14">
        <f>INDEX(Parameters!$C$10:$G$10,1,MATCH($D39,Parameters!$C$6:$G$6,0))</f>
        <v>2500</v>
      </c>
      <c r="K39" s="13">
        <f>INDEX(Parameters!$C$11:$G$11,1,MATCH($D39,Parameters!$C$6:$G$6,0))</f>
        <v>0.6</v>
      </c>
      <c r="L39" s="14">
        <f>I39+J39</f>
        <v>3944</v>
      </c>
      <c r="M39" s="1"/>
    </row>
    <row r="40" spans="1:13" ht="23" customHeight="1">
      <c r="A40" s="1"/>
      <c r="B40" s="11" t="s">
        <v>15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16</v>
      </c>
      <c r="C41" s="12">
        <f>Parameters!F6</f>
        <v>-5</v>
      </c>
      <c r="D41" s="12">
        <f>Parameters!E6</f>
        <v>-10</v>
      </c>
      <c r="E41" s="12">
        <f>INDEX(Parameters!$C$7:$G$7,1,MATCH($C41,Parameters!$C$6:$G$6,0))</f>
        <v>3100</v>
      </c>
      <c r="F41" s="13">
        <f>INDEX(Parameters!$C$8:$G$8,1,MATCH($C41,Parameters!$C$6:$G$6,0))</f>
        <v>0.14500000000000002</v>
      </c>
      <c r="G41" s="13">
        <f>INDEX(Parameters!$C$9:$G$9,1,MATCH($C41,Parameters!$C$6:$G$6,0))</f>
        <v>0.84000000000000008</v>
      </c>
      <c r="H41" s="13"/>
      <c r="I41" s="14">
        <f>E41*G41</f>
        <v>2604.0000000000005</v>
      </c>
      <c r="J41" s="14">
        <f>INDEX(Parameters!$C$10:$G$10,1,MATCH($D41,Parameters!$C$6:$G$6,0))</f>
        <v>2500</v>
      </c>
      <c r="K41" s="13">
        <f>INDEX(Parameters!$C$11:$G$11,1,MATCH($D41,Parameters!$C$6:$G$6,0))</f>
        <v>0.6</v>
      </c>
      <c r="L41" s="14">
        <f>I41+J41</f>
        <v>5104</v>
      </c>
      <c r="M41" s="1"/>
    </row>
    <row r="42" spans="1:13" ht="23" customHeight="1">
      <c r="A42" s="1"/>
      <c r="B42" s="1" t="s">
        <v>17</v>
      </c>
      <c r="C42" s="12">
        <f>Parameters!G6</f>
        <v>0</v>
      </c>
      <c r="D42" s="12">
        <f>Parameters!E6</f>
        <v>-10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0.88</v>
      </c>
      <c r="H42" s="13"/>
      <c r="I42" s="14">
        <f>E42*G42</f>
        <v>3256</v>
      </c>
      <c r="J42" s="14">
        <f>INDEX(Parameters!$C$10:$G$10,1,MATCH($D42,Parameters!$C$6:$G$6,0))</f>
        <v>2500</v>
      </c>
      <c r="K42" s="13">
        <f>INDEX(Parameters!$C$11:$G$11,1,MATCH($D42,Parameters!$C$6:$G$6,0))</f>
        <v>0.6</v>
      </c>
      <c r="L42" s="14">
        <f>I42+J42</f>
        <v>5756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21</v>
      </c>
      <c r="D48" s="5" t="s">
        <v>22</v>
      </c>
      <c r="E48" s="5" t="s">
        <v>23</v>
      </c>
      <c r="F48" s="5" t="s">
        <v>24</v>
      </c>
      <c r="G48" s="5" t="s">
        <v>25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M50" s="1"/>
    </row>
    <row r="51" spans="1:13" ht="18" customHeight="1">
      <c r="A51" s="1"/>
      <c r="B51" s="18">
        <v>0.1</v>
      </c>
      <c r="C51" s="14">
        <f t="shared" si="0"/>
        <v>126.36000000000001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M51" s="1"/>
    </row>
    <row r="52" spans="1:13" ht="18" customHeight="1">
      <c r="A52" s="1"/>
      <c r="B52" s="18">
        <v>0.15</v>
      </c>
      <c r="C52" s="14">
        <f t="shared" si="0"/>
        <v>173.16</v>
      </c>
      <c r="D52" s="14">
        <f t="shared" si="1"/>
        <v>264.48</v>
      </c>
      <c r="E52" s="14">
        <f t="shared" si="2"/>
        <v>360</v>
      </c>
      <c r="F52" s="14">
        <f t="shared" si="3"/>
        <v>462.52</v>
      </c>
      <c r="G52" s="14">
        <f t="shared" si="4"/>
        <v>555</v>
      </c>
      <c r="M52" s="1"/>
    </row>
    <row r="53" spans="1:13" ht="18" customHeight="1">
      <c r="A53" s="1"/>
      <c r="B53" s="18">
        <v>0.2</v>
      </c>
      <c r="C53" s="14">
        <f t="shared" si="0"/>
        <v>219.96</v>
      </c>
      <c r="D53" s="14">
        <f t="shared" si="1"/>
        <v>336.68000000000006</v>
      </c>
      <c r="E53" s="14">
        <f t="shared" si="2"/>
        <v>460</v>
      </c>
      <c r="F53" s="14">
        <f t="shared" si="3"/>
        <v>592.72</v>
      </c>
      <c r="G53" s="14">
        <f t="shared" si="4"/>
        <v>726.68</v>
      </c>
      <c r="M53" s="1"/>
    </row>
    <row r="54" spans="1:13" ht="18" customHeight="1">
      <c r="A54" s="1"/>
      <c r="B54" s="18">
        <v>0.25</v>
      </c>
      <c r="C54" s="14">
        <f t="shared" si="0"/>
        <v>266.76</v>
      </c>
      <c r="D54" s="14">
        <f t="shared" si="1"/>
        <v>408.88</v>
      </c>
      <c r="E54" s="14">
        <f t="shared" si="2"/>
        <v>560</v>
      </c>
      <c r="F54" s="14">
        <f t="shared" si="3"/>
        <v>722.92000000000007</v>
      </c>
      <c r="G54" s="14">
        <f t="shared" si="4"/>
        <v>889.48</v>
      </c>
      <c r="M54" s="1"/>
    </row>
    <row r="55" spans="1:13" ht="18" customHeight="1">
      <c r="A55" s="1"/>
      <c r="B55" s="18">
        <v>0.3</v>
      </c>
      <c r="C55" s="14">
        <f t="shared" si="0"/>
        <v>313.56</v>
      </c>
      <c r="D55" s="14">
        <f t="shared" si="1"/>
        <v>481.08</v>
      </c>
      <c r="E55" s="14">
        <f t="shared" si="2"/>
        <v>660</v>
      </c>
      <c r="F55" s="14">
        <f t="shared" si="3"/>
        <v>853.12000000000012</v>
      </c>
      <c r="G55" s="14">
        <f t="shared" si="4"/>
        <v>1052.28</v>
      </c>
      <c r="M55" s="1"/>
    </row>
    <row r="56" spans="1:13" ht="18" customHeight="1">
      <c r="A56" s="1"/>
      <c r="B56" s="18">
        <v>0.35</v>
      </c>
      <c r="C56" s="14">
        <f t="shared" si="0"/>
        <v>360.36</v>
      </c>
      <c r="D56" s="14">
        <f t="shared" si="1"/>
        <v>553.28</v>
      </c>
      <c r="E56" s="14">
        <f t="shared" si="2"/>
        <v>760</v>
      </c>
      <c r="F56" s="14">
        <f t="shared" si="3"/>
        <v>983.31999999999994</v>
      </c>
      <c r="G56" s="14">
        <f t="shared" si="4"/>
        <v>1215.08</v>
      </c>
      <c r="M56" s="1"/>
    </row>
    <row r="57" spans="1:13" ht="18" customHeight="1">
      <c r="A57" s="1"/>
      <c r="B57" s="18">
        <v>0.4</v>
      </c>
      <c r="C57" s="14">
        <f t="shared" si="0"/>
        <v>407.16</v>
      </c>
      <c r="D57" s="14">
        <f t="shared" si="1"/>
        <v>625.48</v>
      </c>
      <c r="E57" s="14">
        <f t="shared" si="2"/>
        <v>860</v>
      </c>
      <c r="F57" s="14">
        <f t="shared" si="3"/>
        <v>1113.5200000000002</v>
      </c>
      <c r="G57" s="14">
        <f t="shared" si="4"/>
        <v>1377.88</v>
      </c>
      <c r="M57" s="1"/>
    </row>
    <row r="58" spans="1:13" ht="18" customHeight="1">
      <c r="A58" s="1"/>
      <c r="B58" s="18">
        <v>0.45</v>
      </c>
      <c r="C58" s="14">
        <f t="shared" si="0"/>
        <v>453.96</v>
      </c>
      <c r="D58" s="14">
        <f t="shared" si="1"/>
        <v>697.68000000000006</v>
      </c>
      <c r="E58" s="14">
        <f t="shared" si="2"/>
        <v>960</v>
      </c>
      <c r="F58" s="14">
        <f t="shared" si="3"/>
        <v>1243.7200000000003</v>
      </c>
      <c r="G58" s="14">
        <f t="shared" si="4"/>
        <v>1540.68</v>
      </c>
      <c r="M58" s="1"/>
    </row>
    <row r="59" spans="1:13" ht="18" customHeight="1">
      <c r="A59" s="1"/>
      <c r="B59" s="18">
        <v>0.5</v>
      </c>
      <c r="C59" s="14">
        <f t="shared" si="0"/>
        <v>500.76000000000005</v>
      </c>
      <c r="D59" s="14">
        <f t="shared" si="1"/>
        <v>769.88</v>
      </c>
      <c r="E59" s="14">
        <f t="shared" si="2"/>
        <v>1060</v>
      </c>
      <c r="F59" s="14">
        <f t="shared" si="3"/>
        <v>1373.92</v>
      </c>
      <c r="G59" s="14">
        <f t="shared" si="4"/>
        <v>1703.4799999999998</v>
      </c>
      <c r="M59" s="1"/>
    </row>
    <row r="60" spans="1:13" ht="18" customHeight="1">
      <c r="A60" s="1"/>
      <c r="B60" s="18">
        <v>0.55000000000000004</v>
      </c>
      <c r="C60" s="14">
        <f t="shared" si="0"/>
        <v>547.56000000000006</v>
      </c>
      <c r="D60" s="14">
        <f t="shared" si="1"/>
        <v>842.08</v>
      </c>
      <c r="E60" s="14">
        <f t="shared" si="2"/>
        <v>1160</v>
      </c>
      <c r="F60" s="14">
        <f t="shared" si="3"/>
        <v>1504.1200000000003</v>
      </c>
      <c r="G60" s="14">
        <f t="shared" si="4"/>
        <v>1866.28</v>
      </c>
      <c r="M60" s="1"/>
    </row>
    <row r="61" spans="1:13" ht="18" customHeight="1">
      <c r="A61" s="1"/>
      <c r="B61" s="18">
        <v>0.6</v>
      </c>
      <c r="C61" s="14">
        <f t="shared" si="0"/>
        <v>594.36</v>
      </c>
      <c r="D61" s="14">
        <f t="shared" si="1"/>
        <v>914.28</v>
      </c>
      <c r="E61" s="14">
        <f t="shared" si="2"/>
        <v>1260</v>
      </c>
      <c r="F61" s="14">
        <f t="shared" si="3"/>
        <v>1634.3200000000002</v>
      </c>
      <c r="G61" s="14">
        <f t="shared" si="4"/>
        <v>2029.0799999999997</v>
      </c>
      <c r="M61" s="1"/>
    </row>
    <row r="62" spans="1:13" ht="18" customHeight="1">
      <c r="A62" s="1"/>
      <c r="B62" s="18">
        <v>0.65</v>
      </c>
      <c r="C62" s="14">
        <f t="shared" si="0"/>
        <v>766.1600000000002</v>
      </c>
      <c r="D62" s="14">
        <f t="shared" si="1"/>
        <v>1111.48</v>
      </c>
      <c r="E62" s="14">
        <f t="shared" si="2"/>
        <v>1485</v>
      </c>
      <c r="F62" s="14">
        <f t="shared" si="3"/>
        <v>1889.5200000000004</v>
      </c>
      <c r="G62" s="14">
        <f t="shared" si="4"/>
        <v>2316.88</v>
      </c>
      <c r="M62" s="1"/>
    </row>
    <row r="63" spans="1:13" ht="18" customHeight="1">
      <c r="A63" s="1"/>
      <c r="B63" s="18">
        <v>0.7</v>
      </c>
      <c r="C63" s="14">
        <f t="shared" si="0"/>
        <v>937.96</v>
      </c>
      <c r="D63" s="14">
        <f t="shared" si="1"/>
        <v>1308.6799999999998</v>
      </c>
      <c r="E63" s="14">
        <f t="shared" si="2"/>
        <v>1710</v>
      </c>
      <c r="F63" s="14">
        <f t="shared" si="3"/>
        <v>2144.7199999999998</v>
      </c>
      <c r="G63" s="14">
        <f t="shared" si="4"/>
        <v>2604.6799999999998</v>
      </c>
      <c r="M63" s="1"/>
    </row>
    <row r="64" spans="1:13" ht="18" customHeight="1">
      <c r="A64" s="1"/>
      <c r="B64" s="18">
        <v>0.75</v>
      </c>
      <c r="C64" s="14">
        <f t="shared" si="0"/>
        <v>1109.76</v>
      </c>
      <c r="D64" s="14">
        <f t="shared" si="1"/>
        <v>1505.88</v>
      </c>
      <c r="E64" s="14">
        <f t="shared" si="2"/>
        <v>1935</v>
      </c>
      <c r="F64" s="14">
        <f t="shared" si="3"/>
        <v>2399.9200000000005</v>
      </c>
      <c r="G64" s="14">
        <f t="shared" si="4"/>
        <v>2892.4799999999996</v>
      </c>
      <c r="M64" s="1"/>
    </row>
    <row r="65" spans="1:13" ht="18" customHeight="1">
      <c r="A65" s="1"/>
      <c r="B65" s="18">
        <v>0.8</v>
      </c>
      <c r="C65" s="14">
        <f t="shared" si="0"/>
        <v>1281.5600000000002</v>
      </c>
      <c r="D65" s="14">
        <f t="shared" si="1"/>
        <v>1703.0800000000002</v>
      </c>
      <c r="E65" s="14">
        <f t="shared" si="2"/>
        <v>2160</v>
      </c>
      <c r="F65" s="14">
        <f t="shared" si="3"/>
        <v>2655.1200000000003</v>
      </c>
      <c r="G65" s="14">
        <f t="shared" si="4"/>
        <v>3180.28</v>
      </c>
      <c r="M65" s="1"/>
    </row>
    <row r="66" spans="1:13" ht="18" customHeight="1">
      <c r="A66" s="1"/>
      <c r="B66" s="18">
        <v>0.85</v>
      </c>
      <c r="C66" s="14">
        <f t="shared" si="0"/>
        <v>1453.3600000000001</v>
      </c>
      <c r="D66" s="14">
        <f t="shared" si="1"/>
        <v>1900.28</v>
      </c>
      <c r="E66" s="14">
        <f t="shared" si="2"/>
        <v>2385</v>
      </c>
      <c r="F66" s="14">
        <f t="shared" si="3"/>
        <v>2910.32</v>
      </c>
      <c r="G66" s="14">
        <f t="shared" si="4"/>
        <v>3468.08</v>
      </c>
      <c r="M66" s="1"/>
    </row>
    <row r="67" spans="1:13" ht="18" customHeight="1">
      <c r="A67" s="1"/>
      <c r="B67" s="18">
        <v>0.9</v>
      </c>
      <c r="C67" s="14">
        <f t="shared" si="0"/>
        <v>1625.1600000000003</v>
      </c>
      <c r="D67" s="14">
        <f t="shared" si="1"/>
        <v>2097.48</v>
      </c>
      <c r="E67" s="14">
        <f t="shared" si="2"/>
        <v>2610</v>
      </c>
      <c r="F67" s="14">
        <f t="shared" si="3"/>
        <v>3165.5200000000004</v>
      </c>
      <c r="G67" s="14">
        <f t="shared" si="4"/>
        <v>3755.88</v>
      </c>
      <c r="M67" s="1"/>
    </row>
    <row r="68" spans="1:13" ht="18" customHeight="1">
      <c r="A68" s="1"/>
      <c r="B68" s="18">
        <v>0.95</v>
      </c>
      <c r="C68" s="14">
        <f t="shared" si="0"/>
        <v>1796.96</v>
      </c>
      <c r="D68" s="14">
        <f t="shared" si="1"/>
        <v>2294.6800000000003</v>
      </c>
      <c r="E68" s="14">
        <f t="shared" si="2"/>
        <v>2835</v>
      </c>
      <c r="F68" s="14">
        <f t="shared" si="3"/>
        <v>3420.7200000000003</v>
      </c>
      <c r="G68" s="14">
        <f t="shared" si="4"/>
        <v>4043.68</v>
      </c>
      <c r="M68" s="1"/>
    </row>
    <row r="69" spans="1:13" ht="18" customHeight="1">
      <c r="A69" s="1"/>
      <c r="B69" s="18">
        <v>1</v>
      </c>
      <c r="C69" s="14">
        <f t="shared" si="0"/>
        <v>1968.76</v>
      </c>
      <c r="D69" s="14">
        <f t="shared" si="1"/>
        <v>2491.88</v>
      </c>
      <c r="E69" s="14">
        <f t="shared" si="2"/>
        <v>3060</v>
      </c>
      <c r="F69" s="14">
        <f t="shared" si="3"/>
        <v>3675.9200000000005</v>
      </c>
      <c r="G69" s="14">
        <f t="shared" si="4"/>
        <v>4331.4799999999996</v>
      </c>
      <c r="M69" s="1"/>
    </row>
    <row r="70" spans="1:13" ht="18" customHeight="1">
      <c r="A70" s="1"/>
      <c r="C70">
        <f t="shared" si="0"/>
        <v>117</v>
      </c>
      <c r="D70">
        <f t="shared" si="1"/>
        <v>199.5</v>
      </c>
      <c r="E70">
        <f t="shared" si="2"/>
        <v>300</v>
      </c>
      <c r="F70">
        <f t="shared" si="3"/>
        <v>449.50000000000006</v>
      </c>
      <c r="G70">
        <f t="shared" si="4"/>
        <v>629</v>
      </c>
      <c r="M70" s="1"/>
    </row>
    <row r="71" spans="1:13" ht="18" customHeight="1">
      <c r="A71" s="1"/>
      <c r="C71">
        <f t="shared" si="0"/>
        <v>117</v>
      </c>
      <c r="D71">
        <f t="shared" si="1"/>
        <v>199.5</v>
      </c>
      <c r="E71">
        <f t="shared" si="2"/>
        <v>300</v>
      </c>
      <c r="F71">
        <f t="shared" si="3"/>
        <v>449.50000000000006</v>
      </c>
      <c r="G71">
        <f t="shared" si="4"/>
        <v>629</v>
      </c>
      <c r="M71" s="1"/>
    </row>
    <row r="72" spans="1:13" ht="18" customHeight="1">
      <c r="A72" s="1"/>
      <c r="C72">
        <f t="shared" si="0"/>
        <v>117</v>
      </c>
      <c r="D72">
        <f t="shared" si="1"/>
        <v>199.5</v>
      </c>
      <c r="E72">
        <f t="shared" si="2"/>
        <v>300</v>
      </c>
      <c r="F72">
        <f t="shared" si="3"/>
        <v>449.50000000000006</v>
      </c>
      <c r="G72">
        <f t="shared" si="4"/>
        <v>629</v>
      </c>
      <c r="M72" s="1"/>
    </row>
    <row r="73" spans="1:13" ht="18" customHeight="1">
      <c r="A73" s="1"/>
      <c r="C73">
        <f t="shared" si="0"/>
        <v>117</v>
      </c>
      <c r="D73">
        <f t="shared" si="1"/>
        <v>199.5</v>
      </c>
      <c r="E73">
        <f t="shared" si="2"/>
        <v>300</v>
      </c>
      <c r="F73">
        <f t="shared" si="3"/>
        <v>449.50000000000006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65D"/>
  </sheetPr>
  <dimension ref="A1:M74"/>
  <sheetViews>
    <sheetView showGridLines="0" topLeftCell="A9" zoomScaleNormal="100" workbookViewId="0">
      <selection activeCell="Q27" sqref="Q27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3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28</v>
      </c>
      <c r="C38" s="12">
        <f>Parameters!E6</f>
        <v>-10</v>
      </c>
      <c r="D38" s="12">
        <f>Parameters!C6</f>
        <v>-20</v>
      </c>
      <c r="E38" s="12">
        <f>INDEX(Parameters!$C$7:$G$7,1,MATCH($C38,Parameters!$C$6:$G$6,0))</f>
        <v>2500</v>
      </c>
      <c r="F38" s="13">
        <f>INDEX(Parameters!$C$8:$G$8,1,MATCH($C38,Parameters!$C$6:$G$6,0))</f>
        <v>0.12</v>
      </c>
      <c r="G38" s="13">
        <f>INDEX(Parameters!$C$9:$G$9,1,MATCH($C38,Parameters!$C$6:$G$6,0))</f>
        <v>0.8</v>
      </c>
      <c r="H38" s="13"/>
      <c r="I38" s="14">
        <f>E38*G38</f>
        <v>2000</v>
      </c>
      <c r="J38" s="14">
        <f>INDEX(Parameters!$C$10:$G$10,1,MATCH($D38,Parameters!$C$6:$G$6,0))</f>
        <v>1000</v>
      </c>
      <c r="K38" s="13">
        <f>INDEX(Parameters!$C$11:$G$11,1,MATCH($D38,Parameters!$C$6:$G$6,0))</f>
        <v>0.56000000000000005</v>
      </c>
      <c r="L38" s="14">
        <f>I38+J38</f>
        <v>3000</v>
      </c>
      <c r="M38" s="1"/>
    </row>
    <row r="39" spans="1:13" ht="23" customHeight="1">
      <c r="A39" s="1"/>
      <c r="B39" s="1" t="s">
        <v>29</v>
      </c>
      <c r="C39" s="12">
        <f>Parameters!E6</f>
        <v>-10</v>
      </c>
      <c r="D39" s="12">
        <f>Parameters!D6</f>
        <v>-15</v>
      </c>
      <c r="E39" s="12">
        <f>INDEX(Parameters!$C$7:$G$7,1,MATCH($C39,Parameters!$C$6:$G$6,0))</f>
        <v>2500</v>
      </c>
      <c r="F39" s="13">
        <f>INDEX(Parameters!$C$8:$G$8,1,MATCH($C39,Parameters!$C$6:$G$6,0))</f>
        <v>0.12</v>
      </c>
      <c r="G39" s="13">
        <f>INDEX(Parameters!$C$9:$G$9,1,MATCH($C39,Parameters!$C$6:$G$6,0))</f>
        <v>0.8</v>
      </c>
      <c r="H39" s="13"/>
      <c r="I39" s="14">
        <f>E39*G39</f>
        <v>2000</v>
      </c>
      <c r="J39" s="14">
        <f>INDEX(Parameters!$C$10:$G$10,1,MATCH($D39,Parameters!$C$6:$G$6,0))</f>
        <v>1750</v>
      </c>
      <c r="K39" s="13">
        <f>INDEX(Parameters!$C$11:$G$11,1,MATCH($D39,Parameters!$C$6:$G$6,0))</f>
        <v>0.57999999999999996</v>
      </c>
      <c r="L39" s="14">
        <f>I39+J39</f>
        <v>3750</v>
      </c>
      <c r="M39" s="1"/>
    </row>
    <row r="40" spans="1:13" ht="23" customHeight="1">
      <c r="A40" s="1"/>
      <c r="B40" s="11" t="s">
        <v>30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31</v>
      </c>
      <c r="C41" s="12">
        <f>Parameters!E6</f>
        <v>-10</v>
      </c>
      <c r="D41" s="12">
        <f>Parameters!F6</f>
        <v>-5</v>
      </c>
      <c r="E41" s="12">
        <f>INDEX(Parameters!$C$7:$G$7,1,MATCH($C41,Parameters!$C$6:$G$6,0))</f>
        <v>2500</v>
      </c>
      <c r="F41" s="13">
        <f>INDEX(Parameters!$C$8:$G$8,1,MATCH($C41,Parameters!$C$6:$G$6,0))</f>
        <v>0.12</v>
      </c>
      <c r="G41" s="13">
        <f>INDEX(Parameters!$C$9:$G$9,1,MATCH($C41,Parameters!$C$6:$G$6,0))</f>
        <v>0.8</v>
      </c>
      <c r="H41" s="13"/>
      <c r="I41" s="14">
        <f>E41*G41</f>
        <v>2000</v>
      </c>
      <c r="J41" s="14">
        <f>INDEX(Parameters!$C$10:$G$10,1,MATCH($D41,Parameters!$C$6:$G$6,0))</f>
        <v>3250</v>
      </c>
      <c r="K41" s="13">
        <f>INDEX(Parameters!$C$11:$G$11,1,MATCH($D41,Parameters!$C$6:$G$6,0))</f>
        <v>0.62</v>
      </c>
      <c r="L41" s="14">
        <f>I41+J41</f>
        <v>5250</v>
      </c>
      <c r="M41" s="1"/>
    </row>
    <row r="42" spans="1:13" ht="23" customHeight="1">
      <c r="A42" s="1"/>
      <c r="B42" s="1" t="s">
        <v>32</v>
      </c>
      <c r="C42" s="12">
        <f>Parameters!E6</f>
        <v>-10</v>
      </c>
      <c r="D42" s="12">
        <f>Parameters!G6</f>
        <v>0</v>
      </c>
      <c r="E42" s="12">
        <f>INDEX(Parameters!$C$7:$G$7,1,MATCH($C42,Parameters!$C$6:$G$6,0))</f>
        <v>2500</v>
      </c>
      <c r="F42" s="13">
        <f>INDEX(Parameters!$C$8:$G$8,1,MATCH($C42,Parameters!$C$6:$G$6,0))</f>
        <v>0.12</v>
      </c>
      <c r="G42" s="13">
        <f>INDEX(Parameters!$C$9:$G$9,1,MATCH($C42,Parameters!$C$6:$G$6,0))</f>
        <v>0.8</v>
      </c>
      <c r="H42" s="13"/>
      <c r="I42" s="14">
        <f>E42*G42</f>
        <v>2000</v>
      </c>
      <c r="J42" s="14">
        <f>INDEX(Parameters!$C$10:$G$10,1,MATCH($D42,Parameters!$C$6:$G$6,0))</f>
        <v>4000</v>
      </c>
      <c r="K42" s="13">
        <f>INDEX(Parameters!$C$11:$G$11,1,MATCH($D42,Parameters!$C$6:$G$6,0))</f>
        <v>0.64</v>
      </c>
      <c r="L42" s="14">
        <f>I42+J42</f>
        <v>6000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18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19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33</v>
      </c>
      <c r="D48" s="5" t="s">
        <v>34</v>
      </c>
      <c r="E48" s="5" t="s">
        <v>35</v>
      </c>
      <c r="F48" s="5" t="s">
        <v>36</v>
      </c>
      <c r="G48" s="5" t="s">
        <v>37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M49" s="1"/>
    </row>
    <row r="50" spans="1:13" ht="18" customHeight="1">
      <c r="A50" s="1"/>
      <c r="B50" s="18">
        <v>0.05</v>
      </c>
      <c r="C50" s="14">
        <f t="shared" si="0"/>
        <v>125</v>
      </c>
      <c r="D50" s="14">
        <f t="shared" si="1"/>
        <v>125</v>
      </c>
      <c r="E50" s="14">
        <f t="shared" si="2"/>
        <v>125</v>
      </c>
      <c r="F50" s="14">
        <f t="shared" si="3"/>
        <v>125</v>
      </c>
      <c r="G50" s="14">
        <f t="shared" si="4"/>
        <v>125</v>
      </c>
      <c r="M50" s="1"/>
    </row>
    <row r="51" spans="1:13" ht="18" customHeight="1">
      <c r="A51" s="1"/>
      <c r="B51" s="18">
        <v>0.1</v>
      </c>
      <c r="C51" s="14">
        <f t="shared" si="0"/>
        <v>250</v>
      </c>
      <c r="D51" s="14">
        <f t="shared" si="1"/>
        <v>250</v>
      </c>
      <c r="E51" s="14">
        <f t="shared" si="2"/>
        <v>250</v>
      </c>
      <c r="F51" s="14">
        <f t="shared" si="3"/>
        <v>250</v>
      </c>
      <c r="G51" s="14">
        <f t="shared" si="4"/>
        <v>250</v>
      </c>
      <c r="M51" s="1"/>
    </row>
    <row r="52" spans="1:13" ht="18" customHeight="1">
      <c r="A52" s="1"/>
      <c r="B52" s="18">
        <v>0.15</v>
      </c>
      <c r="C52" s="14">
        <f t="shared" si="0"/>
        <v>360</v>
      </c>
      <c r="D52" s="14">
        <f t="shared" si="1"/>
        <v>360</v>
      </c>
      <c r="E52" s="14">
        <f t="shared" si="2"/>
        <v>360</v>
      </c>
      <c r="F52" s="14">
        <f t="shared" si="3"/>
        <v>360</v>
      </c>
      <c r="G52" s="14">
        <f t="shared" si="4"/>
        <v>360</v>
      </c>
      <c r="M52" s="1"/>
    </row>
    <row r="53" spans="1:13" ht="18" customHeight="1">
      <c r="A53" s="1"/>
      <c r="B53" s="18">
        <v>0.2</v>
      </c>
      <c r="C53" s="14">
        <f t="shared" si="0"/>
        <v>460</v>
      </c>
      <c r="D53" s="14">
        <f t="shared" si="1"/>
        <v>460</v>
      </c>
      <c r="E53" s="14">
        <f t="shared" si="2"/>
        <v>460</v>
      </c>
      <c r="F53" s="14">
        <f t="shared" si="3"/>
        <v>460</v>
      </c>
      <c r="G53" s="14">
        <f t="shared" si="4"/>
        <v>460</v>
      </c>
      <c r="M53" s="1"/>
    </row>
    <row r="54" spans="1:13" ht="18" customHeight="1">
      <c r="A54" s="1"/>
      <c r="B54" s="18">
        <v>0.25</v>
      </c>
      <c r="C54" s="14">
        <f t="shared" si="0"/>
        <v>560</v>
      </c>
      <c r="D54" s="14">
        <f t="shared" si="1"/>
        <v>560</v>
      </c>
      <c r="E54" s="14">
        <f t="shared" si="2"/>
        <v>560</v>
      </c>
      <c r="F54" s="14">
        <f t="shared" si="3"/>
        <v>560</v>
      </c>
      <c r="G54" s="14">
        <f t="shared" si="4"/>
        <v>560</v>
      </c>
      <c r="M54" s="1"/>
    </row>
    <row r="55" spans="1:13" ht="18" customHeight="1">
      <c r="A55" s="1"/>
      <c r="B55" s="18">
        <v>0.3</v>
      </c>
      <c r="C55" s="14">
        <f t="shared" si="0"/>
        <v>660</v>
      </c>
      <c r="D55" s="14">
        <f t="shared" si="1"/>
        <v>660</v>
      </c>
      <c r="E55" s="14">
        <f t="shared" si="2"/>
        <v>660</v>
      </c>
      <c r="F55" s="14">
        <f t="shared" si="3"/>
        <v>660</v>
      </c>
      <c r="G55" s="14">
        <f t="shared" si="4"/>
        <v>660</v>
      </c>
      <c r="M55" s="1"/>
    </row>
    <row r="56" spans="1:13" ht="18" customHeight="1">
      <c r="A56" s="1"/>
      <c r="B56" s="18">
        <v>0.35</v>
      </c>
      <c r="C56" s="14">
        <f t="shared" si="0"/>
        <v>760</v>
      </c>
      <c r="D56" s="14">
        <f t="shared" si="1"/>
        <v>760</v>
      </c>
      <c r="E56" s="14">
        <f t="shared" si="2"/>
        <v>760</v>
      </c>
      <c r="F56" s="14">
        <f t="shared" si="3"/>
        <v>760</v>
      </c>
      <c r="G56" s="14">
        <f t="shared" si="4"/>
        <v>760</v>
      </c>
      <c r="M56" s="1"/>
    </row>
    <row r="57" spans="1:13" ht="18" customHeight="1">
      <c r="A57" s="1"/>
      <c r="B57" s="18">
        <v>0.4</v>
      </c>
      <c r="C57" s="14">
        <f t="shared" si="0"/>
        <v>860</v>
      </c>
      <c r="D57" s="14">
        <f t="shared" si="1"/>
        <v>860</v>
      </c>
      <c r="E57" s="14">
        <f t="shared" si="2"/>
        <v>860</v>
      </c>
      <c r="F57" s="14">
        <f t="shared" si="3"/>
        <v>860</v>
      </c>
      <c r="G57" s="14">
        <f t="shared" si="4"/>
        <v>860</v>
      </c>
      <c r="M57" s="1"/>
    </row>
    <row r="58" spans="1:13" ht="18" customHeight="1">
      <c r="A58" s="1"/>
      <c r="B58" s="18">
        <v>0.45</v>
      </c>
      <c r="C58" s="14">
        <f t="shared" si="0"/>
        <v>960</v>
      </c>
      <c r="D58" s="14">
        <f t="shared" si="1"/>
        <v>960</v>
      </c>
      <c r="E58" s="14">
        <f t="shared" si="2"/>
        <v>960</v>
      </c>
      <c r="F58" s="14">
        <f t="shared" si="3"/>
        <v>960</v>
      </c>
      <c r="G58" s="14">
        <f t="shared" si="4"/>
        <v>960</v>
      </c>
      <c r="M58" s="1"/>
    </row>
    <row r="59" spans="1:13" ht="18" customHeight="1">
      <c r="A59" s="1"/>
      <c r="B59" s="18">
        <v>0.5</v>
      </c>
      <c r="C59" s="14">
        <f t="shared" si="0"/>
        <v>1060</v>
      </c>
      <c r="D59" s="14">
        <f t="shared" si="1"/>
        <v>1060</v>
      </c>
      <c r="E59" s="14">
        <f t="shared" si="2"/>
        <v>1060</v>
      </c>
      <c r="F59" s="14">
        <f t="shared" si="3"/>
        <v>1060</v>
      </c>
      <c r="G59" s="14">
        <f t="shared" si="4"/>
        <v>1060</v>
      </c>
      <c r="M59" s="1"/>
    </row>
    <row r="60" spans="1:13" ht="18" customHeight="1">
      <c r="A60" s="1"/>
      <c r="B60" s="18">
        <v>0.55000000000000004</v>
      </c>
      <c r="C60" s="14">
        <f t="shared" si="0"/>
        <v>1160</v>
      </c>
      <c r="D60" s="14">
        <f t="shared" si="1"/>
        <v>1160</v>
      </c>
      <c r="E60" s="14">
        <f t="shared" si="2"/>
        <v>1160</v>
      </c>
      <c r="F60" s="14">
        <f t="shared" si="3"/>
        <v>1160</v>
      </c>
      <c r="G60" s="14">
        <f t="shared" si="4"/>
        <v>1160</v>
      </c>
      <c r="M60" s="1"/>
    </row>
    <row r="61" spans="1:13" ht="18" customHeight="1">
      <c r="A61" s="1"/>
      <c r="B61" s="18">
        <v>0.6</v>
      </c>
      <c r="C61" s="14">
        <f t="shared" si="0"/>
        <v>1300</v>
      </c>
      <c r="D61" s="14">
        <f t="shared" si="1"/>
        <v>1295</v>
      </c>
      <c r="E61" s="14">
        <f t="shared" si="2"/>
        <v>1260</v>
      </c>
      <c r="F61" s="14">
        <f t="shared" si="3"/>
        <v>1260</v>
      </c>
      <c r="G61" s="14">
        <f t="shared" si="4"/>
        <v>1260</v>
      </c>
      <c r="M61" s="1"/>
    </row>
    <row r="62" spans="1:13" ht="18" customHeight="1">
      <c r="A62" s="1"/>
      <c r="B62" s="18">
        <v>0.65</v>
      </c>
      <c r="C62" s="14">
        <f t="shared" si="0"/>
        <v>1450</v>
      </c>
      <c r="D62" s="14">
        <f t="shared" si="1"/>
        <v>1482.5</v>
      </c>
      <c r="E62" s="14">
        <f t="shared" si="2"/>
        <v>1485</v>
      </c>
      <c r="F62" s="14">
        <f t="shared" si="3"/>
        <v>1457.5</v>
      </c>
      <c r="G62" s="14">
        <f t="shared" si="4"/>
        <v>1400</v>
      </c>
      <c r="M62" s="1"/>
    </row>
    <row r="63" spans="1:13" ht="18" customHeight="1">
      <c r="A63" s="1"/>
      <c r="B63" s="18">
        <v>0.7</v>
      </c>
      <c r="C63" s="14">
        <f t="shared" si="0"/>
        <v>1600</v>
      </c>
      <c r="D63" s="14">
        <f t="shared" si="1"/>
        <v>1670</v>
      </c>
      <c r="E63" s="14">
        <f t="shared" si="2"/>
        <v>1710</v>
      </c>
      <c r="F63" s="14">
        <f t="shared" si="3"/>
        <v>1720</v>
      </c>
      <c r="G63" s="14">
        <f t="shared" si="4"/>
        <v>1699.9999999999998</v>
      </c>
      <c r="M63" s="1"/>
    </row>
    <row r="64" spans="1:13" ht="18" customHeight="1">
      <c r="A64" s="1"/>
      <c r="B64" s="18">
        <v>0.75</v>
      </c>
      <c r="C64" s="14">
        <f t="shared" si="0"/>
        <v>1750</v>
      </c>
      <c r="D64" s="14">
        <f t="shared" si="1"/>
        <v>1857.5</v>
      </c>
      <c r="E64" s="14">
        <f t="shared" si="2"/>
        <v>1935</v>
      </c>
      <c r="F64" s="14">
        <f t="shared" si="3"/>
        <v>1982.5</v>
      </c>
      <c r="G64" s="14">
        <f t="shared" si="4"/>
        <v>2000</v>
      </c>
      <c r="M64" s="1"/>
    </row>
    <row r="65" spans="1:13" ht="18" customHeight="1">
      <c r="A65" s="1"/>
      <c r="B65" s="18">
        <v>0.8</v>
      </c>
      <c r="C65" s="14">
        <f t="shared" si="0"/>
        <v>1900</v>
      </c>
      <c r="D65" s="14">
        <f t="shared" si="1"/>
        <v>2045.0000000000002</v>
      </c>
      <c r="E65" s="14">
        <f t="shared" si="2"/>
        <v>2160</v>
      </c>
      <c r="F65" s="14">
        <f t="shared" si="3"/>
        <v>2245</v>
      </c>
      <c r="G65" s="14">
        <f t="shared" si="4"/>
        <v>2300</v>
      </c>
      <c r="M65" s="1"/>
    </row>
    <row r="66" spans="1:13" ht="18" customHeight="1">
      <c r="A66" s="1"/>
      <c r="B66" s="18">
        <v>0.85</v>
      </c>
      <c r="C66" s="14">
        <f t="shared" si="0"/>
        <v>2050</v>
      </c>
      <c r="D66" s="14">
        <f t="shared" si="1"/>
        <v>2232.5</v>
      </c>
      <c r="E66" s="14">
        <f t="shared" si="2"/>
        <v>2385</v>
      </c>
      <c r="F66" s="14">
        <f t="shared" si="3"/>
        <v>2507.5</v>
      </c>
      <c r="G66" s="14">
        <f t="shared" si="4"/>
        <v>2600</v>
      </c>
      <c r="M66" s="1"/>
    </row>
    <row r="67" spans="1:13" ht="18" customHeight="1">
      <c r="A67" s="1"/>
      <c r="B67" s="18">
        <v>0.9</v>
      </c>
      <c r="C67" s="14">
        <f t="shared" si="0"/>
        <v>2200</v>
      </c>
      <c r="D67" s="14">
        <f t="shared" si="1"/>
        <v>2420</v>
      </c>
      <c r="E67" s="14">
        <f t="shared" si="2"/>
        <v>2610</v>
      </c>
      <c r="F67" s="14">
        <f t="shared" si="3"/>
        <v>2770</v>
      </c>
      <c r="G67" s="14">
        <f t="shared" si="4"/>
        <v>2900</v>
      </c>
      <c r="M67" s="1"/>
    </row>
    <row r="68" spans="1:13" ht="18" customHeight="1">
      <c r="A68" s="1"/>
      <c r="B68" s="18">
        <v>0.95</v>
      </c>
      <c r="C68" s="14">
        <f t="shared" si="0"/>
        <v>2350</v>
      </c>
      <c r="D68" s="14">
        <f t="shared" si="1"/>
        <v>2607.5</v>
      </c>
      <c r="E68" s="14">
        <f t="shared" si="2"/>
        <v>2835</v>
      </c>
      <c r="F68" s="14">
        <f t="shared" si="3"/>
        <v>3032.5</v>
      </c>
      <c r="G68" s="14">
        <f t="shared" si="4"/>
        <v>3200</v>
      </c>
      <c r="M68" s="1"/>
    </row>
    <row r="69" spans="1:13" ht="18" customHeight="1">
      <c r="A69" s="1"/>
      <c r="B69" s="18">
        <v>1</v>
      </c>
      <c r="C69" s="14">
        <f t="shared" si="0"/>
        <v>2500</v>
      </c>
      <c r="D69" s="14">
        <f t="shared" si="1"/>
        <v>2795</v>
      </c>
      <c r="E69" s="14">
        <f t="shared" si="2"/>
        <v>3060</v>
      </c>
      <c r="F69" s="14">
        <f t="shared" si="3"/>
        <v>3295</v>
      </c>
      <c r="G69" s="14">
        <f t="shared" si="4"/>
        <v>3500</v>
      </c>
      <c r="M69" s="1"/>
    </row>
    <row r="70" spans="1:13" ht="18" customHeight="1">
      <c r="A70" s="1"/>
      <c r="C70">
        <f t="shared" si="0"/>
        <v>300</v>
      </c>
      <c r="D70">
        <f t="shared" si="1"/>
        <v>300</v>
      </c>
      <c r="E70">
        <f t="shared" si="2"/>
        <v>300</v>
      </c>
      <c r="F70">
        <f t="shared" si="3"/>
        <v>300</v>
      </c>
      <c r="G70">
        <f t="shared" si="4"/>
        <v>300</v>
      </c>
      <c r="M70" s="1"/>
    </row>
    <row r="71" spans="1:13" ht="18" customHeight="1">
      <c r="A71" s="1"/>
      <c r="C71">
        <f t="shared" si="0"/>
        <v>300</v>
      </c>
      <c r="D71">
        <f t="shared" si="1"/>
        <v>300</v>
      </c>
      <c r="E71">
        <f t="shared" si="2"/>
        <v>300</v>
      </c>
      <c r="F71">
        <f t="shared" si="3"/>
        <v>300</v>
      </c>
      <c r="G71">
        <f t="shared" si="4"/>
        <v>300</v>
      </c>
      <c r="M71" s="1"/>
    </row>
    <row r="72" spans="1:13" ht="18" customHeight="1">
      <c r="A72" s="1"/>
      <c r="C72">
        <f t="shared" si="0"/>
        <v>300</v>
      </c>
      <c r="D72">
        <f t="shared" si="1"/>
        <v>300</v>
      </c>
      <c r="E72">
        <f t="shared" si="2"/>
        <v>300</v>
      </c>
      <c r="F72">
        <f t="shared" si="3"/>
        <v>300</v>
      </c>
      <c r="G72">
        <f t="shared" si="4"/>
        <v>300</v>
      </c>
      <c r="M72" s="1"/>
    </row>
    <row r="73" spans="1:13" ht="18" customHeight="1">
      <c r="A73" s="1"/>
      <c r="C73">
        <f t="shared" si="0"/>
        <v>300</v>
      </c>
      <c r="D73">
        <f t="shared" si="1"/>
        <v>300</v>
      </c>
      <c r="E73">
        <f t="shared" si="2"/>
        <v>300</v>
      </c>
      <c r="F73">
        <f t="shared" si="3"/>
        <v>300</v>
      </c>
      <c r="G73">
        <f t="shared" si="4"/>
        <v>300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9738D"/>
  </sheetPr>
  <dimension ref="A1:M74"/>
  <sheetViews>
    <sheetView showGridLines="0" topLeftCell="A7" zoomScaleNormal="100" workbookViewId="0">
      <selection activeCell="D40" sqref="D40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</row>
    <row r="2" spans="1:13" ht="28" customHeight="1">
      <c r="A2" s="20"/>
      <c r="B2" s="27" t="s">
        <v>53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</row>
    <row r="3" spans="1:13" ht="24" customHeight="1">
      <c r="A3" s="20"/>
      <c r="B3" s="28" t="str">
        <f>"Rally2 Gravel · "&amp;Parameters!E35&amp;"；单一回弹旋钮，LSR：−40 / −30 / −20 / −10 / 0"</f>
        <v>Rally2 Gravel · Type-B；单一回弹旋钮，LSR：−40 / −30 / −20 / −10 / 0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</row>
    <row r="4" spans="1:13" ht="18" customHeight="1">
      <c r="A4" s="20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</row>
    <row r="5" spans="1:13" ht="21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</row>
    <row r="6" spans="1:13" ht="21" customHeight="1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</row>
    <row r="7" spans="1:13" ht="21" customHeight="1">
      <c r="A7" s="20"/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</row>
    <row r="8" spans="1:13" ht="21" customHeight="1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</row>
    <row r="9" spans="1:13" ht="21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</row>
    <row r="10" spans="1:13" ht="21" customHeight="1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</row>
    <row r="11" spans="1:13" ht="21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2" spans="1:13" ht="21" customHeight="1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</row>
    <row r="13" spans="1:13" ht="21" customHeight="1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  <row r="14" spans="1:13" ht="21" customHeight="1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</row>
    <row r="15" spans="1:13" ht="21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</row>
    <row r="16" spans="1:13" ht="21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</row>
    <row r="17" spans="1:13" ht="21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</row>
    <row r="18" spans="1:13" ht="21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</row>
    <row r="19" spans="1:13" ht="21" customHeight="1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</row>
    <row r="20" spans="1:13" ht="21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spans="1:13" ht="21" customHeight="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spans="1:13" ht="21" customHeight="1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spans="1:13" ht="21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spans="1:13" ht="21" customHeight="1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spans="1:13" ht="21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spans="1:13" ht="21" customHeight="1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spans="1:13" ht="21" customHeight="1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spans="1:13" ht="21" customHeight="1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spans="1:13" ht="21" customHeight="1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spans="1:13" ht="21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spans="1:13" ht="21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spans="1:13" ht="21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</row>
    <row r="33" spans="1:13" ht="18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</row>
    <row r="34" spans="1:13" ht="18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spans="1:13" ht="18" customHeight="1">
      <c r="A35" s="20"/>
      <c r="B35" s="30" t="s">
        <v>2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spans="1:13" ht="18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spans="1:13" ht="27" customHeight="1">
      <c r="A37" s="20"/>
      <c r="B37" s="21" t="s">
        <v>3</v>
      </c>
      <c r="C37" s="21" t="s">
        <v>54</v>
      </c>
      <c r="D37" s="21" t="s">
        <v>55</v>
      </c>
      <c r="E37" s="21" t="s">
        <v>56</v>
      </c>
      <c r="F37" s="21" t="s">
        <v>57</v>
      </c>
      <c r="G37" s="21" t="s">
        <v>58</v>
      </c>
      <c r="H37" s="20"/>
      <c r="I37" s="20"/>
      <c r="J37" s="20"/>
      <c r="K37" s="20"/>
      <c r="L37" s="20"/>
      <c r="M37" s="20"/>
    </row>
    <row r="38" spans="1:13" ht="23" customHeight="1">
      <c r="A38" s="20"/>
      <c r="B38" s="20" t="s">
        <v>59</v>
      </c>
      <c r="C38" s="32">
        <f>Parameters!C28</f>
        <v>-40</v>
      </c>
      <c r="D38" s="32">
        <f>INDEX(Parameters!$C$29:$G$30,MATCH(Parameters!$E$35,Parameters!$B$29:$B$30,0),MATCH(C38,Parameters!$C$28:$G$28,0))</f>
        <v>1215</v>
      </c>
      <c r="E38" s="34">
        <f>INDEX(Parameters!$C$31:$G$31,1,MATCH(C38,Parameters!$C$28:$G$28,0))</f>
        <v>0.3</v>
      </c>
      <c r="F38" s="34">
        <f>INDEX(Parameters!$C$32:$G$32,1,MATCH(C38,Parameters!$C$28:$G$28,0))</f>
        <v>0.74</v>
      </c>
      <c r="G38" s="36">
        <f>D38*F38</f>
        <v>899.1</v>
      </c>
      <c r="H38" s="20"/>
      <c r="I38" s="20"/>
      <c r="J38" s="20"/>
      <c r="K38" s="20"/>
      <c r="L38" s="20"/>
      <c r="M38" s="20"/>
    </row>
    <row r="39" spans="1:13" ht="23" customHeight="1">
      <c r="A39" s="20"/>
      <c r="B39" s="20" t="s">
        <v>60</v>
      </c>
      <c r="C39" s="32">
        <f>Parameters!D28</f>
        <v>-30</v>
      </c>
      <c r="D39" s="32">
        <f>INDEX(Parameters!$C$29:$G$30,MATCH(Parameters!$E$35,Parameters!$B$29:$B$30,0),MATCH(C39,Parameters!$C$28:$G$28,0))</f>
        <v>1665</v>
      </c>
      <c r="E39" s="34">
        <f>INDEX(Parameters!$C$31:$G$31,1,MATCH(C39,Parameters!$C$28:$G$28,0))</f>
        <v>0.32499999999999996</v>
      </c>
      <c r="F39" s="34">
        <f>INDEX(Parameters!$C$32:$G$32,1,MATCH(C39,Parameters!$C$28:$G$28,0))</f>
        <v>0.78</v>
      </c>
      <c r="G39" s="36">
        <f>D39*F39</f>
        <v>1298.7</v>
      </c>
      <c r="H39" s="20"/>
      <c r="I39" s="20"/>
      <c r="J39" s="20"/>
      <c r="K39" s="20"/>
      <c r="L39" s="20"/>
      <c r="M39" s="20"/>
    </row>
    <row r="40" spans="1:13" ht="23" customHeight="1">
      <c r="A40" s="20"/>
      <c r="B40" s="31" t="s">
        <v>61</v>
      </c>
      <c r="C40" s="33">
        <f>Parameters!E28</f>
        <v>-20</v>
      </c>
      <c r="D40" s="33">
        <f>INDEX(Parameters!$C$29:$G$30,MATCH(Parameters!$E$35,Parameters!$B$29:$B$30,0),MATCH(C40,Parameters!$C$28:$G$28,0))</f>
        <v>2115</v>
      </c>
      <c r="E40" s="35">
        <f>INDEX(Parameters!$C$31:$G$31,1,MATCH(C40,Parameters!$C$28:$G$28,0))</f>
        <v>0.35</v>
      </c>
      <c r="F40" s="35">
        <f>INDEX(Parameters!$C$32:$G$32,1,MATCH(C40,Parameters!$C$28:$G$28,0))</f>
        <v>0.82</v>
      </c>
      <c r="G40" s="37">
        <f>D40*F40</f>
        <v>1734.3</v>
      </c>
      <c r="H40" s="20"/>
      <c r="I40" s="20"/>
      <c r="J40" s="20"/>
      <c r="K40" s="20"/>
      <c r="L40" s="20"/>
      <c r="M40" s="20"/>
    </row>
    <row r="41" spans="1:13" ht="23" customHeight="1">
      <c r="A41" s="20"/>
      <c r="B41" s="20" t="s">
        <v>62</v>
      </c>
      <c r="C41" s="32">
        <f>Parameters!F28</f>
        <v>-10</v>
      </c>
      <c r="D41" s="32">
        <f>INDEX(Parameters!$C$29:$G$30,MATCH(Parameters!$E$35,Parameters!$B$29:$B$30,0),MATCH(C41,Parameters!$C$28:$G$28,0))</f>
        <v>2565</v>
      </c>
      <c r="E41" s="34">
        <f>INDEX(Parameters!$C$31:$G$31,1,MATCH(C41,Parameters!$C$28:$G$28,0))</f>
        <v>0.375</v>
      </c>
      <c r="F41" s="34">
        <f>INDEX(Parameters!$C$32:$G$32,1,MATCH(C41,Parameters!$C$28:$G$28,0))</f>
        <v>0.86</v>
      </c>
      <c r="G41" s="36">
        <f>D41*F41</f>
        <v>2205.9</v>
      </c>
      <c r="H41" s="20"/>
      <c r="I41" s="20"/>
      <c r="J41" s="20"/>
      <c r="K41" s="20"/>
      <c r="L41" s="20"/>
      <c r="M41" s="20"/>
    </row>
    <row r="42" spans="1:13" ht="23" customHeight="1">
      <c r="A42" s="20"/>
      <c r="B42" s="20" t="s">
        <v>63</v>
      </c>
      <c r="C42" s="32">
        <f>Parameters!G28</f>
        <v>0</v>
      </c>
      <c r="D42" s="32">
        <f>INDEX(Parameters!$C$29:$G$30,MATCH(Parameters!$E$35,Parameters!$B$29:$B$30,0),MATCH(C42,Parameters!$C$28:$G$28,0))</f>
        <v>3015</v>
      </c>
      <c r="E42" s="34">
        <f>INDEX(Parameters!$C$31:$G$31,1,MATCH(C42,Parameters!$C$28:$G$28,0))</f>
        <v>0.4</v>
      </c>
      <c r="F42" s="34">
        <f>INDEX(Parameters!$C$32:$G$32,1,MATCH(C42,Parameters!$C$28:$G$28,0))</f>
        <v>0.9</v>
      </c>
      <c r="G42" s="36">
        <f>D42*F42</f>
        <v>2713.5</v>
      </c>
      <c r="H42" s="20"/>
      <c r="I42" s="20"/>
      <c r="J42" s="20"/>
      <c r="K42" s="20"/>
      <c r="L42" s="20"/>
      <c r="M42" s="20"/>
    </row>
    <row r="43" spans="1:13" ht="18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spans="1:13" ht="18" customHeight="1">
      <c r="A44" s="20"/>
      <c r="B44" s="28" t="s">
        <v>64</v>
      </c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spans="1:13" ht="18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spans="1:13" ht="18" customHeight="1">
      <c r="A46" s="20"/>
      <c r="B46" s="30" t="s">
        <v>65</v>
      </c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spans="1:13" ht="18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spans="1:13" ht="27" customHeight="1">
      <c r="A48" s="20"/>
      <c r="B48" s="21" t="s">
        <v>20</v>
      </c>
      <c r="C48" s="21" t="s">
        <v>59</v>
      </c>
      <c r="D48" s="21" t="s">
        <v>60</v>
      </c>
      <c r="E48" s="21" t="s">
        <v>61</v>
      </c>
      <c r="F48" s="21" t="s">
        <v>62</v>
      </c>
      <c r="G48" s="21" t="s">
        <v>63</v>
      </c>
      <c r="H48" s="20"/>
      <c r="I48" s="20"/>
      <c r="J48" s="20"/>
      <c r="K48" s="20"/>
      <c r="L48" s="20"/>
      <c r="M48" s="20"/>
    </row>
    <row r="49" spans="1:13" ht="18" customHeight="1">
      <c r="A49" s="20"/>
      <c r="B49" s="38">
        <v>0</v>
      </c>
      <c r="C49" s="36">
        <f t="shared" ref="C49:C73" si="0">$D$38*MIN($B49,$E$38)+$G$38*MAX(0,$B49-$E$38)</f>
        <v>0</v>
      </c>
      <c r="D49" s="36">
        <f t="shared" ref="D49:D73" si="1">$D$39*MIN($B49,$E$39)+$G$39*MAX(0,$B49-$E$39)</f>
        <v>0</v>
      </c>
      <c r="E49" s="36">
        <f t="shared" ref="E49:E73" si="2">$D$40*MIN($B49,$E$40)+$G$40*MAX(0,$B49-$E$40)</f>
        <v>0</v>
      </c>
      <c r="F49" s="36">
        <f t="shared" ref="F49:F73" si="3">$D$41*MIN($B49,$E$41)+$G$41*MAX(0,$B49-$E$41)</f>
        <v>0</v>
      </c>
      <c r="G49" s="36">
        <f t="shared" ref="G49:G73" si="4">$D$42*MIN($B49,$E$42)+$G$42*MAX(0,$B49-$E$42)</f>
        <v>0</v>
      </c>
      <c r="H49" s="20"/>
      <c r="I49" s="20"/>
      <c r="J49" s="20"/>
      <c r="K49" s="20"/>
      <c r="L49" s="20"/>
      <c r="M49" s="20"/>
    </row>
    <row r="50" spans="1:13" ht="18" customHeight="1">
      <c r="A50" s="20"/>
      <c r="B50" s="38">
        <v>0.05</v>
      </c>
      <c r="C50" s="36">
        <f t="shared" si="0"/>
        <v>60.75</v>
      </c>
      <c r="D50" s="36">
        <f t="shared" si="1"/>
        <v>83.25</v>
      </c>
      <c r="E50" s="36">
        <f t="shared" si="2"/>
        <v>105.75</v>
      </c>
      <c r="F50" s="36">
        <f t="shared" si="3"/>
        <v>128.25</v>
      </c>
      <c r="G50" s="36">
        <f t="shared" si="4"/>
        <v>150.75</v>
      </c>
      <c r="H50" s="20"/>
      <c r="I50" s="20"/>
      <c r="J50" s="20"/>
      <c r="K50" s="20"/>
      <c r="L50" s="20"/>
      <c r="M50" s="20"/>
    </row>
    <row r="51" spans="1:13" ht="18" customHeight="1">
      <c r="A51" s="20"/>
      <c r="B51" s="38">
        <v>0.1</v>
      </c>
      <c r="C51" s="36">
        <f t="shared" si="0"/>
        <v>121.5</v>
      </c>
      <c r="D51" s="36">
        <f t="shared" si="1"/>
        <v>166.5</v>
      </c>
      <c r="E51" s="36">
        <f t="shared" si="2"/>
        <v>211.5</v>
      </c>
      <c r="F51" s="36">
        <f t="shared" si="3"/>
        <v>256.5</v>
      </c>
      <c r="G51" s="36">
        <f t="shared" si="4"/>
        <v>301.5</v>
      </c>
      <c r="H51" s="20"/>
      <c r="I51" s="20"/>
      <c r="J51" s="20"/>
      <c r="K51" s="20"/>
      <c r="L51" s="20"/>
      <c r="M51" s="20"/>
    </row>
    <row r="52" spans="1:13" ht="18" customHeight="1">
      <c r="A52" s="20"/>
      <c r="B52" s="38">
        <v>0.15</v>
      </c>
      <c r="C52" s="36">
        <f t="shared" si="0"/>
        <v>182.25</v>
      </c>
      <c r="D52" s="36">
        <f t="shared" si="1"/>
        <v>249.75</v>
      </c>
      <c r="E52" s="36">
        <f t="shared" si="2"/>
        <v>317.25</v>
      </c>
      <c r="F52" s="36">
        <f t="shared" si="3"/>
        <v>384.75</v>
      </c>
      <c r="G52" s="36">
        <f t="shared" si="4"/>
        <v>452.25</v>
      </c>
      <c r="H52" s="20"/>
      <c r="I52" s="20"/>
      <c r="J52" s="20"/>
      <c r="K52" s="20"/>
      <c r="L52" s="20"/>
      <c r="M52" s="20"/>
    </row>
    <row r="53" spans="1:13" ht="18" customHeight="1">
      <c r="A53" s="20"/>
      <c r="B53" s="38">
        <v>0.2</v>
      </c>
      <c r="C53" s="36">
        <f t="shared" si="0"/>
        <v>243</v>
      </c>
      <c r="D53" s="36">
        <f t="shared" si="1"/>
        <v>333</v>
      </c>
      <c r="E53" s="36">
        <f t="shared" si="2"/>
        <v>423</v>
      </c>
      <c r="F53" s="36">
        <f t="shared" si="3"/>
        <v>513</v>
      </c>
      <c r="G53" s="36">
        <f t="shared" si="4"/>
        <v>603</v>
      </c>
      <c r="H53" s="20"/>
      <c r="I53" s="20"/>
      <c r="J53" s="20"/>
      <c r="K53" s="20"/>
      <c r="L53" s="20"/>
      <c r="M53" s="20"/>
    </row>
    <row r="54" spans="1:13" ht="18" customHeight="1">
      <c r="A54" s="20"/>
      <c r="B54" s="38">
        <v>0.25</v>
      </c>
      <c r="C54" s="36">
        <f t="shared" si="0"/>
        <v>303.75</v>
      </c>
      <c r="D54" s="36">
        <f t="shared" si="1"/>
        <v>416.25</v>
      </c>
      <c r="E54" s="36">
        <f t="shared" si="2"/>
        <v>528.75</v>
      </c>
      <c r="F54" s="36">
        <f t="shared" si="3"/>
        <v>641.25</v>
      </c>
      <c r="G54" s="36">
        <f t="shared" si="4"/>
        <v>753.75</v>
      </c>
      <c r="H54" s="20"/>
      <c r="I54" s="20"/>
      <c r="J54" s="20"/>
      <c r="K54" s="20"/>
      <c r="L54" s="20"/>
      <c r="M54" s="20"/>
    </row>
    <row r="55" spans="1:13" ht="18" customHeight="1">
      <c r="A55" s="20"/>
      <c r="B55" s="38">
        <v>0.3</v>
      </c>
      <c r="C55" s="36">
        <f t="shared" si="0"/>
        <v>364.5</v>
      </c>
      <c r="D55" s="36">
        <f t="shared" si="1"/>
        <v>499.5</v>
      </c>
      <c r="E55" s="36">
        <f t="shared" si="2"/>
        <v>634.5</v>
      </c>
      <c r="F55" s="36">
        <f t="shared" si="3"/>
        <v>769.5</v>
      </c>
      <c r="G55" s="36">
        <f t="shared" si="4"/>
        <v>904.5</v>
      </c>
      <c r="H55" s="20"/>
      <c r="I55" s="20"/>
      <c r="J55" s="20"/>
      <c r="K55" s="20"/>
      <c r="L55" s="20"/>
      <c r="M55" s="20"/>
    </row>
    <row r="56" spans="1:13" ht="18" customHeight="1">
      <c r="A56" s="20"/>
      <c r="B56" s="38">
        <v>0.35</v>
      </c>
      <c r="C56" s="36">
        <f t="shared" si="0"/>
        <v>409.45499999999998</v>
      </c>
      <c r="D56" s="36">
        <f t="shared" si="1"/>
        <v>573.59249999999997</v>
      </c>
      <c r="E56" s="36">
        <f t="shared" si="2"/>
        <v>740.25</v>
      </c>
      <c r="F56" s="36">
        <f t="shared" si="3"/>
        <v>897.74999999999989</v>
      </c>
      <c r="G56" s="36">
        <f t="shared" si="4"/>
        <v>1055.25</v>
      </c>
      <c r="H56" s="20"/>
      <c r="I56" s="20"/>
      <c r="J56" s="20"/>
      <c r="K56" s="20"/>
      <c r="L56" s="20"/>
      <c r="M56" s="20"/>
    </row>
    <row r="57" spans="1:13" ht="18" customHeight="1">
      <c r="A57" s="20"/>
      <c r="B57" s="38">
        <v>0.4</v>
      </c>
      <c r="C57" s="36">
        <f t="shared" si="0"/>
        <v>454.41</v>
      </c>
      <c r="D57" s="36">
        <f t="shared" si="1"/>
        <v>638.52749999999992</v>
      </c>
      <c r="E57" s="36">
        <f t="shared" si="2"/>
        <v>826.96500000000003</v>
      </c>
      <c r="F57" s="36">
        <f t="shared" si="3"/>
        <v>1017.0225</v>
      </c>
      <c r="G57" s="36">
        <f t="shared" si="4"/>
        <v>1206</v>
      </c>
      <c r="H57" s="20"/>
      <c r="I57" s="20"/>
      <c r="J57" s="20"/>
      <c r="K57" s="20"/>
      <c r="L57" s="20"/>
      <c r="M57" s="20"/>
    </row>
    <row r="58" spans="1:13" ht="18" customHeight="1">
      <c r="A58" s="20"/>
      <c r="B58" s="38">
        <v>0.45</v>
      </c>
      <c r="C58" s="36">
        <f t="shared" si="0"/>
        <v>499.36500000000001</v>
      </c>
      <c r="D58" s="36">
        <f t="shared" si="1"/>
        <v>703.46249999999998</v>
      </c>
      <c r="E58" s="36">
        <f t="shared" si="2"/>
        <v>913.68000000000006</v>
      </c>
      <c r="F58" s="36">
        <f t="shared" si="3"/>
        <v>1127.3175000000001</v>
      </c>
      <c r="G58" s="36">
        <f t="shared" si="4"/>
        <v>1341.675</v>
      </c>
      <c r="H58" s="20"/>
      <c r="I58" s="20"/>
      <c r="J58" s="20"/>
      <c r="K58" s="20"/>
      <c r="L58" s="20"/>
      <c r="M58" s="20"/>
    </row>
    <row r="59" spans="1:13" ht="18" customHeight="1">
      <c r="A59" s="20"/>
      <c r="B59" s="38">
        <v>0.5</v>
      </c>
      <c r="C59" s="36">
        <f t="shared" si="0"/>
        <v>544.32000000000005</v>
      </c>
      <c r="D59" s="36">
        <f t="shared" si="1"/>
        <v>768.39749999999992</v>
      </c>
      <c r="E59" s="36">
        <f t="shared" si="2"/>
        <v>1000.395</v>
      </c>
      <c r="F59" s="36">
        <f t="shared" si="3"/>
        <v>1237.6125</v>
      </c>
      <c r="G59" s="36">
        <f t="shared" si="4"/>
        <v>1477.35</v>
      </c>
      <c r="H59" s="20"/>
      <c r="I59" s="20"/>
      <c r="J59" s="20"/>
      <c r="K59" s="20"/>
      <c r="L59" s="20"/>
      <c r="M59" s="20"/>
    </row>
    <row r="60" spans="1:13" ht="18" customHeight="1">
      <c r="A60" s="20"/>
      <c r="B60" s="38">
        <v>0.55000000000000004</v>
      </c>
      <c r="C60" s="36">
        <f t="shared" si="0"/>
        <v>589.27500000000009</v>
      </c>
      <c r="D60" s="36">
        <f t="shared" si="1"/>
        <v>833.33249999999998</v>
      </c>
      <c r="E60" s="36">
        <f t="shared" si="2"/>
        <v>1087.1100000000001</v>
      </c>
      <c r="F60" s="36">
        <f t="shared" si="3"/>
        <v>1347.9075000000003</v>
      </c>
      <c r="G60" s="36">
        <f t="shared" si="4"/>
        <v>1613.0250000000001</v>
      </c>
      <c r="H60" s="20"/>
      <c r="I60" s="20"/>
      <c r="J60" s="20"/>
      <c r="K60" s="20"/>
      <c r="L60" s="20"/>
      <c r="M60" s="20"/>
    </row>
    <row r="61" spans="1:13" ht="18" customHeight="1">
      <c r="A61" s="20"/>
      <c r="B61" s="38">
        <v>0.6</v>
      </c>
      <c r="C61" s="36">
        <f t="shared" si="0"/>
        <v>634.23</v>
      </c>
      <c r="D61" s="36">
        <f t="shared" si="1"/>
        <v>898.26749999999993</v>
      </c>
      <c r="E61" s="36">
        <f t="shared" si="2"/>
        <v>1173.825</v>
      </c>
      <c r="F61" s="36">
        <f t="shared" si="3"/>
        <v>1458.2024999999999</v>
      </c>
      <c r="G61" s="36">
        <f t="shared" si="4"/>
        <v>1748.6999999999998</v>
      </c>
      <c r="H61" s="20"/>
      <c r="I61" s="20"/>
      <c r="J61" s="20"/>
      <c r="K61" s="20"/>
      <c r="L61" s="20"/>
      <c r="M61" s="20"/>
    </row>
    <row r="62" spans="1:13" ht="18" customHeight="1">
      <c r="A62" s="20"/>
      <c r="B62" s="38">
        <v>0.65</v>
      </c>
      <c r="C62" s="36">
        <f t="shared" si="0"/>
        <v>679.18500000000006</v>
      </c>
      <c r="D62" s="36">
        <f t="shared" si="1"/>
        <v>963.20249999999999</v>
      </c>
      <c r="E62" s="36">
        <f t="shared" si="2"/>
        <v>1260.54</v>
      </c>
      <c r="F62" s="36">
        <f t="shared" si="3"/>
        <v>1568.4974999999999</v>
      </c>
      <c r="G62" s="36">
        <f t="shared" si="4"/>
        <v>1884.375</v>
      </c>
      <c r="H62" s="20"/>
      <c r="I62" s="20"/>
      <c r="J62" s="20"/>
      <c r="K62" s="20"/>
      <c r="L62" s="20"/>
      <c r="M62" s="20"/>
    </row>
    <row r="63" spans="1:13" ht="18" customHeight="1">
      <c r="A63" s="20"/>
      <c r="B63" s="38">
        <v>0.7</v>
      </c>
      <c r="C63" s="36">
        <f t="shared" si="0"/>
        <v>724.14</v>
      </c>
      <c r="D63" s="36">
        <f t="shared" si="1"/>
        <v>1028.1374999999998</v>
      </c>
      <c r="E63" s="36">
        <f t="shared" si="2"/>
        <v>1347.2550000000001</v>
      </c>
      <c r="F63" s="36">
        <f t="shared" si="3"/>
        <v>1678.7925</v>
      </c>
      <c r="G63" s="36">
        <f t="shared" si="4"/>
        <v>2020.0499999999997</v>
      </c>
      <c r="H63" s="20"/>
      <c r="I63" s="20"/>
      <c r="J63" s="20"/>
      <c r="K63" s="20"/>
      <c r="L63" s="20"/>
      <c r="M63" s="20"/>
    </row>
    <row r="64" spans="1:13" ht="18" customHeight="1">
      <c r="A64" s="20"/>
      <c r="B64" s="38">
        <v>0.75</v>
      </c>
      <c r="C64" s="36">
        <f t="shared" si="0"/>
        <v>769.09500000000003</v>
      </c>
      <c r="D64" s="36">
        <f t="shared" si="1"/>
        <v>1093.0725</v>
      </c>
      <c r="E64" s="36">
        <f t="shared" si="2"/>
        <v>1433.97</v>
      </c>
      <c r="F64" s="36">
        <f t="shared" si="3"/>
        <v>1789.0875000000001</v>
      </c>
      <c r="G64" s="36">
        <f t="shared" si="4"/>
        <v>2155.7249999999999</v>
      </c>
      <c r="H64" s="20"/>
      <c r="I64" s="20"/>
      <c r="J64" s="20"/>
      <c r="K64" s="20"/>
      <c r="L64" s="20"/>
      <c r="M64" s="20"/>
    </row>
    <row r="65" spans="1:13" ht="18" customHeight="1">
      <c r="A65" s="20"/>
      <c r="B65" s="38">
        <v>0.8</v>
      </c>
      <c r="C65" s="36">
        <f t="shared" si="0"/>
        <v>814.05</v>
      </c>
      <c r="D65" s="36">
        <f t="shared" si="1"/>
        <v>1158.0075000000002</v>
      </c>
      <c r="E65" s="36">
        <f t="shared" si="2"/>
        <v>1520.6849999999999</v>
      </c>
      <c r="F65" s="36">
        <f t="shared" si="3"/>
        <v>1899.3825000000002</v>
      </c>
      <c r="G65" s="36">
        <f t="shared" si="4"/>
        <v>2291.4</v>
      </c>
      <c r="H65" s="20"/>
      <c r="I65" s="20"/>
      <c r="J65" s="20"/>
      <c r="K65" s="20"/>
      <c r="L65" s="20"/>
      <c r="M65" s="20"/>
    </row>
    <row r="66" spans="1:13" ht="18" customHeight="1">
      <c r="A66" s="20"/>
      <c r="B66" s="38">
        <v>0.85</v>
      </c>
      <c r="C66" s="36">
        <f t="shared" si="0"/>
        <v>859.00500000000011</v>
      </c>
      <c r="D66" s="36">
        <f t="shared" si="1"/>
        <v>1222.9425000000001</v>
      </c>
      <c r="E66" s="36">
        <f t="shared" si="2"/>
        <v>1607.4</v>
      </c>
      <c r="F66" s="36">
        <f t="shared" si="3"/>
        <v>2009.6775</v>
      </c>
      <c r="G66" s="36">
        <f t="shared" si="4"/>
        <v>2427.0749999999998</v>
      </c>
      <c r="H66" s="20"/>
      <c r="I66" s="20"/>
      <c r="J66" s="20"/>
      <c r="K66" s="20"/>
      <c r="L66" s="20"/>
      <c r="M66" s="20"/>
    </row>
    <row r="67" spans="1:13" ht="18" customHeight="1">
      <c r="A67" s="20"/>
      <c r="B67" s="38">
        <v>0.9</v>
      </c>
      <c r="C67" s="36">
        <f t="shared" si="0"/>
        <v>903.96000000000015</v>
      </c>
      <c r="D67" s="36">
        <f t="shared" si="1"/>
        <v>1287.8775000000001</v>
      </c>
      <c r="E67" s="36">
        <f t="shared" si="2"/>
        <v>1694.115</v>
      </c>
      <c r="F67" s="36">
        <f t="shared" si="3"/>
        <v>2119.9724999999999</v>
      </c>
      <c r="G67" s="36">
        <f t="shared" si="4"/>
        <v>2562.75</v>
      </c>
      <c r="H67" s="20"/>
      <c r="I67" s="20"/>
      <c r="J67" s="20"/>
      <c r="K67" s="20"/>
      <c r="L67" s="20"/>
      <c r="M67" s="20"/>
    </row>
    <row r="68" spans="1:13" ht="18" customHeight="1">
      <c r="A68" s="20"/>
      <c r="B68" s="38">
        <v>0.95</v>
      </c>
      <c r="C68" s="36">
        <f t="shared" si="0"/>
        <v>948.91499999999996</v>
      </c>
      <c r="D68" s="36">
        <f t="shared" si="1"/>
        <v>1352.8125</v>
      </c>
      <c r="E68" s="36">
        <f t="shared" si="2"/>
        <v>1780.83</v>
      </c>
      <c r="F68" s="36">
        <f t="shared" si="3"/>
        <v>2230.2674999999999</v>
      </c>
      <c r="G68" s="36">
        <f t="shared" si="4"/>
        <v>2698.4249999999997</v>
      </c>
      <c r="H68" s="20"/>
      <c r="I68" s="20"/>
      <c r="J68" s="20"/>
      <c r="K68" s="20"/>
      <c r="L68" s="20"/>
      <c r="M68" s="20"/>
    </row>
    <row r="69" spans="1:13" ht="18" customHeight="1">
      <c r="A69" s="20"/>
      <c r="B69" s="38">
        <v>1</v>
      </c>
      <c r="C69" s="36">
        <f t="shared" si="0"/>
        <v>993.87</v>
      </c>
      <c r="D69" s="36">
        <f t="shared" si="1"/>
        <v>1417.7474999999999</v>
      </c>
      <c r="E69" s="36">
        <f t="shared" si="2"/>
        <v>1867.5450000000001</v>
      </c>
      <c r="F69" s="36">
        <f t="shared" si="3"/>
        <v>2340.5625</v>
      </c>
      <c r="G69" s="36">
        <f t="shared" si="4"/>
        <v>2834.1</v>
      </c>
      <c r="H69" s="20"/>
      <c r="I69" s="20"/>
      <c r="J69" s="20"/>
      <c r="K69" s="20"/>
      <c r="L69" s="20"/>
      <c r="M69" s="20"/>
    </row>
    <row r="70" spans="1:13" ht="18" customHeight="1">
      <c r="A70" s="20"/>
      <c r="C70">
        <f t="shared" si="0"/>
        <v>364.5</v>
      </c>
      <c r="D70">
        <f t="shared" si="1"/>
        <v>541.12499999999989</v>
      </c>
      <c r="E70">
        <f t="shared" si="2"/>
        <v>740.25</v>
      </c>
      <c r="F70">
        <f t="shared" si="3"/>
        <v>961.875</v>
      </c>
      <c r="G70">
        <f t="shared" si="4"/>
        <v>1206</v>
      </c>
      <c r="H70" s="20"/>
      <c r="I70" s="20"/>
      <c r="J70" s="20"/>
      <c r="K70" s="20"/>
      <c r="L70" s="20"/>
      <c r="M70" s="20"/>
    </row>
    <row r="71" spans="1:13" ht="18" customHeight="1">
      <c r="A71" s="20"/>
      <c r="C71">
        <f t="shared" si="0"/>
        <v>364.5</v>
      </c>
      <c r="D71">
        <f t="shared" si="1"/>
        <v>541.12499999999989</v>
      </c>
      <c r="E71">
        <f t="shared" si="2"/>
        <v>740.25</v>
      </c>
      <c r="F71">
        <f t="shared" si="3"/>
        <v>961.875</v>
      </c>
      <c r="G71">
        <f t="shared" si="4"/>
        <v>1206</v>
      </c>
      <c r="H71" s="20"/>
      <c r="I71" s="20"/>
      <c r="J71" s="20"/>
      <c r="K71" s="20"/>
      <c r="L71" s="20"/>
      <c r="M71" s="20"/>
    </row>
    <row r="72" spans="1:13" ht="18" customHeight="1">
      <c r="A72" s="20"/>
      <c r="C72">
        <f t="shared" si="0"/>
        <v>364.5</v>
      </c>
      <c r="D72">
        <f t="shared" si="1"/>
        <v>541.12499999999989</v>
      </c>
      <c r="E72">
        <f t="shared" si="2"/>
        <v>740.25</v>
      </c>
      <c r="F72">
        <f t="shared" si="3"/>
        <v>961.875</v>
      </c>
      <c r="G72">
        <f t="shared" si="4"/>
        <v>1206</v>
      </c>
      <c r="H72" s="20"/>
      <c r="I72" s="20"/>
      <c r="J72" s="20"/>
      <c r="K72" s="20"/>
      <c r="L72" s="20"/>
      <c r="M72" s="20"/>
    </row>
    <row r="73" spans="1:13" ht="18" customHeight="1">
      <c r="A73" s="20"/>
      <c r="C73">
        <f t="shared" si="0"/>
        <v>364.5</v>
      </c>
      <c r="D73">
        <f t="shared" si="1"/>
        <v>541.12499999999989</v>
      </c>
      <c r="E73">
        <f t="shared" si="2"/>
        <v>740.25</v>
      </c>
      <c r="F73">
        <f t="shared" si="3"/>
        <v>961.875</v>
      </c>
      <c r="G73">
        <f t="shared" si="4"/>
        <v>1206</v>
      </c>
      <c r="H73" s="20"/>
      <c r="I73" s="20"/>
      <c r="J73" s="20"/>
      <c r="K73" s="20"/>
      <c r="L73" s="20"/>
      <c r="M73" s="20"/>
    </row>
    <row r="74" spans="1:13" ht="18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</sheetData>
  <phoneticPr fontId="7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65D"/>
  </sheetPr>
  <dimension ref="A1:M74"/>
  <sheetViews>
    <sheetView showGridLines="0" tabSelected="1" topLeftCell="A9" zoomScaleNormal="100" workbookViewId="0">
      <selection activeCell="Q19" sqref="Q19"/>
    </sheetView>
  </sheetViews>
  <sheetFormatPr defaultRowHeight="14"/>
  <cols>
    <col min="1" max="1" width="3" customWidth="1"/>
    <col min="2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38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39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21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21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</row>
    <row r="8" spans="1:13" ht="21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</row>
    <row r="9" spans="1:13" ht="21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</row>
    <row r="10" spans="1:13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</row>
    <row r="11" spans="1:13" ht="21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21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</row>
    <row r="13" spans="1:13" ht="21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21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21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1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1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1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1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1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1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1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1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1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1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21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21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1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13" ht="21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13" ht="21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21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</row>
    <row r="32" spans="1:13" ht="21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</row>
    <row r="33" spans="1:13" ht="18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</row>
    <row r="34" spans="1:13" ht="18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>
      <c r="A35" s="1"/>
      <c r="B35" s="10" t="s">
        <v>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spans="1:13" ht="18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</row>
    <row r="37" spans="1:13" ht="27" customHeight="1">
      <c r="A37" s="1"/>
      <c r="B37" s="5" t="s">
        <v>40</v>
      </c>
      <c r="C37" s="5" t="s">
        <v>4</v>
      </c>
      <c r="D37" s="5" t="s">
        <v>5</v>
      </c>
      <c r="E37" s="5" t="s">
        <v>6</v>
      </c>
      <c r="F37" s="5" t="s">
        <v>7</v>
      </c>
      <c r="G37" s="5" t="s">
        <v>8</v>
      </c>
      <c r="H37" s="5"/>
      <c r="I37" s="5" t="s">
        <v>9</v>
      </c>
      <c r="J37" s="5" t="s">
        <v>10</v>
      </c>
      <c r="K37" s="5" t="s">
        <v>11</v>
      </c>
      <c r="L37" s="5" t="s">
        <v>12</v>
      </c>
      <c r="M37" s="1"/>
    </row>
    <row r="38" spans="1:13" ht="23" customHeight="1">
      <c r="A38" s="1"/>
      <c r="B38" s="1" t="s">
        <v>41</v>
      </c>
      <c r="C38" s="12">
        <f>Parameters!C6</f>
        <v>-20</v>
      </c>
      <c r="D38" s="12">
        <f>Parameters!C6</f>
        <v>-20</v>
      </c>
      <c r="E38" s="12">
        <f>INDEX(Parameters!$C$7:$G$7,1,MATCH($C38,Parameters!$C$6:$G$6,0))</f>
        <v>1300</v>
      </c>
      <c r="F38" s="13">
        <f>INDEX(Parameters!$C$8:$G$8,1,MATCH($C38,Parameters!$C$6:$G$6,0))</f>
        <v>0.09</v>
      </c>
      <c r="G38" s="13">
        <f>INDEX(Parameters!$C$9:$G$9,1,MATCH($C38,Parameters!$C$6:$G$6,0))</f>
        <v>0.72</v>
      </c>
      <c r="H38" s="13"/>
      <c r="I38" s="14">
        <f>E38*G38</f>
        <v>936</v>
      </c>
      <c r="J38" s="14">
        <f>INDEX(Parameters!$C$10:$G$10,1,MATCH($D38,Parameters!$C$6:$G$6,0))</f>
        <v>1000</v>
      </c>
      <c r="K38" s="13">
        <f>INDEX(Parameters!$C$11:$G$11,1,MATCH($D38,Parameters!$C$6:$G$6,0))</f>
        <v>0.56000000000000005</v>
      </c>
      <c r="L38" s="14">
        <f>I38+J38</f>
        <v>1936</v>
      </c>
      <c r="M38" s="1"/>
    </row>
    <row r="39" spans="1:13" ht="23" customHeight="1">
      <c r="A39" s="1"/>
      <c r="B39" s="1" t="s">
        <v>42</v>
      </c>
      <c r="C39" s="12">
        <f>Parameters!D6</f>
        <v>-15</v>
      </c>
      <c r="D39" s="12">
        <f>Parameters!D6</f>
        <v>-15</v>
      </c>
      <c r="E39" s="12">
        <f>INDEX(Parameters!$C$7:$G$7,1,MATCH($C39,Parameters!$C$6:$G$6,0))</f>
        <v>1900</v>
      </c>
      <c r="F39" s="13">
        <f>INDEX(Parameters!$C$8:$G$8,1,MATCH($C39,Parameters!$C$6:$G$6,0))</f>
        <v>0.105</v>
      </c>
      <c r="G39" s="13">
        <f>INDEX(Parameters!$C$9:$G$9,1,MATCH($C39,Parameters!$C$6:$G$6,0))</f>
        <v>0.76</v>
      </c>
      <c r="H39" s="13"/>
      <c r="I39" s="14">
        <f>E39*G39</f>
        <v>1444</v>
      </c>
      <c r="J39" s="14">
        <f>INDEX(Parameters!$C$10:$G$10,1,MATCH($D39,Parameters!$C$6:$G$6,0))</f>
        <v>1750</v>
      </c>
      <c r="K39" s="13">
        <f>INDEX(Parameters!$C$11:$G$11,1,MATCH($D39,Parameters!$C$6:$G$6,0))</f>
        <v>0.57999999999999996</v>
      </c>
      <c r="L39" s="14">
        <f>I39+J39</f>
        <v>3194</v>
      </c>
      <c r="M39" s="1"/>
    </row>
    <row r="40" spans="1:13" ht="23" customHeight="1">
      <c r="A40" s="1"/>
      <c r="B40" s="11" t="s">
        <v>43</v>
      </c>
      <c r="C40" s="15">
        <f>Parameters!E6</f>
        <v>-10</v>
      </c>
      <c r="D40" s="15">
        <f>Parameters!E6</f>
        <v>-10</v>
      </c>
      <c r="E40" s="15">
        <f>INDEX(Parameters!$C$7:$G$7,1,MATCH($C40,Parameters!$C$6:$G$6,0))</f>
        <v>2500</v>
      </c>
      <c r="F40" s="16">
        <f>INDEX(Parameters!$C$8:$G$8,1,MATCH($C40,Parameters!$C$6:$G$6,0))</f>
        <v>0.12</v>
      </c>
      <c r="G40" s="16">
        <f>INDEX(Parameters!$C$9:$G$9,1,MATCH($C40,Parameters!$C$6:$G$6,0))</f>
        <v>0.8</v>
      </c>
      <c r="H40" s="16"/>
      <c r="I40" s="17">
        <f>E40*G40</f>
        <v>2000</v>
      </c>
      <c r="J40" s="17">
        <f>INDEX(Parameters!$C$10:$G$10,1,MATCH($D40,Parameters!$C$6:$G$6,0))</f>
        <v>2500</v>
      </c>
      <c r="K40" s="16">
        <f>INDEX(Parameters!$C$11:$G$11,1,MATCH($D40,Parameters!$C$6:$G$6,0))</f>
        <v>0.6</v>
      </c>
      <c r="L40" s="17">
        <f>I40+J40</f>
        <v>4500</v>
      </c>
      <c r="M40" s="1"/>
    </row>
    <row r="41" spans="1:13" ht="23" customHeight="1">
      <c r="A41" s="1"/>
      <c r="B41" s="1" t="s">
        <v>44</v>
      </c>
      <c r="C41" s="12">
        <f>Parameters!F6</f>
        <v>-5</v>
      </c>
      <c r="D41" s="12">
        <f>Parameters!F6</f>
        <v>-5</v>
      </c>
      <c r="E41" s="12">
        <f>INDEX(Parameters!$C$7:$G$7,1,MATCH($C41,Parameters!$C$6:$G$6,0))</f>
        <v>3100</v>
      </c>
      <c r="F41" s="13">
        <f>INDEX(Parameters!$C$8:$G$8,1,MATCH($C41,Parameters!$C$6:$G$6,0))</f>
        <v>0.14500000000000002</v>
      </c>
      <c r="G41" s="13">
        <f>INDEX(Parameters!$C$9:$G$9,1,MATCH($C41,Parameters!$C$6:$G$6,0))</f>
        <v>0.84000000000000008</v>
      </c>
      <c r="H41" s="13"/>
      <c r="I41" s="14">
        <f>E41*G41</f>
        <v>2604.0000000000005</v>
      </c>
      <c r="J41" s="14">
        <f>INDEX(Parameters!$C$10:$G$10,1,MATCH($D41,Parameters!$C$6:$G$6,0))</f>
        <v>3250</v>
      </c>
      <c r="K41" s="13">
        <f>INDEX(Parameters!$C$11:$G$11,1,MATCH($D41,Parameters!$C$6:$G$6,0))</f>
        <v>0.62</v>
      </c>
      <c r="L41" s="14">
        <f>I41+J41</f>
        <v>5854</v>
      </c>
      <c r="M41" s="1"/>
    </row>
    <row r="42" spans="1:13" ht="23" customHeight="1">
      <c r="A42" s="1"/>
      <c r="B42" s="1" t="s">
        <v>45</v>
      </c>
      <c r="C42" s="12">
        <f>Parameters!G6</f>
        <v>0</v>
      </c>
      <c r="D42" s="12">
        <f>Parameters!G6</f>
        <v>0</v>
      </c>
      <c r="E42" s="12">
        <f>INDEX(Parameters!$C$7:$G$7,1,MATCH($C42,Parameters!$C$6:$G$6,0))</f>
        <v>3700</v>
      </c>
      <c r="F42" s="13">
        <f>INDEX(Parameters!$C$8:$G$8,1,MATCH($C42,Parameters!$C$6:$G$6,0))</f>
        <v>0.17</v>
      </c>
      <c r="G42" s="13">
        <f>INDEX(Parameters!$C$9:$G$9,1,MATCH($C42,Parameters!$C$6:$G$6,0))</f>
        <v>0.88</v>
      </c>
      <c r="H42" s="13"/>
      <c r="I42" s="14">
        <f>E42*G42</f>
        <v>3256</v>
      </c>
      <c r="J42" s="14">
        <f>INDEX(Parameters!$C$10:$G$10,1,MATCH($D42,Parameters!$C$6:$G$6,0))</f>
        <v>4000</v>
      </c>
      <c r="K42" s="13">
        <f>INDEX(Parameters!$C$11:$G$11,1,MATCH($D42,Parameters!$C$6:$G$6,0))</f>
        <v>0.64</v>
      </c>
      <c r="L42" s="14">
        <f>I42+J42</f>
        <v>7256</v>
      </c>
      <c r="M42" s="1"/>
    </row>
    <row r="43" spans="1:13" ht="18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</row>
    <row r="44" spans="1:13" ht="18" customHeight="1">
      <c r="A44" s="1"/>
      <c r="B44" s="3" t="s">
        <v>46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</row>
    <row r="45" spans="1:13" ht="18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>
      <c r="A46" s="1"/>
      <c r="B46" s="10" t="s">
        <v>47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  <row r="47" spans="1:13" ht="18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</row>
    <row r="48" spans="1:13" ht="27" customHeight="1">
      <c r="A48" s="1"/>
      <c r="B48" s="5" t="s">
        <v>20</v>
      </c>
      <c r="C48" s="5" t="s">
        <v>48</v>
      </c>
      <c r="D48" s="5" t="s">
        <v>49</v>
      </c>
      <c r="E48" s="5" t="s">
        <v>50</v>
      </c>
      <c r="F48" s="5" t="s">
        <v>51</v>
      </c>
      <c r="G48" s="5" t="s">
        <v>52</v>
      </c>
      <c r="H48" s="1" t="str">
        <f>'LSR Sweep'!C48</f>
        <v>LSR -40</v>
      </c>
      <c r="I48" s="1" t="str">
        <f>'LSR Sweep'!D48</f>
        <v>LSR -30</v>
      </c>
      <c r="J48" s="1" t="str">
        <f>'LSR Sweep'!E48</f>
        <v>LSR -20</v>
      </c>
      <c r="K48" s="1" t="str">
        <f>'LSR Sweep'!F48</f>
        <v>LSR -10</v>
      </c>
      <c r="L48" s="1" t="str">
        <f>'LSR Sweep'!G48</f>
        <v>LSR 0</v>
      </c>
      <c r="M48" s="1"/>
    </row>
    <row r="49" spans="1:13" ht="18" customHeight="1">
      <c r="A49" s="1"/>
      <c r="B49" s="18">
        <v>0</v>
      </c>
      <c r="C49" s="14">
        <f t="shared" ref="C49:C73" si="0">$E$38*MIN($B49,$F$38)+$I$38*MAX(0,$B49-$F$38)+$J$38*MAX(0,$B49-$K$38)</f>
        <v>0</v>
      </c>
      <c r="D49" s="14">
        <f t="shared" ref="D49:D73" si="1">$E$39*MIN($B49,$F$39)+$I$39*MAX(0,$B49-$F$39)+$J$39*MAX(0,$B49-$K$39)</f>
        <v>0</v>
      </c>
      <c r="E49" s="14">
        <f t="shared" ref="E49:E73" si="2">$E$40*MIN($B49,$F$40)+$I$40*MAX(0,$B49-$F$40)+$J$40*MAX(0,$B49-$K$40)</f>
        <v>0</v>
      </c>
      <c r="F49" s="14">
        <f t="shared" ref="F49:F73" si="3">$E$41*MIN($B49,$F$41)+$I$41*MAX(0,$B49-$F$41)+$J$41*MAX(0,$B49-$K$41)</f>
        <v>0</v>
      </c>
      <c r="G49" s="14">
        <f t="shared" ref="G49:G73" si="4">$E$42*MIN($B49,$F$42)+$I$42*MAX(0,$B49-$F$42)+$J$42*MAX(0,$B49-$K$42)</f>
        <v>0</v>
      </c>
      <c r="H49" s="1">
        <f>-'LSR Sweep'!C49</f>
        <v>0</v>
      </c>
      <c r="I49" s="1">
        <f>-'LSR Sweep'!D49</f>
        <v>0</v>
      </c>
      <c r="J49" s="1">
        <f>-'LSR Sweep'!E49</f>
        <v>0</v>
      </c>
      <c r="K49" s="1">
        <f>-'LSR Sweep'!F49</f>
        <v>0</v>
      </c>
      <c r="L49" s="1">
        <f>-'LSR Sweep'!G49</f>
        <v>0</v>
      </c>
      <c r="M49" s="1"/>
    </row>
    <row r="50" spans="1:13" ht="18" customHeight="1">
      <c r="A50" s="1"/>
      <c r="B50" s="18">
        <v>0.05</v>
      </c>
      <c r="C50" s="14">
        <f t="shared" si="0"/>
        <v>65</v>
      </c>
      <c r="D50" s="14">
        <f t="shared" si="1"/>
        <v>95</v>
      </c>
      <c r="E50" s="14">
        <f t="shared" si="2"/>
        <v>125</v>
      </c>
      <c r="F50" s="14">
        <f t="shared" si="3"/>
        <v>155</v>
      </c>
      <c r="G50" s="14">
        <f t="shared" si="4"/>
        <v>185</v>
      </c>
      <c r="H50" s="1">
        <f>-'LSR Sweep'!C50</f>
        <v>-60.75</v>
      </c>
      <c r="I50" s="1">
        <f>-'LSR Sweep'!D50</f>
        <v>-83.25</v>
      </c>
      <c r="J50" s="1">
        <f>-'LSR Sweep'!E50</f>
        <v>-105.75</v>
      </c>
      <c r="K50" s="1">
        <f>-'LSR Sweep'!F50</f>
        <v>-128.25</v>
      </c>
      <c r="L50" s="1">
        <f>-'LSR Sweep'!G50</f>
        <v>-150.75</v>
      </c>
      <c r="M50" s="1"/>
    </row>
    <row r="51" spans="1:13" ht="18" customHeight="1">
      <c r="A51" s="1"/>
      <c r="B51" s="18">
        <v>0.1</v>
      </c>
      <c r="C51" s="14">
        <f t="shared" si="0"/>
        <v>126.36000000000001</v>
      </c>
      <c r="D51" s="14">
        <f t="shared" si="1"/>
        <v>190</v>
      </c>
      <c r="E51" s="14">
        <f t="shared" si="2"/>
        <v>250</v>
      </c>
      <c r="F51" s="14">
        <f t="shared" si="3"/>
        <v>310</v>
      </c>
      <c r="G51" s="14">
        <f t="shared" si="4"/>
        <v>370</v>
      </c>
      <c r="H51" s="1">
        <f>-'LSR Sweep'!C51</f>
        <v>-121.5</v>
      </c>
      <c r="I51" s="1">
        <f>-'LSR Sweep'!D51</f>
        <v>-166.5</v>
      </c>
      <c r="J51" s="1">
        <f>-'LSR Sweep'!E51</f>
        <v>-211.5</v>
      </c>
      <c r="K51" s="1">
        <f>-'LSR Sweep'!F51</f>
        <v>-256.5</v>
      </c>
      <c r="L51" s="1">
        <f>-'LSR Sweep'!G51</f>
        <v>-301.5</v>
      </c>
      <c r="M51" s="1"/>
    </row>
    <row r="52" spans="1:13" ht="18" customHeight="1">
      <c r="A52" s="1"/>
      <c r="B52" s="18">
        <v>0.15</v>
      </c>
      <c r="C52" s="14">
        <f t="shared" si="0"/>
        <v>173.16</v>
      </c>
      <c r="D52" s="14">
        <f t="shared" si="1"/>
        <v>264.48</v>
      </c>
      <c r="E52" s="14">
        <f t="shared" si="2"/>
        <v>360</v>
      </c>
      <c r="F52" s="14">
        <f t="shared" si="3"/>
        <v>462.52</v>
      </c>
      <c r="G52" s="14">
        <f t="shared" si="4"/>
        <v>555</v>
      </c>
      <c r="H52" s="1">
        <f>-'LSR Sweep'!C52</f>
        <v>-182.25</v>
      </c>
      <c r="I52" s="1">
        <f>-'LSR Sweep'!D52</f>
        <v>-249.75</v>
      </c>
      <c r="J52" s="1">
        <f>-'LSR Sweep'!E52</f>
        <v>-317.25</v>
      </c>
      <c r="K52" s="1">
        <f>-'LSR Sweep'!F52</f>
        <v>-384.75</v>
      </c>
      <c r="L52" s="1">
        <f>-'LSR Sweep'!G52</f>
        <v>-452.25</v>
      </c>
      <c r="M52" s="1"/>
    </row>
    <row r="53" spans="1:13" ht="18" customHeight="1">
      <c r="A53" s="1"/>
      <c r="B53" s="18">
        <v>0.2</v>
      </c>
      <c r="C53" s="14">
        <f t="shared" si="0"/>
        <v>219.96</v>
      </c>
      <c r="D53" s="14">
        <f t="shared" si="1"/>
        <v>336.68000000000006</v>
      </c>
      <c r="E53" s="14">
        <f t="shared" si="2"/>
        <v>460</v>
      </c>
      <c r="F53" s="14">
        <f t="shared" si="3"/>
        <v>592.72</v>
      </c>
      <c r="G53" s="14">
        <f t="shared" si="4"/>
        <v>726.68</v>
      </c>
      <c r="H53" s="1">
        <f>-'LSR Sweep'!C53</f>
        <v>-243</v>
      </c>
      <c r="I53" s="1">
        <f>-'LSR Sweep'!D53</f>
        <v>-333</v>
      </c>
      <c r="J53" s="1">
        <f>-'LSR Sweep'!E53</f>
        <v>-423</v>
      </c>
      <c r="K53" s="1">
        <f>-'LSR Sweep'!F53</f>
        <v>-513</v>
      </c>
      <c r="L53" s="1">
        <f>-'LSR Sweep'!G53</f>
        <v>-603</v>
      </c>
      <c r="M53" s="1"/>
    </row>
    <row r="54" spans="1:13" ht="18" customHeight="1">
      <c r="A54" s="1"/>
      <c r="B54" s="18">
        <v>0.25</v>
      </c>
      <c r="C54" s="14">
        <f t="shared" si="0"/>
        <v>266.76</v>
      </c>
      <c r="D54" s="14">
        <f t="shared" si="1"/>
        <v>408.88</v>
      </c>
      <c r="E54" s="14">
        <f t="shared" si="2"/>
        <v>560</v>
      </c>
      <c r="F54" s="14">
        <f t="shared" si="3"/>
        <v>722.92000000000007</v>
      </c>
      <c r="G54" s="14">
        <f t="shared" si="4"/>
        <v>889.48</v>
      </c>
      <c r="H54" s="1">
        <f>-'LSR Sweep'!C54</f>
        <v>-303.75</v>
      </c>
      <c r="I54" s="1">
        <f>-'LSR Sweep'!D54</f>
        <v>-416.25</v>
      </c>
      <c r="J54" s="1">
        <f>-'LSR Sweep'!E54</f>
        <v>-528.75</v>
      </c>
      <c r="K54" s="1">
        <f>-'LSR Sweep'!F54</f>
        <v>-641.25</v>
      </c>
      <c r="L54" s="1">
        <f>-'LSR Sweep'!G54</f>
        <v>-753.75</v>
      </c>
      <c r="M54" s="1"/>
    </row>
    <row r="55" spans="1:13" ht="18" customHeight="1">
      <c r="A55" s="1"/>
      <c r="B55" s="18">
        <v>0.3</v>
      </c>
      <c r="C55" s="14">
        <f t="shared" si="0"/>
        <v>313.56</v>
      </c>
      <c r="D55" s="14">
        <f t="shared" si="1"/>
        <v>481.08</v>
      </c>
      <c r="E55" s="14">
        <f t="shared" si="2"/>
        <v>660</v>
      </c>
      <c r="F55" s="14">
        <f t="shared" si="3"/>
        <v>853.12000000000012</v>
      </c>
      <c r="G55" s="14">
        <f t="shared" si="4"/>
        <v>1052.28</v>
      </c>
      <c r="H55" s="1">
        <f>-'LSR Sweep'!C55</f>
        <v>-364.5</v>
      </c>
      <c r="I55" s="1">
        <f>-'LSR Sweep'!D55</f>
        <v>-499.5</v>
      </c>
      <c r="J55" s="1">
        <f>-'LSR Sweep'!E55</f>
        <v>-634.5</v>
      </c>
      <c r="K55" s="1">
        <f>-'LSR Sweep'!F55</f>
        <v>-769.5</v>
      </c>
      <c r="L55" s="1">
        <f>-'LSR Sweep'!G55</f>
        <v>-904.5</v>
      </c>
      <c r="M55" s="1"/>
    </row>
    <row r="56" spans="1:13" ht="18" customHeight="1">
      <c r="A56" s="1"/>
      <c r="B56" s="18">
        <v>0.35</v>
      </c>
      <c r="C56" s="14">
        <f t="shared" si="0"/>
        <v>360.36</v>
      </c>
      <c r="D56" s="14">
        <f t="shared" si="1"/>
        <v>553.28</v>
      </c>
      <c r="E56" s="14">
        <f t="shared" si="2"/>
        <v>760</v>
      </c>
      <c r="F56" s="14">
        <f t="shared" si="3"/>
        <v>983.31999999999994</v>
      </c>
      <c r="G56" s="14">
        <f t="shared" si="4"/>
        <v>1215.08</v>
      </c>
      <c r="H56" s="1">
        <f>-'LSR Sweep'!C56</f>
        <v>-409.45499999999998</v>
      </c>
      <c r="I56" s="1">
        <f>-'LSR Sweep'!D56</f>
        <v>-573.59249999999997</v>
      </c>
      <c r="J56" s="1">
        <f>-'LSR Sweep'!E56</f>
        <v>-740.25</v>
      </c>
      <c r="K56" s="1">
        <f>-'LSR Sweep'!F56</f>
        <v>-897.74999999999989</v>
      </c>
      <c r="L56" s="1">
        <f>-'LSR Sweep'!G56</f>
        <v>-1055.25</v>
      </c>
      <c r="M56" s="1"/>
    </row>
    <row r="57" spans="1:13" ht="18" customHeight="1">
      <c r="A57" s="1"/>
      <c r="B57" s="18">
        <v>0.4</v>
      </c>
      <c r="C57" s="14">
        <f t="shared" si="0"/>
        <v>407.16</v>
      </c>
      <c r="D57" s="14">
        <f t="shared" si="1"/>
        <v>625.48</v>
      </c>
      <c r="E57" s="14">
        <f t="shared" si="2"/>
        <v>860</v>
      </c>
      <c r="F57" s="14">
        <f t="shared" si="3"/>
        <v>1113.5200000000002</v>
      </c>
      <c r="G57" s="14">
        <f t="shared" si="4"/>
        <v>1377.88</v>
      </c>
      <c r="H57" s="1">
        <f>-'LSR Sweep'!C57</f>
        <v>-454.41</v>
      </c>
      <c r="I57" s="1">
        <f>-'LSR Sweep'!D57</f>
        <v>-638.52749999999992</v>
      </c>
      <c r="J57" s="1">
        <f>-'LSR Sweep'!E57</f>
        <v>-826.96500000000003</v>
      </c>
      <c r="K57" s="1">
        <f>-'LSR Sweep'!F57</f>
        <v>-1017.0225</v>
      </c>
      <c r="L57" s="1">
        <f>-'LSR Sweep'!G57</f>
        <v>-1206</v>
      </c>
      <c r="M57" s="1"/>
    </row>
    <row r="58" spans="1:13" ht="18" customHeight="1">
      <c r="A58" s="1"/>
      <c r="B58" s="18">
        <v>0.45</v>
      </c>
      <c r="C58" s="14">
        <f t="shared" si="0"/>
        <v>453.96</v>
      </c>
      <c r="D58" s="14">
        <f t="shared" si="1"/>
        <v>697.68000000000006</v>
      </c>
      <c r="E58" s="14">
        <f t="shared" si="2"/>
        <v>960</v>
      </c>
      <c r="F58" s="14">
        <f t="shared" si="3"/>
        <v>1243.7200000000003</v>
      </c>
      <c r="G58" s="14">
        <f t="shared" si="4"/>
        <v>1540.68</v>
      </c>
      <c r="H58" s="1">
        <f>-'LSR Sweep'!C58</f>
        <v>-499.36500000000001</v>
      </c>
      <c r="I58" s="1">
        <f>-'LSR Sweep'!D58</f>
        <v>-703.46249999999998</v>
      </c>
      <c r="J58" s="1">
        <f>-'LSR Sweep'!E58</f>
        <v>-913.68000000000006</v>
      </c>
      <c r="K58" s="1">
        <f>-'LSR Sweep'!F58</f>
        <v>-1127.3175000000001</v>
      </c>
      <c r="L58" s="1">
        <f>-'LSR Sweep'!G58</f>
        <v>-1341.675</v>
      </c>
      <c r="M58" s="1"/>
    </row>
    <row r="59" spans="1:13" ht="18" customHeight="1">
      <c r="A59" s="1"/>
      <c r="B59" s="18">
        <v>0.5</v>
      </c>
      <c r="C59" s="14">
        <f t="shared" si="0"/>
        <v>500.76000000000005</v>
      </c>
      <c r="D59" s="14">
        <f t="shared" si="1"/>
        <v>769.88</v>
      </c>
      <c r="E59" s="14">
        <f t="shared" si="2"/>
        <v>1060</v>
      </c>
      <c r="F59" s="14">
        <f t="shared" si="3"/>
        <v>1373.92</v>
      </c>
      <c r="G59" s="14">
        <f t="shared" si="4"/>
        <v>1703.4799999999998</v>
      </c>
      <c r="H59" s="1">
        <f>-'LSR Sweep'!C59</f>
        <v>-544.32000000000005</v>
      </c>
      <c r="I59" s="1">
        <f>-'LSR Sweep'!D59</f>
        <v>-768.39749999999992</v>
      </c>
      <c r="J59" s="1">
        <f>-'LSR Sweep'!E59</f>
        <v>-1000.395</v>
      </c>
      <c r="K59" s="1">
        <f>-'LSR Sweep'!F59</f>
        <v>-1237.6125</v>
      </c>
      <c r="L59" s="1">
        <f>-'LSR Sweep'!G59</f>
        <v>-1477.35</v>
      </c>
      <c r="M59" s="1"/>
    </row>
    <row r="60" spans="1:13" ht="18" customHeight="1">
      <c r="A60" s="1"/>
      <c r="B60" s="18">
        <v>0.55000000000000004</v>
      </c>
      <c r="C60" s="14">
        <f t="shared" si="0"/>
        <v>547.56000000000006</v>
      </c>
      <c r="D60" s="14">
        <f t="shared" si="1"/>
        <v>842.08</v>
      </c>
      <c r="E60" s="14">
        <f t="shared" si="2"/>
        <v>1160</v>
      </c>
      <c r="F60" s="14">
        <f t="shared" si="3"/>
        <v>1504.1200000000003</v>
      </c>
      <c r="G60" s="14">
        <f t="shared" si="4"/>
        <v>1866.28</v>
      </c>
      <c r="H60" s="1">
        <f>-'LSR Sweep'!C60</f>
        <v>-589.27500000000009</v>
      </c>
      <c r="I60" s="1">
        <f>-'LSR Sweep'!D60</f>
        <v>-833.33249999999998</v>
      </c>
      <c r="J60" s="1">
        <f>-'LSR Sweep'!E60</f>
        <v>-1087.1100000000001</v>
      </c>
      <c r="K60" s="1">
        <f>-'LSR Sweep'!F60</f>
        <v>-1347.9075000000003</v>
      </c>
      <c r="L60" s="1">
        <f>-'LSR Sweep'!G60</f>
        <v>-1613.0250000000001</v>
      </c>
      <c r="M60" s="1"/>
    </row>
    <row r="61" spans="1:13" ht="18" customHeight="1">
      <c r="A61" s="1"/>
      <c r="B61" s="18">
        <v>0.6</v>
      </c>
      <c r="C61" s="14">
        <f t="shared" si="0"/>
        <v>634.3599999999999</v>
      </c>
      <c r="D61" s="14">
        <f t="shared" si="1"/>
        <v>949.28</v>
      </c>
      <c r="E61" s="14">
        <f t="shared" si="2"/>
        <v>1260</v>
      </c>
      <c r="F61" s="14">
        <f t="shared" si="3"/>
        <v>1634.3200000000002</v>
      </c>
      <c r="G61" s="14">
        <f t="shared" si="4"/>
        <v>2029.0799999999997</v>
      </c>
      <c r="H61" s="1">
        <f>-'LSR Sweep'!C61</f>
        <v>-634.23</v>
      </c>
      <c r="I61" s="1">
        <f>-'LSR Sweep'!D61</f>
        <v>-898.26749999999993</v>
      </c>
      <c r="J61" s="1">
        <f>-'LSR Sweep'!E61</f>
        <v>-1173.825</v>
      </c>
      <c r="K61" s="1">
        <f>-'LSR Sweep'!F61</f>
        <v>-1458.2024999999999</v>
      </c>
      <c r="L61" s="1">
        <f>-'LSR Sweep'!G61</f>
        <v>-1748.6999999999998</v>
      </c>
      <c r="M61" s="1"/>
    </row>
    <row r="62" spans="1:13" ht="18" customHeight="1">
      <c r="A62" s="1"/>
      <c r="B62" s="18">
        <v>0.65</v>
      </c>
      <c r="C62" s="14">
        <f t="shared" si="0"/>
        <v>731.16000000000008</v>
      </c>
      <c r="D62" s="14">
        <f t="shared" si="1"/>
        <v>1108.98</v>
      </c>
      <c r="E62" s="14">
        <f t="shared" si="2"/>
        <v>1485</v>
      </c>
      <c r="F62" s="14">
        <f t="shared" si="3"/>
        <v>1862.0200000000002</v>
      </c>
      <c r="G62" s="14">
        <f t="shared" si="4"/>
        <v>2231.88</v>
      </c>
      <c r="H62" s="1">
        <f>-'LSR Sweep'!C62</f>
        <v>-679.18500000000006</v>
      </c>
      <c r="I62" s="1">
        <f>-'LSR Sweep'!D62</f>
        <v>-963.20249999999999</v>
      </c>
      <c r="J62" s="1">
        <f>-'LSR Sweep'!E62</f>
        <v>-1260.54</v>
      </c>
      <c r="K62" s="1">
        <f>-'LSR Sweep'!F62</f>
        <v>-1568.4974999999999</v>
      </c>
      <c r="L62" s="1">
        <f>-'LSR Sweep'!G62</f>
        <v>-1884.375</v>
      </c>
      <c r="M62" s="1"/>
    </row>
    <row r="63" spans="1:13" ht="18" customHeight="1">
      <c r="A63" s="1"/>
      <c r="B63" s="18">
        <v>0.7</v>
      </c>
      <c r="C63" s="14">
        <f t="shared" si="0"/>
        <v>827.95999999999992</v>
      </c>
      <c r="D63" s="14">
        <f t="shared" si="1"/>
        <v>1268.6799999999998</v>
      </c>
      <c r="E63" s="14">
        <f t="shared" si="2"/>
        <v>1710</v>
      </c>
      <c r="F63" s="14">
        <f t="shared" si="3"/>
        <v>2154.7199999999998</v>
      </c>
      <c r="G63" s="14">
        <f t="shared" si="4"/>
        <v>2594.6799999999994</v>
      </c>
      <c r="H63" s="1">
        <f>-'LSR Sweep'!C63</f>
        <v>-724.14</v>
      </c>
      <c r="I63" s="1">
        <f>-'LSR Sweep'!D63</f>
        <v>-1028.1374999999998</v>
      </c>
      <c r="J63" s="1">
        <f>-'LSR Sweep'!E63</f>
        <v>-1347.2550000000001</v>
      </c>
      <c r="K63" s="1">
        <f>-'LSR Sweep'!F63</f>
        <v>-1678.7925</v>
      </c>
      <c r="L63" s="1">
        <f>-'LSR Sweep'!G63</f>
        <v>-2020.0499999999997</v>
      </c>
      <c r="M63" s="1"/>
    </row>
    <row r="64" spans="1:13" ht="18" customHeight="1">
      <c r="A64" s="1"/>
      <c r="B64" s="18">
        <v>0.75</v>
      </c>
      <c r="C64" s="14">
        <f t="shared" si="0"/>
        <v>924.76</v>
      </c>
      <c r="D64" s="14">
        <f t="shared" si="1"/>
        <v>1428.38</v>
      </c>
      <c r="E64" s="14">
        <f t="shared" si="2"/>
        <v>1935</v>
      </c>
      <c r="F64" s="14">
        <f t="shared" si="3"/>
        <v>2447.42</v>
      </c>
      <c r="G64" s="14">
        <f t="shared" si="4"/>
        <v>2957.4799999999996</v>
      </c>
      <c r="H64" s="1">
        <f>-'LSR Sweep'!C64</f>
        <v>-769.09500000000003</v>
      </c>
      <c r="I64" s="1">
        <f>-'LSR Sweep'!D64</f>
        <v>-1093.0725</v>
      </c>
      <c r="J64" s="1">
        <f>-'LSR Sweep'!E64</f>
        <v>-1433.97</v>
      </c>
      <c r="K64" s="1">
        <f>-'LSR Sweep'!F64</f>
        <v>-1789.0875000000001</v>
      </c>
      <c r="L64" s="1">
        <f>-'LSR Sweep'!G64</f>
        <v>-2155.7249999999999</v>
      </c>
      <c r="M64" s="1"/>
    </row>
    <row r="65" spans="1:13" ht="18" customHeight="1">
      <c r="A65" s="1"/>
      <c r="B65" s="18">
        <v>0.8</v>
      </c>
      <c r="C65" s="14">
        <f t="shared" si="0"/>
        <v>1021.5600000000001</v>
      </c>
      <c r="D65" s="14">
        <f t="shared" si="1"/>
        <v>1588.0800000000002</v>
      </c>
      <c r="E65" s="14">
        <f t="shared" si="2"/>
        <v>2160</v>
      </c>
      <c r="F65" s="14">
        <f t="shared" si="3"/>
        <v>2740.1200000000003</v>
      </c>
      <c r="G65" s="14">
        <f t="shared" si="4"/>
        <v>3320.28</v>
      </c>
      <c r="H65" s="1">
        <f>-'LSR Sweep'!C65</f>
        <v>-814.05</v>
      </c>
      <c r="I65" s="1">
        <f>-'LSR Sweep'!D65</f>
        <v>-1158.0075000000002</v>
      </c>
      <c r="J65" s="1">
        <f>-'LSR Sweep'!E65</f>
        <v>-1520.6849999999999</v>
      </c>
      <c r="K65" s="1">
        <f>-'LSR Sweep'!F65</f>
        <v>-1899.3825000000002</v>
      </c>
      <c r="L65" s="1">
        <f>-'LSR Sweep'!G65</f>
        <v>-2291.4</v>
      </c>
      <c r="M65" s="1"/>
    </row>
    <row r="66" spans="1:13" ht="18" customHeight="1">
      <c r="A66" s="1"/>
      <c r="B66" s="18">
        <v>0.85</v>
      </c>
      <c r="C66" s="14">
        <f t="shared" si="0"/>
        <v>1118.3599999999999</v>
      </c>
      <c r="D66" s="14">
        <f t="shared" si="1"/>
        <v>1747.78</v>
      </c>
      <c r="E66" s="14">
        <f t="shared" si="2"/>
        <v>2385</v>
      </c>
      <c r="F66" s="14">
        <f t="shared" si="3"/>
        <v>3032.82</v>
      </c>
      <c r="G66" s="14">
        <f t="shared" si="4"/>
        <v>3683.08</v>
      </c>
      <c r="H66" s="1">
        <f>-'LSR Sweep'!C66</f>
        <v>-859.00500000000011</v>
      </c>
      <c r="I66" s="1">
        <f>-'LSR Sweep'!D66</f>
        <v>-1222.9425000000001</v>
      </c>
      <c r="J66" s="1">
        <f>-'LSR Sweep'!E66</f>
        <v>-1607.4</v>
      </c>
      <c r="K66" s="1">
        <f>-'LSR Sweep'!F66</f>
        <v>-2009.6775</v>
      </c>
      <c r="L66" s="1">
        <f>-'LSR Sweep'!G66</f>
        <v>-2427.0749999999998</v>
      </c>
      <c r="M66" s="1"/>
    </row>
    <row r="67" spans="1:13" ht="18" customHeight="1">
      <c r="A67" s="1"/>
      <c r="B67" s="18">
        <v>0.9</v>
      </c>
      <c r="C67" s="14">
        <f t="shared" si="0"/>
        <v>1215.1600000000001</v>
      </c>
      <c r="D67" s="14">
        <f t="shared" si="1"/>
        <v>1907.48</v>
      </c>
      <c r="E67" s="14">
        <f t="shared" si="2"/>
        <v>2610</v>
      </c>
      <c r="F67" s="14">
        <f t="shared" si="3"/>
        <v>3325.5200000000004</v>
      </c>
      <c r="G67" s="14">
        <f t="shared" si="4"/>
        <v>4045.88</v>
      </c>
      <c r="H67" s="1">
        <f>-'LSR Sweep'!C67</f>
        <v>-903.96000000000015</v>
      </c>
      <c r="I67" s="1">
        <f>-'LSR Sweep'!D67</f>
        <v>-1287.8775000000001</v>
      </c>
      <c r="J67" s="1">
        <f>-'LSR Sweep'!E67</f>
        <v>-1694.115</v>
      </c>
      <c r="K67" s="1">
        <f>-'LSR Sweep'!F67</f>
        <v>-2119.9724999999999</v>
      </c>
      <c r="L67" s="1">
        <f>-'LSR Sweep'!G67</f>
        <v>-2562.75</v>
      </c>
      <c r="M67" s="1"/>
    </row>
    <row r="68" spans="1:13" ht="18" customHeight="1">
      <c r="A68" s="1"/>
      <c r="B68" s="18">
        <v>0.95</v>
      </c>
      <c r="C68" s="14">
        <f t="shared" si="0"/>
        <v>1311.96</v>
      </c>
      <c r="D68" s="14">
        <f t="shared" si="1"/>
        <v>2067.1800000000003</v>
      </c>
      <c r="E68" s="14">
        <f t="shared" si="2"/>
        <v>2835</v>
      </c>
      <c r="F68" s="14">
        <f t="shared" si="3"/>
        <v>3618.2200000000003</v>
      </c>
      <c r="G68" s="14">
        <f t="shared" si="4"/>
        <v>4408.6799999999994</v>
      </c>
      <c r="H68" s="1">
        <f>-'LSR Sweep'!C68</f>
        <v>-948.91499999999996</v>
      </c>
      <c r="I68" s="1">
        <f>-'LSR Sweep'!D68</f>
        <v>-1352.8125</v>
      </c>
      <c r="J68" s="1">
        <f>-'LSR Sweep'!E68</f>
        <v>-1780.83</v>
      </c>
      <c r="K68" s="1">
        <f>-'LSR Sweep'!F68</f>
        <v>-2230.2674999999999</v>
      </c>
      <c r="L68" s="1">
        <f>-'LSR Sweep'!G68</f>
        <v>-2698.4249999999997</v>
      </c>
      <c r="M68" s="1"/>
    </row>
    <row r="69" spans="1:13" ht="18" customHeight="1">
      <c r="A69" s="1"/>
      <c r="B69" s="18">
        <v>1</v>
      </c>
      <c r="C69" s="14">
        <f t="shared" si="0"/>
        <v>1408.76</v>
      </c>
      <c r="D69" s="14">
        <f t="shared" si="1"/>
        <v>2226.88</v>
      </c>
      <c r="E69" s="14">
        <f t="shared" si="2"/>
        <v>3060</v>
      </c>
      <c r="F69" s="14">
        <f t="shared" si="3"/>
        <v>3910.9200000000005</v>
      </c>
      <c r="G69" s="14">
        <f t="shared" si="4"/>
        <v>4771.4799999999996</v>
      </c>
      <c r="H69" s="1">
        <f>-'LSR Sweep'!C69</f>
        <v>-993.87</v>
      </c>
      <c r="I69" s="1">
        <f>-'LSR Sweep'!D69</f>
        <v>-1417.7474999999999</v>
      </c>
      <c r="J69" s="1">
        <f>-'LSR Sweep'!E69</f>
        <v>-1867.5450000000001</v>
      </c>
      <c r="K69" s="1">
        <f>-'LSR Sweep'!F69</f>
        <v>-2340.5625</v>
      </c>
      <c r="L69" s="1">
        <f>-'LSR Sweep'!G69</f>
        <v>-2834.1</v>
      </c>
      <c r="M69" s="1"/>
    </row>
    <row r="70" spans="1:13" ht="18" customHeight="1">
      <c r="A70" s="1"/>
      <c r="C70">
        <f t="shared" si="0"/>
        <v>117</v>
      </c>
      <c r="D70">
        <f t="shared" si="1"/>
        <v>199.5</v>
      </c>
      <c r="E70">
        <f t="shared" si="2"/>
        <v>300</v>
      </c>
      <c r="F70">
        <f t="shared" si="3"/>
        <v>449.50000000000006</v>
      </c>
      <c r="G70">
        <f t="shared" si="4"/>
        <v>629</v>
      </c>
      <c r="M70" s="1"/>
    </row>
    <row r="71" spans="1:13" ht="18" customHeight="1">
      <c r="A71" s="1"/>
      <c r="C71">
        <f t="shared" si="0"/>
        <v>117</v>
      </c>
      <c r="D71">
        <f t="shared" si="1"/>
        <v>199.5</v>
      </c>
      <c r="E71">
        <f t="shared" si="2"/>
        <v>300</v>
      </c>
      <c r="F71">
        <f t="shared" si="3"/>
        <v>449.50000000000006</v>
      </c>
      <c r="G71">
        <f t="shared" si="4"/>
        <v>629</v>
      </c>
      <c r="M71" s="1"/>
    </row>
    <row r="72" spans="1:13" ht="18" customHeight="1">
      <c r="A72" s="1"/>
      <c r="C72">
        <f t="shared" si="0"/>
        <v>117</v>
      </c>
      <c r="D72">
        <f t="shared" si="1"/>
        <v>199.5</v>
      </c>
      <c r="E72">
        <f t="shared" si="2"/>
        <v>300</v>
      </c>
      <c r="F72">
        <f t="shared" si="3"/>
        <v>449.50000000000006</v>
      </c>
      <c r="G72">
        <f t="shared" si="4"/>
        <v>629</v>
      </c>
      <c r="M72" s="1"/>
    </row>
    <row r="73" spans="1:13" ht="18" customHeight="1">
      <c r="A73" s="1"/>
      <c r="C73">
        <f t="shared" si="0"/>
        <v>117</v>
      </c>
      <c r="D73">
        <f t="shared" si="1"/>
        <v>199.5</v>
      </c>
      <c r="E73">
        <f t="shared" si="2"/>
        <v>300</v>
      </c>
      <c r="F73">
        <f t="shared" si="3"/>
        <v>449.50000000000006</v>
      </c>
      <c r="G73">
        <f t="shared" si="4"/>
        <v>629</v>
      </c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9738D"/>
  </sheetPr>
  <dimension ref="A1:M74"/>
  <sheetViews>
    <sheetView showGridLines="0" workbookViewId="0">
      <selection activeCell="E9" sqref="E9"/>
    </sheetView>
  </sheetViews>
  <sheetFormatPr defaultRowHeight="14"/>
  <cols>
    <col min="1" max="1" width="3" customWidth="1"/>
    <col min="2" max="2" width="28.75" customWidth="1"/>
    <col min="3" max="7" width="12.25" customWidth="1"/>
    <col min="8" max="8" width="13.1640625" customWidth="1"/>
    <col min="9" max="9" width="2.75" customWidth="1"/>
    <col min="10" max="10" width="30.6640625" customWidth="1"/>
    <col min="11" max="13" width="12" customWidth="1"/>
  </cols>
  <sheetData>
    <row r="1" spans="1:13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8" customHeight="1">
      <c r="A2" s="1"/>
      <c r="B2" s="2" t="s">
        <v>66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1"/>
      <c r="B3" s="3" t="s">
        <v>67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8" customHeight="1">
      <c r="A4" s="1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spans="1:13" ht="1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</row>
    <row r="6" spans="1:13" ht="27" customHeight="1">
      <c r="A6" s="1"/>
      <c r="B6" s="5" t="s">
        <v>68</v>
      </c>
      <c r="C6" s="5">
        <v>-20</v>
      </c>
      <c r="D6" s="5">
        <v>-15</v>
      </c>
      <c r="E6" s="5">
        <v>-10</v>
      </c>
      <c r="F6" s="5">
        <v>-5</v>
      </c>
      <c r="G6" s="5">
        <v>0</v>
      </c>
      <c r="H6" s="5" t="s">
        <v>69</v>
      </c>
      <c r="I6" s="1"/>
      <c r="J6" s="1"/>
      <c r="K6" s="1"/>
      <c r="L6" s="1"/>
      <c r="M6" s="1"/>
    </row>
    <row r="7" spans="1:13" ht="27" customHeight="1">
      <c r="A7" s="1"/>
      <c r="B7" s="1" t="s">
        <v>70</v>
      </c>
      <c r="C7" s="7">
        <v>1300</v>
      </c>
      <c r="D7" s="6">
        <f t="shared" ref="D7:D12" si="0">(C7+E7)/2</f>
        <v>1900</v>
      </c>
      <c r="E7" s="7">
        <v>2500</v>
      </c>
      <c r="F7" s="6">
        <f t="shared" ref="F7:F12" si="1">(E7+G7)/2</f>
        <v>3100</v>
      </c>
      <c r="G7" s="7">
        <v>3700</v>
      </c>
      <c r="H7" s="1" t="s">
        <v>71</v>
      </c>
      <c r="I7" s="1"/>
      <c r="J7" s="1" t="s">
        <v>72</v>
      </c>
      <c r="K7" s="1"/>
      <c r="L7" s="1"/>
      <c r="M7" s="1"/>
    </row>
    <row r="8" spans="1:13" ht="27" customHeight="1">
      <c r="A8" s="1"/>
      <c r="B8" s="1" t="s">
        <v>73</v>
      </c>
      <c r="C8" s="9">
        <v>0.09</v>
      </c>
      <c r="D8" s="8">
        <f t="shared" si="0"/>
        <v>0.105</v>
      </c>
      <c r="E8" s="9">
        <v>0.12</v>
      </c>
      <c r="F8" s="8">
        <f t="shared" si="1"/>
        <v>0.14500000000000002</v>
      </c>
      <c r="G8" s="9">
        <v>0.17</v>
      </c>
      <c r="H8" s="1" t="s">
        <v>74</v>
      </c>
      <c r="I8" s="1"/>
      <c r="J8" s="1" t="s">
        <v>75</v>
      </c>
      <c r="K8" s="1"/>
      <c r="L8" s="1"/>
      <c r="M8" s="1"/>
    </row>
    <row r="9" spans="1:13" ht="27" customHeight="1">
      <c r="A9" s="1"/>
      <c r="B9" s="1" t="s">
        <v>76</v>
      </c>
      <c r="C9" s="9">
        <v>0.72</v>
      </c>
      <c r="D9" s="8">
        <f t="shared" si="0"/>
        <v>0.76</v>
      </c>
      <c r="E9" s="9">
        <v>0.8</v>
      </c>
      <c r="F9" s="8">
        <f t="shared" si="1"/>
        <v>0.84000000000000008</v>
      </c>
      <c r="G9" s="9">
        <v>0.88</v>
      </c>
      <c r="H9" s="1" t="s">
        <v>77</v>
      </c>
      <c r="I9" s="1"/>
      <c r="J9" s="1" t="s">
        <v>72</v>
      </c>
      <c r="K9" s="1"/>
      <c r="L9" s="1"/>
      <c r="M9" s="1"/>
    </row>
    <row r="10" spans="1:13" ht="27" customHeight="1">
      <c r="A10" s="1"/>
      <c r="B10" s="1" t="s">
        <v>78</v>
      </c>
      <c r="C10" s="7">
        <v>1000</v>
      </c>
      <c r="D10" s="6">
        <f t="shared" si="0"/>
        <v>1750</v>
      </c>
      <c r="E10" s="7">
        <v>2500</v>
      </c>
      <c r="F10" s="6">
        <f t="shared" si="1"/>
        <v>3250</v>
      </c>
      <c r="G10" s="7">
        <v>4000</v>
      </c>
      <c r="H10" s="1" t="s">
        <v>71</v>
      </c>
      <c r="I10" s="1"/>
      <c r="J10" s="1" t="s">
        <v>79</v>
      </c>
      <c r="K10" s="1"/>
      <c r="L10" s="1"/>
      <c r="M10" s="1"/>
    </row>
    <row r="11" spans="1:13" ht="27" customHeight="1">
      <c r="A11" s="1"/>
      <c r="B11" s="1" t="s">
        <v>80</v>
      </c>
      <c r="C11" s="9">
        <v>0.56000000000000005</v>
      </c>
      <c r="D11" s="8">
        <v>0.57999999999999996</v>
      </c>
      <c r="E11" s="9">
        <v>0.6</v>
      </c>
      <c r="F11" s="8">
        <v>0.62</v>
      </c>
      <c r="G11" s="9">
        <v>0.64</v>
      </c>
      <c r="H11" s="1" t="s">
        <v>74</v>
      </c>
      <c r="I11" s="1"/>
      <c r="J11" s="1" t="s">
        <v>79</v>
      </c>
      <c r="K11" s="1"/>
      <c r="L11" s="1"/>
      <c r="M11" s="1"/>
    </row>
    <row r="12" spans="1:13" ht="27" customHeight="1">
      <c r="A12" s="1"/>
      <c r="B12" s="1"/>
      <c r="C12" s="19"/>
      <c r="D12" s="19">
        <f t="shared" si="0"/>
        <v>0</v>
      </c>
      <c r="E12" s="19"/>
      <c r="F12" s="19">
        <f t="shared" si="1"/>
        <v>0</v>
      </c>
      <c r="G12" s="19"/>
      <c r="H12" s="1"/>
      <c r="I12" s="1"/>
      <c r="J12" s="1"/>
      <c r="K12" s="1"/>
      <c r="L12" s="1"/>
      <c r="M12" s="1"/>
    </row>
    <row r="13" spans="1:13" ht="18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ht="18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18" customHeight="1">
      <c r="A15" s="1"/>
      <c r="B15" s="10" t="s">
        <v>81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</row>
    <row r="16" spans="1:13" ht="24" customHeight="1">
      <c r="A16" s="1"/>
      <c r="B16" s="1" t="s">
        <v>82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1:13" ht="24" customHeight="1">
      <c r="A17" s="1"/>
      <c r="B17" s="1" t="s">
        <v>83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</row>
    <row r="18" spans="1:13" ht="24" customHeight="1">
      <c r="A18" s="1"/>
      <c r="B18" s="1" t="s">
        <v>84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24" customHeight="1">
      <c r="A19" s="1"/>
      <c r="B19" s="1" t="s">
        <v>85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13" ht="24" customHeight="1">
      <c r="A20" s="1"/>
      <c r="B20" s="1" t="s">
        <v>103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13" ht="24" customHeight="1">
      <c r="A21" s="1"/>
      <c r="B21" s="1" t="s">
        <v>86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13" ht="24" customHeight="1">
      <c r="A22" s="1"/>
      <c r="B22" s="1" t="s">
        <v>87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24" customHeight="1">
      <c r="A23" s="1"/>
      <c r="B23" s="1" t="s">
        <v>88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</row>
    <row r="24" spans="1:13" ht="24" customHeight="1">
      <c r="A24" s="1"/>
      <c r="B24" s="1" t="s">
        <v>89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13" ht="24" customHeight="1">
      <c r="A25" s="1"/>
      <c r="B25" s="1" t="s">
        <v>90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13" ht="18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18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13" ht="27" customHeight="1">
      <c r="A28" s="1"/>
      <c r="B28" s="21" t="s">
        <v>54</v>
      </c>
      <c r="C28" s="21">
        <v>-40</v>
      </c>
      <c r="D28" s="21">
        <v>-30</v>
      </c>
      <c r="E28" s="21">
        <v>-20</v>
      </c>
      <c r="F28" s="21">
        <v>-10</v>
      </c>
      <c r="G28" s="21">
        <v>0</v>
      </c>
      <c r="H28" s="21" t="s">
        <v>69</v>
      </c>
      <c r="I28" s="20"/>
      <c r="J28" s="20"/>
      <c r="K28" s="1"/>
      <c r="L28" s="1"/>
      <c r="M28" s="1"/>
    </row>
    <row r="29" spans="1:13" ht="27" customHeight="1">
      <c r="A29" s="1"/>
      <c r="B29" s="20" t="s">
        <v>91</v>
      </c>
      <c r="C29" s="22">
        <f t="shared" ref="C29:F30" si="2">$G29+$E$34*C$28</f>
        <v>1035</v>
      </c>
      <c r="D29" s="22">
        <f t="shared" si="2"/>
        <v>1485</v>
      </c>
      <c r="E29" s="22">
        <f t="shared" si="2"/>
        <v>1935</v>
      </c>
      <c r="F29" s="22">
        <f t="shared" si="2"/>
        <v>2385</v>
      </c>
      <c r="G29" s="24">
        <v>2835</v>
      </c>
      <c r="H29" s="20" t="s">
        <v>71</v>
      </c>
      <c r="I29" s="20"/>
      <c r="J29" s="20"/>
      <c r="K29" s="1"/>
      <c r="L29" s="1"/>
      <c r="M29" s="1"/>
    </row>
    <row r="30" spans="1:13" ht="27" customHeight="1">
      <c r="A30" s="1"/>
      <c r="B30" s="20" t="s">
        <v>92</v>
      </c>
      <c r="C30" s="22">
        <f t="shared" si="2"/>
        <v>1215</v>
      </c>
      <c r="D30" s="22">
        <f t="shared" si="2"/>
        <v>1665</v>
      </c>
      <c r="E30" s="22">
        <f t="shared" si="2"/>
        <v>2115</v>
      </c>
      <c r="F30" s="22">
        <f t="shared" si="2"/>
        <v>2565</v>
      </c>
      <c r="G30" s="24">
        <v>3015</v>
      </c>
      <c r="H30" s="20" t="s">
        <v>71</v>
      </c>
      <c r="I30" s="20"/>
      <c r="J30" s="20"/>
      <c r="K30" s="1"/>
      <c r="L30" s="1"/>
      <c r="M30" s="1"/>
    </row>
    <row r="31" spans="1:13" ht="27" customHeight="1">
      <c r="A31" s="1"/>
      <c r="B31" s="20" t="s">
        <v>93</v>
      </c>
      <c r="C31" s="26">
        <v>0.3</v>
      </c>
      <c r="D31" s="23">
        <f>(C31+E31)/2</f>
        <v>0.32499999999999996</v>
      </c>
      <c r="E31" s="26">
        <v>0.35</v>
      </c>
      <c r="F31" s="23">
        <f>(E31+G31)/2</f>
        <v>0.375</v>
      </c>
      <c r="G31" s="26">
        <v>0.4</v>
      </c>
      <c r="H31" s="20" t="s">
        <v>74</v>
      </c>
      <c r="I31" s="20"/>
      <c r="J31" s="20"/>
      <c r="K31" s="1"/>
      <c r="L31" s="1"/>
      <c r="M31" s="1"/>
    </row>
    <row r="32" spans="1:13" ht="27" customHeight="1">
      <c r="A32" s="1"/>
      <c r="B32" s="20" t="s">
        <v>94</v>
      </c>
      <c r="C32" s="26">
        <v>0.74</v>
      </c>
      <c r="D32" s="23">
        <f>(C32+E32)/2</f>
        <v>0.78</v>
      </c>
      <c r="E32" s="26">
        <v>0.82</v>
      </c>
      <c r="F32" s="23">
        <f>(E32+G32)/2</f>
        <v>0.86</v>
      </c>
      <c r="G32" s="26">
        <v>0.9</v>
      </c>
      <c r="H32" s="20" t="s">
        <v>77</v>
      </c>
      <c r="I32" s="20"/>
      <c r="J32" s="20"/>
      <c r="K32" s="1"/>
      <c r="L32" s="1"/>
      <c r="M32" s="1"/>
    </row>
    <row r="33" spans="1:13" ht="27" customHeight="1">
      <c r="A33" s="1"/>
      <c r="B33" s="20"/>
      <c r="C33" s="20"/>
      <c r="D33" s="20"/>
      <c r="E33" s="20"/>
      <c r="F33" s="20"/>
      <c r="G33" s="20"/>
      <c r="H33" s="20"/>
      <c r="I33" s="20"/>
      <c r="J33" s="20"/>
      <c r="K33" s="1"/>
      <c r="L33" s="1"/>
      <c r="M33" s="1"/>
    </row>
    <row r="34" spans="1:13" ht="27" customHeight="1">
      <c r="A34" s="1"/>
      <c r="B34" s="20" t="s">
        <v>95</v>
      </c>
      <c r="C34" s="20"/>
      <c r="D34" s="20"/>
      <c r="E34" s="25">
        <v>45</v>
      </c>
      <c r="F34" s="20"/>
      <c r="G34" s="20"/>
      <c r="H34" s="20" t="s">
        <v>71</v>
      </c>
      <c r="I34" s="20"/>
      <c r="J34" s="20"/>
      <c r="K34" s="1"/>
      <c r="L34" s="1"/>
      <c r="M34" s="1"/>
    </row>
    <row r="35" spans="1:13" ht="27" customHeight="1">
      <c r="A35" s="1"/>
      <c r="B35" s="20" t="s">
        <v>96</v>
      </c>
      <c r="C35" s="20"/>
      <c r="D35" s="20"/>
      <c r="E35" s="25" t="s">
        <v>92</v>
      </c>
      <c r="F35" s="20"/>
      <c r="G35" s="20"/>
      <c r="H35" s="20"/>
      <c r="I35" s="20"/>
      <c r="J35" s="20" t="s">
        <v>97</v>
      </c>
      <c r="K35" s="1"/>
      <c r="L35" s="1"/>
      <c r="M35" s="1"/>
    </row>
    <row r="36" spans="1:13" ht="27" customHeight="1">
      <c r="A36" s="1"/>
      <c r="B36" s="20"/>
      <c r="C36" s="20"/>
      <c r="D36" s="20"/>
      <c r="E36" s="20"/>
      <c r="F36" s="20"/>
      <c r="G36" s="20"/>
      <c r="H36" s="20"/>
      <c r="I36" s="20"/>
      <c r="J36" s="20"/>
      <c r="K36" s="1"/>
      <c r="L36" s="1"/>
      <c r="M36" s="1"/>
    </row>
    <row r="37" spans="1:13" ht="27" customHeight="1">
      <c r="A37" s="1"/>
      <c r="B37" s="20"/>
      <c r="C37" s="20"/>
      <c r="D37" s="20"/>
      <c r="E37" s="20"/>
      <c r="F37" s="20"/>
      <c r="G37" s="20"/>
      <c r="H37" s="20"/>
      <c r="I37" s="20"/>
      <c r="J37" s="20"/>
      <c r="K37" s="1"/>
      <c r="L37" s="1"/>
      <c r="M37" s="1"/>
    </row>
    <row r="38" spans="1:13" ht="27" customHeight="1">
      <c r="A38" s="1"/>
      <c r="B38" s="20" t="s">
        <v>98</v>
      </c>
      <c r="C38" s="20"/>
      <c r="D38" s="20"/>
      <c r="E38" s="20"/>
      <c r="F38" s="20"/>
      <c r="G38" s="20"/>
      <c r="H38" s="20"/>
      <c r="I38" s="20"/>
      <c r="J38" s="20"/>
      <c r="K38" s="1"/>
      <c r="L38" s="1"/>
      <c r="M38" s="1"/>
    </row>
    <row r="39" spans="1:13" ht="27" customHeight="1">
      <c r="A39" s="1"/>
      <c r="B39" s="20" t="s">
        <v>99</v>
      </c>
      <c r="C39" s="20"/>
      <c r="D39" s="20"/>
      <c r="E39" s="20"/>
      <c r="F39" s="20"/>
      <c r="G39" s="20"/>
      <c r="H39" s="20"/>
      <c r="I39" s="20"/>
      <c r="J39" s="20"/>
      <c r="K39" s="1"/>
      <c r="L39" s="1"/>
      <c r="M39" s="1"/>
    </row>
    <row r="40" spans="1:13" ht="27" customHeight="1">
      <c r="A40" s="1"/>
      <c r="B40" s="20" t="s">
        <v>100</v>
      </c>
      <c r="C40" s="20"/>
      <c r="D40" s="20"/>
      <c r="E40" s="20"/>
      <c r="F40" s="20"/>
      <c r="G40" s="20"/>
      <c r="H40" s="20"/>
      <c r="I40" s="20"/>
      <c r="J40" s="20"/>
      <c r="K40" s="1"/>
      <c r="L40" s="1"/>
      <c r="M40" s="1"/>
    </row>
    <row r="41" spans="1:13" ht="27" customHeight="1">
      <c r="A41" s="1"/>
      <c r="B41" s="20" t="s">
        <v>101</v>
      </c>
      <c r="C41" s="20"/>
      <c r="D41" s="20"/>
      <c r="E41" s="20"/>
      <c r="F41" s="20"/>
      <c r="G41" s="20"/>
      <c r="H41" s="20"/>
      <c r="I41" s="20"/>
      <c r="J41" s="20"/>
      <c r="K41" s="1"/>
      <c r="L41" s="1"/>
      <c r="M41" s="1"/>
    </row>
    <row r="42" spans="1:13" ht="27" customHeight="1">
      <c r="A42" s="1"/>
      <c r="B42" s="20" t="s">
        <v>102</v>
      </c>
      <c r="C42" s="20"/>
      <c r="D42" s="20"/>
      <c r="E42" s="20"/>
      <c r="F42" s="20"/>
      <c r="G42" s="20"/>
      <c r="H42" s="20"/>
      <c r="I42" s="20"/>
      <c r="J42" s="20"/>
      <c r="K42" s="1"/>
      <c r="L42" s="1"/>
      <c r="M42" s="1"/>
    </row>
    <row r="43" spans="1:13" ht="27" customHeight="1">
      <c r="A43" s="1"/>
      <c r="B43" s="20"/>
      <c r="C43" s="20"/>
      <c r="D43" s="20"/>
      <c r="E43" s="20"/>
      <c r="F43" s="20"/>
      <c r="G43" s="20"/>
      <c r="H43" s="20"/>
      <c r="I43" s="20"/>
      <c r="J43" s="20"/>
      <c r="K43" s="1"/>
      <c r="L43" s="1"/>
      <c r="M43" s="1"/>
    </row>
    <row r="44" spans="1:13" ht="27" customHeight="1">
      <c r="A44" s="1"/>
      <c r="B44" s="20"/>
      <c r="C44" s="20"/>
      <c r="D44" s="20"/>
      <c r="E44" s="20"/>
      <c r="F44" s="20"/>
      <c r="G44" s="20"/>
      <c r="H44" s="20"/>
      <c r="I44" s="20"/>
      <c r="J44" s="20"/>
      <c r="K44" s="1"/>
      <c r="L44" s="1"/>
      <c r="M44" s="1"/>
    </row>
    <row r="45" spans="1:13" ht="27" customHeight="1">
      <c r="A45" s="1"/>
      <c r="B45" s="20"/>
      <c r="C45" s="20"/>
      <c r="D45" s="20"/>
      <c r="E45" s="20"/>
      <c r="F45" s="20"/>
      <c r="G45" s="20"/>
      <c r="H45" s="20"/>
      <c r="I45" s="20"/>
      <c r="J45" s="20"/>
      <c r="K45" s="1"/>
      <c r="L45" s="1"/>
      <c r="M45" s="1"/>
    </row>
    <row r="46" spans="1:13" ht="27" customHeight="1">
      <c r="A46" s="1"/>
      <c r="B46" s="20"/>
      <c r="C46" s="20"/>
      <c r="D46" s="20"/>
      <c r="E46" s="20"/>
      <c r="F46" s="20"/>
      <c r="G46" s="20"/>
      <c r="H46" s="20"/>
      <c r="I46" s="20"/>
      <c r="J46" s="20"/>
      <c r="K46" s="1"/>
      <c r="L46" s="1"/>
      <c r="M46" s="1"/>
    </row>
    <row r="47" spans="1:13" ht="27" customHeight="1">
      <c r="A47" s="1"/>
      <c r="B47" s="20"/>
      <c r="C47" s="20"/>
      <c r="D47" s="20"/>
      <c r="E47" s="20"/>
      <c r="F47" s="20"/>
      <c r="G47" s="20"/>
      <c r="H47" s="20"/>
      <c r="I47" s="20"/>
      <c r="J47" s="20"/>
      <c r="K47" s="1"/>
      <c r="L47" s="1"/>
      <c r="M47" s="1"/>
    </row>
    <row r="48" spans="1:13" ht="27" customHeight="1">
      <c r="A48" s="1"/>
      <c r="B48" s="20"/>
      <c r="C48" s="20"/>
      <c r="D48" s="20"/>
      <c r="E48" s="20"/>
      <c r="F48" s="20"/>
      <c r="G48" s="20"/>
      <c r="H48" s="20"/>
      <c r="I48" s="20"/>
      <c r="J48" s="20"/>
      <c r="K48" s="1"/>
      <c r="L48" s="1"/>
      <c r="M48" s="1"/>
    </row>
    <row r="49" spans="1:13" ht="18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</row>
    <row r="50" spans="1:13" ht="18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18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</row>
    <row r="52" spans="1:13" ht="18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</row>
    <row r="53" spans="1:13" ht="18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18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3" ht="18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3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</row>
    <row r="58" spans="1:13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</row>
    <row r="59" spans="1:13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</row>
    <row r="60" spans="1:13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</row>
    <row r="61" spans="1:13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</row>
    <row r="62" spans="1:13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</row>
    <row r="63" spans="1:13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</row>
    <row r="64" spans="1:13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</row>
    <row r="65" spans="1:13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</row>
    <row r="66" spans="1:13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</row>
    <row r="67" spans="1:13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</row>
    <row r="68" spans="1:13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</row>
    <row r="69" spans="1:13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</row>
    <row r="70" spans="1:13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spans="1:13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</row>
    <row r="72" spans="1:13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</row>
    <row r="73" spans="1:13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</row>
    <row r="74" spans="1:13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LSC Sweep</vt:lpstr>
      <vt:lpstr>HSC Sweep</vt:lpstr>
      <vt:lpstr>LSR Sweep</vt:lpstr>
      <vt:lpstr>Full Sweep</vt:lpstr>
      <vt:lpstr>Parameters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2026-09-28T06:02:24Z</dcterms:modified>
</cp:coreProperties>
</file>