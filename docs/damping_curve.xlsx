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552C7AD3-A72E-4DCC-B1BE-08E4B09FC385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<sst xmlns="http://schemas.openxmlformats.org/spreadsheetml/2006/main" count="220" uniqueCount="86">
  <si>
    <t>Astral · LSC Sweep</t>
  </si>
  <si>
    <t>Valving</t>
  </si>
  <si>
    <t>Type-A</t>
  </si>
  <si>
    <t>Type-A / Type-B · 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</si>
  <si>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</si>
  <si>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</si>
  <si>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</si>
  <si>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</si>
  <si>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</si>
  <si>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</si>
  <si>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</si>
  <si>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</si>
  <si>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</si>
  <si>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</si>
  <si>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黄色单元格可编辑；Type-A 与 Type-B 分别标定。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</si>
  <si>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</si>
  <si>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</si>
  <si>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</si>
  <si>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</si>
  <si>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</si>
  <si>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</si>
  <si>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</si>
  <si>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</si>
  <si>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</si>
  <si>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</si>
  <si>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</si>
  <si>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</si>
  <si>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</si>
  <si>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</si>
  <si>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</si>
  <si>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</si>
  <si>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</si>
  <si>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</si>
  <si>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</si>
  <si>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</si>
  <si>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</si>
  <si>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</si>
  <si>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</si>
  <si>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</si>
  <si>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</si>
  <si>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</si>
  <si>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</si>
  <si>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LSC 只调斜率；Type-A 的 HSC 调第二 knee，Type-B 的 HSC 调第一 knee。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</si>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</sst>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0" fontId="1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148.80000000000001</c:v>
                </c:pt>
                <c:pt idx="4">
                  <c:v>196.8</c:v>
                </c:pt>
                <c:pt idx="5">
                  <c:v>244.8</c:v>
                </c:pt>
                <c:pt idx="6">
                  <c:v>292.79999999999995</c:v>
                </c:pt>
                <c:pt idx="7">
                  <c:v>340.79999999999995</c:v>
                </c:pt>
                <c:pt idx="8">
                  <c:v>388.8</c:v>
                </c:pt>
                <c:pt idx="9">
                  <c:v>436.8</c:v>
                </c:pt>
                <c:pt idx="10">
                  <c:v>484.8</c:v>
                </c:pt>
                <c:pt idx="11">
                  <c:v>532.80000000000007</c:v>
                </c:pt>
                <c:pt idx="12">
                  <c:v>580.79999999999995</c:v>
                </c:pt>
                <c:pt idx="13">
                  <c:v>753.80000000000007</c:v>
                </c:pt>
                <c:pt idx="14">
                  <c:v>926.8</c:v>
                </c:pt>
                <c:pt idx="15">
                  <c:v>1099.8</c:v>
                </c:pt>
                <c:pt idx="16">
                  <c:v>1272.8000000000002</c:v>
                </c:pt>
                <c:pt idx="17">
                  <c:v>1445.8</c:v>
                </c:pt>
                <c:pt idx="18">
                  <c:v>1618.8000000000002</c:v>
                </c:pt>
                <c:pt idx="19">
                  <c:v>1791.8</c:v>
                </c:pt>
                <c:pt idx="20">
                  <c:v>1964.8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258.82499999999999</c:v>
                </c:pt>
                <c:pt idx="4">
                  <c:v>340.20000000000005</c:v>
                </c:pt>
                <c:pt idx="5">
                  <c:v>421.57500000000005</c:v>
                </c:pt>
                <c:pt idx="6">
                  <c:v>502.95</c:v>
                </c:pt>
                <c:pt idx="7">
                  <c:v>584.32500000000005</c:v>
                </c:pt>
                <c:pt idx="8">
                  <c:v>665.7</c:v>
                </c:pt>
                <c:pt idx="9">
                  <c:v>747.07500000000005</c:v>
                </c:pt>
                <c:pt idx="10">
                  <c:v>828.45</c:v>
                </c:pt>
                <c:pt idx="11">
                  <c:v>909.82500000000005</c:v>
                </c:pt>
                <c:pt idx="12">
                  <c:v>991.19999999999993</c:v>
                </c:pt>
                <c:pt idx="13">
                  <c:v>1197.5750000000003</c:v>
                </c:pt>
                <c:pt idx="14">
                  <c:v>1403.9499999999998</c:v>
                </c:pt>
                <c:pt idx="15">
                  <c:v>1610.325</c:v>
                </c:pt>
                <c:pt idx="16">
                  <c:v>1816.7000000000003</c:v>
                </c:pt>
                <c:pt idx="17">
                  <c:v>2023.075</c:v>
                </c:pt>
                <c:pt idx="18">
                  <c:v>2229.4500000000003</c:v>
                </c:pt>
                <c:pt idx="19">
                  <c:v>2435.8249999999998</c:v>
                </c:pt>
                <c:pt idx="20">
                  <c:v>2642.2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1617.5</c:v>
                </c:pt>
                <c:pt idx="14">
                  <c:v>1855</c:v>
                </c:pt>
                <c:pt idx="15">
                  <c:v>2092.5</c:v>
                </c:pt>
                <c:pt idx="16">
                  <c:v>2330</c:v>
                </c:pt>
                <c:pt idx="17">
                  <c:v>2567.5</c:v>
                </c:pt>
                <c:pt idx="18">
                  <c:v>2805</c:v>
                </c:pt>
                <c:pt idx="19">
                  <c:v>3042.5</c:v>
                </c:pt>
                <c:pt idx="20">
                  <c:v>3280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474.82499999999999</c:v>
                </c:pt>
                <c:pt idx="4">
                  <c:v>616.20000000000005</c:v>
                </c:pt>
                <c:pt idx="5">
                  <c:v>757.57500000000005</c:v>
                </c:pt>
                <c:pt idx="6">
                  <c:v>898.95</c:v>
                </c:pt>
                <c:pt idx="7">
                  <c:v>1040.3249999999998</c:v>
                </c:pt>
                <c:pt idx="8">
                  <c:v>1181.7</c:v>
                </c:pt>
                <c:pt idx="9">
                  <c:v>1323.075</c:v>
                </c:pt>
                <c:pt idx="10">
                  <c:v>1464.45</c:v>
                </c:pt>
                <c:pt idx="11">
                  <c:v>1605.825</c:v>
                </c:pt>
                <c:pt idx="12">
                  <c:v>1747.2</c:v>
                </c:pt>
                <c:pt idx="13">
                  <c:v>2013.5750000000003</c:v>
                </c:pt>
                <c:pt idx="14">
                  <c:v>2279.9499999999998</c:v>
                </c:pt>
                <c:pt idx="15">
                  <c:v>2546.3249999999998</c:v>
                </c:pt>
                <c:pt idx="16">
                  <c:v>2812.7</c:v>
                </c:pt>
                <c:pt idx="17">
                  <c:v>3079.0749999999998</c:v>
                </c:pt>
                <c:pt idx="18">
                  <c:v>3345.4500000000003</c:v>
                </c:pt>
                <c:pt idx="19">
                  <c:v>3611.8249999999998</c:v>
                </c:pt>
                <c:pt idx="20">
                  <c:v>3878.2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580.79999999999995</c:v>
                </c:pt>
                <c:pt idx="4">
                  <c:v>748.80000000000007</c:v>
                </c:pt>
                <c:pt idx="5">
                  <c:v>916.8</c:v>
                </c:pt>
                <c:pt idx="6">
                  <c:v>1084.8</c:v>
                </c:pt>
                <c:pt idx="7">
                  <c:v>1252.8</c:v>
                </c:pt>
                <c:pt idx="8">
                  <c:v>1420.8000000000002</c:v>
                </c:pt>
                <c:pt idx="9">
                  <c:v>1588.8</c:v>
                </c:pt>
                <c:pt idx="10">
                  <c:v>1756.8</c:v>
                </c:pt>
                <c:pt idx="11">
                  <c:v>1924.8000000000002</c:v>
                </c:pt>
                <c:pt idx="12">
                  <c:v>2092.8000000000002</c:v>
                </c:pt>
                <c:pt idx="13">
                  <c:v>2385.8000000000002</c:v>
                </c:pt>
                <c:pt idx="14">
                  <c:v>2678.8</c:v>
                </c:pt>
                <c:pt idx="15">
                  <c:v>2971.8</c:v>
                </c:pt>
                <c:pt idx="16">
                  <c:v>3264.8</c:v>
                </c:pt>
                <c:pt idx="17">
                  <c:v>3557.7999999999997</c:v>
                </c:pt>
                <c:pt idx="18">
                  <c:v>3850.8</c:v>
                </c:pt>
                <c:pt idx="19">
                  <c:v>4143.7999999999993</c:v>
                </c:pt>
                <c:pt idx="20">
                  <c:v>4436.8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1400</c:v>
                </c:pt>
                <c:pt idx="13">
                  <c:v>1562.5</c:v>
                </c:pt>
                <c:pt idx="14">
                  <c:v>1725</c:v>
                </c:pt>
                <c:pt idx="15">
                  <c:v>1887.5</c:v>
                </c:pt>
                <c:pt idx="16">
                  <c:v>2050</c:v>
                </c:pt>
                <c:pt idx="17">
                  <c:v>2212.5</c:v>
                </c:pt>
                <c:pt idx="18">
                  <c:v>2375</c:v>
                </c:pt>
                <c:pt idx="19">
                  <c:v>2537.5</c:v>
                </c:pt>
                <c:pt idx="20">
                  <c:v>2700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1397.5</c:v>
                </c:pt>
                <c:pt idx="13">
                  <c:v>1597.5</c:v>
                </c:pt>
                <c:pt idx="14">
                  <c:v>1797.5</c:v>
                </c:pt>
                <c:pt idx="15">
                  <c:v>1997.5</c:v>
                </c:pt>
                <c:pt idx="16">
                  <c:v>2197.5</c:v>
                </c:pt>
                <c:pt idx="17">
                  <c:v>2397.5</c:v>
                </c:pt>
                <c:pt idx="18">
                  <c:v>2597.5</c:v>
                </c:pt>
                <c:pt idx="19">
                  <c:v>2797.5</c:v>
                </c:pt>
                <c:pt idx="20">
                  <c:v>2997.5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1617.5</c:v>
                </c:pt>
                <c:pt idx="14">
                  <c:v>1855</c:v>
                </c:pt>
                <c:pt idx="15">
                  <c:v>2092.5</c:v>
                </c:pt>
                <c:pt idx="16">
                  <c:v>2330</c:v>
                </c:pt>
                <c:pt idx="17">
                  <c:v>2567.5</c:v>
                </c:pt>
                <c:pt idx="18">
                  <c:v>2805</c:v>
                </c:pt>
                <c:pt idx="19">
                  <c:v>3042.5</c:v>
                </c:pt>
                <c:pt idx="20">
                  <c:v>3280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1622.5</c:v>
                </c:pt>
                <c:pt idx="14">
                  <c:v>1897.5</c:v>
                </c:pt>
                <c:pt idx="15">
                  <c:v>2172.5</c:v>
                </c:pt>
                <c:pt idx="16">
                  <c:v>2447.5</c:v>
                </c:pt>
                <c:pt idx="17">
                  <c:v>2722.5</c:v>
                </c:pt>
                <c:pt idx="18">
                  <c:v>2997.5</c:v>
                </c:pt>
                <c:pt idx="19">
                  <c:v>3272.5</c:v>
                </c:pt>
                <c:pt idx="20">
                  <c:v>3547.5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1612.5</c:v>
                </c:pt>
                <c:pt idx="14">
                  <c:v>1924.9999999999998</c:v>
                </c:pt>
                <c:pt idx="15">
                  <c:v>2237.5</c:v>
                </c:pt>
                <c:pt idx="16">
                  <c:v>2550</c:v>
                </c:pt>
                <c:pt idx="17">
                  <c:v>2862.5</c:v>
                </c:pt>
                <c:pt idx="18">
                  <c:v>3175</c:v>
                </c:pt>
                <c:pt idx="19">
                  <c:v>3487.5</c:v>
                </c:pt>
                <c:pt idx="20">
                  <c:v>3800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349.5</c:v>
                </c:pt>
                <c:pt idx="6">
                  <c:v>399</c:v>
                </c:pt>
                <c:pt idx="7">
                  <c:v>448.5</c:v>
                </c:pt>
                <c:pt idx="8">
                  <c:v>498</c:v>
                </c:pt>
                <c:pt idx="9">
                  <c:v>547.5</c:v>
                </c:pt>
                <c:pt idx="10">
                  <c:v>597</c:v>
                </c:pt>
                <c:pt idx="11">
                  <c:v>646.5</c:v>
                </c:pt>
                <c:pt idx="12">
                  <c:v>696</c:v>
                </c:pt>
                <c:pt idx="13">
                  <c:v>745.5</c:v>
                </c:pt>
                <c:pt idx="14">
                  <c:v>795</c:v>
                </c:pt>
                <c:pt idx="15">
                  <c:v>844.5</c:v>
                </c:pt>
                <c:pt idx="16">
                  <c:v>894.00000000000011</c:v>
                </c:pt>
                <c:pt idx="17">
                  <c:v>943.49999999999989</c:v>
                </c:pt>
                <c:pt idx="18">
                  <c:v>993</c:v>
                </c:pt>
                <c:pt idx="19">
                  <c:v>1042.5</c:v>
                </c:pt>
                <c:pt idx="20">
                  <c:v>1092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481</c:v>
                </c:pt>
                <c:pt idx="6">
                  <c:v>543</c:v>
                </c:pt>
                <c:pt idx="7">
                  <c:v>605</c:v>
                </c:pt>
                <c:pt idx="8">
                  <c:v>667</c:v>
                </c:pt>
                <c:pt idx="9">
                  <c:v>729</c:v>
                </c:pt>
                <c:pt idx="10">
                  <c:v>791</c:v>
                </c:pt>
                <c:pt idx="11">
                  <c:v>853</c:v>
                </c:pt>
                <c:pt idx="12">
                  <c:v>915</c:v>
                </c:pt>
                <c:pt idx="13">
                  <c:v>977</c:v>
                </c:pt>
                <c:pt idx="14">
                  <c:v>1039</c:v>
                </c:pt>
                <c:pt idx="15">
                  <c:v>1101</c:v>
                </c:pt>
                <c:pt idx="16">
                  <c:v>1163</c:v>
                </c:pt>
                <c:pt idx="17">
                  <c:v>1225</c:v>
                </c:pt>
                <c:pt idx="18">
                  <c:v>1287</c:v>
                </c:pt>
                <c:pt idx="19">
                  <c:v>1349</c:v>
                </c:pt>
                <c:pt idx="20">
                  <c:v>1411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697.5</c:v>
                </c:pt>
                <c:pt idx="7">
                  <c:v>770</c:v>
                </c:pt>
                <c:pt idx="8">
                  <c:v>842.5</c:v>
                </c:pt>
                <c:pt idx="9">
                  <c:v>915</c:v>
                </c:pt>
                <c:pt idx="10">
                  <c:v>987.5</c:v>
                </c:pt>
                <c:pt idx="11">
                  <c:v>1060</c:v>
                </c:pt>
                <c:pt idx="12">
                  <c:v>1132.5</c:v>
                </c:pt>
                <c:pt idx="13">
                  <c:v>1205</c:v>
                </c:pt>
                <c:pt idx="14">
                  <c:v>1277.5</c:v>
                </c:pt>
                <c:pt idx="15">
                  <c:v>1350</c:v>
                </c:pt>
                <c:pt idx="16">
                  <c:v>1422.5</c:v>
                </c:pt>
                <c:pt idx="17">
                  <c:v>1495</c:v>
                </c:pt>
                <c:pt idx="18">
                  <c:v>1567.5</c:v>
                </c:pt>
                <c:pt idx="19">
                  <c:v>1640</c:v>
                </c:pt>
                <c:pt idx="20">
                  <c:v>1712.5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865.5</c:v>
                </c:pt>
                <c:pt idx="7">
                  <c:v>946.5</c:v>
                </c:pt>
                <c:pt idx="8">
                  <c:v>1027.5</c:v>
                </c:pt>
                <c:pt idx="9">
                  <c:v>1108.5</c:v>
                </c:pt>
                <c:pt idx="10">
                  <c:v>1189.5</c:v>
                </c:pt>
                <c:pt idx="11">
                  <c:v>1270.5000000000002</c:v>
                </c:pt>
                <c:pt idx="12">
                  <c:v>1351.5</c:v>
                </c:pt>
                <c:pt idx="13">
                  <c:v>1432.5</c:v>
                </c:pt>
                <c:pt idx="14">
                  <c:v>1513.5</c:v>
                </c:pt>
                <c:pt idx="15">
                  <c:v>1594.5</c:v>
                </c:pt>
                <c:pt idx="16">
                  <c:v>1675.5</c:v>
                </c:pt>
                <c:pt idx="17">
                  <c:v>1756.5</c:v>
                </c:pt>
                <c:pt idx="18">
                  <c:v>1837.5</c:v>
                </c:pt>
                <c:pt idx="19">
                  <c:v>1918.5</c:v>
                </c:pt>
                <c:pt idx="20">
                  <c:v>1999.5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175</c:v>
                </c:pt>
                <c:pt idx="2">
                  <c:v>350</c:v>
                </c:pt>
                <c:pt idx="3">
                  <c:v>525</c:v>
                </c:pt>
                <c:pt idx="4">
                  <c:v>700</c:v>
                </c:pt>
                <c:pt idx="5">
                  <c:v>875</c:v>
                </c:pt>
                <c:pt idx="6">
                  <c:v>1050</c:v>
                </c:pt>
                <c:pt idx="7">
                  <c:v>1137.5</c:v>
                </c:pt>
                <c:pt idx="8">
                  <c:v>1225</c:v>
                </c:pt>
                <c:pt idx="9">
                  <c:v>1312.5</c:v>
                </c:pt>
                <c:pt idx="10">
                  <c:v>1400</c:v>
                </c:pt>
                <c:pt idx="11">
                  <c:v>1487.5</c:v>
                </c:pt>
                <c:pt idx="12">
                  <c:v>1575</c:v>
                </c:pt>
                <c:pt idx="13">
                  <c:v>1662.5</c:v>
                </c:pt>
                <c:pt idx="14">
                  <c:v>1750</c:v>
                </c:pt>
                <c:pt idx="15">
                  <c:v>1837.5</c:v>
                </c:pt>
                <c:pt idx="16">
                  <c:v>1925</c:v>
                </c:pt>
                <c:pt idx="17">
                  <c:v>2012.5</c:v>
                </c:pt>
                <c:pt idx="18">
                  <c:v>2100</c:v>
                </c:pt>
                <c:pt idx="19">
                  <c:v>2187.5</c:v>
                </c:pt>
                <c:pt idx="20">
                  <c:v>2275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148.80000000000001</c:v>
                </c:pt>
                <c:pt idx="4">
                  <c:v>196.8</c:v>
                </c:pt>
                <c:pt idx="5">
                  <c:v>244.8</c:v>
                </c:pt>
                <c:pt idx="6">
                  <c:v>292.79999999999995</c:v>
                </c:pt>
                <c:pt idx="7">
                  <c:v>340.79999999999995</c:v>
                </c:pt>
                <c:pt idx="8">
                  <c:v>388.8</c:v>
                </c:pt>
                <c:pt idx="9">
                  <c:v>436.8</c:v>
                </c:pt>
                <c:pt idx="10">
                  <c:v>484.8</c:v>
                </c:pt>
                <c:pt idx="11">
                  <c:v>532.80000000000007</c:v>
                </c:pt>
                <c:pt idx="12">
                  <c:v>600.79999999999995</c:v>
                </c:pt>
                <c:pt idx="13">
                  <c:v>698.8</c:v>
                </c:pt>
                <c:pt idx="14">
                  <c:v>796.8</c:v>
                </c:pt>
                <c:pt idx="15">
                  <c:v>894.8</c:v>
                </c:pt>
                <c:pt idx="16">
                  <c:v>992.80000000000018</c:v>
                </c:pt>
                <c:pt idx="17">
                  <c:v>1090.8</c:v>
                </c:pt>
                <c:pt idx="18">
                  <c:v>1188.8000000000002</c:v>
                </c:pt>
                <c:pt idx="19">
                  <c:v>1286.8</c:v>
                </c:pt>
                <c:pt idx="20">
                  <c:v>1384.8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258.82499999999999</c:v>
                </c:pt>
                <c:pt idx="4">
                  <c:v>340.20000000000005</c:v>
                </c:pt>
                <c:pt idx="5">
                  <c:v>421.57500000000005</c:v>
                </c:pt>
                <c:pt idx="6">
                  <c:v>502.95</c:v>
                </c:pt>
                <c:pt idx="7">
                  <c:v>584.32500000000005</c:v>
                </c:pt>
                <c:pt idx="8">
                  <c:v>665.7</c:v>
                </c:pt>
                <c:pt idx="9">
                  <c:v>747.07500000000005</c:v>
                </c:pt>
                <c:pt idx="10">
                  <c:v>828.45</c:v>
                </c:pt>
                <c:pt idx="11">
                  <c:v>909.82500000000005</c:v>
                </c:pt>
                <c:pt idx="12">
                  <c:v>1008.6999999999999</c:v>
                </c:pt>
                <c:pt idx="13">
                  <c:v>1177.575</c:v>
                </c:pt>
                <c:pt idx="14">
                  <c:v>1346.4499999999998</c:v>
                </c:pt>
                <c:pt idx="15">
                  <c:v>1515.325</c:v>
                </c:pt>
                <c:pt idx="16">
                  <c:v>1684.2000000000003</c:v>
                </c:pt>
                <c:pt idx="17">
                  <c:v>1853.075</c:v>
                </c:pt>
                <c:pt idx="18">
                  <c:v>2021.9500000000003</c:v>
                </c:pt>
                <c:pt idx="19">
                  <c:v>2190.8249999999998</c:v>
                </c:pt>
                <c:pt idx="20">
                  <c:v>2359.6999999999998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1617.5</c:v>
                </c:pt>
                <c:pt idx="14">
                  <c:v>1855</c:v>
                </c:pt>
                <c:pt idx="15">
                  <c:v>2092.5</c:v>
                </c:pt>
                <c:pt idx="16">
                  <c:v>2330</c:v>
                </c:pt>
                <c:pt idx="17">
                  <c:v>2567.5</c:v>
                </c:pt>
                <c:pt idx="18">
                  <c:v>2805</c:v>
                </c:pt>
                <c:pt idx="19">
                  <c:v>3042.5</c:v>
                </c:pt>
                <c:pt idx="20">
                  <c:v>3280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474.82499999999999</c:v>
                </c:pt>
                <c:pt idx="4">
                  <c:v>616.20000000000005</c:v>
                </c:pt>
                <c:pt idx="5">
                  <c:v>757.57500000000005</c:v>
                </c:pt>
                <c:pt idx="6">
                  <c:v>898.95</c:v>
                </c:pt>
                <c:pt idx="7">
                  <c:v>1040.3249999999998</c:v>
                </c:pt>
                <c:pt idx="8">
                  <c:v>1181.7</c:v>
                </c:pt>
                <c:pt idx="9">
                  <c:v>1323.075</c:v>
                </c:pt>
                <c:pt idx="10">
                  <c:v>1464.45</c:v>
                </c:pt>
                <c:pt idx="11">
                  <c:v>1605.825</c:v>
                </c:pt>
                <c:pt idx="12">
                  <c:v>1747.2</c:v>
                </c:pt>
                <c:pt idx="13">
                  <c:v>2018.5750000000003</c:v>
                </c:pt>
                <c:pt idx="14">
                  <c:v>2322.4499999999998</c:v>
                </c:pt>
                <c:pt idx="15">
                  <c:v>2626.3249999999998</c:v>
                </c:pt>
                <c:pt idx="16">
                  <c:v>2930.2</c:v>
                </c:pt>
                <c:pt idx="17">
                  <c:v>3234.0749999999998</c:v>
                </c:pt>
                <c:pt idx="18">
                  <c:v>3537.9500000000003</c:v>
                </c:pt>
                <c:pt idx="19">
                  <c:v>3841.8249999999998</c:v>
                </c:pt>
                <c:pt idx="20">
                  <c:v>4145.7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580.79999999999995</c:v>
                </c:pt>
                <c:pt idx="4">
                  <c:v>748.80000000000007</c:v>
                </c:pt>
                <c:pt idx="5">
                  <c:v>916.8</c:v>
                </c:pt>
                <c:pt idx="6">
                  <c:v>1084.8</c:v>
                </c:pt>
                <c:pt idx="7">
                  <c:v>1252.8</c:v>
                </c:pt>
                <c:pt idx="8">
                  <c:v>1420.8000000000002</c:v>
                </c:pt>
                <c:pt idx="9">
                  <c:v>1588.8</c:v>
                </c:pt>
                <c:pt idx="10">
                  <c:v>1756.8</c:v>
                </c:pt>
                <c:pt idx="11">
                  <c:v>1924.8000000000002</c:v>
                </c:pt>
                <c:pt idx="12">
                  <c:v>2092.8000000000002</c:v>
                </c:pt>
                <c:pt idx="13">
                  <c:v>2380.8000000000002</c:v>
                </c:pt>
                <c:pt idx="14">
                  <c:v>2748.8</c:v>
                </c:pt>
                <c:pt idx="15">
                  <c:v>3116.8</c:v>
                </c:pt>
                <c:pt idx="16">
                  <c:v>3484.8</c:v>
                </c:pt>
                <c:pt idx="17">
                  <c:v>3852.7999999999997</c:v>
                </c:pt>
                <c:pt idx="18">
                  <c:v>4220.8</c:v>
                </c:pt>
                <c:pt idx="19">
                  <c:v>4588.7999999999993</c:v>
                </c:pt>
                <c:pt idx="20">
                  <c:v>4956.8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-247.6</c:v>
                </c:pt>
                <c:pt idx="6">
                  <c:v>-291.59999999999997</c:v>
                </c:pt>
                <c:pt idx="7">
                  <c:v>-335.59999999999997</c:v>
                </c:pt>
                <c:pt idx="8">
                  <c:v>-379.6</c:v>
                </c:pt>
                <c:pt idx="9">
                  <c:v>-423.6</c:v>
                </c:pt>
                <c:pt idx="10">
                  <c:v>-467.6</c:v>
                </c:pt>
                <c:pt idx="11">
                  <c:v>-511.60000000000008</c:v>
                </c:pt>
                <c:pt idx="12">
                  <c:v>-555.6</c:v>
                </c:pt>
                <c:pt idx="13">
                  <c:v>-599.6</c:v>
                </c:pt>
                <c:pt idx="14">
                  <c:v>-643.59999999999991</c:v>
                </c:pt>
                <c:pt idx="15">
                  <c:v>-687.6</c:v>
                </c:pt>
                <c:pt idx="16">
                  <c:v>-731.60000000000014</c:v>
                </c:pt>
                <c:pt idx="17">
                  <c:v>-775.6</c:v>
                </c:pt>
                <c:pt idx="18">
                  <c:v>-819.6</c:v>
                </c:pt>
                <c:pt idx="19">
                  <c:v>-863.6</c:v>
                </c:pt>
                <c:pt idx="20">
                  <c:v>-907.6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-439.2</c:v>
                </c:pt>
                <c:pt idx="7">
                  <c:v>-502.2</c:v>
                </c:pt>
                <c:pt idx="8">
                  <c:v>-565.20000000000005</c:v>
                </c:pt>
                <c:pt idx="9">
                  <c:v>-628.20000000000005</c:v>
                </c:pt>
                <c:pt idx="10">
                  <c:v>-691.2</c:v>
                </c:pt>
                <c:pt idx="11">
                  <c:v>-754.2</c:v>
                </c:pt>
                <c:pt idx="12">
                  <c:v>-817.2</c:v>
                </c:pt>
                <c:pt idx="13">
                  <c:v>-880.2</c:v>
                </c:pt>
                <c:pt idx="14">
                  <c:v>-943.2</c:v>
                </c:pt>
                <c:pt idx="15">
                  <c:v>-1006.2000000000002</c:v>
                </c:pt>
                <c:pt idx="16">
                  <c:v>-1069.2000000000003</c:v>
                </c:pt>
                <c:pt idx="17">
                  <c:v>-1132.2</c:v>
                </c:pt>
                <c:pt idx="18">
                  <c:v>-1195.2000000000003</c:v>
                </c:pt>
                <c:pt idx="19">
                  <c:v>-1258.2</c:v>
                </c:pt>
                <c:pt idx="20">
                  <c:v>-1321.2000000000003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-848</c:v>
                </c:pt>
                <c:pt idx="8">
                  <c:v>-943</c:v>
                </c:pt>
                <c:pt idx="9">
                  <c:v>-1038</c:v>
                </c:pt>
                <c:pt idx="10">
                  <c:v>-1133</c:v>
                </c:pt>
                <c:pt idx="11">
                  <c:v>-1228</c:v>
                </c:pt>
                <c:pt idx="12">
                  <c:v>-1323</c:v>
                </c:pt>
                <c:pt idx="13">
                  <c:v>-1418</c:v>
                </c:pt>
                <c:pt idx="14">
                  <c:v>-1513</c:v>
                </c:pt>
                <c:pt idx="15">
                  <c:v>-1608</c:v>
                </c:pt>
                <c:pt idx="16">
                  <c:v>-1703</c:v>
                </c:pt>
                <c:pt idx="17">
                  <c:v>-1798</c:v>
                </c:pt>
                <c:pt idx="18">
                  <c:v>-1893</c:v>
                </c:pt>
                <c:pt idx="19">
                  <c:v>-1988</c:v>
                </c:pt>
                <c:pt idx="20">
                  <c:v>-2083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-1033.1999999999998</c:v>
                </c:pt>
                <c:pt idx="8">
                  <c:v>-1141.2</c:v>
                </c:pt>
                <c:pt idx="9">
                  <c:v>-1249.2</c:v>
                </c:pt>
                <c:pt idx="10">
                  <c:v>-1357.2</c:v>
                </c:pt>
                <c:pt idx="11">
                  <c:v>-1465.2</c:v>
                </c:pt>
                <c:pt idx="12">
                  <c:v>-1573.1999999999998</c:v>
                </c:pt>
                <c:pt idx="13">
                  <c:v>-1681.2</c:v>
                </c:pt>
                <c:pt idx="14">
                  <c:v>-1789.1999999999998</c:v>
                </c:pt>
                <c:pt idx="15">
                  <c:v>-1897.1999999999998</c:v>
                </c:pt>
                <c:pt idx="16">
                  <c:v>-2005.2</c:v>
                </c:pt>
                <c:pt idx="17">
                  <c:v>-2113.1999999999998</c:v>
                </c:pt>
                <c:pt idx="18">
                  <c:v>-2221.1999999999998</c:v>
                </c:pt>
                <c:pt idx="19">
                  <c:v>-2329.1999999999998</c:v>
                </c:pt>
                <c:pt idx="20">
                  <c:v>-2437.1999999999998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44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45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3" t="s">
        <v>48</v>
      </c>
      <c r="G6" s="23"/>
      <c r="H6" s="23"/>
      <c r="I6" s="23"/>
      <c r="J6" s="23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0" t="s">
        <v>49</v>
      </c>
      <c r="G8" s="20"/>
      <c r="H8" s="20"/>
      <c r="I8" s="24">
        <f>IF(C18="OK",Samples!F165*MIN(C10,Samples!G165)+Samples!I165*MAX(0,C10-Samples!G165)+Samples!J165*MAX(0,C10-Samples!K165),"检查输入")</f>
        <v>1380</v>
      </c>
      <c r="J8" s="24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0.6</v>
      </c>
      <c r="D10" s="1"/>
      <c r="E10" s="1"/>
      <c r="F10" s="20" t="s">
        <v>52</v>
      </c>
      <c r="G10" s="20"/>
      <c r="H10" s="20"/>
      <c r="I10" s="24">
        <f>IF(C18="OK",Samples!M165*MIN(C10,Samples!N165)+Samples!P165*MAX(0,C10-Samples!N165),"检查输入")</f>
        <v>1072</v>
      </c>
      <c r="J10" s="24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3" t="s">
        <v>54</v>
      </c>
      <c r="G13" s="23"/>
      <c r="H13" s="23"/>
      <c r="I13" s="23"/>
      <c r="J13" s="23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0" t="s">
        <v>21</v>
      </c>
      <c r="G14" s="20"/>
      <c r="H14" s="20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0" t="s">
        <v>57</v>
      </c>
      <c r="G15" s="20"/>
      <c r="H15" s="20"/>
      <c r="I15" s="18">
        <f>Samples!I165</f>
        <v>2250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26</v>
      </c>
      <c r="G16" s="20"/>
      <c r="H16" s="20"/>
      <c r="I16" s="18">
        <f>Samples!J165</f>
        <v>2500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58</v>
      </c>
      <c r="G17" s="20"/>
      <c r="H17" s="20"/>
      <c r="I17" s="18">
        <f>Samples!L165</f>
        <v>4750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28</v>
      </c>
      <c r="G19" s="20"/>
      <c r="H19" s="20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60</v>
      </c>
      <c r="G20" s="20"/>
      <c r="H20" s="20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81</v>
      </c>
      <c r="G22" s="20"/>
      <c r="H22" s="20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82</v>
      </c>
      <c r="G23" s="20"/>
      <c r="H23" s="20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29</v>
      </c>
      <c r="G24" s="20"/>
      <c r="H24" s="20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2" t="s">
        <v>61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91" zoomScaleNormal="109" workbookViewId="0">
      <pane ySplit="4" topLeftCell="A8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0" t="s">
        <v>5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72" zoomScaleNormal="79" workbookViewId="0">
      <pane ySplit="4" topLeftCell="A8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0" t="s">
        <v>8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15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10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8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12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workbookViewId="0">
      <pane ySplit="4" topLeftCell="A5" activePane="bottomLeft" state="frozen"/>
      <selection pane="bottomLeft" activeCell="H14" sqref="H14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14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3" t="s">
        <v>2</v>
      </c>
      <c r="E5" s="23"/>
      <c r="F5" s="23"/>
      <c r="G5" s="23"/>
      <c r="H5" s="23"/>
      <c r="I5" s="1"/>
      <c r="J5" s="23" t="s">
        <v>15</v>
      </c>
      <c r="K5" s="23"/>
      <c r="L5" s="23"/>
      <c r="M5" s="23"/>
      <c r="N5" s="23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81</v>
      </c>
      <c r="C11" s="1" t="s">
        <v>23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0.96</v>
      </c>
      <c r="E12" s="5">
        <f>(D12+F12)/2</f>
        <v>0.92999999999999994</v>
      </c>
      <c r="F12" s="4">
        <v>0.9</v>
      </c>
      <c r="G12" s="5">
        <f>(F12+H12)/2</f>
        <v>0.87</v>
      </c>
      <c r="H12" s="4">
        <v>0.84</v>
      </c>
      <c r="I12" s="1"/>
      <c r="J12" s="4">
        <v>0.56000000000000005</v>
      </c>
      <c r="K12" s="5">
        <f>(J12+L12)/2</f>
        <v>0.54</v>
      </c>
      <c r="L12" s="4">
        <v>0.52</v>
      </c>
      <c r="M12" s="5">
        <f>(L12+N12)/2</f>
        <v>0.5</v>
      </c>
      <c r="N12" s="4">
        <v>0.48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1000</v>
      </c>
      <c r="E13" s="6">
        <f>(D13+F13)/2</f>
        <v>1750</v>
      </c>
      <c r="F13" s="3">
        <v>2500</v>
      </c>
      <c r="G13" s="6">
        <f>(F13+H13)/2</f>
        <v>3250</v>
      </c>
      <c r="H13" s="3">
        <v>4000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82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0.88</v>
      </c>
      <c r="E19" s="5">
        <f>(D19+F19)/2</f>
        <v>0.84000000000000008</v>
      </c>
      <c r="F19" s="4">
        <v>0.8</v>
      </c>
      <c r="G19" s="5">
        <f>(F19+H19)/2</f>
        <v>0.76</v>
      </c>
      <c r="H19" s="4">
        <v>0.72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3" t="s">
        <v>31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1"/>
    </row>
    <row r="23" spans="1:15" ht="23" customHeight="1">
      <c r="A23" s="1"/>
      <c r="B23" s="20" t="s">
        <v>32</v>
      </c>
      <c r="C23" s="20"/>
      <c r="D23" s="1">
        <v>24</v>
      </c>
      <c r="E23" s="1"/>
      <c r="F23" s="25" t="s">
        <v>33</v>
      </c>
      <c r="G23" s="25"/>
      <c r="H23" s="25"/>
      <c r="I23" s="25"/>
      <c r="J23" s="25"/>
      <c r="K23" s="25"/>
      <c r="L23" s="25"/>
      <c r="M23" s="25"/>
      <c r="N23" s="25"/>
      <c r="O23" s="1"/>
    </row>
    <row r="24" spans="1:15" ht="23" customHeight="1">
      <c r="A24" s="1"/>
      <c r="B24" s="20" t="s">
        <v>34</v>
      </c>
      <c r="C24" s="20"/>
      <c r="D24" s="1">
        <v>20</v>
      </c>
      <c r="E24" s="1"/>
      <c r="F24" s="25"/>
      <c r="G24" s="25"/>
      <c r="H24" s="25"/>
      <c r="I24" s="25"/>
      <c r="J24" s="25"/>
      <c r="K24" s="25"/>
      <c r="L24" s="25"/>
      <c r="M24" s="25"/>
      <c r="N24" s="25"/>
      <c r="O24" s="1"/>
    </row>
    <row r="25" spans="1:15" ht="23" customHeight="1">
      <c r="A25" s="1"/>
      <c r="B25" s="20" t="s">
        <v>35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36</v>
      </c>
      <c r="C26" s="20"/>
      <c r="D26" s="1">
        <v>60</v>
      </c>
      <c r="E26" s="1"/>
      <c r="F26" s="20" t="s">
        <v>37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3" t="s">
        <v>38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1"/>
    </row>
    <row r="29" spans="1:15" ht="23" customHeight="1">
      <c r="A29" s="1"/>
      <c r="B29" s="26" t="s">
        <v>39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1"/>
    </row>
    <row r="30" spans="1:15" ht="31" customHeight="1">
      <c r="A30" s="1"/>
      <c r="B30" s="27" t="s">
        <v>83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1"/>
    </row>
    <row r="31" spans="1:15" ht="23" customHeight="1">
      <c r="A31" s="1"/>
      <c r="B31" s="26" t="s">
        <v>40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1"/>
    </row>
    <row r="32" spans="1:15" ht="23" customHeight="1">
      <c r="A32" s="1"/>
      <c r="B32" s="26" t="s">
        <v>41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1"/>
    </row>
    <row r="33" spans="1:15" ht="23" customHeight="1">
      <c r="A33" s="1"/>
      <c r="B33" s="26" t="s">
        <v>42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1"/>
    </row>
    <row r="34" spans="1:15" ht="23" customHeight="1">
      <c r="A34" s="1"/>
      <c r="B34" s="26" t="s">
        <v>84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1"/>
    </row>
    <row r="35" spans="1:15" ht="23" customHeight="1">
      <c r="A35" s="1"/>
      <c r="B35" s="26" t="s">
        <v>43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81</v>
      </c>
      <c r="H4" s="12" t="s">
        <v>67</v>
      </c>
      <c r="I4" s="12" t="s">
        <v>57</v>
      </c>
      <c r="J4" s="12" t="s">
        <v>68</v>
      </c>
      <c r="K4" s="12" t="s">
        <v>82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1000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0.96</v>
      </c>
      <c r="I5" s="7">
        <f>F5*H5</f>
        <v>960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3460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1000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0.88</v>
      </c>
      <c r="P5" s="8">
        <f>M5*O5</f>
        <v>880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1750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0.92999999999999994</v>
      </c>
      <c r="I6" s="7">
        <f>F6*H6</f>
        <v>1627.5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4127.5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0.84000000000000008</v>
      </c>
      <c r="P6" s="8">
        <f>M6*O6</f>
        <v>1260.0000000000002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2500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</v>
      </c>
      <c r="I7" s="7">
        <f>F7*H7</f>
        <v>2250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4750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</v>
      </c>
      <c r="P7" s="8">
        <f>M7*O7</f>
        <v>1600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3250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0.87</v>
      </c>
      <c r="I8" s="7">
        <f>F8*H8</f>
        <v>2827.5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5327.5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2500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0.76</v>
      </c>
      <c r="P8" s="8">
        <f>M8*O8</f>
        <v>1900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4000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0.84</v>
      </c>
      <c r="I9" s="7">
        <f>F9*H9</f>
        <v>3360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5860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3000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0.72</v>
      </c>
      <c r="P9" s="8">
        <f>M9*O9</f>
        <v>2160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50</v>
      </c>
      <c r="D15" s="14">
        <f t="shared" si="1"/>
        <v>87.5</v>
      </c>
      <c r="E15" s="14">
        <f t="shared" si="2"/>
        <v>125</v>
      </c>
      <c r="F15" s="14">
        <f t="shared" si="3"/>
        <v>162.5</v>
      </c>
      <c r="G15" s="14">
        <f t="shared" si="4"/>
        <v>200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100</v>
      </c>
      <c r="D16" s="14">
        <f t="shared" si="1"/>
        <v>175</v>
      </c>
      <c r="E16" s="14">
        <f t="shared" si="2"/>
        <v>250</v>
      </c>
      <c r="F16" s="14">
        <f t="shared" si="3"/>
        <v>325</v>
      </c>
      <c r="G16" s="14">
        <f t="shared" si="4"/>
        <v>400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148.80000000000001</v>
      </c>
      <c r="D17" s="14">
        <f t="shared" si="1"/>
        <v>258.82499999999999</v>
      </c>
      <c r="E17" s="14">
        <f t="shared" si="2"/>
        <v>367.5</v>
      </c>
      <c r="F17" s="14">
        <f t="shared" si="3"/>
        <v>474.82499999999999</v>
      </c>
      <c r="G17" s="14">
        <f t="shared" si="4"/>
        <v>580.79999999999995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196.8</v>
      </c>
      <c r="D18" s="14">
        <f t="shared" si="1"/>
        <v>340.20000000000005</v>
      </c>
      <c r="E18" s="14">
        <f t="shared" si="2"/>
        <v>480</v>
      </c>
      <c r="F18" s="14">
        <f t="shared" si="3"/>
        <v>616.20000000000005</v>
      </c>
      <c r="G18" s="14">
        <f t="shared" si="4"/>
        <v>748.80000000000007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244.8</v>
      </c>
      <c r="D19" s="14">
        <f t="shared" si="1"/>
        <v>421.57500000000005</v>
      </c>
      <c r="E19" s="14">
        <f t="shared" si="2"/>
        <v>592.5</v>
      </c>
      <c r="F19" s="14">
        <f t="shared" si="3"/>
        <v>757.57500000000005</v>
      </c>
      <c r="G19" s="14">
        <f t="shared" si="4"/>
        <v>916.8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292.79999999999995</v>
      </c>
      <c r="D20" s="14">
        <f t="shared" si="1"/>
        <v>502.95</v>
      </c>
      <c r="E20" s="14">
        <f t="shared" si="2"/>
        <v>705</v>
      </c>
      <c r="F20" s="14">
        <f t="shared" si="3"/>
        <v>898.95</v>
      </c>
      <c r="G20" s="14">
        <f t="shared" si="4"/>
        <v>1084.8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340.79999999999995</v>
      </c>
      <c r="D21" s="14">
        <f t="shared" si="1"/>
        <v>584.32500000000005</v>
      </c>
      <c r="E21" s="14">
        <f t="shared" si="2"/>
        <v>817.5</v>
      </c>
      <c r="F21" s="14">
        <f t="shared" si="3"/>
        <v>1040.3249999999998</v>
      </c>
      <c r="G21" s="14">
        <f t="shared" si="4"/>
        <v>1252.8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388.8</v>
      </c>
      <c r="D22" s="14">
        <f t="shared" si="1"/>
        <v>665.7</v>
      </c>
      <c r="E22" s="14">
        <f t="shared" si="2"/>
        <v>930.00000000000011</v>
      </c>
      <c r="F22" s="14">
        <f t="shared" si="3"/>
        <v>1181.7</v>
      </c>
      <c r="G22" s="14">
        <f t="shared" si="4"/>
        <v>1420.8000000000002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436.8</v>
      </c>
      <c r="D23" s="14">
        <f t="shared" si="1"/>
        <v>747.07500000000005</v>
      </c>
      <c r="E23" s="14">
        <f t="shared" si="2"/>
        <v>1042.5</v>
      </c>
      <c r="F23" s="14">
        <f t="shared" si="3"/>
        <v>1323.075</v>
      </c>
      <c r="G23" s="14">
        <f t="shared" si="4"/>
        <v>1588.8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484.8</v>
      </c>
      <c r="D24" s="14">
        <f t="shared" si="1"/>
        <v>828.45</v>
      </c>
      <c r="E24" s="14">
        <f t="shared" si="2"/>
        <v>1155</v>
      </c>
      <c r="F24" s="14">
        <f t="shared" si="3"/>
        <v>1464.45</v>
      </c>
      <c r="G24" s="14">
        <f t="shared" si="4"/>
        <v>1756.8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532.80000000000007</v>
      </c>
      <c r="D25" s="14">
        <f t="shared" si="1"/>
        <v>909.82500000000005</v>
      </c>
      <c r="E25" s="14">
        <f t="shared" si="2"/>
        <v>1267.5</v>
      </c>
      <c r="F25" s="14">
        <f t="shared" si="3"/>
        <v>1605.825</v>
      </c>
      <c r="G25" s="14">
        <f t="shared" si="4"/>
        <v>1924.8000000000002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580.79999999999995</v>
      </c>
      <c r="D26" s="14">
        <f t="shared" si="1"/>
        <v>991.19999999999993</v>
      </c>
      <c r="E26" s="14">
        <f t="shared" si="2"/>
        <v>1380</v>
      </c>
      <c r="F26" s="14">
        <f t="shared" si="3"/>
        <v>1747.2</v>
      </c>
      <c r="G26" s="14">
        <f t="shared" si="4"/>
        <v>2092.8000000000002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753.80000000000007</v>
      </c>
      <c r="D27" s="14">
        <f t="shared" si="1"/>
        <v>1197.5750000000003</v>
      </c>
      <c r="E27" s="14">
        <f t="shared" si="2"/>
        <v>1617.5</v>
      </c>
      <c r="F27" s="14">
        <f t="shared" si="3"/>
        <v>2013.5750000000003</v>
      </c>
      <c r="G27" s="14">
        <f t="shared" si="4"/>
        <v>2385.8000000000002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926.8</v>
      </c>
      <c r="D28" s="14">
        <f t="shared" si="1"/>
        <v>1403.9499999999998</v>
      </c>
      <c r="E28" s="14">
        <f t="shared" si="2"/>
        <v>1855</v>
      </c>
      <c r="F28" s="14">
        <f t="shared" si="3"/>
        <v>2279.9499999999998</v>
      </c>
      <c r="G28" s="14">
        <f t="shared" si="4"/>
        <v>2678.8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1099.8</v>
      </c>
      <c r="D29" s="14">
        <f t="shared" si="1"/>
        <v>1610.325</v>
      </c>
      <c r="E29" s="14">
        <f t="shared" si="2"/>
        <v>2092.5</v>
      </c>
      <c r="F29" s="14">
        <f t="shared" si="3"/>
        <v>2546.3249999999998</v>
      </c>
      <c r="G29" s="14">
        <f t="shared" si="4"/>
        <v>2971.8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1272.8000000000002</v>
      </c>
      <c r="D30" s="14">
        <f t="shared" si="1"/>
        <v>1816.7000000000003</v>
      </c>
      <c r="E30" s="14">
        <f t="shared" si="2"/>
        <v>2330</v>
      </c>
      <c r="F30" s="14">
        <f t="shared" si="3"/>
        <v>2812.7</v>
      </c>
      <c r="G30" s="14">
        <f t="shared" si="4"/>
        <v>3264.8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1445.8</v>
      </c>
      <c r="D31" s="14">
        <f t="shared" si="1"/>
        <v>2023.075</v>
      </c>
      <c r="E31" s="14">
        <f t="shared" si="2"/>
        <v>2567.5</v>
      </c>
      <c r="F31" s="14">
        <f t="shared" si="3"/>
        <v>3079.0749999999998</v>
      </c>
      <c r="G31" s="14">
        <f t="shared" si="4"/>
        <v>3557.7999999999997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1618.8000000000002</v>
      </c>
      <c r="D32" s="14">
        <f t="shared" si="1"/>
        <v>2229.4500000000003</v>
      </c>
      <c r="E32" s="14">
        <f t="shared" si="2"/>
        <v>2805</v>
      </c>
      <c r="F32" s="14">
        <f t="shared" si="3"/>
        <v>3345.4500000000003</v>
      </c>
      <c r="G32" s="14">
        <f t="shared" si="4"/>
        <v>3850.8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1791.8</v>
      </c>
      <c r="D33" s="14">
        <f t="shared" si="1"/>
        <v>2435.8249999999998</v>
      </c>
      <c r="E33" s="14">
        <f t="shared" si="2"/>
        <v>3042.5</v>
      </c>
      <c r="F33" s="14">
        <f t="shared" si="3"/>
        <v>3611.8249999999998</v>
      </c>
      <c r="G33" s="14">
        <f t="shared" si="4"/>
        <v>4143.7999999999993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1964.8</v>
      </c>
      <c r="D34" s="14">
        <f t="shared" si="1"/>
        <v>2642.2</v>
      </c>
      <c r="E34" s="14">
        <f t="shared" si="2"/>
        <v>3280</v>
      </c>
      <c r="F34" s="14">
        <f t="shared" si="3"/>
        <v>3878.2</v>
      </c>
      <c r="G34" s="14">
        <f t="shared" si="4"/>
        <v>4436.8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81</v>
      </c>
      <c r="H44" s="13" t="s">
        <v>67</v>
      </c>
      <c r="I44" s="13" t="s">
        <v>57</v>
      </c>
      <c r="J44" s="13" t="s">
        <v>68</v>
      </c>
      <c r="K44" s="13" t="s">
        <v>82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</v>
      </c>
      <c r="I45" s="8">
        <f>F45*H45</f>
        <v>2250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3250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0.88</v>
      </c>
      <c r="P45" s="8">
        <f>M45*O45</f>
        <v>880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</v>
      </c>
      <c r="I46" s="8">
        <f>F46*H46</f>
        <v>2250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1750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4000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0.84000000000000008</v>
      </c>
      <c r="P46" s="8">
        <f>M46*O46</f>
        <v>1260.0000000000002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</v>
      </c>
      <c r="I47" s="8">
        <f>F47*H47</f>
        <v>2250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4750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</v>
      </c>
      <c r="P47" s="8">
        <f>M47*O47</f>
        <v>1600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</v>
      </c>
      <c r="I48" s="8">
        <f>F48*H48</f>
        <v>2250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3250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5500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0.76</v>
      </c>
      <c r="P48" s="8">
        <f>M48*O48</f>
        <v>1900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</v>
      </c>
      <c r="I49" s="8">
        <f>F49*H49</f>
        <v>2250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4000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6250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0.72</v>
      </c>
      <c r="P49" s="8">
        <f>M49*O49</f>
        <v>2160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367.5</v>
      </c>
      <c r="D57" s="15">
        <f t="shared" si="6"/>
        <v>367.5</v>
      </c>
      <c r="E57" s="15">
        <f t="shared" si="7"/>
        <v>367.5</v>
      </c>
      <c r="F57" s="15">
        <f t="shared" si="8"/>
        <v>367.5</v>
      </c>
      <c r="G57" s="15">
        <f t="shared" si="9"/>
        <v>367.5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480</v>
      </c>
      <c r="D58" s="15">
        <f t="shared" si="6"/>
        <v>480</v>
      </c>
      <c r="E58" s="15">
        <f t="shared" si="7"/>
        <v>480</v>
      </c>
      <c r="F58" s="15">
        <f t="shared" si="8"/>
        <v>480</v>
      </c>
      <c r="G58" s="15">
        <f t="shared" si="9"/>
        <v>480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592.5</v>
      </c>
      <c r="D59" s="15">
        <f t="shared" si="6"/>
        <v>592.5</v>
      </c>
      <c r="E59" s="15">
        <f t="shared" si="7"/>
        <v>592.5</v>
      </c>
      <c r="F59" s="15">
        <f t="shared" si="8"/>
        <v>592.5</v>
      </c>
      <c r="G59" s="15">
        <f t="shared" si="9"/>
        <v>592.5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705</v>
      </c>
      <c r="D60" s="15">
        <f t="shared" si="6"/>
        <v>705</v>
      </c>
      <c r="E60" s="15">
        <f t="shared" si="7"/>
        <v>705</v>
      </c>
      <c r="F60" s="15">
        <f t="shared" si="8"/>
        <v>705</v>
      </c>
      <c r="G60" s="15">
        <f t="shared" si="9"/>
        <v>705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817.5</v>
      </c>
      <c r="D61" s="15">
        <f t="shared" si="6"/>
        <v>817.5</v>
      </c>
      <c r="E61" s="15">
        <f t="shared" si="7"/>
        <v>817.5</v>
      </c>
      <c r="F61" s="15">
        <f t="shared" si="8"/>
        <v>817.5</v>
      </c>
      <c r="G61" s="15">
        <f t="shared" si="9"/>
        <v>817.5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930.00000000000011</v>
      </c>
      <c r="D62" s="15">
        <f t="shared" si="6"/>
        <v>930.00000000000011</v>
      </c>
      <c r="E62" s="15">
        <f t="shared" si="7"/>
        <v>930.00000000000011</v>
      </c>
      <c r="F62" s="15">
        <f t="shared" si="8"/>
        <v>930.00000000000011</v>
      </c>
      <c r="G62" s="15">
        <f t="shared" si="9"/>
        <v>930.00000000000011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1042.5</v>
      </c>
      <c r="D63" s="15">
        <f t="shared" si="6"/>
        <v>1042.5</v>
      </c>
      <c r="E63" s="15">
        <f t="shared" si="7"/>
        <v>1042.5</v>
      </c>
      <c r="F63" s="15">
        <f t="shared" si="8"/>
        <v>1042.5</v>
      </c>
      <c r="G63" s="15">
        <f t="shared" si="9"/>
        <v>1042.5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1155</v>
      </c>
      <c r="D64" s="15">
        <f t="shared" si="6"/>
        <v>1155</v>
      </c>
      <c r="E64" s="15">
        <f t="shared" si="7"/>
        <v>1155</v>
      </c>
      <c r="F64" s="15">
        <f t="shared" si="8"/>
        <v>1155</v>
      </c>
      <c r="G64" s="15">
        <f t="shared" si="9"/>
        <v>1155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1267.5</v>
      </c>
      <c r="D65" s="15">
        <f t="shared" si="6"/>
        <v>1267.5</v>
      </c>
      <c r="E65" s="15">
        <f t="shared" si="7"/>
        <v>1267.5</v>
      </c>
      <c r="F65" s="15">
        <f t="shared" si="8"/>
        <v>1267.5</v>
      </c>
      <c r="G65" s="15">
        <f t="shared" si="9"/>
        <v>1267.5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1400</v>
      </c>
      <c r="D66" s="15">
        <f t="shared" si="6"/>
        <v>1397.5</v>
      </c>
      <c r="E66" s="15">
        <f t="shared" si="7"/>
        <v>1380</v>
      </c>
      <c r="F66" s="15">
        <f t="shared" si="8"/>
        <v>1380</v>
      </c>
      <c r="G66" s="15">
        <f t="shared" si="9"/>
        <v>1380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1562.5</v>
      </c>
      <c r="D67" s="15">
        <f t="shared" si="6"/>
        <v>1597.5</v>
      </c>
      <c r="E67" s="15">
        <f t="shared" si="7"/>
        <v>1617.5</v>
      </c>
      <c r="F67" s="15">
        <f t="shared" si="8"/>
        <v>1622.5</v>
      </c>
      <c r="G67" s="15">
        <f t="shared" si="9"/>
        <v>1612.5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1725</v>
      </c>
      <c r="D68" s="15">
        <f t="shared" si="6"/>
        <v>1797.5</v>
      </c>
      <c r="E68" s="15">
        <f t="shared" si="7"/>
        <v>1855</v>
      </c>
      <c r="F68" s="15">
        <f t="shared" si="8"/>
        <v>1897.5</v>
      </c>
      <c r="G68" s="15">
        <f t="shared" si="9"/>
        <v>1924.9999999999998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1887.5</v>
      </c>
      <c r="D69" s="15">
        <f t="shared" si="6"/>
        <v>1997.5</v>
      </c>
      <c r="E69" s="15">
        <f t="shared" si="7"/>
        <v>2092.5</v>
      </c>
      <c r="F69" s="15">
        <f t="shared" si="8"/>
        <v>2172.5</v>
      </c>
      <c r="G69" s="15">
        <f t="shared" si="9"/>
        <v>2237.5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2050</v>
      </c>
      <c r="D70" s="15">
        <f t="shared" si="6"/>
        <v>2197.5</v>
      </c>
      <c r="E70" s="15">
        <f t="shared" si="7"/>
        <v>2330</v>
      </c>
      <c r="F70" s="15">
        <f t="shared" si="8"/>
        <v>2447.5</v>
      </c>
      <c r="G70" s="15">
        <f t="shared" si="9"/>
        <v>2550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2212.5</v>
      </c>
      <c r="D71" s="15">
        <f t="shared" si="6"/>
        <v>2397.5</v>
      </c>
      <c r="E71" s="15">
        <f t="shared" si="7"/>
        <v>2567.5</v>
      </c>
      <c r="F71" s="15">
        <f t="shared" si="8"/>
        <v>2722.5</v>
      </c>
      <c r="G71" s="15">
        <f t="shared" si="9"/>
        <v>2862.5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2375</v>
      </c>
      <c r="D72" s="15">
        <f t="shared" si="6"/>
        <v>2597.5</v>
      </c>
      <c r="E72" s="15">
        <f t="shared" si="7"/>
        <v>2805</v>
      </c>
      <c r="F72" s="15">
        <f t="shared" si="8"/>
        <v>2997.5</v>
      </c>
      <c r="G72" s="15">
        <f t="shared" si="9"/>
        <v>3175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2537.5</v>
      </c>
      <c r="D73" s="15">
        <f t="shared" si="6"/>
        <v>2797.5</v>
      </c>
      <c r="E73" s="15">
        <f t="shared" si="7"/>
        <v>3042.5</v>
      </c>
      <c r="F73" s="15">
        <f t="shared" si="8"/>
        <v>3272.5</v>
      </c>
      <c r="G73" s="15">
        <f t="shared" si="9"/>
        <v>3487.5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2700</v>
      </c>
      <c r="D74" s="15">
        <f t="shared" si="6"/>
        <v>2997.5</v>
      </c>
      <c r="E74" s="15">
        <f t="shared" si="7"/>
        <v>3280</v>
      </c>
      <c r="F74" s="15">
        <f t="shared" si="8"/>
        <v>3547.5</v>
      </c>
      <c r="G74" s="15">
        <f t="shared" si="9"/>
        <v>3800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81</v>
      </c>
      <c r="H84" s="13" t="s">
        <v>67</v>
      </c>
      <c r="I84" s="13" t="s">
        <v>57</v>
      </c>
      <c r="J84" s="13" t="s">
        <v>68</v>
      </c>
      <c r="K84" s="13" t="s">
        <v>82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0.25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0.56000000000000005</v>
      </c>
      <c r="I85" s="8">
        <f>F85*H85</f>
        <v>1008.0000000000001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8">
        <f>IF('LSR Sweep'!$C$4="Type-B",Parameters!$L$14,INDEX(Parameters!$D$14:$H$14,1,R85)+(INDEX(Parameters!$D$14:$H$14,1,R85+1)-INDEX(Parameters!$D$14:$H$14,1,R85))*U85)</f>
        <v>0.6</v>
      </c>
      <c r="L85" s="8">
        <f>I85+J85</f>
        <v>1508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1500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0.66</v>
      </c>
      <c r="P85" s="8">
        <f>M85*O85</f>
        <v>990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0.3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0.54</v>
      </c>
      <c r="I86" s="8">
        <f>F86*H86</f>
        <v>1296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500</v>
      </c>
      <c r="K86" s="8">
        <f>IF('LSR Sweep'!$C$4="Type-B",Parameters!$L$14,INDEX(Parameters!$D$14:$H$14,1,R86)+(INDEX(Parameters!$D$14:$H$14,1,R86+1)-INDEX(Parameters!$D$14:$H$14,1,R86))*U86)</f>
        <v>0.6</v>
      </c>
      <c r="L86" s="8">
        <f>I86+J86</f>
        <v>1796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2000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0.22500000000000001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0.62</v>
      </c>
      <c r="P86" s="8">
        <f>M86*O86</f>
        <v>1240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0.35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0.52</v>
      </c>
      <c r="I87" s="8">
        <f>F87*H87</f>
        <v>1560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500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2060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2500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0.57999999999999996</v>
      </c>
      <c r="P87" s="8">
        <f>M87*O87</f>
        <v>1450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0.4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0.5</v>
      </c>
      <c r="I88" s="8">
        <f>F88*H88</f>
        <v>1800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500</v>
      </c>
      <c r="K88" s="8">
        <f>IF('LSR Sweep'!$C$4="Type-B",Parameters!$L$14,INDEX(Parameters!$D$14:$H$14,1,R88)+(INDEX(Parameters!$D$14:$H$14,1,R88+1)-INDEX(Parameters!$D$14:$H$14,1,R88))*U88)</f>
        <v>0.6</v>
      </c>
      <c r="L88" s="8">
        <f>I88+J88</f>
        <v>2300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3000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0.27500000000000002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0.54</v>
      </c>
      <c r="P88" s="8">
        <f>M88*O88</f>
        <v>1620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0.45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0.48</v>
      </c>
      <c r="I89" s="8">
        <f>F89*H89</f>
        <v>2016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500</v>
      </c>
      <c r="K89" s="8">
        <f>IF('LSR Sweep'!$C$4="Type-B",Parameters!$L$14,INDEX(Parameters!$D$14:$H$14,1,R89)+(INDEX(Parameters!$D$14:$H$14,1,R89+1)-INDEX(Parameters!$D$14:$H$14,1,R89))*U89)</f>
        <v>0.6</v>
      </c>
      <c r="L89" s="8">
        <f>I89+J89</f>
        <v>2516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3500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0.5</v>
      </c>
      <c r="P89" s="8">
        <f>M89*O89</f>
        <v>1750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75</v>
      </c>
      <c r="D95" s="15">
        <f t="shared" si="11"/>
        <v>100</v>
      </c>
      <c r="E95" s="15">
        <f t="shared" si="12"/>
        <v>125</v>
      </c>
      <c r="F95" s="15">
        <f t="shared" si="13"/>
        <v>150</v>
      </c>
      <c r="G95" s="15">
        <f t="shared" si="14"/>
        <v>175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150</v>
      </c>
      <c r="D96" s="15">
        <f t="shared" si="11"/>
        <v>200</v>
      </c>
      <c r="E96" s="15">
        <f t="shared" si="12"/>
        <v>250</v>
      </c>
      <c r="F96" s="15">
        <f t="shared" si="13"/>
        <v>300</v>
      </c>
      <c r="G96" s="15">
        <f t="shared" si="14"/>
        <v>350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225</v>
      </c>
      <c r="D97" s="15">
        <f t="shared" si="11"/>
        <v>300</v>
      </c>
      <c r="E97" s="15">
        <f t="shared" si="12"/>
        <v>375</v>
      </c>
      <c r="F97" s="15">
        <f t="shared" si="13"/>
        <v>450</v>
      </c>
      <c r="G97" s="15">
        <f t="shared" si="14"/>
        <v>525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300</v>
      </c>
      <c r="D98" s="15">
        <f t="shared" si="11"/>
        <v>400</v>
      </c>
      <c r="E98" s="15">
        <f t="shared" si="12"/>
        <v>500</v>
      </c>
      <c r="F98" s="15">
        <f t="shared" si="13"/>
        <v>600</v>
      </c>
      <c r="G98" s="15">
        <f t="shared" si="14"/>
        <v>700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349.5</v>
      </c>
      <c r="D99" s="15">
        <f t="shared" si="11"/>
        <v>481</v>
      </c>
      <c r="E99" s="15">
        <f t="shared" si="12"/>
        <v>625</v>
      </c>
      <c r="F99" s="15">
        <f t="shared" si="13"/>
        <v>750</v>
      </c>
      <c r="G99" s="15">
        <f t="shared" si="14"/>
        <v>875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399</v>
      </c>
      <c r="D100" s="15">
        <f t="shared" si="11"/>
        <v>543</v>
      </c>
      <c r="E100" s="15">
        <f t="shared" si="12"/>
        <v>697.5</v>
      </c>
      <c r="F100" s="15">
        <f t="shared" si="13"/>
        <v>865.5</v>
      </c>
      <c r="G100" s="15">
        <f t="shared" si="14"/>
        <v>1050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448.5</v>
      </c>
      <c r="D101" s="15">
        <f t="shared" si="11"/>
        <v>605</v>
      </c>
      <c r="E101" s="15">
        <f t="shared" si="12"/>
        <v>770</v>
      </c>
      <c r="F101" s="15">
        <f t="shared" si="13"/>
        <v>946.5</v>
      </c>
      <c r="G101" s="15">
        <f t="shared" si="14"/>
        <v>1137.5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498</v>
      </c>
      <c r="D102" s="15">
        <f t="shared" si="11"/>
        <v>667</v>
      </c>
      <c r="E102" s="15">
        <f t="shared" si="12"/>
        <v>842.5</v>
      </c>
      <c r="F102" s="15">
        <f t="shared" si="13"/>
        <v>1027.5</v>
      </c>
      <c r="G102" s="15">
        <f t="shared" si="14"/>
        <v>1225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547.5</v>
      </c>
      <c r="D103" s="15">
        <f t="shared" si="11"/>
        <v>729</v>
      </c>
      <c r="E103" s="15">
        <f t="shared" si="12"/>
        <v>915</v>
      </c>
      <c r="F103" s="15">
        <f t="shared" si="13"/>
        <v>1108.5</v>
      </c>
      <c r="G103" s="15">
        <f t="shared" si="14"/>
        <v>1312.5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597</v>
      </c>
      <c r="D104" s="15">
        <f t="shared" si="11"/>
        <v>791</v>
      </c>
      <c r="E104" s="15">
        <f t="shared" si="12"/>
        <v>987.5</v>
      </c>
      <c r="F104" s="15">
        <f t="shared" si="13"/>
        <v>1189.5</v>
      </c>
      <c r="G104" s="15">
        <f t="shared" si="14"/>
        <v>1400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646.5</v>
      </c>
      <c r="D105" s="15">
        <f t="shared" si="11"/>
        <v>853</v>
      </c>
      <c r="E105" s="15">
        <f t="shared" si="12"/>
        <v>1060</v>
      </c>
      <c r="F105" s="15">
        <f t="shared" si="13"/>
        <v>1270.5000000000002</v>
      </c>
      <c r="G105" s="15">
        <f t="shared" si="14"/>
        <v>1487.5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696</v>
      </c>
      <c r="D106" s="15">
        <f t="shared" si="11"/>
        <v>915</v>
      </c>
      <c r="E106" s="15">
        <f t="shared" si="12"/>
        <v>1132.5</v>
      </c>
      <c r="F106" s="15">
        <f t="shared" si="13"/>
        <v>1351.5</v>
      </c>
      <c r="G106" s="15">
        <f t="shared" si="14"/>
        <v>1575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745.5</v>
      </c>
      <c r="D107" s="15">
        <f t="shared" si="11"/>
        <v>977</v>
      </c>
      <c r="E107" s="15">
        <f t="shared" si="12"/>
        <v>1205</v>
      </c>
      <c r="F107" s="15">
        <f t="shared" si="13"/>
        <v>1432.5</v>
      </c>
      <c r="G107" s="15">
        <f t="shared" si="14"/>
        <v>1662.5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795</v>
      </c>
      <c r="D108" s="15">
        <f t="shared" si="11"/>
        <v>1039</v>
      </c>
      <c r="E108" s="15">
        <f t="shared" si="12"/>
        <v>1277.5</v>
      </c>
      <c r="F108" s="15">
        <f t="shared" si="13"/>
        <v>1513.5</v>
      </c>
      <c r="G108" s="15">
        <f t="shared" si="14"/>
        <v>1750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844.5</v>
      </c>
      <c r="D109" s="15">
        <f t="shared" si="11"/>
        <v>1101</v>
      </c>
      <c r="E109" s="15">
        <f t="shared" si="12"/>
        <v>1350</v>
      </c>
      <c r="F109" s="15">
        <f t="shared" si="13"/>
        <v>1594.5</v>
      </c>
      <c r="G109" s="15">
        <f t="shared" si="14"/>
        <v>1837.5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894.00000000000011</v>
      </c>
      <c r="D110" s="15">
        <f t="shared" si="11"/>
        <v>1163</v>
      </c>
      <c r="E110" s="15">
        <f t="shared" si="12"/>
        <v>1422.5</v>
      </c>
      <c r="F110" s="15">
        <f t="shared" si="13"/>
        <v>1675.5</v>
      </c>
      <c r="G110" s="15">
        <f t="shared" si="14"/>
        <v>1925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943.49999999999989</v>
      </c>
      <c r="D111" s="15">
        <f t="shared" si="11"/>
        <v>1225</v>
      </c>
      <c r="E111" s="15">
        <f t="shared" si="12"/>
        <v>1495</v>
      </c>
      <c r="F111" s="15">
        <f t="shared" si="13"/>
        <v>1756.5</v>
      </c>
      <c r="G111" s="15">
        <f t="shared" si="14"/>
        <v>2012.5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993</v>
      </c>
      <c r="D112" s="15">
        <f t="shared" si="11"/>
        <v>1287</v>
      </c>
      <c r="E112" s="15">
        <f t="shared" si="12"/>
        <v>1567.5</v>
      </c>
      <c r="F112" s="15">
        <f t="shared" si="13"/>
        <v>1837.5</v>
      </c>
      <c r="G112" s="15">
        <f t="shared" si="14"/>
        <v>2100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1042.5</v>
      </c>
      <c r="D113" s="15">
        <f t="shared" si="11"/>
        <v>1349</v>
      </c>
      <c r="E113" s="15">
        <f t="shared" si="12"/>
        <v>1640</v>
      </c>
      <c r="F113" s="15">
        <f t="shared" si="13"/>
        <v>1918.5</v>
      </c>
      <c r="G113" s="15">
        <f t="shared" si="14"/>
        <v>2187.5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1092</v>
      </c>
      <c r="D114" s="15">
        <f t="shared" si="11"/>
        <v>1411</v>
      </c>
      <c r="E114" s="15">
        <f t="shared" si="12"/>
        <v>1712.5</v>
      </c>
      <c r="F114" s="15">
        <f t="shared" si="13"/>
        <v>1999.5</v>
      </c>
      <c r="G114" s="15">
        <f t="shared" si="14"/>
        <v>2275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81</v>
      </c>
      <c r="H124" s="13" t="s">
        <v>67</v>
      </c>
      <c r="I124" s="13" t="s">
        <v>57</v>
      </c>
      <c r="J124" s="13" t="s">
        <v>68</v>
      </c>
      <c r="K124" s="13" t="s">
        <v>82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0.96</v>
      </c>
      <c r="I125" s="8">
        <f>F125*H125</f>
        <v>960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1960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0.88</v>
      </c>
      <c r="P125" s="8">
        <f>M125*O125</f>
        <v>880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0.92999999999999994</v>
      </c>
      <c r="I126" s="8">
        <f>F126*H126</f>
        <v>1627.5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1750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3377.5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0.84000000000000008</v>
      </c>
      <c r="P126" s="8">
        <f>M126*O126</f>
        <v>1260.0000000000002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</v>
      </c>
      <c r="I127" s="8">
        <f>F127*H127</f>
        <v>2250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2500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4750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3250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6077.5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0.76</v>
      </c>
      <c r="P128" s="8">
        <f>M128*O128</f>
        <v>1900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0.84</v>
      </c>
      <c r="I129" s="8">
        <f>F129*H129</f>
        <v>3360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4000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7360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0.72</v>
      </c>
      <c r="P129" s="8">
        <f>M129*O129</f>
        <v>2160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148.80000000000001</v>
      </c>
      <c r="D137" s="15">
        <f t="shared" si="16"/>
        <v>258.82499999999999</v>
      </c>
      <c r="E137" s="15">
        <f t="shared" si="17"/>
        <v>367.5</v>
      </c>
      <c r="F137" s="15">
        <f t="shared" si="18"/>
        <v>474.82499999999999</v>
      </c>
      <c r="G137" s="15">
        <f t="shared" si="19"/>
        <v>580.79999999999995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196.8</v>
      </c>
      <c r="D138" s="15">
        <f t="shared" si="16"/>
        <v>340.20000000000005</v>
      </c>
      <c r="E138" s="15">
        <f t="shared" si="17"/>
        <v>480</v>
      </c>
      <c r="F138" s="15">
        <f t="shared" si="18"/>
        <v>616.20000000000005</v>
      </c>
      <c r="G138" s="15">
        <f t="shared" si="19"/>
        <v>748.80000000000007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244.8</v>
      </c>
      <c r="D139" s="15">
        <f t="shared" si="16"/>
        <v>421.57500000000005</v>
      </c>
      <c r="E139" s="15">
        <f t="shared" si="17"/>
        <v>592.5</v>
      </c>
      <c r="F139" s="15">
        <f t="shared" si="18"/>
        <v>757.57500000000005</v>
      </c>
      <c r="G139" s="15">
        <f t="shared" si="19"/>
        <v>916.8</v>
      </c>
      <c r="H139" s="15">
        <f t="shared" si="20"/>
        <v>-247.6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292.79999999999995</v>
      </c>
      <c r="D140" s="15">
        <f t="shared" si="16"/>
        <v>502.95</v>
      </c>
      <c r="E140" s="15">
        <f t="shared" si="17"/>
        <v>705</v>
      </c>
      <c r="F140" s="15">
        <f t="shared" si="18"/>
        <v>898.95</v>
      </c>
      <c r="G140" s="15">
        <f t="shared" si="19"/>
        <v>1084.8</v>
      </c>
      <c r="H140" s="15">
        <f t="shared" si="20"/>
        <v>-291.59999999999997</v>
      </c>
      <c r="I140" s="15">
        <f t="shared" si="21"/>
        <v>-439.2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340.79999999999995</v>
      </c>
      <c r="D141" s="15">
        <f t="shared" si="16"/>
        <v>584.32500000000005</v>
      </c>
      <c r="E141" s="15">
        <f t="shared" si="17"/>
        <v>817.5</v>
      </c>
      <c r="F141" s="15">
        <f t="shared" si="18"/>
        <v>1040.3249999999998</v>
      </c>
      <c r="G141" s="15">
        <f t="shared" si="19"/>
        <v>1252.8</v>
      </c>
      <c r="H141" s="15">
        <f t="shared" si="20"/>
        <v>-335.59999999999997</v>
      </c>
      <c r="I141" s="15">
        <f t="shared" si="21"/>
        <v>-502.2</v>
      </c>
      <c r="J141" s="15">
        <f t="shared" si="22"/>
        <v>-671.99999999999989</v>
      </c>
      <c r="K141" s="15">
        <f t="shared" si="23"/>
        <v>-848</v>
      </c>
      <c r="L141" s="15">
        <f t="shared" si="24"/>
        <v>-1033.1999999999998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388.8</v>
      </c>
      <c r="D142" s="15">
        <f t="shared" si="16"/>
        <v>665.7</v>
      </c>
      <c r="E142" s="15">
        <f t="shared" si="17"/>
        <v>930.00000000000011</v>
      </c>
      <c r="F142" s="15">
        <f t="shared" si="18"/>
        <v>1181.7</v>
      </c>
      <c r="G142" s="15">
        <f t="shared" si="19"/>
        <v>1420.8000000000002</v>
      </c>
      <c r="H142" s="15">
        <f t="shared" si="20"/>
        <v>-379.6</v>
      </c>
      <c r="I142" s="15">
        <f t="shared" si="21"/>
        <v>-565.20000000000005</v>
      </c>
      <c r="J142" s="15">
        <f t="shared" si="22"/>
        <v>-752</v>
      </c>
      <c r="K142" s="15">
        <f t="shared" si="23"/>
        <v>-943</v>
      </c>
      <c r="L142" s="15">
        <f t="shared" si="24"/>
        <v>-1141.2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436.8</v>
      </c>
      <c r="D143" s="15">
        <f t="shared" si="16"/>
        <v>747.07500000000005</v>
      </c>
      <c r="E143" s="15">
        <f t="shared" si="17"/>
        <v>1042.5</v>
      </c>
      <c r="F143" s="15">
        <f t="shared" si="18"/>
        <v>1323.075</v>
      </c>
      <c r="G143" s="15">
        <f t="shared" si="19"/>
        <v>1588.8</v>
      </c>
      <c r="H143" s="15">
        <f t="shared" si="20"/>
        <v>-423.6</v>
      </c>
      <c r="I143" s="15">
        <f t="shared" si="21"/>
        <v>-628.20000000000005</v>
      </c>
      <c r="J143" s="15">
        <f t="shared" si="22"/>
        <v>-832</v>
      </c>
      <c r="K143" s="15">
        <f t="shared" si="23"/>
        <v>-1038</v>
      </c>
      <c r="L143" s="15">
        <f t="shared" si="24"/>
        <v>-1249.2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484.8</v>
      </c>
      <c r="D144" s="15">
        <f t="shared" si="16"/>
        <v>828.45</v>
      </c>
      <c r="E144" s="15">
        <f t="shared" si="17"/>
        <v>1155</v>
      </c>
      <c r="F144" s="15">
        <f t="shared" si="18"/>
        <v>1464.45</v>
      </c>
      <c r="G144" s="15">
        <f t="shared" si="19"/>
        <v>1756.8</v>
      </c>
      <c r="H144" s="15">
        <f t="shared" si="20"/>
        <v>-467.6</v>
      </c>
      <c r="I144" s="15">
        <f t="shared" si="21"/>
        <v>-691.2</v>
      </c>
      <c r="J144" s="15">
        <f t="shared" si="22"/>
        <v>-912</v>
      </c>
      <c r="K144" s="15">
        <f t="shared" si="23"/>
        <v>-1133</v>
      </c>
      <c r="L144" s="15">
        <f t="shared" si="24"/>
        <v>-1357.2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532.80000000000007</v>
      </c>
      <c r="D145" s="15">
        <f t="shared" si="16"/>
        <v>909.82500000000005</v>
      </c>
      <c r="E145" s="15">
        <f t="shared" si="17"/>
        <v>1267.5</v>
      </c>
      <c r="F145" s="15">
        <f t="shared" si="18"/>
        <v>1605.825</v>
      </c>
      <c r="G145" s="15">
        <f t="shared" si="19"/>
        <v>1924.8000000000002</v>
      </c>
      <c r="H145" s="15">
        <f t="shared" si="20"/>
        <v>-511.60000000000008</v>
      </c>
      <c r="I145" s="15">
        <f t="shared" si="21"/>
        <v>-754.2</v>
      </c>
      <c r="J145" s="15">
        <f t="shared" si="22"/>
        <v>-992</v>
      </c>
      <c r="K145" s="15">
        <f t="shared" si="23"/>
        <v>-1228</v>
      </c>
      <c r="L145" s="15">
        <f t="shared" si="24"/>
        <v>-1465.2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600.79999999999995</v>
      </c>
      <c r="D146" s="15">
        <f t="shared" si="16"/>
        <v>1008.6999999999999</v>
      </c>
      <c r="E146" s="15">
        <f t="shared" si="17"/>
        <v>1380</v>
      </c>
      <c r="F146" s="15">
        <f t="shared" si="18"/>
        <v>1747.2</v>
      </c>
      <c r="G146" s="15">
        <f t="shared" si="19"/>
        <v>2092.8000000000002</v>
      </c>
      <c r="H146" s="15">
        <f t="shared" si="20"/>
        <v>-555.6</v>
      </c>
      <c r="I146" s="15">
        <f t="shared" si="21"/>
        <v>-817.2</v>
      </c>
      <c r="J146" s="15">
        <f t="shared" si="22"/>
        <v>-1072</v>
      </c>
      <c r="K146" s="15">
        <f t="shared" si="23"/>
        <v>-1323</v>
      </c>
      <c r="L146" s="15">
        <f t="shared" si="24"/>
        <v>-1573.1999999999998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698.8</v>
      </c>
      <c r="D147" s="15">
        <f t="shared" si="16"/>
        <v>1177.575</v>
      </c>
      <c r="E147" s="15">
        <f t="shared" si="17"/>
        <v>1617.5</v>
      </c>
      <c r="F147" s="15">
        <f t="shared" si="18"/>
        <v>2018.5750000000003</v>
      </c>
      <c r="G147" s="15">
        <f t="shared" si="19"/>
        <v>2380.8000000000002</v>
      </c>
      <c r="H147" s="15">
        <f t="shared" si="20"/>
        <v>-599.6</v>
      </c>
      <c r="I147" s="15">
        <f t="shared" si="21"/>
        <v>-880.2</v>
      </c>
      <c r="J147" s="15">
        <f t="shared" si="22"/>
        <v>-1152</v>
      </c>
      <c r="K147" s="15">
        <f t="shared" si="23"/>
        <v>-1418</v>
      </c>
      <c r="L147" s="15">
        <f t="shared" si="24"/>
        <v>-1681.2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796.8</v>
      </c>
      <c r="D148" s="15">
        <f t="shared" si="16"/>
        <v>1346.4499999999998</v>
      </c>
      <c r="E148" s="15">
        <f t="shared" si="17"/>
        <v>1855</v>
      </c>
      <c r="F148" s="15">
        <f t="shared" si="18"/>
        <v>2322.4499999999998</v>
      </c>
      <c r="G148" s="15">
        <f t="shared" si="19"/>
        <v>2748.8</v>
      </c>
      <c r="H148" s="15">
        <f t="shared" si="20"/>
        <v>-643.59999999999991</v>
      </c>
      <c r="I148" s="15">
        <f t="shared" si="21"/>
        <v>-943.2</v>
      </c>
      <c r="J148" s="15">
        <f t="shared" si="22"/>
        <v>-1232</v>
      </c>
      <c r="K148" s="15">
        <f t="shared" si="23"/>
        <v>-1513</v>
      </c>
      <c r="L148" s="15">
        <f t="shared" si="24"/>
        <v>-1789.1999999999998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894.8</v>
      </c>
      <c r="D149" s="15">
        <f t="shared" si="16"/>
        <v>1515.325</v>
      </c>
      <c r="E149" s="15">
        <f t="shared" si="17"/>
        <v>2092.5</v>
      </c>
      <c r="F149" s="15">
        <f t="shared" si="18"/>
        <v>2626.3249999999998</v>
      </c>
      <c r="G149" s="15">
        <f t="shared" si="19"/>
        <v>3116.8</v>
      </c>
      <c r="H149" s="15">
        <f t="shared" si="20"/>
        <v>-687.6</v>
      </c>
      <c r="I149" s="15">
        <f t="shared" si="21"/>
        <v>-1006.2000000000002</v>
      </c>
      <c r="J149" s="15">
        <f t="shared" si="22"/>
        <v>-1312</v>
      </c>
      <c r="K149" s="15">
        <f t="shared" si="23"/>
        <v>-1608</v>
      </c>
      <c r="L149" s="15">
        <f t="shared" si="24"/>
        <v>-1897.1999999999998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992.80000000000018</v>
      </c>
      <c r="D150" s="15">
        <f t="shared" si="16"/>
        <v>1684.2000000000003</v>
      </c>
      <c r="E150" s="15">
        <f t="shared" si="17"/>
        <v>2330</v>
      </c>
      <c r="F150" s="15">
        <f t="shared" si="18"/>
        <v>2930.2</v>
      </c>
      <c r="G150" s="15">
        <f t="shared" si="19"/>
        <v>3484.8</v>
      </c>
      <c r="H150" s="15">
        <f t="shared" si="20"/>
        <v>-731.60000000000014</v>
      </c>
      <c r="I150" s="15">
        <f t="shared" si="21"/>
        <v>-1069.2000000000003</v>
      </c>
      <c r="J150" s="15">
        <f t="shared" si="22"/>
        <v>-1392</v>
      </c>
      <c r="K150" s="15">
        <f t="shared" si="23"/>
        <v>-1703</v>
      </c>
      <c r="L150" s="15">
        <f t="shared" si="24"/>
        <v>-2005.2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1090.8</v>
      </c>
      <c r="D151" s="15">
        <f t="shared" si="16"/>
        <v>1853.075</v>
      </c>
      <c r="E151" s="15">
        <f t="shared" si="17"/>
        <v>2567.5</v>
      </c>
      <c r="F151" s="15">
        <f t="shared" si="18"/>
        <v>3234.0749999999998</v>
      </c>
      <c r="G151" s="15">
        <f t="shared" si="19"/>
        <v>3852.7999999999997</v>
      </c>
      <c r="H151" s="15">
        <f t="shared" si="20"/>
        <v>-775.6</v>
      </c>
      <c r="I151" s="15">
        <f t="shared" si="21"/>
        <v>-1132.2</v>
      </c>
      <c r="J151" s="15">
        <f t="shared" si="22"/>
        <v>-1472</v>
      </c>
      <c r="K151" s="15">
        <f t="shared" si="23"/>
        <v>-1798</v>
      </c>
      <c r="L151" s="15">
        <f t="shared" si="24"/>
        <v>-2113.1999999999998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1188.8000000000002</v>
      </c>
      <c r="D152" s="15">
        <f t="shared" si="16"/>
        <v>2021.9500000000003</v>
      </c>
      <c r="E152" s="15">
        <f t="shared" si="17"/>
        <v>2805</v>
      </c>
      <c r="F152" s="15">
        <f t="shared" si="18"/>
        <v>3537.9500000000003</v>
      </c>
      <c r="G152" s="15">
        <f t="shared" si="19"/>
        <v>4220.8</v>
      </c>
      <c r="H152" s="15">
        <f t="shared" si="20"/>
        <v>-819.6</v>
      </c>
      <c r="I152" s="15">
        <f t="shared" si="21"/>
        <v>-1195.2000000000003</v>
      </c>
      <c r="J152" s="15">
        <f t="shared" si="22"/>
        <v>-1552</v>
      </c>
      <c r="K152" s="15">
        <f t="shared" si="23"/>
        <v>-1893</v>
      </c>
      <c r="L152" s="15">
        <f t="shared" si="24"/>
        <v>-2221.1999999999998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1286.8</v>
      </c>
      <c r="D153" s="15">
        <f t="shared" si="16"/>
        <v>2190.8249999999998</v>
      </c>
      <c r="E153" s="15">
        <f t="shared" si="17"/>
        <v>3042.5</v>
      </c>
      <c r="F153" s="15">
        <f t="shared" si="18"/>
        <v>3841.8249999999998</v>
      </c>
      <c r="G153" s="15">
        <f t="shared" si="19"/>
        <v>4588.7999999999993</v>
      </c>
      <c r="H153" s="15">
        <f t="shared" si="20"/>
        <v>-863.6</v>
      </c>
      <c r="I153" s="15">
        <f t="shared" si="21"/>
        <v>-1258.2</v>
      </c>
      <c r="J153" s="15">
        <f t="shared" si="22"/>
        <v>-1632</v>
      </c>
      <c r="K153" s="15">
        <f t="shared" si="23"/>
        <v>-1988</v>
      </c>
      <c r="L153" s="15">
        <f t="shared" si="24"/>
        <v>-2329.1999999999998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1384.8</v>
      </c>
      <c r="D154" s="15">
        <f t="shared" si="16"/>
        <v>2359.6999999999998</v>
      </c>
      <c r="E154" s="15">
        <f t="shared" si="17"/>
        <v>3280</v>
      </c>
      <c r="F154" s="15">
        <f t="shared" si="18"/>
        <v>4145.7</v>
      </c>
      <c r="G154" s="15">
        <f t="shared" si="19"/>
        <v>4956.8</v>
      </c>
      <c r="H154" s="15">
        <f t="shared" si="20"/>
        <v>-907.6</v>
      </c>
      <c r="I154" s="15">
        <f t="shared" si="21"/>
        <v>-1321.2000000000003</v>
      </c>
      <c r="J154" s="15">
        <f t="shared" si="22"/>
        <v>-1712</v>
      </c>
      <c r="K154" s="15">
        <f t="shared" si="23"/>
        <v>-2083</v>
      </c>
      <c r="L154" s="15">
        <f t="shared" si="24"/>
        <v>-2437.1999999999998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81</v>
      </c>
      <c r="H164" t="s">
        <v>67</v>
      </c>
      <c r="I164" t="s">
        <v>57</v>
      </c>
      <c r="J164" t="s">
        <v>68</v>
      </c>
      <c r="K164" t="s">
        <v>82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</v>
      </c>
      <c r="I165">
        <f>F165*H165</f>
        <v>2250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4750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2026-10-03T17:18:10Z</dcterms:modified>
</cp:coreProperties>
</file>