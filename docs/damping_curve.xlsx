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848ea0746e4bd4" /></Relationships>
</file>

<file path=xl/workbook.xml><?xml version="1.0" encoding="utf-8"?>
<m:workbook xmlns:m="http://schemas.openxmlformats.org/spreadsheetml/2006/main" xmlns:r="http://schemas.openxmlformats.org/officeDocument/2006/relationships">
  <m:sheets>
    <m:sheet name="LSC Sweep" sheetId="1" r:id="Rd920afd3a7dd4d02"/>
    <m:sheet name="HSC Sweep" sheetId="2" r:id="Ra23151c0ec6648db"/>
    <m:sheet name="LSR Sweep" sheetId="3" r:id="Ra6fe3336663a43c0"/>
    <m:sheet name="Full Sweep" sheetId="4" r:id="Rcf08499c50cd4d45"/>
    <m:sheet name="Parameters" sheetId="5" r:id="R8bd8edf91cf84724"/>
    <m:sheet name="Calculator" sheetId="6" r:id="R8a53ee4181aa4f90"/>
    <m:sheet name="Samples" sheetId="7" r:id="R882fed183694417c"/>
  </m:sheets>
  <m:calcPr calcMode="auto" fullCalcOnLoad="1" forceFullCalc="1"/>
</m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%"/>
    <x:numFmt numFmtId="201" formatCode="0.###"/>
    <x:numFmt numFmtId="202" formatCode="0"/>
    <x:numFmt numFmtId="203" formatCode="0.000"/>
    <x:numFmt numFmtId="204" formatCode="@"/>
    <x:numFmt numFmtId="205" formatCode="0.00"/>
  </x:numFmts>
  <x:fonts count="12">
    <x:font>
      <x:sz val="11"/>
      <x:name val="Carlito"/>
    </x:font>
    <x:font>
      <x:sz val="11"/>
      <x:color rgb="FF283C50"/>
      <x:name val="Arial"/>
    </x:font>
    <x:font>
      <x:b/>
      <x:sz val="20"/>
      <x:color rgb="FF283C50"/>
      <x:name val="Arial"/>
    </x:font>
    <x:font>
      <x:sz val="11"/>
      <x:color rgb="FF667B91"/>
      <x:name val="Arial"/>
    </x:font>
    <x:font>
      <x:b/>
      <x:sz val="11"/>
      <x:color rgb="FFFFFFFF"/>
      <x:name val="Arial"/>
    </x:font>
    <x:font>
      <x:sz val="11"/>
      <x:color rgb="FF195DB1"/>
      <x:name val="Arial"/>
    </x:font>
    <x:font>
      <x:sz val="10"/>
      <x:color rgb="FF283C50"/>
      <x:name val="Arial"/>
    </x:font>
    <x:font>
      <x:sz val="10"/>
      <x:color rgb="FF667B91"/>
      <x:name val="Arial"/>
    </x:font>
    <x:font>
      <x:b/>
      <x:sz val="10"/>
      <x:color rgb="FFFFFFFF"/>
      <x:name val="Arial"/>
    </x:font>
    <x:font>
      <x:b/>
      <x:sz val="10"/>
      <x:color rgb="FF283C50"/>
      <x:name val="Arial"/>
    </x:font>
    <x:font>
      <x:b/>
      <x:sz val="11"/>
      <x:color rgb="FFFFFFFF"/>
      <x:name val="Carlito"/>
    </x:font>
    <x:font>
      <x:b/>
      <x:sz val="18"/>
      <x:color rgb="FF283C5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31475E"/>
      </x:patternFill>
    </x:fill>
    <x:fill>
      <x:patternFill patternType="solid">
        <x:fgColor rgb="FFFFF2CC"/>
      </x:patternFill>
    </x:fill>
    <x:fill>
      <x:patternFill patternType="solid">
        <x:fgColor rgb="FFF0F4F8"/>
      </x:patternFill>
    </x:fill>
  </x:fills>
  <x:borders count="1">
    <x:border/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204" fontId="5" fillId="3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/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/>
    <x:xf numFmtId="0" fontId="9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vertical="center" wrapText="1"/>
    </x:xf>
    <x:xf numFmtId="0" fontId="9" fillId="4" borderId="0" xfId="0" applyNumberFormat="1" applyFont="1" applyFill="1" applyBorder="1" applyAlignment="1">
      <x:alignment wrapText="1"/>
    </x:xf>
    <x:xf numFmtId="205" fontId="6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/>
    <x:xf numFmtId="205" fontId="5" fillId="3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10" fillId="2" borderId="0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205" fontId="1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1525dce86f4378" /><Relationship Type="http://schemas.openxmlformats.org/officeDocument/2006/relationships/theme" Target="/xl/theme/theme1.xml" Id="R6b326bd4bc8e46d8" /><Relationship Type="http://schemas.openxmlformats.org/officeDocument/2006/relationships/sharedStrings" Target="/xl/sharedStrings.xml" Id="Rc74fe77fb5494aea" /><Relationship Type="http://schemas.openxmlformats.org/officeDocument/2006/relationships/worksheet" Target="/xl/worksheets/sheet1.xml" Id="Rd920afd3a7dd4d02" /><Relationship Type="http://schemas.openxmlformats.org/officeDocument/2006/relationships/worksheet" Target="/xl/worksheets/sheet2.xml" Id="Ra23151c0ec6648db" /><Relationship Type="http://schemas.openxmlformats.org/officeDocument/2006/relationships/worksheet" Target="/xl/worksheets/sheet3.xml" Id="Ra6fe3336663a43c0" /><Relationship Type="http://schemas.openxmlformats.org/officeDocument/2006/relationships/worksheet" Target="/xl/worksheets/sheet4.xml" Id="Rcf08499c50cd4d45" /><Relationship Type="http://schemas.openxmlformats.org/officeDocument/2006/relationships/worksheet" Target="/xl/worksheets/sheet5.xml" Id="R8bd8edf91cf84724" /><Relationship Type="http://schemas.openxmlformats.org/officeDocument/2006/relationships/worksheet" Target="/xl/worksheets/sheet6.xml" Id="R8a53ee4181aa4f90" /><Relationship Type="http://schemas.openxmlformats.org/officeDocument/2006/relationships/worksheet" Target="/xl/worksheets/sheet7.xml" Id="R882fed18369441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cc0982b54674e5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843948e024204329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b4d30597fb8949bf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398e6640e6754a3b" /></Relationships>
</file>

<file path=xl/drawings/charts/chart1.xml><?xml version="1.0" encoding="utf-8"?>
<c:chartSpace xmlns:a="http://schemas.openxmlformats.org/drawingml/2006/main" xmlns:c="http://schemas.openxmlformats.org/drawingml/2006/chart" xmlns:ns2="http://schemas.microsoft.com/office/drawing/2014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</a:t>
            </a:r>
          </a:p>
        </c:rich>
      </c:tx>
      <c:overlay val="0"/>
    </c:title>
    <c:autoTitleDeleted val="0"/>
    <c:plotArea>
      <c:layout/>
      <c:scatterChart>
        <c:scatterStyle val="line"/>
        <c:varyColors val="1"/>
        <c:ser>
          <c:idx val="0"/>
          <c:order val="0"/>
          <c:tx>
            <c:strRef>
              <c:f>'Samples'!$C$13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extLst>
            <c:ext uri="{C3380CC4-5D6E-409C-BE32-E72D297353CC}">
              <ns2:uniqueId val="{00000000-B975-4EAE-9176-DBF0ADD42898}"/>
            </c:ext>
          </c:extLst>
          <c:marker>
            <c:symbol val="none"/>
          </c:marker>
          <c:xVal>
            <c:numRef>
              <c:f>'Samples'!$B$14:$B$34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'Samples'!$C$14:$C$34</c:f>
              <c:numCache>
                <c:formatCode>0.00</c:formatCode>
                <c:ptCount val="21"/>
                <c:pt idx="0">
                  <c:v>0</c:v>
                </c:pt>
                <c:pt idx="1">
                  <c:v>65</c:v>
                </c:pt>
                <c:pt idx="2">
                  <c:v>130</c:v>
                </c:pt>
                <c:pt idx="3">
                  <c:v>186.42</c:v>
                </c:pt>
                <c:pt idx="4">
                  <c:v>237.12</c:v>
                </c:pt>
                <c:pt idx="5">
                  <c:v>287.82</c:v>
                </c:pt>
                <c:pt idx="6">
                  <c:v>338.52</c:v>
                </c:pt>
                <c:pt idx="7">
                  <c:v>389.22</c:v>
                </c:pt>
                <c:pt idx="8">
                  <c:v>439.92</c:v>
                </c:pt>
                <c:pt idx="9">
                  <c:v>490.62</c:v>
                </c:pt>
                <c:pt idx="10">
                  <c:v>541.32</c:v>
                </c:pt>
                <c:pt idx="11">
                  <c:v>592.02</c:v>
                </c:pt>
                <c:pt idx="12">
                  <c:v>642.72</c:v>
                </c:pt>
                <c:pt idx="13">
                  <c:v>818.42</c:v>
                </c:pt>
                <c:pt idx="14">
                  <c:v>994.12</c:v>
                </c:pt>
                <c:pt idx="15">
                  <c:v>1169.82</c:v>
                </c:pt>
                <c:pt idx="16">
                  <c:v>1345.52</c:v>
                </c:pt>
                <c:pt idx="17">
                  <c:v>1521.22</c:v>
                </c:pt>
                <c:pt idx="18">
                  <c:v>1696.92</c:v>
                </c:pt>
                <c:pt idx="19">
                  <c:v>1872.62</c:v>
                </c:pt>
                <c:pt idx="20">
                  <c:v>2048.32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'Samples'!$D$13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extLst>
            <c:ext uri="{C3380CC4-5D6E-409C-BE32-E72D297353CC}">
              <ns2:uniqueId val="{00000001-B975-4EAE-9176-DBF0ADD42898}"/>
            </c:ext>
          </c:extLst>
          <c:marker>
            <c:symbol val="none"/>
          </c:marker>
          <c:xVal>
            <c:numRef>
              <c:f>'Samples'!$B$14:$B$34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'Samples'!$D$14:$D$34</c:f>
              <c:numCache>
                <c:formatCode>0.00</c:formatCode>
                <c:ptCount val="21"/>
                <c:pt idx="0">
                  <c:v>0</c:v>
                </c:pt>
                <c:pt idx="1">
                  <c:v>95</c:v>
                </c:pt>
                <c:pt idx="2">
                  <c:v>190</c:v>
                </c:pt>
                <c:pt idx="3">
                  <c:v>279.585</c:v>
                </c:pt>
                <c:pt idx="4">
                  <c:v>356.535</c:v>
                </c:pt>
                <c:pt idx="5">
                  <c:v>433.485</c:v>
                </c:pt>
                <c:pt idx="6">
                  <c:v>510.435</c:v>
                </c:pt>
                <c:pt idx="7">
                  <c:v>587.385</c:v>
                </c:pt>
                <c:pt idx="8">
                  <c:v>664.335</c:v>
                </c:pt>
                <c:pt idx="9">
                  <c:v>741.285</c:v>
                </c:pt>
                <c:pt idx="10">
                  <c:v>818.235</c:v>
                </c:pt>
                <c:pt idx="11">
                  <c:v>895.185</c:v>
                </c:pt>
                <c:pt idx="12">
                  <c:v>972.135</c:v>
                </c:pt>
                <c:pt idx="13">
                  <c:v>1174.085</c:v>
                </c:pt>
                <c:pt idx="14">
                  <c:v>1376.035</c:v>
                </c:pt>
                <c:pt idx="15">
                  <c:v>1577.985</c:v>
                </c:pt>
                <c:pt idx="16">
                  <c:v>1779.935</c:v>
                </c:pt>
                <c:pt idx="17">
                  <c:v>1981.885</c:v>
                </c:pt>
                <c:pt idx="18">
                  <c:v>2183.835</c:v>
                </c:pt>
                <c:pt idx="19">
                  <c:v>2385.785</c:v>
                </c:pt>
                <c:pt idx="20">
                  <c:v>2587.735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'Samples'!$E$13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extLst>
            <c:ext uri="{C3380CC4-5D6E-409C-BE32-E72D297353CC}">
              <ns2:uniqueId val="{00000002-B975-4EAE-9176-DBF0ADD42898}"/>
            </c:ext>
          </c:extLst>
          <c:marker>
            <c:symbol val="none"/>
          </c:marker>
          <c:xVal>
            <c:numRef>
              <c:f>'Samples'!$B$14:$B$34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'Samples'!$E$14:$E$34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</c:v>
                </c:pt>
                <c:pt idx="10">
                  <c:v>1110</c:v>
                </c:pt>
                <c:pt idx="11">
                  <c:v>1215</c:v>
                </c:pt>
                <c:pt idx="12">
                  <c:v>1320</c:v>
                </c:pt>
                <c:pt idx="13">
                  <c:v>1550</c:v>
                </c:pt>
                <c:pt idx="14">
                  <c:v>1780</c:v>
                </c:pt>
                <c:pt idx="15">
                  <c:v>2010</c:v>
                </c:pt>
                <c:pt idx="16">
                  <c:v>2240</c:v>
                </c:pt>
                <c:pt idx="17">
                  <c:v>2470</c:v>
                </c:pt>
                <c:pt idx="18">
                  <c:v>2700</c:v>
                </c:pt>
                <c:pt idx="19">
                  <c:v>2930</c:v>
                </c:pt>
                <c:pt idx="20">
                  <c:v>3160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'Samples'!$F$13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extLst>
            <c:ext uri="{C3380CC4-5D6E-409C-BE32-E72D297353CC}">
              <ns2:uniqueId val="{00000003-B975-4EAE-9176-DBF0ADD42898}"/>
            </c:ext>
          </c:extLst>
          <c:marker>
            <c:symbol val="none"/>
          </c:marker>
          <c:xVal>
            <c:numRef>
              <c:f>'Samples'!$B$14:$B$34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'Samples'!$F$14:$F$34</c:f>
              <c:numCache>
                <c:formatCode>0.00</c:formatCode>
                <c:ptCount val="21"/>
                <c:pt idx="0">
                  <c:v>0</c:v>
                </c:pt>
                <c:pt idx="1">
                  <c:v>155</c:v>
                </c:pt>
                <c:pt idx="2">
                  <c:v>310</c:v>
                </c:pt>
                <c:pt idx="3">
                  <c:v>465</c:v>
                </c:pt>
                <c:pt idx="4">
                  <c:v>603.88</c:v>
                </c:pt>
                <c:pt idx="5">
                  <c:v>738.73</c:v>
                </c:pt>
                <c:pt idx="6">
                  <c:v>873.58</c:v>
                </c:pt>
                <c:pt idx="7">
                  <c:v>1008.43</c:v>
                </c:pt>
                <c:pt idx="8">
                  <c:v>1143.28</c:v>
                </c:pt>
                <c:pt idx="9">
                  <c:v>1278.13</c:v>
                </c:pt>
                <c:pt idx="10">
                  <c:v>1412.98</c:v>
                </c:pt>
                <c:pt idx="11">
                  <c:v>1547.83</c:v>
                </c:pt>
                <c:pt idx="12">
                  <c:v>1682.68</c:v>
                </c:pt>
                <c:pt idx="13">
                  <c:v>1942.53</c:v>
                </c:pt>
                <c:pt idx="14">
                  <c:v>2202.38</c:v>
                </c:pt>
                <c:pt idx="15">
                  <c:v>2462.23</c:v>
                </c:pt>
                <c:pt idx="16">
                  <c:v>2722.08</c:v>
                </c:pt>
                <c:pt idx="17">
                  <c:v>2981.93</c:v>
                </c:pt>
                <c:pt idx="18">
                  <c:v>3241.78</c:v>
                </c:pt>
                <c:pt idx="19">
                  <c:v>3501.63</c:v>
                </c:pt>
                <c:pt idx="20">
                  <c:v>3761.48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'Samples'!$G$13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extLst>
            <c:ext uri="{C3380CC4-5D6E-409C-BE32-E72D297353CC}">
              <ns2:uniqueId val="{00000004-B975-4EAE-9176-DBF0ADD42898}"/>
            </c:ext>
          </c:extLst>
          <c:marker>
            <c:symbol val="none"/>
          </c:marker>
          <c:xVal>
            <c:numRef>
              <c:f>'Samples'!$B$14:$B$34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'Samples'!$G$14:$G$34</c:f>
              <c:numCache>
                <c:formatCode>0.00</c:formatCode>
                <c:ptCount val="21"/>
                <c:pt idx="0">
                  <c:v>0</c:v>
                </c:pt>
                <c:pt idx="1">
                  <c:v>185</c:v>
                </c:pt>
                <c:pt idx="2">
                  <c:v>370</c:v>
                </c:pt>
                <c:pt idx="3">
                  <c:v>555</c:v>
                </c:pt>
                <c:pt idx="4">
                  <c:v>728.9</c:v>
                </c:pt>
                <c:pt idx="5">
                  <c:v>895.4</c:v>
                </c:pt>
                <c:pt idx="6">
                  <c:v>1061.9</c:v>
                </c:pt>
                <c:pt idx="7">
                  <c:v>1228.4</c:v>
                </c:pt>
                <c:pt idx="8">
                  <c:v>1394.9</c:v>
                </c:pt>
                <c:pt idx="9">
                  <c:v>1561.4</c:v>
                </c:pt>
                <c:pt idx="10">
                  <c:v>1727.9</c:v>
                </c:pt>
                <c:pt idx="11">
                  <c:v>1894.4</c:v>
                </c:pt>
                <c:pt idx="12">
                  <c:v>2060.9</c:v>
                </c:pt>
                <c:pt idx="13">
                  <c:v>2352.4</c:v>
                </c:pt>
                <c:pt idx="14">
                  <c:v>2643.9</c:v>
                </c:pt>
                <c:pt idx="15">
                  <c:v>2935.4</c:v>
                </c:pt>
                <c:pt idx="16">
                  <c:v>3226.9</c:v>
                </c:pt>
                <c:pt idx="17">
                  <c:v>3518.4</c:v>
                </c:pt>
                <c:pt idx="18">
                  <c:v>3809.9</c:v>
                </c:pt>
                <c:pt idx="19">
                  <c:v>4101.4</c:v>
                </c:pt>
                <c:pt idx="20">
                  <c:v>4392.9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charts/chart2.xml><?xml version="1.0" encoding="utf-8"?>
<c:chartSpace xmlns:a="http://schemas.openxmlformats.org/drawingml/2006/main" xmlns:c="http://schemas.openxmlformats.org/drawingml/2006/chart" xmlns:ns2="http://schemas.microsoft.com/office/drawing/2014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</a:t>
            </a:r>
          </a:p>
        </c:rich>
      </c:tx>
      <c:overlay val="0"/>
    </c:title>
    <c:autoTitleDeleted val="0"/>
    <c:plotArea>
      <c:layout/>
      <c:scatterChart>
        <c:scatterStyle val="line"/>
        <c:varyColors val="1"/>
        <c:ser>
          <c:idx val="0"/>
          <c:order val="0"/>
          <c:tx>
            <c:strRef>
              <c:f>'Samples'!$C$53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extLst>
            <c:ext uri="{C3380CC4-5D6E-409C-BE32-E72D297353CC}">
              <ns2:uniqueId val="{00000000-3DE3-4A9C-9A72-046886D36836}"/>
            </c:ext>
          </c:extLst>
          <c:marker>
            <c:symbol val="none"/>
          </c:marker>
          <c:xVal>
            <c:numRef>
              <c:f>'Samples'!$B$54:$B$74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'Samples'!$C$54:$C$74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</c:v>
                </c:pt>
                <c:pt idx="10">
                  <c:v>1110</c:v>
                </c:pt>
                <c:pt idx="11">
                  <c:v>1215</c:v>
                </c:pt>
                <c:pt idx="12">
                  <c:v>1340</c:v>
                </c:pt>
                <c:pt idx="13">
                  <c:v>1495</c:v>
                </c:pt>
                <c:pt idx="14">
                  <c:v>1650</c:v>
                </c:pt>
                <c:pt idx="15">
                  <c:v>1805</c:v>
                </c:pt>
                <c:pt idx="16">
                  <c:v>1960</c:v>
                </c:pt>
                <c:pt idx="17">
                  <c:v>2115</c:v>
                </c:pt>
                <c:pt idx="18">
                  <c:v>2270</c:v>
                </c:pt>
                <c:pt idx="19">
                  <c:v>2425</c:v>
                </c:pt>
                <c:pt idx="20">
                  <c:v>2580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'Samples'!$D$53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extLst>
            <c:ext uri="{C3380CC4-5D6E-409C-BE32-E72D297353CC}">
              <ns2:uniqueId val="{00000001-3DE3-4A9C-9A72-046886D36836}"/>
            </c:ext>
          </c:extLst>
          <c:marker>
            <c:symbol val="none"/>
          </c:marker>
          <c:xVal>
            <c:numRef>
              <c:f>'Samples'!$B$54:$B$74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'Samples'!$D$54:$D$74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</c:v>
                </c:pt>
                <c:pt idx="10">
                  <c:v>1110</c:v>
                </c:pt>
                <c:pt idx="11">
                  <c:v>1215</c:v>
                </c:pt>
                <c:pt idx="12">
                  <c:v>1337.5</c:v>
                </c:pt>
                <c:pt idx="13">
                  <c:v>1530</c:v>
                </c:pt>
                <c:pt idx="14">
                  <c:v>1722.5</c:v>
                </c:pt>
                <c:pt idx="15">
                  <c:v>1915</c:v>
                </c:pt>
                <c:pt idx="16">
                  <c:v>2107.5</c:v>
                </c:pt>
                <c:pt idx="17">
                  <c:v>2300</c:v>
                </c:pt>
                <c:pt idx="18">
                  <c:v>2492.5</c:v>
                </c:pt>
                <c:pt idx="19">
                  <c:v>2685</c:v>
                </c:pt>
                <c:pt idx="20">
                  <c:v>2877.5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'Samples'!$E$53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extLst>
            <c:ext uri="{C3380CC4-5D6E-409C-BE32-E72D297353CC}">
              <ns2:uniqueId val="{00000002-3DE3-4A9C-9A72-046886D36836}"/>
            </c:ext>
          </c:extLst>
          <c:marker>
            <c:symbol val="none"/>
          </c:marker>
          <c:xVal>
            <c:numRef>
              <c:f>'Samples'!$B$54:$B$74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'Samples'!$E$54:$E$74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</c:v>
                </c:pt>
                <c:pt idx="10">
                  <c:v>1110</c:v>
                </c:pt>
                <c:pt idx="11">
                  <c:v>1215</c:v>
                </c:pt>
                <c:pt idx="12">
                  <c:v>1320</c:v>
                </c:pt>
                <c:pt idx="13">
                  <c:v>1550</c:v>
                </c:pt>
                <c:pt idx="14">
                  <c:v>1780</c:v>
                </c:pt>
                <c:pt idx="15">
                  <c:v>2010</c:v>
                </c:pt>
                <c:pt idx="16">
                  <c:v>2240</c:v>
                </c:pt>
                <c:pt idx="17">
                  <c:v>2470</c:v>
                </c:pt>
                <c:pt idx="18">
                  <c:v>2700</c:v>
                </c:pt>
                <c:pt idx="19">
                  <c:v>2930</c:v>
                </c:pt>
                <c:pt idx="20">
                  <c:v>3160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'Samples'!$F$53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extLst>
            <c:ext uri="{C3380CC4-5D6E-409C-BE32-E72D297353CC}">
              <ns2:uniqueId val="{00000003-3DE3-4A9C-9A72-046886D36836}"/>
            </c:ext>
          </c:extLst>
          <c:marker>
            <c:symbol val="none"/>
          </c:marker>
          <c:xVal>
            <c:numRef>
              <c:f>'Samples'!$B$54:$B$74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'Samples'!$F$54:$F$74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</c:v>
                </c:pt>
                <c:pt idx="10">
                  <c:v>1110</c:v>
                </c:pt>
                <c:pt idx="11">
                  <c:v>1215</c:v>
                </c:pt>
                <c:pt idx="12">
                  <c:v>1320</c:v>
                </c:pt>
                <c:pt idx="13">
                  <c:v>1555</c:v>
                </c:pt>
                <c:pt idx="14">
                  <c:v>1822.5</c:v>
                </c:pt>
                <c:pt idx="15">
                  <c:v>2090</c:v>
                </c:pt>
                <c:pt idx="16">
                  <c:v>2357.5</c:v>
                </c:pt>
                <c:pt idx="17">
                  <c:v>2625</c:v>
                </c:pt>
                <c:pt idx="18">
                  <c:v>2892.5</c:v>
                </c:pt>
                <c:pt idx="19">
                  <c:v>3160</c:v>
                </c:pt>
                <c:pt idx="20">
                  <c:v>3427.5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'Samples'!$G$53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extLst>
            <c:ext uri="{C3380CC4-5D6E-409C-BE32-E72D297353CC}">
              <ns2:uniqueId val="{00000004-3DE3-4A9C-9A72-046886D36836}"/>
            </c:ext>
          </c:extLst>
          <c:marker>
            <c:symbol val="none"/>
          </c:marker>
          <c:xVal>
            <c:numRef>
              <c:f>'Samples'!$B$54:$B$74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'Samples'!$G$54:$G$74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</c:v>
                </c:pt>
                <c:pt idx="10">
                  <c:v>1110</c:v>
                </c:pt>
                <c:pt idx="11">
                  <c:v>1215</c:v>
                </c:pt>
                <c:pt idx="12">
                  <c:v>1320</c:v>
                </c:pt>
                <c:pt idx="13">
                  <c:v>1545</c:v>
                </c:pt>
                <c:pt idx="14">
                  <c:v>1850</c:v>
                </c:pt>
                <c:pt idx="15">
                  <c:v>2155</c:v>
                </c:pt>
                <c:pt idx="16">
                  <c:v>2460</c:v>
                </c:pt>
                <c:pt idx="17">
                  <c:v>2765</c:v>
                </c:pt>
                <c:pt idx="18">
                  <c:v>3070</c:v>
                </c:pt>
                <c:pt idx="19">
                  <c:v>3375</c:v>
                </c:pt>
                <c:pt idx="20">
                  <c:v>3680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charts/chart3.xml><?xml version="1.0" encoding="utf-8"?>
<c:chartSpace xmlns:a="http://schemas.openxmlformats.org/drawingml/2006/main" xmlns:c="http://schemas.openxmlformats.org/drawingml/2006/chart" xmlns:ns2="http://schemas.microsoft.com/office/drawing/2014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Rebound</a:t>
            </a:r>
          </a:p>
        </c:rich>
      </c:tx>
      <c:overlay val="0"/>
    </c:title>
    <c:autoTitleDeleted val="0"/>
    <c:plotArea>
      <c:layout/>
      <c:scatterChart>
        <c:scatterStyle val="line"/>
        <c:varyColors val="1"/>
        <c:ser>
          <c:idx val="0"/>
          <c:order val="0"/>
          <c:tx>
            <c:strRef>
              <c:f>'Samples'!$C$93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extLst>
            <c:ext uri="{C3380CC4-5D6E-409C-BE32-E72D297353CC}">
              <ns2:uniqueId val="{00000000-050F-42F4-B30D-15FBBF3D7859}"/>
            </c:ext>
          </c:extLst>
          <c:marker>
            <c:symbol val="none"/>
          </c:marker>
          <c:xVal>
            <c:numRef>
              <c:f>'Samples'!$B$94:$B$114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'Samples'!$C$94:$C$114</c:f>
              <c:numCache>
                <c:formatCode>0.00</c:formatCode>
                <c:ptCount val="21"/>
                <c:pt idx="0">
                  <c:v>0</c:v>
                </c:pt>
                <c:pt idx="1">
                  <c:v>60.75</c:v>
                </c:pt>
                <c:pt idx="2">
                  <c:v>121.5</c:v>
                </c:pt>
                <c:pt idx="3">
                  <c:v>182.25</c:v>
                </c:pt>
                <c:pt idx="4">
                  <c:v>243</c:v>
                </c:pt>
                <c:pt idx="5">
                  <c:v>303.75</c:v>
                </c:pt>
                <c:pt idx="6">
                  <c:v>364.5</c:v>
                </c:pt>
                <c:pt idx="7">
                  <c:v>409.455</c:v>
                </c:pt>
                <c:pt idx="8">
                  <c:v>454.41</c:v>
                </c:pt>
                <c:pt idx="9">
                  <c:v>499.365</c:v>
                </c:pt>
                <c:pt idx="10">
                  <c:v>544.32</c:v>
                </c:pt>
                <c:pt idx="11">
                  <c:v>589.275</c:v>
                </c:pt>
                <c:pt idx="12">
                  <c:v>634.23</c:v>
                </c:pt>
                <c:pt idx="13">
                  <c:v>679.185</c:v>
                </c:pt>
                <c:pt idx="14">
                  <c:v>724.14</c:v>
                </c:pt>
                <c:pt idx="15">
                  <c:v>769.095</c:v>
                </c:pt>
                <c:pt idx="16">
                  <c:v>814.05</c:v>
                </c:pt>
                <c:pt idx="17">
                  <c:v>859.005</c:v>
                </c:pt>
                <c:pt idx="18">
                  <c:v>903.96</c:v>
                </c:pt>
                <c:pt idx="19">
                  <c:v>948.915</c:v>
                </c:pt>
                <c:pt idx="20">
                  <c:v>993.87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'Samples'!$D$93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extLst>
            <c:ext uri="{C3380CC4-5D6E-409C-BE32-E72D297353CC}">
              <ns2:uniqueId val="{00000001-050F-42F4-B30D-15FBBF3D7859}"/>
            </c:ext>
          </c:extLst>
          <c:marker>
            <c:symbol val="none"/>
          </c:marker>
          <c:xVal>
            <c:numRef>
              <c:f>'Samples'!$B$94:$B$114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'Samples'!$D$94:$D$114</c:f>
              <c:numCache>
                <c:formatCode>0.00</c:formatCode>
                <c:ptCount val="21"/>
                <c:pt idx="0">
                  <c:v>0</c:v>
                </c:pt>
                <c:pt idx="1">
                  <c:v>83.25</c:v>
                </c:pt>
                <c:pt idx="2">
                  <c:v>166.5</c:v>
                </c:pt>
                <c:pt idx="3">
                  <c:v>249.75</c:v>
                </c:pt>
                <c:pt idx="4">
                  <c:v>333</c:v>
                </c:pt>
                <c:pt idx="5">
                  <c:v>416.25</c:v>
                </c:pt>
                <c:pt idx="6">
                  <c:v>499.5</c:v>
                </c:pt>
                <c:pt idx="7">
                  <c:v>573.5925</c:v>
                </c:pt>
                <c:pt idx="8">
                  <c:v>638.5275</c:v>
                </c:pt>
                <c:pt idx="9">
                  <c:v>703.4625</c:v>
                </c:pt>
                <c:pt idx="10">
                  <c:v>768.3975</c:v>
                </c:pt>
                <c:pt idx="11">
                  <c:v>833.3325</c:v>
                </c:pt>
                <c:pt idx="12">
                  <c:v>898.2675</c:v>
                </c:pt>
                <c:pt idx="13">
                  <c:v>963.2025</c:v>
                </c:pt>
                <c:pt idx="14">
                  <c:v>1028.1375</c:v>
                </c:pt>
                <c:pt idx="15">
                  <c:v>1093.0725</c:v>
                </c:pt>
                <c:pt idx="16">
                  <c:v>1158.0075</c:v>
                </c:pt>
                <c:pt idx="17">
                  <c:v>1222.9425</c:v>
                </c:pt>
                <c:pt idx="18">
                  <c:v>1287.8775</c:v>
                </c:pt>
                <c:pt idx="19">
                  <c:v>1352.8125</c:v>
                </c:pt>
                <c:pt idx="20">
                  <c:v>1417.7475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'Samples'!$E$93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extLst>
            <c:ext uri="{C3380CC4-5D6E-409C-BE32-E72D297353CC}">
              <ns2:uniqueId val="{00000002-050F-42F4-B30D-15FBBF3D7859}"/>
            </c:ext>
          </c:extLst>
          <c:marker>
            <c:symbol val="none"/>
          </c:marker>
          <c:xVal>
            <c:numRef>
              <c:f>'Samples'!$B$94:$B$114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'Samples'!$E$94:$E$114</c:f>
              <c:numCache>
                <c:formatCode>0.00</c:formatCode>
                <c:ptCount val="21"/>
                <c:pt idx="0">
                  <c:v>0</c:v>
                </c:pt>
                <c:pt idx="1">
                  <c:v>105.75</c:v>
                </c:pt>
                <c:pt idx="2">
                  <c:v>211.5</c:v>
                </c:pt>
                <c:pt idx="3">
                  <c:v>317.25</c:v>
                </c:pt>
                <c:pt idx="4">
                  <c:v>423</c:v>
                </c:pt>
                <c:pt idx="5">
                  <c:v>528.75</c:v>
                </c:pt>
                <c:pt idx="6">
                  <c:v>634.5</c:v>
                </c:pt>
                <c:pt idx="7">
                  <c:v>740.25</c:v>
                </c:pt>
                <c:pt idx="8">
                  <c:v>826.965</c:v>
                </c:pt>
                <c:pt idx="9">
                  <c:v>913.68</c:v>
                </c:pt>
                <c:pt idx="10">
                  <c:v>1000.395</c:v>
                </c:pt>
                <c:pt idx="11">
                  <c:v>1087.11</c:v>
                </c:pt>
                <c:pt idx="12">
                  <c:v>1173.825</c:v>
                </c:pt>
                <c:pt idx="13">
                  <c:v>1260.54</c:v>
                </c:pt>
                <c:pt idx="14">
                  <c:v>1347.255</c:v>
                </c:pt>
                <c:pt idx="15">
                  <c:v>1433.97</c:v>
                </c:pt>
                <c:pt idx="16">
                  <c:v>1520.685</c:v>
                </c:pt>
                <c:pt idx="17">
                  <c:v>1607.4</c:v>
                </c:pt>
                <c:pt idx="18">
                  <c:v>1694.115</c:v>
                </c:pt>
                <c:pt idx="19">
                  <c:v>1780.83</c:v>
                </c:pt>
                <c:pt idx="20">
                  <c:v>1867.545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'Samples'!$F$93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extLst>
            <c:ext uri="{C3380CC4-5D6E-409C-BE32-E72D297353CC}">
              <ns2:uniqueId val="{00000003-050F-42F4-B30D-15FBBF3D7859}"/>
            </c:ext>
          </c:extLst>
          <c:marker>
            <c:symbol val="none"/>
          </c:marker>
          <c:xVal>
            <c:numRef>
              <c:f>'Samples'!$B$94:$B$114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'Samples'!$F$94:$F$114</c:f>
              <c:numCache>
                <c:formatCode>0.00</c:formatCode>
                <c:ptCount val="21"/>
                <c:pt idx="0">
                  <c:v>0</c:v>
                </c:pt>
                <c:pt idx="1">
                  <c:v>128.25</c:v>
                </c:pt>
                <c:pt idx="2">
                  <c:v>256.5</c:v>
                </c:pt>
                <c:pt idx="3">
                  <c:v>384.75</c:v>
                </c:pt>
                <c:pt idx="4">
                  <c:v>513</c:v>
                </c:pt>
                <c:pt idx="5">
                  <c:v>641.25</c:v>
                </c:pt>
                <c:pt idx="6">
                  <c:v>769.5</c:v>
                </c:pt>
                <c:pt idx="7">
                  <c:v>897.75</c:v>
                </c:pt>
                <c:pt idx="8">
                  <c:v>1017.0225</c:v>
                </c:pt>
                <c:pt idx="9">
                  <c:v>1127.3175</c:v>
                </c:pt>
                <c:pt idx="10">
                  <c:v>1237.6125</c:v>
                </c:pt>
                <c:pt idx="11">
                  <c:v>1347.9075</c:v>
                </c:pt>
                <c:pt idx="12">
                  <c:v>1458.2025</c:v>
                </c:pt>
                <c:pt idx="13">
                  <c:v>1568.4975</c:v>
                </c:pt>
                <c:pt idx="14">
                  <c:v>1678.7925</c:v>
                </c:pt>
                <c:pt idx="15">
                  <c:v>1789.0875</c:v>
                </c:pt>
                <c:pt idx="16">
                  <c:v>1899.3825</c:v>
                </c:pt>
                <c:pt idx="17">
                  <c:v>2009.6775</c:v>
                </c:pt>
                <c:pt idx="18">
                  <c:v>2119.9725</c:v>
                </c:pt>
                <c:pt idx="19">
                  <c:v>2230.2675</c:v>
                </c:pt>
                <c:pt idx="20">
                  <c:v>2340.5625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'Samples'!$G$93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extLst>
            <c:ext uri="{C3380CC4-5D6E-409C-BE32-E72D297353CC}">
              <ns2:uniqueId val="{00000004-050F-42F4-B30D-15FBBF3D7859}"/>
            </c:ext>
          </c:extLst>
          <c:marker>
            <c:symbol val="none"/>
          </c:marker>
          <c:xVal>
            <c:numRef>
              <c:f>'Samples'!$B$94:$B$114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'Samples'!$G$94:$G$114</c:f>
              <c:numCache>
                <c:formatCode>0.00</c:formatCode>
                <c:ptCount val="21"/>
                <c:pt idx="0">
                  <c:v>0</c:v>
                </c:pt>
                <c:pt idx="1">
                  <c:v>150.75</c:v>
                </c:pt>
                <c:pt idx="2">
                  <c:v>301.5</c:v>
                </c:pt>
                <c:pt idx="3">
                  <c:v>452.25</c:v>
                </c:pt>
                <c:pt idx="4">
                  <c:v>603</c:v>
                </c:pt>
                <c:pt idx="5">
                  <c:v>753.75</c:v>
                </c:pt>
                <c:pt idx="6">
                  <c:v>904.5</c:v>
                </c:pt>
                <c:pt idx="7">
                  <c:v>1055.25</c:v>
                </c:pt>
                <c:pt idx="8">
                  <c:v>1206</c:v>
                </c:pt>
                <c:pt idx="9">
                  <c:v>1341.675</c:v>
                </c:pt>
                <c:pt idx="10">
                  <c:v>1477.35</c:v>
                </c:pt>
                <c:pt idx="11">
                  <c:v>1613.025</c:v>
                </c:pt>
                <c:pt idx="12">
                  <c:v>1748.7</c:v>
                </c:pt>
                <c:pt idx="13">
                  <c:v>1884.375</c:v>
                </c:pt>
                <c:pt idx="14">
                  <c:v>2020.05</c:v>
                </c:pt>
                <c:pt idx="15">
                  <c:v>2155.725</c:v>
                </c:pt>
                <c:pt idx="16">
                  <c:v>2291.4</c:v>
                </c:pt>
                <c:pt idx="17">
                  <c:v>2427.075</c:v>
                </c:pt>
                <c:pt idx="18">
                  <c:v>2562.75</c:v>
                </c:pt>
                <c:pt idx="19">
                  <c:v>2698.425</c:v>
                </c:pt>
                <c:pt idx="20">
                  <c:v>2834.1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charts/chart4.xml><?xml version="1.0" encoding="utf-8"?>
<c:chartSpace xmlns:a="http://schemas.openxmlformats.org/drawingml/2006/main" xmlns:c="http://schemas.openxmlformats.org/drawingml/2006/chart" xmlns:ns2="http://schemas.microsoft.com/office/drawing/2014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 (+) / Rebound (−)</a:t>
            </a:r>
          </a:p>
        </c:rich>
      </c:tx>
      <c:overlay val="0"/>
    </c:title>
    <c:autoTitleDeleted val="0"/>
    <c:plotArea>
      <c:layout/>
      <c:scatterChart>
        <c:scatterStyle val="line"/>
        <c:varyColors val="1"/>
        <c:ser>
          <c:idx val="0"/>
          <c:order val="0"/>
          <c:tx>
            <c:strRef>
              <c:f>'Samples'!$C$133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extLst>
            <c:ext uri="{C3380CC4-5D6E-409C-BE32-E72D297353CC}">
              <ns2:uniqueId val="{00000000-4E88-40AE-8203-698A1E1AB78F}"/>
            </c:ext>
          </c:extLst>
          <c:marker>
            <c:symbol val="none"/>
          </c:marker>
          <c:xVal>
            <c:numRef>
              <c:f>'Samples'!$B$134:$B$154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'Samples'!$C$134:$C$154</c:f>
              <c:numCache>
                <c:formatCode>0.00</c:formatCode>
                <c:ptCount val="21"/>
                <c:pt idx="0">
                  <c:v>0</c:v>
                </c:pt>
                <c:pt idx="1">
                  <c:v>65</c:v>
                </c:pt>
                <c:pt idx="2">
                  <c:v>130</c:v>
                </c:pt>
                <c:pt idx="3">
                  <c:v>186.42</c:v>
                </c:pt>
                <c:pt idx="4">
                  <c:v>237.12</c:v>
                </c:pt>
                <c:pt idx="5">
                  <c:v>287.82</c:v>
                </c:pt>
                <c:pt idx="6">
                  <c:v>338.52</c:v>
                </c:pt>
                <c:pt idx="7">
                  <c:v>389.22</c:v>
                </c:pt>
                <c:pt idx="8">
                  <c:v>439.92</c:v>
                </c:pt>
                <c:pt idx="9">
                  <c:v>490.62</c:v>
                </c:pt>
                <c:pt idx="10">
                  <c:v>541.32</c:v>
                </c:pt>
                <c:pt idx="11">
                  <c:v>592.02</c:v>
                </c:pt>
                <c:pt idx="12">
                  <c:v>662.72</c:v>
                </c:pt>
                <c:pt idx="13">
                  <c:v>763.42</c:v>
                </c:pt>
                <c:pt idx="14">
                  <c:v>864.12</c:v>
                </c:pt>
                <c:pt idx="15">
                  <c:v>964.82</c:v>
                </c:pt>
                <c:pt idx="16">
                  <c:v>1065.52</c:v>
                </c:pt>
                <c:pt idx="17">
                  <c:v>1166.22</c:v>
                </c:pt>
                <c:pt idx="18">
                  <c:v>1266.92</c:v>
                </c:pt>
                <c:pt idx="19">
                  <c:v>1367.62</c:v>
                </c:pt>
                <c:pt idx="20">
                  <c:v>1468.32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'Samples'!$D$133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extLst>
            <c:ext uri="{C3380CC4-5D6E-409C-BE32-E72D297353CC}">
              <ns2:uniqueId val="{00000001-4E88-40AE-8203-698A1E1AB78F}"/>
            </c:ext>
          </c:extLst>
          <c:marker>
            <c:symbol val="none"/>
          </c:marker>
          <c:xVal>
            <c:numRef>
              <c:f>'Samples'!$B$134:$B$154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'Samples'!$D$134:$D$154</c:f>
              <c:numCache>
                <c:formatCode>0.00</c:formatCode>
                <c:ptCount val="21"/>
                <c:pt idx="0">
                  <c:v>0</c:v>
                </c:pt>
                <c:pt idx="1">
                  <c:v>95</c:v>
                </c:pt>
                <c:pt idx="2">
                  <c:v>190</c:v>
                </c:pt>
                <c:pt idx="3">
                  <c:v>279.585</c:v>
                </c:pt>
                <c:pt idx="4">
                  <c:v>356.535</c:v>
                </c:pt>
                <c:pt idx="5">
                  <c:v>433.485</c:v>
                </c:pt>
                <c:pt idx="6">
                  <c:v>510.435</c:v>
                </c:pt>
                <c:pt idx="7">
                  <c:v>587.385</c:v>
                </c:pt>
                <c:pt idx="8">
                  <c:v>664.335</c:v>
                </c:pt>
                <c:pt idx="9">
                  <c:v>741.285</c:v>
                </c:pt>
                <c:pt idx="10">
                  <c:v>818.235</c:v>
                </c:pt>
                <c:pt idx="11">
                  <c:v>895.185</c:v>
                </c:pt>
                <c:pt idx="12">
                  <c:v>989.635</c:v>
                </c:pt>
                <c:pt idx="13">
                  <c:v>1154.085</c:v>
                </c:pt>
                <c:pt idx="14">
                  <c:v>1318.535</c:v>
                </c:pt>
                <c:pt idx="15">
                  <c:v>1482.985</c:v>
                </c:pt>
                <c:pt idx="16">
                  <c:v>1647.435</c:v>
                </c:pt>
                <c:pt idx="17">
                  <c:v>1811.885</c:v>
                </c:pt>
                <c:pt idx="18">
                  <c:v>1976.335</c:v>
                </c:pt>
                <c:pt idx="19">
                  <c:v>2140.785</c:v>
                </c:pt>
                <c:pt idx="20">
                  <c:v>2305.235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'Samples'!$E$133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extLst>
            <c:ext uri="{C3380CC4-5D6E-409C-BE32-E72D297353CC}">
              <ns2:uniqueId val="{00000002-4E88-40AE-8203-698A1E1AB78F}"/>
            </c:ext>
          </c:extLst>
          <c:marker>
            <c:symbol val="none"/>
          </c:marker>
          <c:xVal>
            <c:numRef>
              <c:f>'Samples'!$B$134:$B$154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'Samples'!$E$134:$E$154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480</c:v>
                </c:pt>
                <c:pt idx="5">
                  <c:v>585</c:v>
                </c:pt>
                <c:pt idx="6">
                  <c:v>690</c:v>
                </c:pt>
                <c:pt idx="7">
                  <c:v>795</c:v>
                </c:pt>
                <c:pt idx="8">
                  <c:v>900</c:v>
                </c:pt>
                <c:pt idx="9">
                  <c:v>1005</c:v>
                </c:pt>
                <c:pt idx="10">
                  <c:v>1110</c:v>
                </c:pt>
                <c:pt idx="11">
                  <c:v>1215</c:v>
                </c:pt>
                <c:pt idx="12">
                  <c:v>1320</c:v>
                </c:pt>
                <c:pt idx="13">
                  <c:v>1550</c:v>
                </c:pt>
                <c:pt idx="14">
                  <c:v>1780</c:v>
                </c:pt>
                <c:pt idx="15">
                  <c:v>2010</c:v>
                </c:pt>
                <c:pt idx="16">
                  <c:v>2240</c:v>
                </c:pt>
                <c:pt idx="17">
                  <c:v>2470</c:v>
                </c:pt>
                <c:pt idx="18">
                  <c:v>2700</c:v>
                </c:pt>
                <c:pt idx="19">
                  <c:v>2930</c:v>
                </c:pt>
                <c:pt idx="20">
                  <c:v>3160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'Samples'!$F$133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extLst>
            <c:ext uri="{C3380CC4-5D6E-409C-BE32-E72D297353CC}">
              <ns2:uniqueId val="{00000003-4E88-40AE-8203-698A1E1AB78F}"/>
            </c:ext>
          </c:extLst>
          <c:marker>
            <c:symbol val="none"/>
          </c:marker>
          <c:xVal>
            <c:numRef>
              <c:f>'Samples'!$B$134:$B$154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'Samples'!$F$134:$F$154</c:f>
              <c:numCache>
                <c:formatCode>0.00</c:formatCode>
                <c:ptCount val="21"/>
                <c:pt idx="0">
                  <c:v>0</c:v>
                </c:pt>
                <c:pt idx="1">
                  <c:v>155</c:v>
                </c:pt>
                <c:pt idx="2">
                  <c:v>310</c:v>
                </c:pt>
                <c:pt idx="3">
                  <c:v>465</c:v>
                </c:pt>
                <c:pt idx="4">
                  <c:v>603.88</c:v>
                </c:pt>
                <c:pt idx="5">
                  <c:v>738.73</c:v>
                </c:pt>
                <c:pt idx="6">
                  <c:v>873.58</c:v>
                </c:pt>
                <c:pt idx="7">
                  <c:v>1008.43</c:v>
                </c:pt>
                <c:pt idx="8">
                  <c:v>1143.28</c:v>
                </c:pt>
                <c:pt idx="9">
                  <c:v>1278.13</c:v>
                </c:pt>
                <c:pt idx="10">
                  <c:v>1412.98</c:v>
                </c:pt>
                <c:pt idx="11">
                  <c:v>1547.83</c:v>
                </c:pt>
                <c:pt idx="12">
                  <c:v>1682.68</c:v>
                </c:pt>
                <c:pt idx="13">
                  <c:v>1947.53</c:v>
                </c:pt>
                <c:pt idx="14">
                  <c:v>2244.88</c:v>
                </c:pt>
                <c:pt idx="15">
                  <c:v>2542.23</c:v>
                </c:pt>
                <c:pt idx="16">
                  <c:v>2839.58</c:v>
                </c:pt>
                <c:pt idx="17">
                  <c:v>3136.93</c:v>
                </c:pt>
                <c:pt idx="18">
                  <c:v>3434.28</c:v>
                </c:pt>
                <c:pt idx="19">
                  <c:v>3731.63</c:v>
                </c:pt>
                <c:pt idx="20">
                  <c:v>4028.98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'Samples'!$G$133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extLst>
            <c:ext uri="{C3380CC4-5D6E-409C-BE32-E72D297353CC}">
              <ns2:uniqueId val="{00000004-4E88-40AE-8203-698A1E1AB78F}"/>
            </c:ext>
          </c:extLst>
          <c:marker>
            <c:symbol val="none"/>
          </c:marker>
          <c:xVal>
            <c:numRef>
              <c:f>'Samples'!$B$134:$B$154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'Samples'!$G$134:$G$154</c:f>
              <c:numCache>
                <c:formatCode>0.00</c:formatCode>
                <c:ptCount val="21"/>
                <c:pt idx="0">
                  <c:v>0</c:v>
                </c:pt>
                <c:pt idx="1">
                  <c:v>185</c:v>
                </c:pt>
                <c:pt idx="2">
                  <c:v>370</c:v>
                </c:pt>
                <c:pt idx="3">
                  <c:v>555</c:v>
                </c:pt>
                <c:pt idx="4">
                  <c:v>728.9</c:v>
                </c:pt>
                <c:pt idx="5">
                  <c:v>895.4</c:v>
                </c:pt>
                <c:pt idx="6">
                  <c:v>1061.9</c:v>
                </c:pt>
                <c:pt idx="7">
                  <c:v>1228.4</c:v>
                </c:pt>
                <c:pt idx="8">
                  <c:v>1394.9</c:v>
                </c:pt>
                <c:pt idx="9">
                  <c:v>1561.4</c:v>
                </c:pt>
                <c:pt idx="10">
                  <c:v>1727.9</c:v>
                </c:pt>
                <c:pt idx="11">
                  <c:v>1894.4</c:v>
                </c:pt>
                <c:pt idx="12">
                  <c:v>2060.9</c:v>
                </c:pt>
                <c:pt idx="13">
                  <c:v>2347.4</c:v>
                </c:pt>
                <c:pt idx="14">
                  <c:v>2713.9</c:v>
                </c:pt>
                <c:pt idx="15">
                  <c:v>3080.4</c:v>
                </c:pt>
                <c:pt idx="16">
                  <c:v>3446.9</c:v>
                </c:pt>
                <c:pt idx="17">
                  <c:v>3813.4</c:v>
                </c:pt>
                <c:pt idx="18">
                  <c:v>4179.9</c:v>
                </c:pt>
                <c:pt idx="19">
                  <c:v>4546.4</c:v>
                </c:pt>
                <c:pt idx="20">
                  <c:v>4912.9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'Samples'!$H$133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extLst>
            <c:ext uri="{C3380CC4-5D6E-409C-BE32-E72D297353CC}">
              <ns2:uniqueId val="{00000005-4E88-40AE-8203-698A1E1AB78F}"/>
            </c:ext>
          </c:extLst>
          <c:marker>
            <c:symbol val="none"/>
          </c:marker>
          <c:xVal>
            <c:numRef>
              <c:f>'Samples'!$B$134:$B$154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'Samples'!$H$134:$H$154</c:f>
              <c:numCache>
                <c:formatCode>0.00</c:formatCode>
                <c:ptCount val="21"/>
                <c:pt idx="0">
                  <c:v>0</c:v>
                </c:pt>
                <c:pt idx="1">
                  <c:v>-60.75</c:v>
                </c:pt>
                <c:pt idx="2">
                  <c:v>-121.5</c:v>
                </c:pt>
                <c:pt idx="3">
                  <c:v>-182.25</c:v>
                </c:pt>
                <c:pt idx="4">
                  <c:v>-243</c:v>
                </c:pt>
                <c:pt idx="5">
                  <c:v>-303.75</c:v>
                </c:pt>
                <c:pt idx="6">
                  <c:v>-364.5</c:v>
                </c:pt>
                <c:pt idx="7">
                  <c:v>-409.455</c:v>
                </c:pt>
                <c:pt idx="8">
                  <c:v>-454.41</c:v>
                </c:pt>
                <c:pt idx="9">
                  <c:v>-499.365</c:v>
                </c:pt>
                <c:pt idx="10">
                  <c:v>-544.32</c:v>
                </c:pt>
                <c:pt idx="11">
                  <c:v>-589.275</c:v>
                </c:pt>
                <c:pt idx="12">
                  <c:v>-634.23</c:v>
                </c:pt>
                <c:pt idx="13">
                  <c:v>-679.185</c:v>
                </c:pt>
                <c:pt idx="14">
                  <c:v>-724.14</c:v>
                </c:pt>
                <c:pt idx="15">
                  <c:v>-769.095</c:v>
                </c:pt>
                <c:pt idx="16">
                  <c:v>-814.05</c:v>
                </c:pt>
                <c:pt idx="17">
                  <c:v>-859.005</c:v>
                </c:pt>
                <c:pt idx="18">
                  <c:v>-903.96</c:v>
                </c:pt>
                <c:pt idx="19">
                  <c:v>-948.915</c:v>
                </c:pt>
                <c:pt idx="20">
                  <c:v>-993.87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'Samples'!$I$133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extLst>
            <c:ext uri="{C3380CC4-5D6E-409C-BE32-E72D297353CC}">
              <ns2:uniqueId val="{00000006-4E88-40AE-8203-698A1E1AB78F}"/>
            </c:ext>
          </c:extLst>
          <c:marker>
            <c:symbol val="none"/>
          </c:marker>
          <c:xVal>
            <c:numRef>
              <c:f>'Samples'!$B$134:$B$154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'Samples'!$I$134:$I$154</c:f>
              <c:numCache>
                <c:formatCode>0.00</c:formatCode>
                <c:ptCount val="21"/>
                <c:pt idx="0">
                  <c:v>0</c:v>
                </c:pt>
                <c:pt idx="1">
                  <c:v>-83.25</c:v>
                </c:pt>
                <c:pt idx="2">
                  <c:v>-166.5</c:v>
                </c:pt>
                <c:pt idx="3">
                  <c:v>-249.75</c:v>
                </c:pt>
                <c:pt idx="4">
                  <c:v>-333</c:v>
                </c:pt>
                <c:pt idx="5">
                  <c:v>-416.25</c:v>
                </c:pt>
                <c:pt idx="6">
                  <c:v>-499.5</c:v>
                </c:pt>
                <c:pt idx="7">
                  <c:v>-573.5925</c:v>
                </c:pt>
                <c:pt idx="8">
                  <c:v>-638.5275</c:v>
                </c:pt>
                <c:pt idx="9">
                  <c:v>-703.4625</c:v>
                </c:pt>
                <c:pt idx="10">
                  <c:v>-768.3975</c:v>
                </c:pt>
                <c:pt idx="11">
                  <c:v>-833.3325</c:v>
                </c:pt>
                <c:pt idx="12">
                  <c:v>-898.2675</c:v>
                </c:pt>
                <c:pt idx="13">
                  <c:v>-963.2025</c:v>
                </c:pt>
                <c:pt idx="14">
                  <c:v>-1028.1375</c:v>
                </c:pt>
                <c:pt idx="15">
                  <c:v>-1093.0725</c:v>
                </c:pt>
                <c:pt idx="16">
                  <c:v>-1158.0075</c:v>
                </c:pt>
                <c:pt idx="17">
                  <c:v>-1222.9425</c:v>
                </c:pt>
                <c:pt idx="18">
                  <c:v>-1287.8775</c:v>
                </c:pt>
                <c:pt idx="19">
                  <c:v>-1352.8125</c:v>
                </c:pt>
                <c:pt idx="20">
                  <c:v>-1417.7475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'Samples'!$J$133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extLst>
            <c:ext uri="{C3380CC4-5D6E-409C-BE32-E72D297353CC}">
              <ns2:uniqueId val="{00000007-4E88-40AE-8203-698A1E1AB78F}"/>
            </c:ext>
          </c:extLst>
          <c:marker>
            <c:symbol val="none"/>
          </c:marker>
          <c:xVal>
            <c:numRef>
              <c:f>'Samples'!$B$134:$B$154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'Samples'!$J$134:$J$154</c:f>
              <c:numCache>
                <c:formatCode>0.00</c:formatCode>
                <c:ptCount val="21"/>
                <c:pt idx="0">
                  <c:v>0</c:v>
                </c:pt>
                <c:pt idx="1">
                  <c:v>-105.75</c:v>
                </c:pt>
                <c:pt idx="2">
                  <c:v>-211.5</c:v>
                </c:pt>
                <c:pt idx="3">
                  <c:v>-317.25</c:v>
                </c:pt>
                <c:pt idx="4">
                  <c:v>-423</c:v>
                </c:pt>
                <c:pt idx="5">
                  <c:v>-528.75</c:v>
                </c:pt>
                <c:pt idx="6">
                  <c:v>-634.5</c:v>
                </c:pt>
                <c:pt idx="7">
                  <c:v>-740.25</c:v>
                </c:pt>
                <c:pt idx="8">
                  <c:v>-826.965</c:v>
                </c:pt>
                <c:pt idx="9">
                  <c:v>-913.68</c:v>
                </c:pt>
                <c:pt idx="10">
                  <c:v>-1000.395</c:v>
                </c:pt>
                <c:pt idx="11">
                  <c:v>-1087.11</c:v>
                </c:pt>
                <c:pt idx="12">
                  <c:v>-1173.825</c:v>
                </c:pt>
                <c:pt idx="13">
                  <c:v>-1260.54</c:v>
                </c:pt>
                <c:pt idx="14">
                  <c:v>-1347.255</c:v>
                </c:pt>
                <c:pt idx="15">
                  <c:v>-1433.97</c:v>
                </c:pt>
                <c:pt idx="16">
                  <c:v>-1520.685</c:v>
                </c:pt>
                <c:pt idx="17">
                  <c:v>-1607.4</c:v>
                </c:pt>
                <c:pt idx="18">
                  <c:v>-1694.115</c:v>
                </c:pt>
                <c:pt idx="19">
                  <c:v>-1780.83</c:v>
                </c:pt>
                <c:pt idx="20">
                  <c:v>-1867.545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'Samples'!$K$133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extLst>
            <c:ext uri="{C3380CC4-5D6E-409C-BE32-E72D297353CC}">
              <ns2:uniqueId val="{00000008-4E88-40AE-8203-698A1E1AB78F}"/>
            </c:ext>
          </c:extLst>
          <c:marker>
            <c:symbol val="none"/>
          </c:marker>
          <c:xVal>
            <c:numRef>
              <c:f>'Samples'!$B$134:$B$154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'Samples'!$K$134:$K$154</c:f>
              <c:numCache>
                <c:formatCode>0.00</c:formatCode>
                <c:ptCount val="21"/>
                <c:pt idx="0">
                  <c:v>0</c:v>
                </c:pt>
                <c:pt idx="1">
                  <c:v>-128.25</c:v>
                </c:pt>
                <c:pt idx="2">
                  <c:v>-256.5</c:v>
                </c:pt>
                <c:pt idx="3">
                  <c:v>-384.75</c:v>
                </c:pt>
                <c:pt idx="4">
                  <c:v>-513</c:v>
                </c:pt>
                <c:pt idx="5">
                  <c:v>-641.25</c:v>
                </c:pt>
                <c:pt idx="6">
                  <c:v>-769.5</c:v>
                </c:pt>
                <c:pt idx="7">
                  <c:v>-897.75</c:v>
                </c:pt>
                <c:pt idx="8">
                  <c:v>-1017.0225</c:v>
                </c:pt>
                <c:pt idx="9">
                  <c:v>-1127.3175</c:v>
                </c:pt>
                <c:pt idx="10">
                  <c:v>-1237.6125</c:v>
                </c:pt>
                <c:pt idx="11">
                  <c:v>-1347.9075</c:v>
                </c:pt>
                <c:pt idx="12">
                  <c:v>-1458.2025</c:v>
                </c:pt>
                <c:pt idx="13">
                  <c:v>-1568.4975</c:v>
                </c:pt>
                <c:pt idx="14">
                  <c:v>-1678.7925</c:v>
                </c:pt>
                <c:pt idx="15">
                  <c:v>-1789.0875</c:v>
                </c:pt>
                <c:pt idx="16">
                  <c:v>-1899.3825</c:v>
                </c:pt>
                <c:pt idx="17">
                  <c:v>-2009.6775</c:v>
                </c:pt>
                <c:pt idx="18">
                  <c:v>-2119.9725</c:v>
                </c:pt>
                <c:pt idx="19">
                  <c:v>-2230.2675</c:v>
                </c:pt>
                <c:pt idx="20">
                  <c:v>-2340.5625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'Samples'!$L$133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extLst>
            <c:ext uri="{C3380CC4-5D6E-409C-BE32-E72D297353CC}">
              <ns2:uniqueId val="{00000009-4E88-40AE-8203-698A1E1AB78F}"/>
            </c:ext>
          </c:extLst>
          <c:marker>
            <c:symbol val="none"/>
          </c:marker>
          <c:xVal>
            <c:numRef>
              <c:f>'Samples'!$B$134:$B$154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'Samples'!$L$134:$L$154</c:f>
              <c:numCache>
                <c:formatCode>0.00</c:formatCode>
                <c:ptCount val="21"/>
                <c:pt idx="0">
                  <c:v>0</c:v>
                </c:pt>
                <c:pt idx="1">
                  <c:v>-150.75</c:v>
                </c:pt>
                <c:pt idx="2">
                  <c:v>-301.5</c:v>
                </c:pt>
                <c:pt idx="3">
                  <c:v>-452.25</c:v>
                </c:pt>
                <c:pt idx="4">
                  <c:v>-603</c:v>
                </c:pt>
                <c:pt idx="5">
                  <c:v>-753.75</c:v>
                </c:pt>
                <c:pt idx="6">
                  <c:v>-904.5</c:v>
                </c:pt>
                <c:pt idx="7">
                  <c:v>-1055.25</c:v>
                </c:pt>
                <c:pt idx="8">
                  <c:v>-1206</c:v>
                </c:pt>
                <c:pt idx="9">
                  <c:v>-1341.675</c:v>
                </c:pt>
                <c:pt idx="10">
                  <c:v>-1477.35</c:v>
                </c:pt>
                <c:pt idx="11">
                  <c:v>-1613.025</c:v>
                </c:pt>
                <c:pt idx="12">
                  <c:v>-1748.7</c:v>
                </c:pt>
                <c:pt idx="13">
                  <c:v>-1884.375</c:v>
                </c:pt>
                <c:pt idx="14">
                  <c:v>-2020.05</c:v>
                </c:pt>
                <c:pt idx="15">
                  <c:v>-2155.725</c:v>
                </c:pt>
                <c:pt idx="16">
                  <c:v>-2291.4</c:v>
                </c:pt>
                <c:pt idx="17">
                  <c:v>-2427.075</c:v>
                </c:pt>
                <c:pt idx="18">
                  <c:v>-2562.75</c:v>
                </c:pt>
                <c:pt idx="19">
                  <c:v>-2698.425</c:v>
                </c:pt>
                <c:pt idx="20">
                  <c:v>-2834.1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c0982b54674e5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3948e02420432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d30597fb8949bf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8e6640e6754a3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c79fab23e874b9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81bb7164a5ff4bd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e5910c97557b4a5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a9128cf22cdd4c90" /></Relationships>
</file>

<file path=xl/worksheets/sheet1.xml><?xml version="1.0" encoding="utf-8"?>
<x:worksheet xmlns:x="http://schemas.openxmlformats.org/spreadsheetml/2006/main">
  <x:sheetPr>
    <x:tabColor rgb="FF31475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.5" hidden="0" customWidth="1"/>
    <x:col min="2" max="2" width="10.5" hidden="0" customWidth="1"/>
    <x:col min="3" max="3" width="10.5" hidden="0" customWidth="1"/>
    <x:col min="4" max="4" width="10.5" hidden="0" customWidth="1"/>
    <x:col min="5" max="5" width="10.5" hidden="0" customWidth="1"/>
    <x:col min="6" max="6" width="10.5" hidden="0" customWidth="1"/>
    <x:col min="7" max="7" width="10.5" hidden="0" customWidth="1"/>
    <x:col min="8" max="8" width="10.5" hidden="0" customWidth="1"/>
    <x:col min="9" max="9" width="10.5" hidden="0" customWidth="1"/>
    <x:col min="10" max="10" width="10.5" hidden="0" customWidth="1"/>
    <x:col min="11" max="11" width="10.5" hidden="0" customWidth="1"/>
    <x:col min="12" max="12" width="10.5" hidden="0" customWidth="1"/>
    <x:col min="13" max="13" width="10.5" hidden="0" customWidth="1"/>
    <x:col min="14" max="14" width="10.5" hidden="0" customWidth="1"/>
    <x:col min="15" max="15" width="10.5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3" customHeight="1">
      <x:c r="A2" s="2"/>
      <x:c r="B2" s="3" t="str">
        <x:v>Astral · LSC Sweep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3" customHeight="1">
      <x:c r="A4" s="2"/>
      <x:c r="B4" s="2" t="str">
        <x:v>Valving</x:v>
      </x:c>
      <x:c r="C4" s="19" t="str">
        <x:v>Type-A</x:v>
      </x:c>
      <x:c r="D4" s="2"/>
      <x:c r="E4" s="4" t="str">
        <x:v>Type-B · 独立设计草稿；切换仅作用于本页。</x:v>
      </x:c>
      <x:c r="F4" s="4"/>
      <x:c r="G4" s="4"/>
      <x:c r="H4" s="4"/>
      <x:c r="I4" s="4"/>
      <x:c r="J4" s="4"/>
      <x:c r="K4" s="4"/>
      <x:c r="L4" s="4"/>
      <x:c r="M4" s="4"/>
      <x:c r="N4" s="2"/>
      <x:c r="O4" s="2"/>
    </x:row>
    <x:row r="5" ht="23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3" customHeight="1">
      <x:c r="A6" s="2"/>
      <x:c r="B6" s="2" t="str">
        <x:v>固定 HSC</x:v>
      </x:c>
      <x:c r="C6" s="11" t="n">
        <x:v>-10</x:v>
      </x:c>
      <x:c r="D6" s="2"/>
      <x:c r="E6" s="2" t="str">
        <x:v>LSC：最软 / 25% / 默认 / 75% / 最硬</x:v>
      </x:c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 ht="23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 ht="23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 ht="23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 ht="23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 ht="23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 ht="23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 ht="23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 ht="23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 ht="23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 ht="23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 ht="23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 ht="23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 ht="23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 ht="23" customHeight="1">
      <x:c r="A41" s="2"/>
      <x:c r="B41" s="20" t="str">
        <x:v>轴速 0～1 m/s · 每 0.05 m/s 一点 · 直线连接 · 详细计算与采样位于 Samples</x:v>
      </x:c>
      <x:c r="C41" s="20"/>
      <x:c r="D41" s="20"/>
      <x:c r="E41" s="20"/>
      <x:c r="F41" s="20"/>
      <x:c r="G41" s="20"/>
      <x:c r="H41" s="20"/>
      <x:c r="I41" s="20"/>
      <x:c r="J41" s="20"/>
      <x:c r="K41" s="20"/>
      <x:c r="L41" s="20"/>
      <x:c r="M41" s="20"/>
      <x:c r="N41" s="2"/>
      <x:c r="O41" s="2"/>
    </x:row>
    <x:row r="42" ht="23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</x:sheetData>
  <x:mergeCells>
    <x:mergeCell ref="B2:M2"/>
    <x:mergeCell ref="E4:M4"/>
    <x:mergeCell ref="E6:M6"/>
    <x:mergeCell ref="B41:M41"/>
  </x:mergeCells>
  <x:dataValidations count="2">
    <x:dataValidation type="list" sqref="C4">
      <x:formula1>"Type-A,Type-B"</x:formula1>
    </x:dataValidation>
    <x:dataValidation type="whole" operator="between" sqref="C6">
      <x:formula1>-20</x:formula1>
      <x:formula2>0</x:formula2>
    </x:dataValidation>
  </x:dataValidations>
  <x:pageMargins left="0.7" right="0.7" top="0.75" bottom="0.75" header="0.3" footer="0.3"/>
  <x:drawing xmlns:r="http://schemas.openxmlformats.org/officeDocument/2006/relationships" r:id="Rec79fab23e874b94"/>
</x:worksheet>
</file>

<file path=xl/worksheets/sheet2.xml><?xml version="1.0" encoding="utf-8"?>
<x:worksheet xmlns:x="http://schemas.openxmlformats.org/spreadsheetml/2006/main">
  <x:sheetPr>
    <x:tabColor rgb="FF31475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.5" hidden="0" customWidth="1"/>
    <x:col min="2" max="2" width="10.5" hidden="0" customWidth="1"/>
    <x:col min="3" max="3" width="10.5" hidden="0" customWidth="1"/>
    <x:col min="4" max="4" width="10.5" hidden="0" customWidth="1"/>
    <x:col min="5" max="5" width="10.5" hidden="0" customWidth="1"/>
    <x:col min="6" max="6" width="10.5" hidden="0" customWidth="1"/>
    <x:col min="7" max="7" width="10.5" hidden="0" customWidth="1"/>
    <x:col min="8" max="8" width="10.5" hidden="0" customWidth="1"/>
    <x:col min="9" max="9" width="10.5" hidden="0" customWidth="1"/>
    <x:col min="10" max="10" width="10.5" hidden="0" customWidth="1"/>
    <x:col min="11" max="11" width="10.5" hidden="0" customWidth="1"/>
    <x:col min="12" max="12" width="10.5" hidden="0" customWidth="1"/>
    <x:col min="13" max="13" width="10.5" hidden="0" customWidth="1"/>
    <x:col min="14" max="14" width="10.5" hidden="0" customWidth="1"/>
    <x:col min="15" max="15" width="10.5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3" customHeight="1">
      <x:c r="A2" s="2"/>
      <x:c r="B2" s="3" t="str">
        <x:v>Astral · HSC Sweep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3" customHeight="1">
      <x:c r="A4" s="2"/>
      <x:c r="B4" s="2" t="str">
        <x:v>Valving</x:v>
      </x:c>
      <x:c r="C4" s="19" t="str">
        <x:v>Type-A</x:v>
      </x:c>
      <x:c r="D4" s="2"/>
      <x:c r="E4" s="4" t="str">
        <x:v>Type-B · 独立设计草稿；切换仅作用于本页。</x:v>
      </x:c>
      <x:c r="F4" s="4"/>
      <x:c r="G4" s="4"/>
      <x:c r="H4" s="4"/>
      <x:c r="I4" s="4"/>
      <x:c r="J4" s="4"/>
      <x:c r="K4" s="4"/>
      <x:c r="L4" s="4"/>
      <x:c r="M4" s="4"/>
      <x:c r="N4" s="2"/>
      <x:c r="O4" s="2"/>
    </x:row>
    <x:row r="5" ht="23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3" customHeight="1">
      <x:c r="A6" s="2"/>
      <x:c r="B6" s="2" t="str">
        <x:v>固定 LSC</x:v>
      </x:c>
      <x:c r="C6" s="11" t="n">
        <x:v>-12</x:v>
      </x:c>
      <x:c r="D6" s="2"/>
      <x:c r="E6" s="2" t="str">
        <x:v>HSC：最软 / 25% / 默认 / 75% / 最硬</x:v>
      </x:c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 ht="23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 ht="23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 ht="23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 ht="23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 ht="23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 ht="23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 ht="23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 ht="23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 ht="23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 ht="23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 ht="23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 ht="23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 ht="23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 ht="23" customHeight="1">
      <x:c r="A41" s="2"/>
      <x:c r="B41" s="20" t="str">
        <x:v>轴速 0～1 m/s · 每 0.05 m/s 一点 · 直线连接 · 详细计算与采样位于 Samples</x:v>
      </x:c>
      <x:c r="C41" s="20"/>
      <x:c r="D41" s="20"/>
      <x:c r="E41" s="20"/>
      <x:c r="F41" s="20"/>
      <x:c r="G41" s="20"/>
      <x:c r="H41" s="20"/>
      <x:c r="I41" s="20"/>
      <x:c r="J41" s="20"/>
      <x:c r="K41" s="20"/>
      <x:c r="L41" s="20"/>
      <x:c r="M41" s="20"/>
      <x:c r="N41" s="2"/>
      <x:c r="O41" s="2"/>
    </x:row>
    <x:row r="42" ht="23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</x:sheetData>
  <x:mergeCells>
    <x:mergeCell ref="B2:M2"/>
    <x:mergeCell ref="E4:M4"/>
    <x:mergeCell ref="E6:M6"/>
    <x:mergeCell ref="B41:M41"/>
  </x:mergeCells>
  <x:dataValidations count="2">
    <x:dataValidation type="list" sqref="C4">
      <x:formula1>"Type-A,Type-B"</x:formula1>
    </x:dataValidation>
    <x:dataValidation type="whole" operator="between" sqref="C6">
      <x:formula1>-24</x:formula1>
      <x:formula2>0</x:formula2>
    </x:dataValidation>
  </x:dataValidations>
  <x:pageMargins left="0.7" right="0.7" top="0.75" bottom="0.75" header="0.3" footer="0.3"/>
  <x:drawing xmlns:r="http://schemas.openxmlformats.org/officeDocument/2006/relationships" r:id="R81bb7164a5ff4bda"/>
</x:worksheet>
</file>

<file path=xl/worksheets/sheet3.xml><?xml version="1.0" encoding="utf-8"?>
<x:worksheet xmlns:x="http://schemas.openxmlformats.org/spreadsheetml/2006/main">
  <x:sheetPr>
    <x:tabColor rgb="FF31475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.5" hidden="0" customWidth="1"/>
    <x:col min="2" max="2" width="10.5" hidden="0" customWidth="1"/>
    <x:col min="3" max="3" width="10.5" hidden="0" customWidth="1"/>
    <x:col min="4" max="4" width="10.5" hidden="0" customWidth="1"/>
    <x:col min="5" max="5" width="10.5" hidden="0" customWidth="1"/>
    <x:col min="6" max="6" width="10.5" hidden="0" customWidth="1"/>
    <x:col min="7" max="7" width="10.5" hidden="0" customWidth="1"/>
    <x:col min="8" max="8" width="10.5" hidden="0" customWidth="1"/>
    <x:col min="9" max="9" width="10.5" hidden="0" customWidth="1"/>
    <x:col min="10" max="10" width="10.5" hidden="0" customWidth="1"/>
    <x:col min="11" max="11" width="10.5" hidden="0" customWidth="1"/>
    <x:col min="12" max="12" width="10.5" hidden="0" customWidth="1"/>
    <x:col min="13" max="13" width="10.5" hidden="0" customWidth="1"/>
    <x:col min="14" max="14" width="10.5" hidden="0" customWidth="1"/>
    <x:col min="15" max="15" width="10.5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3" customHeight="1">
      <x:c r="A2" s="2"/>
      <x:c r="B2" s="3" t="str">
        <x:v>Astral · LSR Sweep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3" customHeight="1">
      <x:c r="A4" s="2"/>
      <x:c r="B4" s="2" t="str">
        <x:v>Valving</x:v>
      </x:c>
      <x:c r="C4" s="19" t="str">
        <x:v>Type-A</x:v>
      </x:c>
      <x:c r="D4" s="2"/>
      <x:c r="E4" s="4" t="str">
        <x:v>Type-B · 独立设计草稿；切换仅作用于本页。</x:v>
      </x:c>
      <x:c r="F4" s="4"/>
      <x:c r="G4" s="4"/>
      <x:c r="H4" s="4"/>
      <x:c r="I4" s="4"/>
      <x:c r="J4" s="4"/>
      <x:c r="K4" s="4"/>
      <x:c r="L4" s="4"/>
      <x:c r="M4" s="4"/>
      <x:c r="N4" s="2"/>
      <x:c r="O4" s="2"/>
    </x:row>
    <x:row r="5" ht="23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3" customHeight="1">
      <x:c r="A6" s="2"/>
      <x:c r="B6" s="2" t="str">
        <x:v>LSR：−40 / −30 / −20 / −10 / 0 R；图中显示回弹力大小。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 ht="23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 ht="23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 ht="23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 ht="23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 ht="23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 ht="23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 ht="23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 ht="23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 ht="23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 ht="23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 ht="23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 ht="23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 ht="23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 ht="23" customHeight="1">
      <x:c r="A41" s="2"/>
      <x:c r="B41" s="20" t="str">
        <x:v>轴速 0～1 m/s · 每 0.05 m/s 一点 · 直线连接 · 详细计算与采样位于 Samples</x:v>
      </x:c>
      <x:c r="C41" s="20"/>
      <x:c r="D41" s="20"/>
      <x:c r="E41" s="20"/>
      <x:c r="F41" s="20"/>
      <x:c r="G41" s="20"/>
      <x:c r="H41" s="20"/>
      <x:c r="I41" s="20"/>
      <x:c r="J41" s="20"/>
      <x:c r="K41" s="20"/>
      <x:c r="L41" s="20"/>
      <x:c r="M41" s="20"/>
      <x:c r="N41" s="2"/>
      <x:c r="O41" s="2"/>
    </x:row>
    <x:row r="42" ht="23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</x:sheetData>
  <x:mergeCells>
    <x:mergeCell ref="B2:M2"/>
    <x:mergeCell ref="E4:M4"/>
    <x:mergeCell ref="B6:M6"/>
    <x:mergeCell ref="B41:M41"/>
  </x:mergeCells>
  <x:dataValidations count="1">
    <x:dataValidation type="list" sqref="C4">
      <x:formula1>"Type-A,Type-B"</x:formula1>
    </x:dataValidation>
  </x:dataValidations>
  <x:pageMargins left="0.7" right="0.7" top="0.75" bottom="0.75" header="0.3" footer="0.3"/>
  <x:drawing xmlns:r="http://schemas.openxmlformats.org/officeDocument/2006/relationships" r:id="Re5910c97557b4a52"/>
</x:worksheet>
</file>

<file path=xl/worksheets/sheet4.xml><?xml version="1.0" encoding="utf-8"?>
<x:worksheet xmlns:x="http://schemas.openxmlformats.org/spreadsheetml/2006/main">
  <x:sheetPr>
    <x:tabColor rgb="FF31475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.5" hidden="0" customWidth="1"/>
    <x:col min="2" max="2" width="10.5" hidden="0" customWidth="1"/>
    <x:col min="3" max="3" width="10.5" hidden="0" customWidth="1"/>
    <x:col min="4" max="4" width="10.5" hidden="0" customWidth="1"/>
    <x:col min="5" max="5" width="10.5" hidden="0" customWidth="1"/>
    <x:col min="6" max="6" width="10.5" hidden="0" customWidth="1"/>
    <x:col min="7" max="7" width="10.5" hidden="0" customWidth="1"/>
    <x:col min="8" max="8" width="10.5" hidden="0" customWidth="1"/>
    <x:col min="9" max="9" width="10.5" hidden="0" customWidth="1"/>
    <x:col min="10" max="10" width="10.5" hidden="0" customWidth="1"/>
    <x:col min="11" max="11" width="10.5" hidden="0" customWidth="1"/>
    <x:col min="12" max="12" width="10.5" hidden="0" customWidth="1"/>
    <x:col min="13" max="13" width="10.5" hidden="0" customWidth="1"/>
    <x:col min="14" max="14" width="10.5" hidden="0" customWidth="1"/>
    <x:col min="15" max="15" width="10.5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3" customHeight="1">
      <x:c r="A2" s="2"/>
      <x:c r="B2" s="3" t="str">
        <x:v>Astral · Combined Sweep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3" customHeight="1">
      <x:c r="A4" s="2"/>
      <x:c r="B4" s="2" t="str">
        <x:v>Valving</x:v>
      </x:c>
      <x:c r="C4" s="19" t="str">
        <x:v>Type-A</x:v>
      </x:c>
      <x:c r="D4" s="2"/>
      <x:c r="E4" s="4" t="str">
        <x:v>Type-B · 独立设计草稿；切换仅作用于本页。</x:v>
      </x:c>
      <x:c r="F4" s="4"/>
      <x:c r="G4" s="4"/>
      <x:c r="H4" s="4"/>
      <x:c r="I4" s="4"/>
      <x:c r="J4" s="4"/>
      <x:c r="K4" s="4"/>
      <x:c r="L4" s="4"/>
      <x:c r="M4" s="4"/>
      <x:c r="N4" s="2"/>
      <x:c r="O4" s="2"/>
    </x:row>
    <x:row r="5" ht="23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3" customHeight="1">
      <x:c r="A6" s="2"/>
      <x:c r="B6" s="2" t="str">
        <x:v>压缩与回弹各五条：最软 / 25% / 默认 / 75% / 最硬。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 ht="23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 ht="23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 ht="23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 ht="23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 ht="23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 ht="23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 ht="23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 ht="23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 ht="23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 ht="23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 ht="23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 ht="23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 ht="23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 ht="23" customHeight="1">
      <x:c r="A41" s="2"/>
      <x:c r="B41" s="20" t="str">
        <x:v>轴速 0～1 m/s · 每 0.05 m/s 一点 · 直线连接 · 详细计算与采样位于 Samples</x:v>
      </x:c>
      <x:c r="C41" s="20"/>
      <x:c r="D41" s="20"/>
      <x:c r="E41" s="20"/>
      <x:c r="F41" s="20"/>
      <x:c r="G41" s="20"/>
      <x:c r="H41" s="20"/>
      <x:c r="I41" s="20"/>
      <x:c r="J41" s="20"/>
      <x:c r="K41" s="20"/>
      <x:c r="L41" s="20"/>
      <x:c r="M41" s="20"/>
      <x:c r="N41" s="2"/>
      <x:c r="O41" s="2"/>
    </x:row>
    <x:row r="42" ht="23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</x:sheetData>
  <x:mergeCells>
    <x:mergeCell ref="B2:M2"/>
    <x:mergeCell ref="E4:M4"/>
    <x:mergeCell ref="B6:M6"/>
    <x:mergeCell ref="B41:M41"/>
  </x:mergeCells>
  <x:dataValidations count="1">
    <x:dataValidation type="list" sqref="C4">
      <x:formula1>"Type-A,Type-B"</x:formula1>
    </x:dataValidation>
  </x:dataValidations>
  <x:pageMargins left="0.7" right="0.7" top="0.75" bottom="0.75" header="0.3" footer="0.3"/>
  <x:drawing xmlns:r="http://schemas.openxmlformats.org/officeDocument/2006/relationships" r:id="Ra9128cf22cdd4c90"/>
</x:worksheet>
</file>

<file path=xl/worksheets/sheet5.xml><?xml version="1.0" encoding="utf-8"?>
<x:worksheet xmlns:x="http://schemas.openxmlformats.org/spreadsheetml/2006/main">
  <x:sheetPr>
    <x:tabColor rgb="FFC49A32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.5" hidden="0" customWidth="1"/>
    <x:col min="2" max="2" width="23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3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.5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3" customHeight="1">
      <x:c r="A2" s="2"/>
      <x:c r="B2" s="3" t="str">
        <x:v>Astral · Valving parameters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3" customHeight="1">
      <x:c r="A3" s="2"/>
      <x:c r="B3" s="4" t="str">
        <x:v>黄色单元格可编辑；Type-B 是当前 Type-A 的独立副本，用于设计草稿。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3" customHeight="1">
      <x:c r="A5" s="2"/>
      <x:c r="B5" s="2"/>
      <x:c r="C5" s="2"/>
      <x:c r="D5" s="6" t="str">
        <x:v>Type-A</x:v>
      </x:c>
      <x:c r="E5" s="6"/>
      <x:c r="F5" s="6"/>
      <x:c r="G5" s="6"/>
      <x:c r="H5" s="6"/>
      <x:c r="I5" s="2"/>
      <x:c r="J5" s="6" t="str">
        <x:v>Type-B · Draft</x:v>
      </x:c>
      <x:c r="K5" s="6"/>
      <x:c r="L5" s="6"/>
      <x:c r="M5" s="6"/>
      <x:c r="N5" s="6"/>
      <x:c r="O5" s="2"/>
    </x:row>
    <x:row r="6" ht="23" customHeight="1">
      <x:c r="A6" s="2"/>
      <x:c r="B6" s="2" t="str">
        <x:v>调节位置</x:v>
      </x:c>
      <x:c r="C6" s="2" t="str">
        <x:v>比例</x:v>
      </x:c>
      <x:c r="D6" s="7" t="n">
        <x:v>0</x:v>
      </x:c>
      <x:c r="E6" s="7" t="n">
        <x:v>0.25</x:v>
      </x:c>
      <x:c r="F6" s="7" t="n">
        <x:v>0.5</x:v>
      </x:c>
      <x:c r="G6" s="7" t="n">
        <x:v>0.75</x:v>
      </x:c>
      <x:c r="H6" s="7" t="n">
        <x:v>1</x:v>
      </x:c>
      <x:c r="I6" s="7"/>
      <x:c r="J6" s="7" t="n">
        <x:f>D6</x:f>
        <x:v>0</x:v>
      </x:c>
      <x:c r="K6" s="7" t="n">
        <x:f>E6</x:f>
        <x:v>0.25</x:v>
      </x:c>
      <x:c r="L6" s="7" t="n">
        <x:f>F6</x:f>
        <x:v>0.5</x:v>
      </x:c>
      <x:c r="M6" s="7" t="n">
        <x:f>G6</x:f>
        <x:v>0.75</x:v>
      </x:c>
      <x:c r="N6" s="7" t="n">
        <x:f>H6</x:f>
        <x:v>1</x:v>
      </x:c>
      <x:c r="O6" s="2"/>
    </x:row>
    <x:row r="7" ht="23" customHeight="1">
      <x:c r="A7" s="2"/>
      <x:c r="B7" s="2" t="str">
        <x:v>LSC · c</x:v>
      </x:c>
      <x:c r="C7" s="2" t="str">
        <x:v>格</x:v>
      </x:c>
      <x:c r="D7" s="2" t="n">
        <x:f>(D$6-1)*$D$24</x:f>
        <x:v>-24</x:v>
      </x:c>
      <x:c r="E7" s="2" t="n">
        <x:f>(E$6-1)*$D$24</x:f>
        <x:v>-18</x:v>
      </x:c>
      <x:c r="F7" s="2" t="n">
        <x:f>(F$6-1)*$D$24</x:f>
        <x:v>-12</x:v>
      </x:c>
      <x:c r="G7" s="2" t="n">
        <x:f>(G$6-1)*$D$24</x:f>
        <x:v>-6</x:v>
      </x:c>
      <x:c r="H7" s="2" t="n">
        <x:f>(H$6-1)*$D$24</x:f>
        <x:v>0</x:v>
      </x:c>
      <x:c r="I7" s="2"/>
      <x:c r="J7" s="2" t="n">
        <x:f>(J$6-1)*$D$24</x:f>
        <x:v>-24</x:v>
      </x:c>
      <x:c r="K7" s="2" t="n">
        <x:f>(K$6-1)*$D$24</x:f>
        <x:v>-18</x:v>
      </x:c>
      <x:c r="L7" s="2" t="n">
        <x:f>(L$6-1)*$D$24</x:f>
        <x:v>-12</x:v>
      </x:c>
      <x:c r="M7" s="2" t="n">
        <x:f>(M$6-1)*$D$24</x:f>
        <x:v>-6</x:v>
      </x:c>
      <x:c r="N7" s="2" t="n">
        <x:f>(N$6-1)*$D$24</x:f>
        <x:v>0</x:v>
      </x:c>
      <x:c r="O7" s="2"/>
    </x:row>
    <x:row r="8" ht="23" customHeight="1">
      <x:c r="A8" s="2"/>
      <x:c r="B8" s="2" t="str">
        <x:v>HSC · C</x:v>
      </x:c>
      <x:c r="C8" s="2" t="str">
        <x:v>格</x:v>
      </x:c>
      <x:c r="D8" s="2" t="n">
        <x:f>(D$6-1)*$D$25</x:f>
        <x:v>-20</x:v>
      </x:c>
      <x:c r="E8" s="2" t="n">
        <x:f>(E$6-1)*$D$25</x:f>
        <x:v>-15</x:v>
      </x:c>
      <x:c r="F8" s="2" t="n">
        <x:f>(F$6-1)*$D$25</x:f>
        <x:v>-10</x:v>
      </x:c>
      <x:c r="G8" s="2" t="n">
        <x:f>(G$6-1)*$D$25</x:f>
        <x:v>-5</x:v>
      </x:c>
      <x:c r="H8" s="2" t="n">
        <x:f>(H$6-1)*$D$25</x:f>
        <x:v>0</x:v>
      </x:c>
      <x:c r="I8" s="2"/>
      <x:c r="J8" s="2" t="n">
        <x:f>(J$6-1)*$D$25</x:f>
        <x:v>-20</x:v>
      </x:c>
      <x:c r="K8" s="2" t="n">
        <x:f>(K$6-1)*$D$25</x:f>
        <x:v>-15</x:v>
      </x:c>
      <x:c r="L8" s="2" t="n">
        <x:f>(L$6-1)*$D$25</x:f>
        <x:v>-10</x:v>
      </x:c>
      <x:c r="M8" s="2" t="n">
        <x:f>(M$6-1)*$D$25</x:f>
        <x:v>-5</x:v>
      </x:c>
      <x:c r="N8" s="2" t="n">
        <x:f>(N$6-1)*$D$25</x:f>
        <x:v>0</x:v>
      </x:c>
      <x:c r="O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 ht="23" customHeight="1">
      <x:c r="A10" s="2"/>
      <x:c r="B10" s="2" t="str">
        <x:v>bump1</x:v>
      </x:c>
      <x:c r="C10" s="2" t="str">
        <x:v>N·s/m</x:v>
      </x:c>
      <x:c r="D10" s="11" t="n">
        <x:v>1300</x:v>
      </x:c>
      <x:c r="E10" s="14" t="n">
        <x:f>(D10+F10)/2</x:f>
        <x:v>1900</x:v>
      </x:c>
      <x:c r="F10" s="11" t="n">
        <x:v>2500</x:v>
      </x:c>
      <x:c r="G10" s="14" t="n">
        <x:f>(F10+H10)/2</x:f>
        <x:v>3100</x:v>
      </x:c>
      <x:c r="H10" s="11" t="n">
        <x:v>3700</x:v>
      </x:c>
      <x:c r="I10" s="2"/>
      <x:c r="J10" s="11" t="n">
        <x:v>1300</x:v>
      </x:c>
      <x:c r="K10" s="14" t="n">
        <x:f>(J10+L10)/2</x:f>
        <x:v>1900</x:v>
      </x:c>
      <x:c r="L10" s="11" t="n">
        <x:v>2500</x:v>
      </x:c>
      <x:c r="M10" s="14" t="n">
        <x:f>(L10+N10)/2</x:f>
        <x:v>3100</x:v>
      </x:c>
      <x:c r="N10" s="11" t="n">
        <x:v>3700</x:v>
      </x:c>
      <x:c r="O10" s="2"/>
    </x:row>
    <x:row r="11" ht="23" customHeight="1">
      <x:c r="A11" s="2"/>
      <x:c r="B11" s="2" t="str">
        <x:v>LSC knee</x:v>
      </x:c>
      <x:c r="C11" s="2" t="str">
        <x:v>m/s</x:v>
      </x:c>
      <x:c r="D11" s="12" t="n">
        <x:v>0.12</x:v>
      </x:c>
      <x:c r="E11" s="13" t="n">
        <x:f>(D11+F11)/2</x:f>
        <x:v>0.135</x:v>
      </x:c>
      <x:c r="F11" s="12" t="n">
        <x:v>0.15</x:v>
      </x:c>
      <x:c r="G11" s="13" t="n">
        <x:f>(F11+H11)/2</x:f>
        <x:v>0.16</x:v>
      </x:c>
      <x:c r="H11" s="12" t="n">
        <x:v>0.17</x:v>
      </x:c>
      <x:c r="I11" s="2"/>
      <x:c r="J11" s="12" t="n">
        <x:v>0.12</x:v>
      </x:c>
      <x:c r="K11" s="13" t="n">
        <x:f>(J11+L11)/2</x:f>
        <x:v>0.135</x:v>
      </x:c>
      <x:c r="L11" s="12" t="n">
        <x:v>0.15</x:v>
      </x:c>
      <x:c r="M11" s="13" t="n">
        <x:f>(L11+N11)/2</x:f>
        <x:v>0.16</x:v>
      </x:c>
      <x:c r="N11" s="12" t="n">
        <x:v>0.17</x:v>
      </x:c>
      <x:c r="O11" s="2"/>
    </x:row>
    <x:row r="12" ht="23" customHeight="1">
      <x:c r="A12" s="2"/>
      <x:c r="B12" s="2" t="str">
        <x:v>bump2 / bump1</x:v>
      </x:c>
      <x:c r="C12" s="2" t="str">
        <x:v>倍率</x:v>
      </x:c>
      <x:c r="D12" s="12" t="n">
        <x:v>0.78</x:v>
      </x:c>
      <x:c r="E12" s="13" t="n">
        <x:f>(D12+F12)/2</x:f>
        <x:v>0.81</x:v>
      </x:c>
      <x:c r="F12" s="12" t="n">
        <x:v>0.84</x:v>
      </x:c>
      <x:c r="G12" s="13" t="n">
        <x:f>(F12+H12)/2</x:f>
        <x:v>0.87</x:v>
      </x:c>
      <x:c r="H12" s="12" t="n">
        <x:v>0.9</x:v>
      </x:c>
      <x:c r="I12" s="2"/>
      <x:c r="J12" s="12" t="n">
        <x:v>0.78</x:v>
      </x:c>
      <x:c r="K12" s="13" t="n">
        <x:f>(J12+L12)/2</x:f>
        <x:v>0.81</x:v>
      </x:c>
      <x:c r="L12" s="12" t="n">
        <x:v>0.84</x:v>
      </x:c>
      <x:c r="M12" s="13" t="n">
        <x:f>(L12+N12)/2</x:f>
        <x:v>0.87</x:v>
      </x:c>
      <x:c r="N12" s="12" t="n">
        <x:v>0.9</x:v>
      </x:c>
      <x:c r="O12" s="2"/>
    </x:row>
    <x:row r="13" ht="23" customHeight="1">
      <x:c r="A13" s="2"/>
      <x:c r="B13" s="2" t="str">
        <x:v>HSbump · 附加梁</x:v>
      </x:c>
      <x:c r="C13" s="2" t="str">
        <x:v>N·s/m</x:v>
      </x:c>
      <x:c r="D13" s="11" t="n">
        <x:v>1000</x:v>
      </x:c>
      <x:c r="E13" s="14" t="n">
        <x:f>(D13+F13)/2</x:f>
        <x:v>1750</x:v>
      </x:c>
      <x:c r="F13" s="11" t="n">
        <x:v>2500</x:v>
      </x:c>
      <x:c r="G13" s="14" t="n">
        <x:f>(F13+H13)/2</x:f>
        <x:v>3250</x:v>
      </x:c>
      <x:c r="H13" s="11" t="n">
        <x:v>4000</x:v>
      </x:c>
      <x:c r="I13" s="2"/>
      <x:c r="J13" s="11" t="n">
        <x:v>1000</x:v>
      </x:c>
      <x:c r="K13" s="14" t="n">
        <x:f>(J13+L13)/2</x:f>
        <x:v>1750</x:v>
      </x:c>
      <x:c r="L13" s="11" t="n">
        <x:v>2500</x:v>
      </x:c>
      <x:c r="M13" s="14" t="n">
        <x:f>(L13+N13)/2</x:f>
        <x:v>3250</x:v>
      </x:c>
      <x:c r="N13" s="11" t="n">
        <x:v>4000</x:v>
      </x:c>
      <x:c r="O13" s="2"/>
    </x:row>
    <x:row r="14" ht="23" customHeight="1">
      <x:c r="A14" s="2"/>
      <x:c r="B14" s="2" t="str">
        <x:v>HSC knee</x:v>
      </x:c>
      <x:c r="C14" s="2" t="str">
        <x:v>m/s</x:v>
      </x:c>
      <x:c r="D14" s="12" t="n">
        <x:v>0.58</x:v>
      </x:c>
      <x:c r="E14" s="12" t="n">
        <x:v>0.59</x:v>
      </x:c>
      <x:c r="F14" s="12" t="n">
        <x:v>0.6</x:v>
      </x:c>
      <x:c r="G14" s="12" t="n">
        <x:v>0.61</x:v>
      </x:c>
      <x:c r="H14" s="12" t="n">
        <x:v>0.62</x:v>
      </x:c>
      <x:c r="I14" s="2"/>
      <x:c r="J14" s="12" t="n">
        <x:v>0.58</x:v>
      </x:c>
      <x:c r="K14" s="12" t="n">
        <x:v>0.59</x:v>
      </x:c>
      <x:c r="L14" s="12" t="n">
        <x:v>0.6</x:v>
      </x:c>
      <x:c r="M14" s="12" t="n">
        <x:v>0.61</x:v>
      </x:c>
      <x:c r="N14" s="12" t="n">
        <x:v>0.62</x:v>
      </x:c>
      <x:c r="O14" s="2"/>
    </x:row>
    <x:row r="15" ht="23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 ht="23" customHeight="1">
      <x:c r="A16" s="2"/>
      <x:c r="B16" s="2" t="str">
        <x:v>LSR · R（6 系）</x:v>
      </x:c>
      <x:c r="C16" s="2" t="str">
        <x:v>格</x:v>
      </x:c>
      <x:c r="D16" s="2" t="n">
        <x:f>(D$6-1)*$D$26</x:f>
        <x:v>-40</x:v>
      </x:c>
      <x:c r="E16" s="2" t="n">
        <x:f>(E$6-1)*$D$26</x:f>
        <x:v>-30</x:v>
      </x:c>
      <x:c r="F16" s="2" t="n">
        <x:f>(F$6-1)*$D$26</x:f>
        <x:v>-20</x:v>
      </x:c>
      <x:c r="G16" s="2" t="n">
        <x:f>(G$6-1)*$D$26</x:f>
        <x:v>-10</x:v>
      </x:c>
      <x:c r="H16" s="2" t="n">
        <x:f>(H$6-1)*$D$26</x:f>
        <x:v>0</x:v>
      </x:c>
      <x:c r="I16" s="2"/>
      <x:c r="J16" s="2" t="n">
        <x:f>(J$6-1)*$D$26</x:f>
        <x:v>-40</x:v>
      </x:c>
      <x:c r="K16" s="2" t="n">
        <x:f>(K$6-1)*$D$26</x:f>
        <x:v>-30</x:v>
      </x:c>
      <x:c r="L16" s="2" t="n">
        <x:f>(L$6-1)*$D$26</x:f>
        <x:v>-20</x:v>
      </x:c>
      <x:c r="M16" s="2" t="n">
        <x:f>(M$6-1)*$D$26</x:f>
        <x:v>-10</x:v>
      </x:c>
      <x:c r="N16" s="2" t="n">
        <x:f>(N$6-1)*$D$26</x:f>
        <x:v>0</x:v>
      </x:c>
      <x:c r="O16" s="2"/>
    </x:row>
    <x:row r="17" ht="23" customHeight="1">
      <x:c r="A17" s="2"/>
      <x:c r="B17" s="2" t="str">
        <x:v>rebound</x:v>
      </x:c>
      <x:c r="C17" s="2" t="str">
        <x:v>N·s/m</x:v>
      </x:c>
      <x:c r="D17" s="14" t="n">
        <x:f>H17+F21*D16</x:f>
        <x:v>1215</x:v>
      </x:c>
      <x:c r="E17" s="14" t="n">
        <x:f>H17+F21*E16</x:f>
        <x:v>1665</x:v>
      </x:c>
      <x:c r="F17" s="14" t="n">
        <x:f>H17+F21*F16</x:f>
        <x:v>2115</x:v>
      </x:c>
      <x:c r="G17" s="14" t="n">
        <x:f>H17+F21*G16</x:f>
        <x:v>2565</x:v>
      </x:c>
      <x:c r="H17" s="11" t="n">
        <x:v>3015</x:v>
      </x:c>
      <x:c r="I17" s="2"/>
      <x:c r="J17" s="14" t="n">
        <x:f>N17+L21*J16</x:f>
        <x:v>1215</x:v>
      </x:c>
      <x:c r="K17" s="14" t="n">
        <x:f>N17+L21*K16</x:f>
        <x:v>1665</x:v>
      </x:c>
      <x:c r="L17" s="14" t="n">
        <x:f>N17+L21*L16</x:f>
        <x:v>2115</x:v>
      </x:c>
      <x:c r="M17" s="14" t="n">
        <x:f>N17+L21*M16</x:f>
        <x:v>2565</x:v>
      </x:c>
      <x:c r="N17" s="11" t="n">
        <x:v>3015</x:v>
      </x:c>
      <x:c r="O17" s="2"/>
    </x:row>
    <x:row r="18" ht="23" customHeight="1">
      <x:c r="A18" s="2"/>
      <x:c r="B18" s="2" t="str">
        <x:v>Rebound knee</x:v>
      </x:c>
      <x:c r="C18" s="2" t="str">
        <x:v>m/s</x:v>
      </x:c>
      <x:c r="D18" s="12" t="n">
        <x:v>0.3</x:v>
      </x:c>
      <x:c r="E18" s="13" t="n">
        <x:f>(D18+F18)/2</x:f>
        <x:v>0.32499999999999996</x:v>
      </x:c>
      <x:c r="F18" s="12" t="n">
        <x:v>0.35</x:v>
      </x:c>
      <x:c r="G18" s="13" t="n">
        <x:f>(F18+H18)/2</x:f>
        <x:v>0.375</x:v>
      </x:c>
      <x:c r="H18" s="12" t="n">
        <x:v>0.4</x:v>
      </x:c>
      <x:c r="I18" s="2"/>
      <x:c r="J18" s="12" t="n">
        <x:v>0.3</x:v>
      </x:c>
      <x:c r="K18" s="13" t="n">
        <x:f>(J18+L18)/2</x:f>
        <x:v>0.32499999999999996</x:v>
      </x:c>
      <x:c r="L18" s="12" t="n">
        <x:v>0.35</x:v>
      </x:c>
      <x:c r="M18" s="13" t="n">
        <x:f>(L18+N18)/2</x:f>
        <x:v>0.375</x:v>
      </x:c>
      <x:c r="N18" s="12" t="n">
        <x:v>0.4</x:v>
      </x:c>
      <x:c r="O18" s="2"/>
    </x:row>
    <x:row r="19" ht="23" customHeight="1">
      <x:c r="A19" s="2"/>
      <x:c r="B19" s="2" t="str">
        <x:v>HSrebound / rebound</x:v>
      </x:c>
      <x:c r="C19" s="2" t="str">
        <x:v>倍率</x:v>
      </x:c>
      <x:c r="D19" s="12" t="n">
        <x:v>0.74</x:v>
      </x:c>
      <x:c r="E19" s="13" t="n">
        <x:f>(D19+F19)/2</x:f>
        <x:v>0.78</x:v>
      </x:c>
      <x:c r="F19" s="12" t="n">
        <x:v>0.82</x:v>
      </x:c>
      <x:c r="G19" s="13" t="n">
        <x:f>(F19+H19)/2</x:f>
        <x:v>0.86</x:v>
      </x:c>
      <x:c r="H19" s="12" t="n">
        <x:v>0.9</x:v>
      </x:c>
      <x:c r="I19" s="2"/>
      <x:c r="J19" s="12" t="n">
        <x:v>0.74</x:v>
      </x:c>
      <x:c r="K19" s="13" t="n">
        <x:f>(J19+L19)/2</x:f>
        <x:v>0.78</x:v>
      </x:c>
      <x:c r="L19" s="12" t="n">
        <x:v>0.82</x:v>
      </x:c>
      <x:c r="M19" s="13" t="n">
        <x:f>(L19+N19)/2</x:f>
        <x:v>0.86</x:v>
      </x:c>
      <x:c r="N19" s="12" t="n">
        <x:v>0.9</x:v>
      </x:c>
      <x:c r="O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 ht="23" customHeight="1">
      <x:c r="A21" s="2"/>
      <x:c r="B21" s="2" t="str">
        <x:v>LSR 每格增量（6 系）</x:v>
      </x:c>
      <x:c r="C21" s="2" t="str">
        <x:v>N·s/m</x:v>
      </x:c>
      <x:c r="D21" s="2"/>
      <x:c r="E21" s="2"/>
      <x:c r="F21" s="10" t="n">
        <x:v>45</x:v>
      </x:c>
      <x:c r="G21" s="2"/>
      <x:c r="H21" s="2"/>
      <x:c r="I21" s="2"/>
      <x:c r="J21" s="2"/>
      <x:c r="K21" s="2"/>
      <x:c r="L21" s="10" t="n">
        <x:v>45</x:v>
      </x:c>
      <x:c r="M21" s="2"/>
      <x:c r="N21" s="2"/>
      <x:c r="O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23" customHeight="1">
      <x:c r="A23" s="2"/>
      <x:c r="B23" s="6" t="str">
        <x:v>Clicks · 共用调节格数</x:v>
      </x:c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2"/>
    </x:row>
    <x:row r="24" ht="23" customHeight="1">
      <x:c r="A24" s="2"/>
      <x:c r="B24" s="2" t="str">
        <x:v>LSC · 所有车型</x:v>
      </x:c>
      <x:c r="C24" s="2"/>
      <x:c r="D24" s="2" t="n">
        <x:v>24</x:v>
      </x:c>
      <x:c r="E24" s="2"/>
      <x:c r="F24" s="15" t="str">
        <x:v>Sweep 以 6 系的 c / C / R 格数显示；计算器支持 WRC17 的 60 格回弹。</x:v>
      </x:c>
      <x:c r="G24" s="15"/>
      <x:c r="H24" s="15"/>
      <x:c r="I24" s="15"/>
      <x:c r="J24" s="15"/>
      <x:c r="K24" s="15"/>
      <x:c r="L24" s="15"/>
      <x:c r="M24" s="15"/>
      <x:c r="N24" s="15"/>
      <x:c r="O24" s="2"/>
    </x:row>
    <x:row r="25" ht="23" customHeight="1">
      <x:c r="A25" s="2"/>
      <x:c r="B25" s="2" t="str">
        <x:v>HSC · 所有车型</x:v>
      </x:c>
      <x:c r="C25" s="2"/>
      <x:c r="D25" s="2" t="n">
        <x:v>20</x:v>
      </x:c>
      <x:c r="E25" s="2"/>
      <x:c r="F25" s="15"/>
      <x:c r="G25" s="15"/>
      <x:c r="H25" s="15"/>
      <x:c r="I25" s="15"/>
      <x:c r="J25" s="15"/>
      <x:c r="K25" s="15"/>
      <x:c r="L25" s="15"/>
      <x:c r="M25" s="15"/>
      <x:c r="N25" s="15"/>
      <x:c r="O25" s="2"/>
    </x:row>
    <x:row r="26" ht="23" customHeight="1">
      <x:c r="A26" s="2"/>
      <x:c r="B26" s="2" t="str">
        <x:v>LSR · Rally2 / Rally1</x:v>
      </x:c>
      <x:c r="C26" s="2"/>
      <x:c r="D26" s="2" t="n">
        <x:v>40</x:v>
      </x:c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23" customHeight="1">
      <x:c r="A27" s="2"/>
      <x:c r="B27" s="2" t="str">
        <x:v>LSR · WRC17</x:v>
      </x:c>
      <x:c r="C27" s="2"/>
      <x:c r="D27" s="2" t="n">
        <x:v>60</x:v>
      </x:c>
      <x:c r="E27" s="2"/>
      <x:c r="F27" s="2" t="str">
        <x:v>0 为最硬；负数为从全关退出的格数。</x:v>
      </x:c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23" customHeight="1">
      <x:c r="A29" s="2"/>
      <x:c r="B29" s="6" t="str">
        <x:v>Model · 延续当前公式</x:v>
      </x:c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2"/>
    </x:row>
    <x:row r="30" ht="23" customHeight="1">
      <x:c r="A30" s="2"/>
      <x:c r="B30" s="16" t="str">
        <x:v>bump2 = bump1 × 中间段倍率；总高速系数 = bump2 + HSbump。</x:v>
      </x:c>
      <x:c r="C30" s="16"/>
      <x:c r="D30" s="16"/>
      <x:c r="E30" s="16"/>
      <x:c r="F30" s="16"/>
      <x:c r="G30" s="16"/>
      <x:c r="H30" s="16"/>
      <x:c r="I30" s="16"/>
      <x:c r="J30" s="16"/>
      <x:c r="K30" s="16"/>
      <x:c r="L30" s="16"/>
      <x:c r="M30" s="16"/>
      <x:c r="N30" s="16"/>
      <x:c r="O30" s="2"/>
    </x:row>
    <x:row r="31" ht="31" customHeight="1">
      <x:c r="A31" s="2"/>
      <x:c r="B31" s="17" t="str">
        <x:v>压缩力 = bump1 × MIN(v, LSC knee) + bump2 × MAX(0, v − LSC knee) + HSbump × MAX(0, v − HSC knee)。</x:v>
      </x:c>
      <x:c r="C31" s="17"/>
      <x:c r="D31" s="17"/>
      <x:c r="E31" s="17"/>
      <x:c r="F31" s="17"/>
      <x:c r="G31" s="17"/>
      <x:c r="H31" s="17"/>
      <x:c r="I31" s="17"/>
      <x:c r="J31" s="17"/>
      <x:c r="K31" s="17"/>
      <x:c r="L31" s="17"/>
      <x:c r="M31" s="17"/>
      <x:c r="N31" s="17"/>
      <x:c r="O31" s="2"/>
    </x:row>
    <x:row r="32" ht="23" customHeight="1">
      <x:c r="A32" s="2"/>
      <x:c r="B32" s="16" t="str">
        <x:v>回弹力 = rebound × MIN(v, Rebound knee) + HSrebound × MAX(0, v − Rebound knee)。</x:v>
      </x:c>
      <x:c r="C32" s="16"/>
      <x:c r="D32" s="16"/>
      <x:c r="E32" s="16"/>
      <x:c r="F32" s="16"/>
      <x:c r="G32" s="16"/>
      <x:c r="H32" s="16"/>
      <x:c r="I32" s="16"/>
      <x:c r="J32" s="16"/>
      <x:c r="K32" s="16"/>
      <x:c r="L32" s="16"/>
      <x:c r="M32" s="16"/>
      <x:c r="N32" s="16"/>
      <x:c r="O32" s="2"/>
    </x:row>
    <x:row r="33" ht="23" customHeight="1">
      <x:c r="A33" s="2"/>
      <x:c r="B33" s="16" t="str">
        <x:v>连续分段接续仍为工作假设；这里计算基础阻尼，不叠加气体、弹簧、HBS/HRS 或 LRS/DSV。</x:v>
      </x:c>
      <x:c r="C33" s="16"/>
      <x:c r="D33" s="16"/>
      <x:c r="E33" s="16"/>
      <x:c r="F33" s="16"/>
      <x:c r="G33" s="16"/>
      <x:c r="H33" s="16"/>
      <x:c r="I33" s="16"/>
      <x:c r="J33" s="16"/>
      <x:c r="K33" s="16"/>
      <x:c r="L33" s="16"/>
      <x:c r="M33" s="16"/>
      <x:c r="N33" s="16"/>
      <x:c r="O33" s="2"/>
    </x:row>
    <x:row r="34" ht="23" customHeight="1">
      <x:c r="A34" s="2"/>
      <x:c r="B34" s="16" t="str">
        <x:v>采样 0～1 m/s，间隔 0.05；关闭平滑，采样点以直线连接。</x:v>
      </x:c>
      <x:c r="C34" s="16"/>
      <x:c r="D34" s="16"/>
      <x:c r="E34" s="16"/>
      <x:c r="F34" s="16"/>
      <x:c r="G34" s="16"/>
      <x:c r="H34" s="16"/>
      <x:c r="I34" s="16"/>
      <x:c r="J34" s="16"/>
      <x:c r="K34" s="16"/>
      <x:c r="L34" s="16"/>
      <x:c r="M34" s="16"/>
      <x:c r="N34" s="16"/>
      <x:c r="O34" s="2"/>
    </x:row>
    <x:row r="35" ht="23" customHeight="1">
      <x:c r="A35" s="2"/>
      <x:c r="B35" s="16" t="str">
        <x:v>Type-A 数值保留自本次修改前的 damping_curve.xlsx；Type-B 初始值按用户要求复制 Type-A。</x:v>
      </x:c>
      <x:c r="C35" s="16"/>
      <x:c r="D35" s="16"/>
      <x:c r="E35" s="16"/>
      <x:c r="F35" s="16"/>
      <x:c r="G35" s="16"/>
      <x:c r="H35" s="16"/>
      <x:c r="I35" s="16"/>
      <x:c r="J35" s="16"/>
      <x:c r="K35" s="16"/>
      <x:c r="L35" s="16"/>
      <x:c r="M35" s="16"/>
      <x:c r="N35" s="16"/>
      <x:c r="O35" s="2"/>
    </x:row>
    <x:row r="36" ht="23" customHeight="1">
      <x:c r="A36" s="2"/>
      <x:c r="B36" s="16" t="str">
        <x:v>研究来源：chatgpt-conversation://6a9ed043-7848-83e8-9d36-6e63c8202898</x:v>
      </x:c>
      <x:c r="C36" s="16"/>
      <x:c r="D36" s="16"/>
      <x:c r="E36" s="16"/>
      <x:c r="F36" s="16"/>
      <x:c r="G36" s="16"/>
      <x:c r="H36" s="16"/>
      <x:c r="I36" s="16"/>
      <x:c r="J36" s="16"/>
      <x:c r="K36" s="16"/>
      <x:c r="L36" s="16"/>
      <x:c r="M36" s="16"/>
      <x:c r="N36" s="16"/>
      <x:c r="O36" s="2"/>
    </x:row>
    <x:row r="37" ht="23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 ht="23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 ht="23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 ht="23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 ht="23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 ht="23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</x:sheetData>
  <x:mergeCells>
    <x:mergeCell ref="B2:N2"/>
    <x:mergeCell ref="B3:N3"/>
    <x:mergeCell ref="D5:H5"/>
    <x:mergeCell ref="J5:N5"/>
    <x:mergeCell ref="B23:N23"/>
    <x:mergeCell ref="B24:C24"/>
    <x:mergeCell ref="B25:C25"/>
    <x:mergeCell ref="B26:C26"/>
    <x:mergeCell ref="B27:C27"/>
    <x:mergeCell ref="F24:N25"/>
    <x:mergeCell ref="F27:N27"/>
    <x:mergeCell ref="B29:N29"/>
    <x:mergeCell ref="B30:N30"/>
    <x:mergeCell ref="B31:N31"/>
    <x:mergeCell ref="B32:N32"/>
    <x:mergeCell ref="B33:N33"/>
    <x:mergeCell ref="B34:N34"/>
    <x:mergeCell ref="B35:N35"/>
    <x:mergeCell ref="B36:N3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31475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.5" hidden="0" customWidth="1"/>
    <x:col min="2" max="2" width="21" hidden="0" customWidth="1"/>
    <x:col min="3" max="3" width="13" hidden="0" customWidth="1"/>
    <x:col min="4" max="4" width="3" hidden="0" customWidth="1"/>
    <x:col min="5" max="5" width="10.5" hidden="0" customWidth="1"/>
    <x:col min="6" max="6" width="10.5" hidden="0" customWidth="1"/>
    <x:col min="7" max="7" width="10.5" hidden="0" customWidth="1"/>
    <x:col min="8" max="8" width="10.5" hidden="0" customWidth="1"/>
    <x:col min="9" max="9" width="10.5" hidden="0" customWidth="1"/>
    <x:col min="10" max="10" width="10.5" hidden="0" customWidth="1"/>
    <x:col min="11" max="11" width="10.5" hidden="0" customWidth="1"/>
    <x:col min="12" max="12" width="10.5" hidden="0" customWidth="1"/>
    <x:col min="13" max="13" width="10.5" hidden="0" customWidth="1"/>
    <x:col min="14" max="14" width="10.5" hidden="0" customWidth="1"/>
    <x:col min="15" max="15" width="10.5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3" customHeight="1">
      <x:c r="A2" s="2"/>
      <x:c r="B2" s="3" t="str">
        <x:v>Astral · Damping calculator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3" customHeight="1">
      <x:c r="A4" s="2"/>
      <x:c r="B4" s="2" t="str">
        <x:v>Valving</x:v>
      </x:c>
      <x:c r="C4" s="19" t="str">
        <x:v>Type-A</x:v>
      </x:c>
      <x:c r="D4" s="2"/>
      <x:c r="E4" s="4" t="str">
        <x:v>A / B 独立切换 · 输入实际 c / C / R 格数及轴速</x:v>
      </x:c>
      <x:c r="F4" s="4"/>
      <x:c r="G4" s="4"/>
      <x:c r="H4" s="4"/>
      <x:c r="I4" s="4"/>
      <x:c r="J4" s="4"/>
      <x:c r="K4" s="4"/>
      <x:c r="L4" s="4"/>
      <x:c r="M4" s="4"/>
      <x:c r="N4" s="2"/>
      <x:c r="O4" s="2"/>
    </x:row>
    <x:row r="5" ht="23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3" customHeight="1">
      <x:c r="A6" s="2"/>
      <x:c r="B6" s="2" t="str">
        <x:v>车型</x:v>
      </x:c>
      <x:c r="C6" s="19" t="str">
        <x:v>Rally2</x:v>
      </x:c>
      <x:c r="D6" s="2"/>
      <x:c r="E6" s="2"/>
      <x:c r="F6" s="6" t="str">
        <x:v>当前输入 · 阻尼力大小</x:v>
      </x:c>
      <x:c r="G6" s="6"/>
      <x:c r="H6" s="6"/>
      <x:c r="I6" s="6"/>
      <x:c r="J6" s="6"/>
      <x:c r="K6" s="2"/>
      <x:c r="L6" s="2"/>
      <x:c r="M6" s="2"/>
      <x:c r="N6" s="2"/>
      <x:c r="O6" s="2"/>
    </x:row>
    <x:row r="7" ht="23" customHeight="1">
      <x:c r="A7" s="2"/>
      <x:c r="B7" s="2" t="str">
        <x:v>LSC · c</x:v>
      </x:c>
      <x:c r="C7" s="11" t="n">
        <x:v>-12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 ht="23" customHeight="1">
      <x:c r="A8" s="2"/>
      <x:c r="B8" s="2" t="str">
        <x:v>HSC · C</x:v>
      </x:c>
      <x:c r="C8" s="11" t="n">
        <x:v>-10</x:v>
      </x:c>
      <x:c r="D8" s="2"/>
      <x:c r="E8" s="2"/>
      <x:c r="F8" s="2" t="str">
        <x:v>压缩力 (N)</x:v>
      </x:c>
      <x:c r="G8" s="2"/>
      <x:c r="H8" s="2"/>
      <x:c r="I8" s="37" t="n">
        <x:f>IF(C18="OK",Samples!F165*MIN(C10,Samples!G165)+Samples!I165*MAX(0,C10-Samples!G165)+Samples!J165*MAX(0,C10-Samples!K165),"检查输入")</x:f>
        <x:v>3160</x:v>
      </x:c>
      <x:c r="J8" s="37"/>
      <x:c r="K8" s="2"/>
      <x:c r="L8" s="2"/>
      <x:c r="M8" s="2"/>
      <x:c r="N8" s="2"/>
      <x:c r="O8" s="2"/>
    </x:row>
    <x:row r="9" ht="23" customHeight="1">
      <x:c r="A9" s="2"/>
      <x:c r="B9" s="2" t="str">
        <x:v>LSR · R</x:v>
      </x:c>
      <x:c r="C9" s="11" t="n">
        <x:v>-20</x:v>
      </x:c>
      <x:c r="D9" s="2"/>
      <x:c r="E9" s="2"/>
      <x:c r="F9" s="2"/>
      <x:c r="G9" s="2"/>
      <x:c r="H9" s="2"/>
      <x:c r="I9" s="37"/>
      <x:c r="J9" s="37"/>
      <x:c r="K9" s="2"/>
      <x:c r="L9" s="2"/>
      <x:c r="M9" s="2"/>
      <x:c r="N9" s="2"/>
      <x:c r="O9" s="2"/>
    </x:row>
    <x:row r="10" ht="23" customHeight="1">
      <x:c r="A10" s="2"/>
      <x:c r="B10" s="2" t="str">
        <x:v>轴速 (m/s)</x:v>
      </x:c>
      <x:c r="C10" s="33" t="n">
        <x:v>1</x:v>
      </x:c>
      <x:c r="D10" s="2"/>
      <x:c r="E10" s="2"/>
      <x:c r="F10" s="2" t="str">
        <x:v>回弹力 (N)</x:v>
      </x:c>
      <x:c r="G10" s="2"/>
      <x:c r="H10" s="2"/>
      <x:c r="I10" s="37" t="n">
        <x:f>IF(C18="OK",Samples!M165*MIN(C10,Samples!N165)+Samples!P165*MAX(0,C10-Samples!N165),"检查输入")</x:f>
        <x:v>1867.545</x:v>
      </x:c>
      <x:c r="J10" s="37"/>
      <x:c r="K10" s="2"/>
      <x:c r="L10" s="2"/>
      <x:c r="M10" s="2"/>
      <x:c r="N10" s="2"/>
      <x:c r="O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 ht="23" customHeight="1">
      <x:c r="A13" s="2"/>
      <x:c r="B13" s="2" t="str">
        <x:v>c 总格数</x:v>
      </x:c>
      <x:c r="C13" s="2" t="n">
        <x:f>Parameters!D24</x:f>
        <x:v>24</x:v>
      </x:c>
      <x:c r="D13" s="2"/>
      <x:c r="E13" s="2"/>
      <x:c r="F13" s="6" t="str">
        <x:v>实际计算参数</x:v>
      </x:c>
      <x:c r="G13" s="6"/>
      <x:c r="H13" s="6"/>
      <x:c r="I13" s="6"/>
      <x:c r="J13" s="6"/>
      <x:c r="K13" s="2"/>
      <x:c r="L13" s="2"/>
      <x:c r="M13" s="2"/>
      <x:c r="N13" s="2"/>
      <x:c r="O13" s="2"/>
    </x:row>
    <x:row r="14" ht="23" customHeight="1">
      <x:c r="A14" s="2"/>
      <x:c r="B14" s="2" t="str">
        <x:v>C 总格数</x:v>
      </x:c>
      <x:c r="C14" s="2" t="n">
        <x:f>Parameters!D25</x:f>
        <x:v>20</x:v>
      </x:c>
      <x:c r="D14" s="2"/>
      <x:c r="E14" s="2"/>
      <x:c r="F14" s="2" t="str">
        <x:v>bump1</x:v>
      </x:c>
      <x:c r="G14" s="2"/>
      <x:c r="H14" s="2"/>
      <x:c r="I14" s="38" t="n">
        <x:f>Samples!F165</x:f>
        <x:v>2500</x:v>
      </x:c>
      <x:c r="J14" s="2" t="str">
        <x:v>N·s/m</x:v>
      </x:c>
      <x:c r="K14" s="2"/>
      <x:c r="L14" s="2"/>
      <x:c r="M14" s="2"/>
      <x:c r="N14" s="2"/>
      <x:c r="O14" s="2"/>
    </x:row>
    <x:row r="15" ht="23" customHeight="1">
      <x:c r="A15" s="2"/>
      <x:c r="B15" s="2" t="str">
        <x:v>R 总格数</x:v>
      </x:c>
      <x:c r="C15" s="2" t="n">
        <x:f>IF(C6="WRC17",Parameters!D27,Parameters!D26)</x:f>
        <x:v>40</x:v>
      </x:c>
      <x:c r="D15" s="2"/>
      <x:c r="E15" s="2"/>
      <x:c r="F15" s="2" t="str">
        <x:v>bump2</x:v>
      </x:c>
      <x:c r="G15" s="2"/>
      <x:c r="H15" s="2"/>
      <x:c r="I15" s="38" t="n">
        <x:f>Samples!I165</x:f>
        <x:v>2100</x:v>
      </x:c>
      <x:c r="J15" s="2" t="str">
        <x:v>N·s/m</x:v>
      </x:c>
      <x:c r="K15" s="2"/>
      <x:c r="L15" s="2"/>
      <x:c r="M15" s="2"/>
      <x:c r="N15" s="2"/>
      <x:c r="O15" s="2"/>
    </x:row>
    <x:row r="16" ht="23" customHeight="1">
      <x:c r="A16" s="2"/>
      <x:c r="B16" s="2"/>
      <x:c r="C16" s="2"/>
      <x:c r="D16" s="2"/>
      <x:c r="E16" s="2"/>
      <x:c r="F16" s="2" t="str">
        <x:v>HSbump · 附加梁</x:v>
      </x:c>
      <x:c r="G16" s="2"/>
      <x:c r="H16" s="2"/>
      <x:c r="I16" s="38" t="n">
        <x:f>Samples!J165</x:f>
        <x:v>2500</x:v>
      </x:c>
      <x:c r="J16" s="2" t="str">
        <x:v>N·s/m</x:v>
      </x:c>
      <x:c r="K16" s="2"/>
      <x:c r="L16" s="2"/>
      <x:c r="M16" s="2"/>
      <x:c r="N16" s="2"/>
      <x:c r="O16" s="2"/>
    </x:row>
    <x:row r="17" ht="23" customHeight="1">
      <x:c r="A17" s="2"/>
      <x:c r="B17" s="2"/>
      <x:c r="C17" s="2"/>
      <x:c r="D17" s="2"/>
      <x:c r="E17" s="2"/>
      <x:c r="F17" s="2" t="str">
        <x:v>总高速系数</x:v>
      </x:c>
      <x:c r="G17" s="2"/>
      <x:c r="H17" s="2"/>
      <x:c r="I17" s="38" t="n">
        <x:f>Samples!L165</x:f>
        <x:v>4600</x:v>
      </x:c>
      <x:c r="J17" s="2" t="str">
        <x:v>N·s/m</x:v>
      </x:c>
      <x:c r="K17" s="2"/>
      <x:c r="L17" s="2"/>
      <x:c r="M17" s="2"/>
      <x:c r="N17" s="2"/>
      <x:c r="O17" s="2"/>
    </x:row>
    <x:row r="18" ht="23" customHeight="1">
      <x:c r="A18" s="2"/>
      <x:c r="B18" s="2" t="str">
        <x:v>输入检查</x:v>
      </x:c>
      <x:c r="C18" s="2" t="str">
        <x:f>IF(AND(OR(C4="Type-A",C4="Type-B"),OR(C6="Rally2",C6="WRC17",C6="Rally1"),COUNT(C7:C10)=4,C7&gt;=-C13,C7&lt;=0,C8&gt;=-C14,C8&lt;=0,C9&gt;=-C15,C9&lt;=0,C10&gt;=0,INT(C7)=C7,INT(C8)=C8,INT(C9)=C9),"OK","检查输入")</x:f>
        <x:v>OK</x:v>
      </x:c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 ht="23" customHeight="1">
      <x:c r="A19" s="2"/>
      <x:c r="B19" s="2"/>
      <x:c r="C19" s="2"/>
      <x:c r="D19" s="2"/>
      <x:c r="E19" s="2"/>
      <x:c r="F19" s="2" t="str">
        <x:v>rebound</x:v>
      </x:c>
      <x:c r="G19" s="2"/>
      <x:c r="H19" s="2"/>
      <x:c r="I19" s="38" t="n">
        <x:f>Samples!M165</x:f>
        <x:v>2115</x:v>
      </x:c>
      <x:c r="J19" s="2" t="str">
        <x:v>N·s/m</x:v>
      </x:c>
      <x:c r="K19" s="2"/>
      <x:c r="L19" s="2"/>
      <x:c r="M19" s="2"/>
      <x:c r="N19" s="2"/>
      <x:c r="O19" s="2"/>
    </x:row>
    <x:row r="20" ht="23" customHeight="1">
      <x:c r="A20" s="2"/>
      <x:c r="B20" s="2"/>
      <x:c r="C20" s="2"/>
      <x:c r="D20" s="2"/>
      <x:c r="E20" s="2"/>
      <x:c r="F20" s="2" t="str">
        <x:v>HSrebound</x:v>
      </x:c>
      <x:c r="G20" s="2"/>
      <x:c r="H20" s="2"/>
      <x:c r="I20" s="38" t="n">
        <x:f>Samples!P165</x:f>
        <x:v>1734.3</x:v>
      </x:c>
      <x:c r="J20" s="2" t="str">
        <x:v>N·s/m</x:v>
      </x:c>
      <x:c r="K20" s="2"/>
      <x:c r="L20" s="2"/>
      <x:c r="M20" s="2"/>
      <x:c r="N20" s="2"/>
      <x:c r="O20" s="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 ht="23" customHeight="1">
      <x:c r="A22" s="2"/>
      <x:c r="B22" s="2"/>
      <x:c r="C22" s="2"/>
      <x:c r="D22" s="2"/>
      <x:c r="E22" s="2"/>
      <x:c r="F22" s="2" t="str">
        <x:v>LSC knee</x:v>
      </x:c>
      <x:c r="G22" s="2"/>
      <x:c r="H22" s="2"/>
      <x:c r="I22" s="13" t="n">
        <x:f>Samples!G165</x:f>
        <x:v>0.15</x:v>
      </x:c>
      <x:c r="J22" s="2" t="str">
        <x:v>m/s</x:v>
      </x:c>
      <x:c r="K22" s="2"/>
      <x:c r="L22" s="2"/>
      <x:c r="M22" s="2"/>
      <x:c r="N22" s="2"/>
      <x:c r="O22" s="2"/>
    </x:row>
    <x:row r="23" ht="23" customHeight="1">
      <x:c r="A23" s="2"/>
      <x:c r="B23" s="2"/>
      <x:c r="C23" s="2"/>
      <x:c r="D23" s="2"/>
      <x:c r="E23" s="2"/>
      <x:c r="F23" s="2" t="str">
        <x:v>HSC knee</x:v>
      </x:c>
      <x:c r="G23" s="2"/>
      <x:c r="H23" s="2"/>
      <x:c r="I23" s="13" t="n">
        <x:f>Samples!K165</x:f>
        <x:v>0.6</x:v>
      </x:c>
      <x:c r="J23" s="2" t="str">
        <x:v>m/s</x:v>
      </x:c>
      <x:c r="K23" s="2"/>
      <x:c r="L23" s="2"/>
      <x:c r="M23" s="2"/>
      <x:c r="N23" s="2"/>
      <x:c r="O23" s="2"/>
    </x:row>
    <x:row r="24" ht="23" customHeight="1">
      <x:c r="A24" s="2"/>
      <x:c r="B24" s="2"/>
      <x:c r="C24" s="2"/>
      <x:c r="D24" s="2"/>
      <x:c r="E24" s="2"/>
      <x:c r="F24" s="2" t="str">
        <x:v>Rebound knee</x:v>
      </x:c>
      <x:c r="G24" s="2"/>
      <x:c r="H24" s="2"/>
      <x:c r="I24" s="13" t="n">
        <x:f>Samples!N165</x:f>
        <x:v>0.35</x:v>
      </x:c>
      <x:c r="J24" s="2" t="str">
        <x:v>m/s</x:v>
      </x:c>
      <x:c r="K24" s="2"/>
      <x:c r="L24" s="2"/>
      <x:c r="M24" s="2"/>
      <x:c r="N24" s="2"/>
      <x:c r="O24" s="2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23" customHeight="1">
      <x:c r="A27" s="2"/>
      <x:c r="B27" s="20" t="str">
        <x:v>计算器支持任意非负轴速；Sweep 图维持 0～1 m/s。倍率和膝点由所选阀系插值得到。</x:v>
      </x:c>
      <x:c r="C27" s="20"/>
      <x:c r="D27" s="20"/>
      <x:c r="E27" s="20"/>
      <x:c r="F27" s="20"/>
      <x:c r="G27" s="20"/>
      <x:c r="H27" s="20"/>
      <x:c r="I27" s="20"/>
      <x:c r="J27" s="20"/>
      <x:c r="K27" s="20"/>
      <x:c r="L27" s="20"/>
      <x:c r="M27" s="20"/>
      <x:c r="N27" s="2"/>
      <x:c r="O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 ht="23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 ht="23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 ht="23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 ht="23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 ht="23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 ht="23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 ht="23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 ht="23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 ht="23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 ht="23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 ht="23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</x:sheetData>
  <x:mergeCells>
    <x:mergeCell ref="B2:M2"/>
    <x:mergeCell ref="E4:M4"/>
    <x:mergeCell ref="F6:J6"/>
    <x:mergeCell ref="F8:H8"/>
    <x:mergeCell ref="F10:H10"/>
    <x:mergeCell ref="I8:J8"/>
    <x:mergeCell ref="I10:J10"/>
    <x:mergeCell ref="F13:J13"/>
    <x:mergeCell ref="F14:H14"/>
    <x:mergeCell ref="F15:H15"/>
    <x:mergeCell ref="F16:H16"/>
    <x:mergeCell ref="F17:H17"/>
    <x:mergeCell ref="F19:H19"/>
    <x:mergeCell ref="F20:H20"/>
    <x:mergeCell ref="F22:H22"/>
    <x:mergeCell ref="F23:H23"/>
    <x:mergeCell ref="F24:H24"/>
    <x:mergeCell ref="B27:M27"/>
  </x:mergeCells>
  <x:dataValidations count="6">
    <x:dataValidation type="list" sqref="C4">
      <x:formula1>"Type-A,Type-B"</x:formula1>
    </x:dataValidation>
    <x:dataValidation type="list" sqref="C6">
      <x:formula1>"Rally2,WRC17,Rally1"</x:formula1>
    </x:dataValidation>
    <x:dataValidation type="whole" operator="between" sqref="C7">
      <x:formula1>-24</x:formula1>
      <x:formula2>0</x:formula2>
    </x:dataValidation>
    <x:dataValidation type="whole" operator="between" sqref="C8">
      <x:formula1>-20</x:formula1>
      <x:formula2>0</x:formula2>
    </x:dataValidation>
    <x:dataValidation type="whole" operator="between" sqref="C9">
      <x:formula1>-C15</x:formula1>
      <x:formula2>0</x:formula2>
    </x:dataValidation>
    <x:dataValidation type="decimal" operator="greaterThanOrEqual" sqref="C10">
      <x:formula1>0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93A0AC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.5" hidden="0" customWidth="1"/>
    <x:col min="2" max="2" width="2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</x:cols>
  <x:sheetData>
    <x:row r="1" ht="22" customHeight="1">
      <x:c r="A1" s="2"/>
      <x:c r="B1" s="23" t="str">
        <x:v>LSC Sweep · 由本页 Valving 开关选择参数</x:v>
      </x:c>
      <x:c r="C1" s="23"/>
      <x:c r="D1" s="23"/>
      <x:c r="E1" s="23"/>
      <x:c r="F1" s="23"/>
      <x:c r="G1" s="23"/>
      <x:c r="H1" s="23"/>
      <x:c r="I1" s="23"/>
      <x:c r="J1" s="23"/>
      <x:c r="K1" s="23"/>
      <x:c r="L1" s="23"/>
      <x:c r="M1" s="23"/>
      <x:c r="N1" s="23"/>
      <x:c r="O1" s="23"/>
      <x:c r="P1" s="24"/>
      <x:c r="Q1" s="24"/>
      <x:c r="R1" s="24"/>
      <x:c r="S1" s="24"/>
      <x:c r="T1" s="24"/>
      <x:c r="U1" s="24"/>
      <x:c r="V1" s="24"/>
    </x:row>
    <x:row r="2" ht="22" customHeight="1">
      <x:c r="A2" s="2"/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  <x:c r="N2" s="16"/>
      <x:c r="O2" s="16"/>
      <x:c r="P2" s="18"/>
      <x:c r="Q2" s="18"/>
      <x:c r="R2" s="18"/>
      <x:c r="S2" s="18"/>
      <x:c r="T2" s="18"/>
      <x:c r="U2" s="18"/>
      <x:c r="V2" s="18"/>
    </x:row>
    <x:row r="3" ht="22" customHeight="1">
      <x:c r="A3" s="2"/>
      <x:c r="B3" s="16"/>
      <x:c r="C3" s="16"/>
      <x:c r="D3" s="16"/>
      <x:c r="E3" s="16"/>
      <x:c r="F3" s="16"/>
      <x:c r="G3" s="16"/>
      <x:c r="H3" s="16"/>
      <x:c r="I3" s="16"/>
      <x:c r="J3" s="16"/>
      <x:c r="K3" s="16"/>
      <x:c r="L3" s="16"/>
      <x:c r="M3" s="16"/>
      <x:c r="N3" s="16"/>
      <x:c r="O3" s="16"/>
      <x:c r="P3" s="18"/>
      <x:c r="Q3" s="18"/>
      <x:c r="R3" s="18"/>
      <x:c r="S3" s="18"/>
      <x:c r="T3" s="18"/>
      <x:c r="U3" s="18"/>
      <x:c r="V3" s="18"/>
    </x:row>
    <x:row r="4" ht="35" customHeight="1">
      <x:c r="A4" s="2"/>
      <x:c r="B4" s="29" t="str">
        <x:v>曲线</x:v>
      </x:c>
      <x:c r="C4" s="29" t="str">
        <x:v>c</x:v>
      </x:c>
      <x:c r="D4" s="29" t="str">
        <x:v>C</x:v>
      </x:c>
      <x:c r="E4" s="29" t="str">
        <x:v>R</x:v>
      </x:c>
      <x:c r="F4" s="29" t="str">
        <x:v>bump1</x:v>
      </x:c>
      <x:c r="G4" s="29" t="str">
        <x:v>LSC knee</x:v>
      </x:c>
      <x:c r="H4" s="29" t="str">
        <x:v>bump2 倍率</x:v>
      </x:c>
      <x:c r="I4" s="29" t="str">
        <x:v>bump2</x:v>
      </x:c>
      <x:c r="J4" s="29" t="str">
        <x:v>HSbump</x:v>
      </x:c>
      <x:c r="K4" s="29" t="str">
        <x:v>HSC knee</x:v>
      </x:c>
      <x:c r="L4" s="29" t="str">
        <x:v>总 HS 系数</x:v>
      </x:c>
      <x:c r="M4" s="29" t="str">
        <x:v>rebound</x:v>
      </x:c>
      <x:c r="N4" s="29" t="str">
        <x:v>Rebound knee</x:v>
      </x:c>
      <x:c r="O4" s="29" t="str">
        <x:v>HSR 倍率</x:v>
      </x:c>
      <x:c r="P4" s="30" t="str">
        <x:v>HSrebound</x:v>
      </x:c>
      <x:c r="Q4" s="30" t="str">
        <x:v>LSC 区间</x:v>
      </x:c>
      <x:c r="R4" s="30" t="str">
        <x:v>HSC 区间</x:v>
      </x:c>
      <x:c r="S4" s="30" t="str">
        <x:v>LSR 区间</x:v>
      </x:c>
      <x:c r="T4" s="30" t="str">
        <x:v>LSC 区间位置</x:v>
      </x:c>
      <x:c r="U4" s="30" t="str">
        <x:v>HSC 区间位置</x:v>
      </x:c>
      <x:c r="V4" s="30" t="str">
        <x:v>LSR 区间位置</x:v>
      </x:c>
    </x:row>
    <x:row r="5" ht="22" customHeight="1">
      <x:c r="A5" s="2"/>
      <x:c r="B5" s="16" t="str">
        <x:f>"c "&amp;C5</x:f>
        <x:v>c -24</x:v>
      </x:c>
      <x:c r="C5" s="16" t="n">
        <x:f>Parameters!D7</x:f>
        <x:v>-24</x:v>
      </x:c>
      <x:c r="D5" s="16" t="n">
        <x:f>'LSC Sweep'!$C$6</x:f>
        <x:v>-10</x:v>
      </x:c>
      <x:c r="E5" s="16" t="n">
        <x:f>Parameters!D16</x:f>
        <x:v>-40</x:v>
      </x:c>
      <x:c r="F5" s="16" t="n">
        <x:f>IF('LSC Sweep'!$C$4="Type-B",INDEX(Parameters!$J$10:$N$10,1,Q5)+(INDEX(Parameters!$J$10:$N$10,1,Q5+1)-INDEX(Parameters!$J$10:$N$10,1,Q5))*T5,INDEX(Parameters!$D$10:$H$10,1,Q5)+(INDEX(Parameters!$D$10:$H$10,1,Q5+1)-INDEX(Parameters!$D$10:$H$10,1,Q5))*T5)</x:f>
        <x:v>1300</x:v>
      </x:c>
      <x:c r="G5" s="16" t="n">
        <x:f>IF('LSC Sweep'!$C$4="Type-B",INDEX(Parameters!$J$11:$N$11,1,Q5)+(INDEX(Parameters!$J$11:$N$11,1,Q5+1)-INDEX(Parameters!$J$11:$N$11,1,Q5))*T5,INDEX(Parameters!$D$11:$H$11,1,Q5)+(INDEX(Parameters!$D$11:$H$11,1,Q5+1)-INDEX(Parameters!$D$11:$H$11,1,Q5))*T5)</x:f>
        <x:v>0.12</x:v>
      </x:c>
      <x:c r="H5" s="16" t="n">
        <x:f>IF('LSC Sweep'!$C$4="Type-B",INDEX(Parameters!$J$12:$N$12,1,Q5)+(INDEX(Parameters!$J$12:$N$12,1,Q5+1)-INDEX(Parameters!$J$12:$N$12,1,Q5))*T5,INDEX(Parameters!$D$12:$H$12,1,Q5)+(INDEX(Parameters!$D$12:$H$12,1,Q5+1)-INDEX(Parameters!$D$12:$H$12,1,Q5))*T5)</x:f>
        <x:v>0.78</x:v>
      </x:c>
      <x:c r="I5" s="16" t="n">
        <x:f>F5*H5</x:f>
        <x:v>1014</x:v>
      </x:c>
      <x:c r="J5" s="16" t="n">
        <x:f>IF('LSC Sweep'!$C$4="Type-B",INDEX(Parameters!$J$13:$N$13,1,R5)+(INDEX(Parameters!$J$13:$N$13,1,R5+1)-INDEX(Parameters!$J$13:$N$13,1,R5))*U5,INDEX(Parameters!$D$13:$H$13,1,R5)+(INDEX(Parameters!$D$13:$H$13,1,R5+1)-INDEX(Parameters!$D$13:$H$13,1,R5))*U5)</x:f>
        <x:v>2500</x:v>
      </x:c>
      <x:c r="K5" s="16" t="n">
        <x:f>IF('LSC Sweep'!$C$4="Type-B",INDEX(Parameters!$J$14:$N$14,1,R5)+(INDEX(Parameters!$J$14:$N$14,1,R5+1)-INDEX(Parameters!$J$14:$N$14,1,R5))*U5,INDEX(Parameters!$D$14:$H$14,1,R5)+(INDEX(Parameters!$D$14:$H$14,1,R5+1)-INDEX(Parameters!$D$14:$H$14,1,R5))*U5)</x:f>
        <x:v>0.6</x:v>
      </x:c>
      <x:c r="L5" s="16" t="n">
        <x:f>I5+J5</x:f>
        <x:v>3514</x:v>
      </x:c>
      <x:c r="M5" s="16" t="n">
        <x:f>IF('LSC Sweep'!$C$4="Type-B",INDEX(Parameters!$J$17:$N$17,1,S5)+(INDEX(Parameters!$J$17:$N$17,1,S5+1)-INDEX(Parameters!$J$17:$N$17,1,S5))*V5,INDEX(Parameters!$D$17:$H$17,1,S5)+(INDEX(Parameters!$D$17:$H$17,1,S5+1)-INDEX(Parameters!$D$17:$H$17,1,S5))*V5)</x:f>
        <x:v>1215</x:v>
      </x:c>
      <x:c r="N5" s="16" t="n">
        <x:f>IF('LSC Sweep'!$C$4="Type-B",INDEX(Parameters!$J$18:$N$18,1,S5)+(INDEX(Parameters!$J$18:$N$18,1,S5+1)-INDEX(Parameters!$J$18:$N$18,1,S5))*V5,INDEX(Parameters!$D$18:$H$18,1,S5)+(INDEX(Parameters!$D$18:$H$18,1,S5+1)-INDEX(Parameters!$D$18:$H$18,1,S5))*V5)</x:f>
        <x:v>0.3</x:v>
      </x:c>
      <x:c r="O5" s="16" t="n">
        <x:f>IF('LSC Sweep'!$C$4="Type-B",INDEX(Parameters!$J$19:$N$19,1,S5)+(INDEX(Parameters!$J$19:$N$19,1,S5+1)-INDEX(Parameters!$J$19:$N$19,1,S5))*V5,INDEX(Parameters!$D$19:$H$19,1,S5)+(INDEX(Parameters!$D$19:$H$19,1,S5+1)-INDEX(Parameters!$D$19:$H$19,1,S5))*V5)</x:f>
        <x:v>0.74</x:v>
      </x:c>
      <x:c r="P5" s="18" t="n">
        <x:f>M5*O5</x:f>
        <x:v>899.1</x:v>
      </x:c>
      <x:c r="Q5" s="18" t="n">
        <x:f>MIN(4,MAX(1,INT((1+C5/Parameters!$D$24)*4)+1))</x:f>
        <x:v>1</x:v>
      </x:c>
      <x:c r="R5" s="18" t="n">
        <x:f>MIN(4,MAX(1,INT((1+D5/Parameters!$D$25)*4)+1))</x:f>
        <x:v>3</x:v>
      </x:c>
      <x:c r="S5" s="18" t="n">
        <x:f>MIN(4,MAX(1,INT((1+E5/Parameters!$D$26)*4)+1))</x:f>
        <x:v>1</x:v>
      </x:c>
      <x:c r="T5" s="18" t="n">
        <x:f>MAX(0,MIN(1,(1+C5/Parameters!$D$24)*4-(Q5-1)))</x:f>
        <x:v>0</x:v>
      </x:c>
      <x:c r="U5" s="18" t="n">
        <x:f>MAX(0,MIN(1,(1+D5/Parameters!$D$25)*4-(R5-1)))</x:f>
        <x:v>0</x:v>
      </x:c>
      <x:c r="V5" s="18" t="n">
        <x:f>MAX(0,MIN(1,(1+E5/Parameters!$D$26)*4-(S5-1)))</x:f>
        <x:v>0</x:v>
      </x:c>
    </x:row>
    <x:row r="6" ht="22" customHeight="1">
      <x:c r="A6" s="2"/>
      <x:c r="B6" s="16" t="str">
        <x:f>"c "&amp;C6</x:f>
        <x:v>c -18</x:v>
      </x:c>
      <x:c r="C6" s="16" t="n">
        <x:f>Parameters!E7</x:f>
        <x:v>-18</x:v>
      </x:c>
      <x:c r="D6" s="16" t="n">
        <x:f>'LSC Sweep'!$C$6</x:f>
        <x:v>-10</x:v>
      </x:c>
      <x:c r="E6" s="16" t="n">
        <x:f>Parameters!E16</x:f>
        <x:v>-30</x:v>
      </x:c>
      <x:c r="F6" s="16" t="n">
        <x:f>IF('LSC Sweep'!$C$4="Type-B",INDEX(Parameters!$J$10:$N$10,1,Q6)+(INDEX(Parameters!$J$10:$N$10,1,Q6+1)-INDEX(Parameters!$J$10:$N$10,1,Q6))*T6,INDEX(Parameters!$D$10:$H$10,1,Q6)+(INDEX(Parameters!$D$10:$H$10,1,Q6+1)-INDEX(Parameters!$D$10:$H$10,1,Q6))*T6)</x:f>
        <x:v>1900</x:v>
      </x:c>
      <x:c r="G6" s="16" t="n">
        <x:f>IF('LSC Sweep'!$C$4="Type-B",INDEX(Parameters!$J$11:$N$11,1,Q6)+(INDEX(Parameters!$J$11:$N$11,1,Q6+1)-INDEX(Parameters!$J$11:$N$11,1,Q6))*T6,INDEX(Parameters!$D$11:$H$11,1,Q6)+(INDEX(Parameters!$D$11:$H$11,1,Q6+1)-INDEX(Parameters!$D$11:$H$11,1,Q6))*T6)</x:f>
        <x:v>0.135</x:v>
      </x:c>
      <x:c r="H6" s="16" t="n">
        <x:f>IF('LSC Sweep'!$C$4="Type-B",INDEX(Parameters!$J$12:$N$12,1,Q6)+(INDEX(Parameters!$J$12:$N$12,1,Q6+1)-INDEX(Parameters!$J$12:$N$12,1,Q6))*T6,INDEX(Parameters!$D$12:$H$12,1,Q6)+(INDEX(Parameters!$D$12:$H$12,1,Q6+1)-INDEX(Parameters!$D$12:$H$12,1,Q6))*T6)</x:f>
        <x:v>0.81</x:v>
      </x:c>
      <x:c r="I6" s="16" t="n">
        <x:f>F6*H6</x:f>
        <x:v>1539</x:v>
      </x:c>
      <x:c r="J6" s="16" t="n">
        <x:f>IF('LSC Sweep'!$C$4="Type-B",INDEX(Parameters!$J$13:$N$13,1,R6)+(INDEX(Parameters!$J$13:$N$13,1,R6+1)-INDEX(Parameters!$J$13:$N$13,1,R6))*U6,INDEX(Parameters!$D$13:$H$13,1,R6)+(INDEX(Parameters!$D$13:$H$13,1,R6+1)-INDEX(Parameters!$D$13:$H$13,1,R6))*U6)</x:f>
        <x:v>2500</x:v>
      </x:c>
      <x:c r="K6" s="16" t="n">
        <x:f>IF('LSC Sweep'!$C$4="Type-B",INDEX(Parameters!$J$14:$N$14,1,R6)+(INDEX(Parameters!$J$14:$N$14,1,R6+1)-INDEX(Parameters!$J$14:$N$14,1,R6))*U6,INDEX(Parameters!$D$14:$H$14,1,R6)+(INDEX(Parameters!$D$14:$H$14,1,R6+1)-INDEX(Parameters!$D$14:$H$14,1,R6))*U6)</x:f>
        <x:v>0.6</x:v>
      </x:c>
      <x:c r="L6" s="16" t="n">
        <x:f>I6+J6</x:f>
        <x:v>4039</x:v>
      </x:c>
      <x:c r="M6" s="16" t="n">
        <x:f>IF('LSC Sweep'!$C$4="Type-B",INDEX(Parameters!$J$17:$N$17,1,S6)+(INDEX(Parameters!$J$17:$N$17,1,S6+1)-INDEX(Parameters!$J$17:$N$17,1,S6))*V6,INDEX(Parameters!$D$17:$H$17,1,S6)+(INDEX(Parameters!$D$17:$H$17,1,S6+1)-INDEX(Parameters!$D$17:$H$17,1,S6))*V6)</x:f>
        <x:v>1665</x:v>
      </x:c>
      <x:c r="N6" s="16" t="n">
        <x:f>IF('LSC Sweep'!$C$4="Type-B",INDEX(Parameters!$J$18:$N$18,1,S6)+(INDEX(Parameters!$J$18:$N$18,1,S6+1)-INDEX(Parameters!$J$18:$N$18,1,S6))*V6,INDEX(Parameters!$D$18:$H$18,1,S6)+(INDEX(Parameters!$D$18:$H$18,1,S6+1)-INDEX(Parameters!$D$18:$H$18,1,S6))*V6)</x:f>
        <x:v>0.32499999999999996</x:v>
      </x:c>
      <x:c r="O6" s="16" t="n">
        <x:f>IF('LSC Sweep'!$C$4="Type-B",INDEX(Parameters!$J$19:$N$19,1,S6)+(INDEX(Parameters!$J$19:$N$19,1,S6+1)-INDEX(Parameters!$J$19:$N$19,1,S6))*V6,INDEX(Parameters!$D$19:$H$19,1,S6)+(INDEX(Parameters!$D$19:$H$19,1,S6+1)-INDEX(Parameters!$D$19:$H$19,1,S6))*V6)</x:f>
        <x:v>0.78</x:v>
      </x:c>
      <x:c r="P6" s="18" t="n">
        <x:f>M6*O6</x:f>
        <x:v>1298.7</x:v>
      </x:c>
      <x:c r="Q6" s="18" t="n">
        <x:f>MIN(4,MAX(1,INT((1+C6/Parameters!$D$24)*4)+1))</x:f>
        <x:v>2</x:v>
      </x:c>
      <x:c r="R6" s="18" t="n">
        <x:f>MIN(4,MAX(1,INT((1+D6/Parameters!$D$25)*4)+1))</x:f>
        <x:v>3</x:v>
      </x:c>
      <x:c r="S6" s="18" t="n">
        <x:f>MIN(4,MAX(1,INT((1+E6/Parameters!$D$26)*4)+1))</x:f>
        <x:v>2</x:v>
      </x:c>
      <x:c r="T6" s="18" t="n">
        <x:f>MAX(0,MIN(1,(1+C6/Parameters!$D$24)*4-(Q6-1)))</x:f>
        <x:v>0</x:v>
      </x:c>
      <x:c r="U6" s="18" t="n">
        <x:f>MAX(0,MIN(1,(1+D6/Parameters!$D$25)*4-(R6-1)))</x:f>
        <x:v>0</x:v>
      </x:c>
      <x:c r="V6" s="18" t="n">
        <x:f>MAX(0,MIN(1,(1+E6/Parameters!$D$26)*4-(S6-1)))</x:f>
        <x:v>0</x:v>
      </x:c>
    </x:row>
    <x:row r="7" ht="22" customHeight="1">
      <x:c r="A7" s="2"/>
      <x:c r="B7" s="16" t="str">
        <x:f>"c "&amp;C7</x:f>
        <x:v>c -12</x:v>
      </x:c>
      <x:c r="C7" s="16" t="n">
        <x:f>Parameters!F7</x:f>
        <x:v>-12</x:v>
      </x:c>
      <x:c r="D7" s="16" t="n">
        <x:f>'LSC Sweep'!$C$6</x:f>
        <x:v>-10</x:v>
      </x:c>
      <x:c r="E7" s="16" t="n">
        <x:f>Parameters!F16</x:f>
        <x:v>-20</x:v>
      </x:c>
      <x:c r="F7" s="16" t="n">
        <x:f>IF('LSC Sweep'!$C$4="Type-B",INDEX(Parameters!$J$10:$N$10,1,Q7)+(INDEX(Parameters!$J$10:$N$10,1,Q7+1)-INDEX(Parameters!$J$10:$N$10,1,Q7))*T7,INDEX(Parameters!$D$10:$H$10,1,Q7)+(INDEX(Parameters!$D$10:$H$10,1,Q7+1)-INDEX(Parameters!$D$10:$H$10,1,Q7))*T7)</x:f>
        <x:v>2500</x:v>
      </x:c>
      <x:c r="G7" s="16" t="n">
        <x:f>IF('LSC Sweep'!$C$4="Type-B",INDEX(Parameters!$J$11:$N$11,1,Q7)+(INDEX(Parameters!$J$11:$N$11,1,Q7+1)-INDEX(Parameters!$J$11:$N$11,1,Q7))*T7,INDEX(Parameters!$D$11:$H$11,1,Q7)+(INDEX(Parameters!$D$11:$H$11,1,Q7+1)-INDEX(Parameters!$D$11:$H$11,1,Q7))*T7)</x:f>
        <x:v>0.15</x:v>
      </x:c>
      <x:c r="H7" s="16" t="n">
        <x:f>IF('LSC Sweep'!$C$4="Type-B",INDEX(Parameters!$J$12:$N$12,1,Q7)+(INDEX(Parameters!$J$12:$N$12,1,Q7+1)-INDEX(Parameters!$J$12:$N$12,1,Q7))*T7,INDEX(Parameters!$D$12:$H$12,1,Q7)+(INDEX(Parameters!$D$12:$H$12,1,Q7+1)-INDEX(Parameters!$D$12:$H$12,1,Q7))*T7)</x:f>
        <x:v>0.84</x:v>
      </x:c>
      <x:c r="I7" s="16" t="n">
        <x:f>F7*H7</x:f>
        <x:v>2100</x:v>
      </x:c>
      <x:c r="J7" s="16" t="n">
        <x:f>IF('LSC Sweep'!$C$4="Type-B",INDEX(Parameters!$J$13:$N$13,1,R7)+(INDEX(Parameters!$J$13:$N$13,1,R7+1)-INDEX(Parameters!$J$13:$N$13,1,R7))*U7,INDEX(Parameters!$D$13:$H$13,1,R7)+(INDEX(Parameters!$D$13:$H$13,1,R7+1)-INDEX(Parameters!$D$13:$H$13,1,R7))*U7)</x:f>
        <x:v>2500</x:v>
      </x:c>
      <x:c r="K7" s="16" t="n">
        <x:f>IF('LSC Sweep'!$C$4="Type-B",INDEX(Parameters!$J$14:$N$14,1,R7)+(INDEX(Parameters!$J$14:$N$14,1,R7+1)-INDEX(Parameters!$J$14:$N$14,1,R7))*U7,INDEX(Parameters!$D$14:$H$14,1,R7)+(INDEX(Parameters!$D$14:$H$14,1,R7+1)-INDEX(Parameters!$D$14:$H$14,1,R7))*U7)</x:f>
        <x:v>0.6</x:v>
      </x:c>
      <x:c r="L7" s="16" t="n">
        <x:f>I7+J7</x:f>
        <x:v>4600</x:v>
      </x:c>
      <x:c r="M7" s="16" t="n">
        <x:f>IF('LSC Sweep'!$C$4="Type-B",INDEX(Parameters!$J$17:$N$17,1,S7)+(INDEX(Parameters!$J$17:$N$17,1,S7+1)-INDEX(Parameters!$J$17:$N$17,1,S7))*V7,INDEX(Parameters!$D$17:$H$17,1,S7)+(INDEX(Parameters!$D$17:$H$17,1,S7+1)-INDEX(Parameters!$D$17:$H$17,1,S7))*V7)</x:f>
        <x:v>2115</x:v>
      </x:c>
      <x:c r="N7" s="16" t="n">
        <x:f>IF('LSC Sweep'!$C$4="Type-B",INDEX(Parameters!$J$18:$N$18,1,S7)+(INDEX(Parameters!$J$18:$N$18,1,S7+1)-INDEX(Parameters!$J$18:$N$18,1,S7))*V7,INDEX(Parameters!$D$18:$H$18,1,S7)+(INDEX(Parameters!$D$18:$H$18,1,S7+1)-INDEX(Parameters!$D$18:$H$18,1,S7))*V7)</x:f>
        <x:v>0.35</x:v>
      </x:c>
      <x:c r="O7" s="16" t="n">
        <x:f>IF('LSC Sweep'!$C$4="Type-B",INDEX(Parameters!$J$19:$N$19,1,S7)+(INDEX(Parameters!$J$19:$N$19,1,S7+1)-INDEX(Parameters!$J$19:$N$19,1,S7))*V7,INDEX(Parameters!$D$19:$H$19,1,S7)+(INDEX(Parameters!$D$19:$H$19,1,S7+1)-INDEX(Parameters!$D$19:$H$19,1,S7))*V7)</x:f>
        <x:v>0.82</x:v>
      </x:c>
      <x:c r="P7" s="18" t="n">
        <x:f>M7*O7</x:f>
        <x:v>1734.3</x:v>
      </x:c>
      <x:c r="Q7" s="18" t="n">
        <x:f>MIN(4,MAX(1,INT((1+C7/Parameters!$D$24)*4)+1))</x:f>
        <x:v>3</x:v>
      </x:c>
      <x:c r="R7" s="18" t="n">
        <x:f>MIN(4,MAX(1,INT((1+D7/Parameters!$D$25)*4)+1))</x:f>
        <x:v>3</x:v>
      </x:c>
      <x:c r="S7" s="18" t="n">
        <x:f>MIN(4,MAX(1,INT((1+E7/Parameters!$D$26)*4)+1))</x:f>
        <x:v>3</x:v>
      </x:c>
      <x:c r="T7" s="18" t="n">
        <x:f>MAX(0,MIN(1,(1+C7/Parameters!$D$24)*4-(Q7-1)))</x:f>
        <x:v>0</x:v>
      </x:c>
      <x:c r="U7" s="18" t="n">
        <x:f>MAX(0,MIN(1,(1+D7/Parameters!$D$25)*4-(R7-1)))</x:f>
        <x:v>0</x:v>
      </x:c>
      <x:c r="V7" s="18" t="n">
        <x:f>MAX(0,MIN(1,(1+E7/Parameters!$D$26)*4-(S7-1)))</x:f>
        <x:v>0</x:v>
      </x:c>
    </x:row>
    <x:row r="8" ht="22" customHeight="1">
      <x:c r="A8" s="2"/>
      <x:c r="B8" s="16" t="str">
        <x:f>"c "&amp;C8</x:f>
        <x:v>c -6</x:v>
      </x:c>
      <x:c r="C8" s="16" t="n">
        <x:f>Parameters!G7</x:f>
        <x:v>-6</x:v>
      </x:c>
      <x:c r="D8" s="16" t="n">
        <x:f>'LSC Sweep'!$C$6</x:f>
        <x:v>-10</x:v>
      </x:c>
      <x:c r="E8" s="16" t="n">
        <x:f>Parameters!G16</x:f>
        <x:v>-10</x:v>
      </x:c>
      <x:c r="F8" s="16" t="n">
        <x:f>IF('LSC Sweep'!$C$4="Type-B",INDEX(Parameters!$J$10:$N$10,1,Q8)+(INDEX(Parameters!$J$10:$N$10,1,Q8+1)-INDEX(Parameters!$J$10:$N$10,1,Q8))*T8,INDEX(Parameters!$D$10:$H$10,1,Q8)+(INDEX(Parameters!$D$10:$H$10,1,Q8+1)-INDEX(Parameters!$D$10:$H$10,1,Q8))*T8)</x:f>
        <x:v>3100</x:v>
      </x:c>
      <x:c r="G8" s="16" t="n">
        <x:f>IF('LSC Sweep'!$C$4="Type-B",INDEX(Parameters!$J$11:$N$11,1,Q8)+(INDEX(Parameters!$J$11:$N$11,1,Q8+1)-INDEX(Parameters!$J$11:$N$11,1,Q8))*T8,INDEX(Parameters!$D$11:$H$11,1,Q8)+(INDEX(Parameters!$D$11:$H$11,1,Q8+1)-INDEX(Parameters!$D$11:$H$11,1,Q8))*T8)</x:f>
        <x:v>0.16</x:v>
      </x:c>
      <x:c r="H8" s="16" t="n">
        <x:f>IF('LSC Sweep'!$C$4="Type-B",INDEX(Parameters!$J$12:$N$12,1,Q8)+(INDEX(Parameters!$J$12:$N$12,1,Q8+1)-INDEX(Parameters!$J$12:$N$12,1,Q8))*T8,INDEX(Parameters!$D$12:$H$12,1,Q8)+(INDEX(Parameters!$D$12:$H$12,1,Q8+1)-INDEX(Parameters!$D$12:$H$12,1,Q8))*T8)</x:f>
        <x:v>0.87</x:v>
      </x:c>
      <x:c r="I8" s="16" t="n">
        <x:f>F8*H8</x:f>
        <x:v>2697</x:v>
      </x:c>
      <x:c r="J8" s="16" t="n">
        <x:f>IF('LSC Sweep'!$C$4="Type-B",INDEX(Parameters!$J$13:$N$13,1,R8)+(INDEX(Parameters!$J$13:$N$13,1,R8+1)-INDEX(Parameters!$J$13:$N$13,1,R8))*U8,INDEX(Parameters!$D$13:$H$13,1,R8)+(INDEX(Parameters!$D$13:$H$13,1,R8+1)-INDEX(Parameters!$D$13:$H$13,1,R8))*U8)</x:f>
        <x:v>2500</x:v>
      </x:c>
      <x:c r="K8" s="16" t="n">
        <x:f>IF('LSC Sweep'!$C$4="Type-B",INDEX(Parameters!$J$14:$N$14,1,R8)+(INDEX(Parameters!$J$14:$N$14,1,R8+1)-INDEX(Parameters!$J$14:$N$14,1,R8))*U8,INDEX(Parameters!$D$14:$H$14,1,R8)+(INDEX(Parameters!$D$14:$H$14,1,R8+1)-INDEX(Parameters!$D$14:$H$14,1,R8))*U8)</x:f>
        <x:v>0.6</x:v>
      </x:c>
      <x:c r="L8" s="16" t="n">
        <x:f>I8+J8</x:f>
        <x:v>5197</x:v>
      </x:c>
      <x:c r="M8" s="16" t="n">
        <x:f>IF('LSC Sweep'!$C$4="Type-B",INDEX(Parameters!$J$17:$N$17,1,S8)+(INDEX(Parameters!$J$17:$N$17,1,S8+1)-INDEX(Parameters!$J$17:$N$17,1,S8))*V8,INDEX(Parameters!$D$17:$H$17,1,S8)+(INDEX(Parameters!$D$17:$H$17,1,S8+1)-INDEX(Parameters!$D$17:$H$17,1,S8))*V8)</x:f>
        <x:v>2565</x:v>
      </x:c>
      <x:c r="N8" s="16" t="n">
        <x:f>IF('LSC Sweep'!$C$4="Type-B",INDEX(Parameters!$J$18:$N$18,1,S8)+(INDEX(Parameters!$J$18:$N$18,1,S8+1)-INDEX(Parameters!$J$18:$N$18,1,S8))*V8,INDEX(Parameters!$D$18:$H$18,1,S8)+(INDEX(Parameters!$D$18:$H$18,1,S8+1)-INDEX(Parameters!$D$18:$H$18,1,S8))*V8)</x:f>
        <x:v>0.375</x:v>
      </x:c>
      <x:c r="O8" s="16" t="n">
        <x:f>IF('LSC Sweep'!$C$4="Type-B",INDEX(Parameters!$J$19:$N$19,1,S8)+(INDEX(Parameters!$J$19:$N$19,1,S8+1)-INDEX(Parameters!$J$19:$N$19,1,S8))*V8,INDEX(Parameters!$D$19:$H$19,1,S8)+(INDEX(Parameters!$D$19:$H$19,1,S8+1)-INDEX(Parameters!$D$19:$H$19,1,S8))*V8)</x:f>
        <x:v>0.86</x:v>
      </x:c>
      <x:c r="P8" s="18" t="n">
        <x:f>M8*O8</x:f>
        <x:v>2205.9</x:v>
      </x:c>
      <x:c r="Q8" s="18" t="n">
        <x:f>MIN(4,MAX(1,INT((1+C8/Parameters!$D$24)*4)+1))</x:f>
        <x:v>4</x:v>
      </x:c>
      <x:c r="R8" s="18" t="n">
        <x:f>MIN(4,MAX(1,INT((1+D8/Parameters!$D$25)*4)+1))</x:f>
        <x:v>3</x:v>
      </x:c>
      <x:c r="S8" s="18" t="n">
        <x:f>MIN(4,MAX(1,INT((1+E8/Parameters!$D$26)*4)+1))</x:f>
        <x:v>4</x:v>
      </x:c>
      <x:c r="T8" s="18" t="n">
        <x:f>MAX(0,MIN(1,(1+C8/Parameters!$D$24)*4-(Q8-1)))</x:f>
        <x:v>0</x:v>
      </x:c>
      <x:c r="U8" s="18" t="n">
        <x:f>MAX(0,MIN(1,(1+D8/Parameters!$D$25)*4-(R8-1)))</x:f>
        <x:v>0</x:v>
      </x:c>
      <x:c r="V8" s="18" t="n">
        <x:f>MAX(0,MIN(1,(1+E8/Parameters!$D$26)*4-(S8-1)))</x:f>
        <x:v>0</x:v>
      </x:c>
    </x:row>
    <x:row r="9" ht="22" customHeight="1">
      <x:c r="A9" s="2"/>
      <x:c r="B9" s="16" t="str">
        <x:f>"c "&amp;C9</x:f>
        <x:v>c 0</x:v>
      </x:c>
      <x:c r="C9" s="16" t="n">
        <x:f>Parameters!H7</x:f>
        <x:v>0</x:v>
      </x:c>
      <x:c r="D9" s="16" t="n">
        <x:f>'LSC Sweep'!$C$6</x:f>
        <x:v>-10</x:v>
      </x:c>
      <x:c r="E9" s="16" t="n">
        <x:f>Parameters!H16</x:f>
        <x:v>0</x:v>
      </x:c>
      <x:c r="F9" s="16" t="n">
        <x:f>IF('LSC Sweep'!$C$4="Type-B",INDEX(Parameters!$J$10:$N$10,1,Q9)+(INDEX(Parameters!$J$10:$N$10,1,Q9+1)-INDEX(Parameters!$J$10:$N$10,1,Q9))*T9,INDEX(Parameters!$D$10:$H$10,1,Q9)+(INDEX(Parameters!$D$10:$H$10,1,Q9+1)-INDEX(Parameters!$D$10:$H$10,1,Q9))*T9)</x:f>
        <x:v>3700</x:v>
      </x:c>
      <x:c r="G9" s="16" t="n">
        <x:f>IF('LSC Sweep'!$C$4="Type-B",INDEX(Parameters!$J$11:$N$11,1,Q9)+(INDEX(Parameters!$J$11:$N$11,1,Q9+1)-INDEX(Parameters!$J$11:$N$11,1,Q9))*T9,INDEX(Parameters!$D$11:$H$11,1,Q9)+(INDEX(Parameters!$D$11:$H$11,1,Q9+1)-INDEX(Parameters!$D$11:$H$11,1,Q9))*T9)</x:f>
        <x:v>0.17</x:v>
      </x:c>
      <x:c r="H9" s="16" t="n">
        <x:f>IF('LSC Sweep'!$C$4="Type-B",INDEX(Parameters!$J$12:$N$12,1,Q9)+(INDEX(Parameters!$J$12:$N$12,1,Q9+1)-INDEX(Parameters!$J$12:$N$12,1,Q9))*T9,INDEX(Parameters!$D$12:$H$12,1,Q9)+(INDEX(Parameters!$D$12:$H$12,1,Q9+1)-INDEX(Parameters!$D$12:$H$12,1,Q9))*T9)</x:f>
        <x:v>0.9</x:v>
      </x:c>
      <x:c r="I9" s="16" t="n">
        <x:f>F9*H9</x:f>
        <x:v>3330</x:v>
      </x:c>
      <x:c r="J9" s="16" t="n">
        <x:f>IF('LSC Sweep'!$C$4="Type-B",INDEX(Parameters!$J$13:$N$13,1,R9)+(INDEX(Parameters!$J$13:$N$13,1,R9+1)-INDEX(Parameters!$J$13:$N$13,1,R9))*U9,INDEX(Parameters!$D$13:$H$13,1,R9)+(INDEX(Parameters!$D$13:$H$13,1,R9+1)-INDEX(Parameters!$D$13:$H$13,1,R9))*U9)</x:f>
        <x:v>2500</x:v>
      </x:c>
      <x:c r="K9" s="16" t="n">
        <x:f>IF('LSC Sweep'!$C$4="Type-B",INDEX(Parameters!$J$14:$N$14,1,R9)+(INDEX(Parameters!$J$14:$N$14,1,R9+1)-INDEX(Parameters!$J$14:$N$14,1,R9))*U9,INDEX(Parameters!$D$14:$H$14,1,R9)+(INDEX(Parameters!$D$14:$H$14,1,R9+1)-INDEX(Parameters!$D$14:$H$14,1,R9))*U9)</x:f>
        <x:v>0.6</x:v>
      </x:c>
      <x:c r="L9" s="16" t="n">
        <x:f>I9+J9</x:f>
        <x:v>5830</x:v>
      </x:c>
      <x:c r="M9" s="16" t="n">
        <x:f>IF('LSC Sweep'!$C$4="Type-B",INDEX(Parameters!$J$17:$N$17,1,S9)+(INDEX(Parameters!$J$17:$N$17,1,S9+1)-INDEX(Parameters!$J$17:$N$17,1,S9))*V9,INDEX(Parameters!$D$17:$H$17,1,S9)+(INDEX(Parameters!$D$17:$H$17,1,S9+1)-INDEX(Parameters!$D$17:$H$17,1,S9))*V9)</x:f>
        <x:v>3015</x:v>
      </x:c>
      <x:c r="N9" s="16" t="n">
        <x:f>IF('LSC Sweep'!$C$4="Type-B",INDEX(Parameters!$J$18:$N$18,1,S9)+(INDEX(Parameters!$J$18:$N$18,1,S9+1)-INDEX(Parameters!$J$18:$N$18,1,S9))*V9,INDEX(Parameters!$D$18:$H$18,1,S9)+(INDEX(Parameters!$D$18:$H$18,1,S9+1)-INDEX(Parameters!$D$18:$H$18,1,S9))*V9)</x:f>
        <x:v>0.4</x:v>
      </x:c>
      <x:c r="O9" s="16" t="n">
        <x:f>IF('LSC Sweep'!$C$4="Type-B",INDEX(Parameters!$J$19:$N$19,1,S9)+(INDEX(Parameters!$J$19:$N$19,1,S9+1)-INDEX(Parameters!$J$19:$N$19,1,S9))*V9,INDEX(Parameters!$D$19:$H$19,1,S9)+(INDEX(Parameters!$D$19:$H$19,1,S9+1)-INDEX(Parameters!$D$19:$H$19,1,S9))*V9)</x:f>
        <x:v>0.9</x:v>
      </x:c>
      <x:c r="P9" s="18" t="n">
        <x:f>M9*O9</x:f>
        <x:v>2713.5</x:v>
      </x:c>
      <x:c r="Q9" s="18" t="n">
        <x:f>MIN(4,MAX(1,INT((1+C9/Parameters!$D$24)*4)+1))</x:f>
        <x:v>4</x:v>
      </x:c>
      <x:c r="R9" s="18" t="n">
        <x:f>MIN(4,MAX(1,INT((1+D9/Parameters!$D$25)*4)+1))</x:f>
        <x:v>3</x:v>
      </x:c>
      <x:c r="S9" s="18" t="n">
        <x:f>MIN(4,MAX(1,INT((1+E9/Parameters!$D$26)*4)+1))</x:f>
        <x:v>4</x:v>
      </x:c>
      <x:c r="T9" s="18" t="n">
        <x:f>MAX(0,MIN(1,(1+C9/Parameters!$D$24)*4-(Q9-1)))</x:f>
        <x:v>1</x:v>
      </x:c>
      <x:c r="U9" s="18" t="n">
        <x:f>MAX(0,MIN(1,(1+D9/Parameters!$D$25)*4-(R9-1)))</x:f>
        <x:v>0</x:v>
      </x:c>
      <x:c r="V9" s="18" t="n">
        <x:f>MAX(0,MIN(1,(1+E9/Parameters!$D$26)*4-(S9-1)))</x:f>
        <x:v>1</x:v>
      </x:c>
    </x:row>
    <x:row r="10" ht="22" customHeight="1">
      <x:c r="A10" s="2"/>
      <x:c r="B10" s="16"/>
      <x:c r="C10" s="16"/>
      <x:c r="D10" s="16"/>
      <x:c r="E10" s="16"/>
      <x:c r="F10" s="16"/>
      <x:c r="G10" s="16"/>
      <x:c r="H10" s="16"/>
      <x:c r="I10" s="16"/>
      <x:c r="J10" s="16"/>
      <x:c r="K10" s="16"/>
      <x:c r="L10" s="16"/>
      <x:c r="M10" s="16"/>
      <x:c r="N10" s="16"/>
      <x:c r="O10" s="16"/>
      <x:c r="P10" s="18"/>
      <x:c r="Q10" s="18"/>
      <x:c r="R10" s="18"/>
      <x:c r="S10" s="18"/>
      <x:c r="T10" s="18"/>
      <x:c r="U10" s="18"/>
      <x:c r="V10" s="18"/>
    </x:row>
    <x:row r="11" ht="22" customHeight="1">
      <x:c r="A11" s="2"/>
      <x:c r="B11" s="16"/>
      <x:c r="C11" s="16"/>
      <x:c r="D11" s="16"/>
      <x:c r="E11" s="16"/>
      <x:c r="F11" s="16"/>
      <x:c r="G11" s="16"/>
      <x:c r="H11" s="16"/>
      <x:c r="I11" s="16"/>
      <x:c r="J11" s="16"/>
      <x:c r="K11" s="16"/>
      <x:c r="L11" s="16"/>
      <x:c r="M11" s="16"/>
      <x:c r="N11" s="16"/>
      <x:c r="O11" s="16"/>
      <x:c r="P11" s="18"/>
      <x:c r="Q11" s="18"/>
      <x:c r="R11" s="18"/>
      <x:c r="S11" s="18"/>
      <x:c r="T11" s="18"/>
      <x:c r="U11" s="18"/>
      <x:c r="V11" s="18"/>
    </x:row>
    <x:row r="12" ht="22" customHeight="1">
      <x:c r="A12" s="2"/>
      <x:c r="B12" s="16"/>
      <x:c r="C12" s="16"/>
      <x:c r="D12" s="16"/>
      <x:c r="E12" s="16"/>
      <x:c r="F12" s="16"/>
      <x:c r="G12" s="16"/>
      <x:c r="H12" s="16"/>
      <x:c r="I12" s="16"/>
      <x:c r="J12" s="16"/>
      <x:c r="K12" s="16"/>
      <x:c r="L12" s="16"/>
      <x:c r="M12" s="16"/>
      <x:c r="N12" s="16"/>
      <x:c r="O12" s="16"/>
      <x:c r="P12" s="18"/>
      <x:c r="Q12" s="18"/>
      <x:c r="R12" s="18"/>
      <x:c r="S12" s="18"/>
      <x:c r="T12" s="18"/>
      <x:c r="U12" s="18"/>
      <x:c r="V12" s="18"/>
    </x:row>
    <x:row r="13" ht="22" customHeight="1">
      <x:c r="A13" s="2"/>
      <x:c r="B13" s="23" t="str">
        <x:v>轴速 (m/s)</x:v>
      </x:c>
      <x:c r="C13" s="23" t="str">
        <x:f>B5</x:f>
        <x:v>c -24</x:v>
      </x:c>
      <x:c r="D13" s="23" t="str">
        <x:f>B6</x:f>
        <x:v>c -18</x:v>
      </x:c>
      <x:c r="E13" s="23" t="str">
        <x:f>B7</x:f>
        <x:v>c -12</x:v>
      </x:c>
      <x:c r="F13" s="23" t="str">
        <x:f>B8</x:f>
        <x:v>c -6</x:v>
      </x:c>
      <x:c r="G13" s="23" t="str">
        <x:f>B9</x:f>
        <x:v>c 0</x:v>
      </x:c>
      <x:c r="H13" s="16"/>
      <x:c r="I13" s="16"/>
      <x:c r="J13" s="16"/>
      <x:c r="K13" s="16"/>
      <x:c r="L13" s="16"/>
      <x:c r="M13" s="16"/>
      <x:c r="N13" s="16"/>
      <x:c r="O13" s="16"/>
      <x:c r="P13" s="18"/>
      <x:c r="Q13" s="18"/>
      <x:c r="R13" s="18"/>
      <x:c r="S13" s="18"/>
      <x:c r="T13" s="18"/>
      <x:c r="U13" s="18"/>
      <x:c r="V13" s="18"/>
    </x:row>
    <x:row r="14" ht="22" customHeight="1">
      <x:c r="A14" s="2"/>
      <x:c r="B14" s="31" t="n">
        <x:v>0</x:v>
      </x:c>
      <x:c r="C14" s="31" t="n">
        <x:f>$F$5*MIN($B14,$G$5)+$I$5*MAX(0,$B14-$G$5)+$J$5*MAX(0,$B14-$K$5)</x:f>
        <x:v>0</x:v>
      </x:c>
      <x:c r="D14" s="31" t="n">
        <x:f>$F$6*MIN($B14,$G$6)+$I$6*MAX(0,$B14-$G$6)+$J$6*MAX(0,$B14-$K$6)</x:f>
        <x:v>0</x:v>
      </x:c>
      <x:c r="E14" s="31" t="n">
        <x:f>$F$7*MIN($B14,$G$7)+$I$7*MAX(0,$B14-$G$7)+$J$7*MAX(0,$B14-$K$7)</x:f>
        <x:v>0</x:v>
      </x:c>
      <x:c r="F14" s="31" t="n">
        <x:f>$F$8*MIN($B14,$G$8)+$I$8*MAX(0,$B14-$G$8)+$J$8*MAX(0,$B14-$K$8)</x:f>
        <x:v>0</x:v>
      </x:c>
      <x:c r="G14" s="31" t="n">
        <x:f>$F$9*MIN($B14,$G$9)+$I$9*MAX(0,$B14-$G$9)+$J$9*MAX(0,$B14-$K$9)</x:f>
        <x:v>0</x:v>
      </x:c>
      <x:c r="H14" s="16"/>
      <x:c r="I14" s="16"/>
      <x:c r="J14" s="16"/>
      <x:c r="K14" s="16"/>
      <x:c r="L14" s="16"/>
      <x:c r="M14" s="16"/>
      <x:c r="N14" s="16"/>
      <x:c r="O14" s="16"/>
      <x:c r="P14" s="18"/>
      <x:c r="Q14" s="18"/>
      <x:c r="R14" s="18"/>
      <x:c r="S14" s="18"/>
      <x:c r="T14" s="18"/>
      <x:c r="U14" s="18"/>
      <x:c r="V14" s="18"/>
    </x:row>
    <x:row r="15" ht="22" customHeight="1">
      <x:c r="A15" s="2"/>
      <x:c r="B15" s="31" t="n">
        <x:v>0.05</x:v>
      </x:c>
      <x:c r="C15" s="31" t="n">
        <x:f>$F$5*MIN($B15,$G$5)+$I$5*MAX(0,$B15-$G$5)+$J$5*MAX(0,$B15-$K$5)</x:f>
        <x:v>65</x:v>
      </x:c>
      <x:c r="D15" s="31" t="n">
        <x:f>$F$6*MIN($B15,$G$6)+$I$6*MAX(0,$B15-$G$6)+$J$6*MAX(0,$B15-$K$6)</x:f>
        <x:v>95</x:v>
      </x:c>
      <x:c r="E15" s="31" t="n">
        <x:f>$F$7*MIN($B15,$G$7)+$I$7*MAX(0,$B15-$G$7)+$J$7*MAX(0,$B15-$K$7)</x:f>
        <x:v>125</x:v>
      </x:c>
      <x:c r="F15" s="31" t="n">
        <x:f>$F$8*MIN($B15,$G$8)+$I$8*MAX(0,$B15-$G$8)+$J$8*MAX(0,$B15-$K$8)</x:f>
        <x:v>155</x:v>
      </x:c>
      <x:c r="G15" s="31" t="n">
        <x:f>$F$9*MIN($B15,$G$9)+$I$9*MAX(0,$B15-$G$9)+$J$9*MAX(0,$B15-$K$9)</x:f>
        <x:v>185</x:v>
      </x:c>
      <x:c r="H15" s="16"/>
      <x:c r="I15" s="16"/>
      <x:c r="J15" s="16"/>
      <x:c r="K15" s="16"/>
      <x:c r="L15" s="16"/>
      <x:c r="M15" s="16"/>
      <x:c r="N15" s="16"/>
      <x:c r="O15" s="16"/>
      <x:c r="P15" s="18"/>
      <x:c r="Q15" s="18"/>
      <x:c r="R15" s="18"/>
      <x:c r="S15" s="18"/>
      <x:c r="T15" s="18"/>
      <x:c r="U15" s="18"/>
      <x:c r="V15" s="18"/>
    </x:row>
    <x:row r="16" ht="22" customHeight="1">
      <x:c r="A16" s="2"/>
      <x:c r="B16" s="31" t="n">
        <x:v>0.1</x:v>
      </x:c>
      <x:c r="C16" s="31" t="n">
        <x:f>$F$5*MIN($B16,$G$5)+$I$5*MAX(0,$B16-$G$5)+$J$5*MAX(0,$B16-$K$5)</x:f>
        <x:v>130</x:v>
      </x:c>
      <x:c r="D16" s="31" t="n">
        <x:f>$F$6*MIN($B16,$G$6)+$I$6*MAX(0,$B16-$G$6)+$J$6*MAX(0,$B16-$K$6)</x:f>
        <x:v>190</x:v>
      </x:c>
      <x:c r="E16" s="31" t="n">
        <x:f>$F$7*MIN($B16,$G$7)+$I$7*MAX(0,$B16-$G$7)+$J$7*MAX(0,$B16-$K$7)</x:f>
        <x:v>250</x:v>
      </x:c>
      <x:c r="F16" s="31" t="n">
        <x:f>$F$8*MIN($B16,$G$8)+$I$8*MAX(0,$B16-$G$8)+$J$8*MAX(0,$B16-$K$8)</x:f>
        <x:v>310</x:v>
      </x:c>
      <x:c r="G16" s="31" t="n">
        <x:f>$F$9*MIN($B16,$G$9)+$I$9*MAX(0,$B16-$G$9)+$J$9*MAX(0,$B16-$K$9)</x:f>
        <x:v>370</x:v>
      </x:c>
      <x:c r="H16" s="16"/>
      <x:c r="I16" s="16"/>
      <x:c r="J16" s="16"/>
      <x:c r="K16" s="16"/>
      <x:c r="L16" s="16"/>
      <x:c r="M16" s="16"/>
      <x:c r="N16" s="16"/>
      <x:c r="O16" s="16"/>
      <x:c r="P16" s="18"/>
      <x:c r="Q16" s="18"/>
      <x:c r="R16" s="18"/>
      <x:c r="S16" s="18"/>
      <x:c r="T16" s="18"/>
      <x:c r="U16" s="18"/>
      <x:c r="V16" s="18"/>
    </x:row>
    <x:row r="17" ht="22" customHeight="1">
      <x:c r="A17" s="2"/>
      <x:c r="B17" s="31" t="n">
        <x:v>0.15</x:v>
      </x:c>
      <x:c r="C17" s="31" t="n">
        <x:f>$F$5*MIN($B17,$G$5)+$I$5*MAX(0,$B17-$G$5)+$J$5*MAX(0,$B17-$K$5)</x:f>
        <x:v>186.42</x:v>
      </x:c>
      <x:c r="D17" s="31" t="n">
        <x:f>$F$6*MIN($B17,$G$6)+$I$6*MAX(0,$B17-$G$6)+$J$6*MAX(0,$B17-$K$6)</x:f>
        <x:v>279.585</x:v>
      </x:c>
      <x:c r="E17" s="31" t="n">
        <x:f>$F$7*MIN($B17,$G$7)+$I$7*MAX(0,$B17-$G$7)+$J$7*MAX(0,$B17-$K$7)</x:f>
        <x:v>375</x:v>
      </x:c>
      <x:c r="F17" s="31" t="n">
        <x:f>$F$8*MIN($B17,$G$8)+$I$8*MAX(0,$B17-$G$8)+$J$8*MAX(0,$B17-$K$8)</x:f>
        <x:v>465</x:v>
      </x:c>
      <x:c r="G17" s="31" t="n">
        <x:f>$F$9*MIN($B17,$G$9)+$I$9*MAX(0,$B17-$G$9)+$J$9*MAX(0,$B17-$K$9)</x:f>
        <x:v>555</x:v>
      </x:c>
      <x:c r="H17" s="16"/>
      <x:c r="I17" s="16"/>
      <x:c r="J17" s="16"/>
      <x:c r="K17" s="16"/>
      <x:c r="L17" s="16"/>
      <x:c r="M17" s="16"/>
      <x:c r="N17" s="16"/>
      <x:c r="O17" s="16"/>
      <x:c r="P17" s="18"/>
      <x:c r="Q17" s="18"/>
      <x:c r="R17" s="18"/>
      <x:c r="S17" s="18"/>
      <x:c r="T17" s="18"/>
      <x:c r="U17" s="18"/>
      <x:c r="V17" s="18"/>
    </x:row>
    <x:row r="18" ht="22" customHeight="1">
      <x:c r="A18" s="2"/>
      <x:c r="B18" s="31" t="n">
        <x:v>0.2</x:v>
      </x:c>
      <x:c r="C18" s="31" t="n">
        <x:f>$F$5*MIN($B18,$G$5)+$I$5*MAX(0,$B18-$G$5)+$J$5*MAX(0,$B18-$K$5)</x:f>
        <x:v>237.12</x:v>
      </x:c>
      <x:c r="D18" s="31" t="n">
        <x:f>$F$6*MIN($B18,$G$6)+$I$6*MAX(0,$B18-$G$6)+$J$6*MAX(0,$B18-$K$6)</x:f>
        <x:v>356.53499999999997</x:v>
      </x:c>
      <x:c r="E18" s="31" t="n">
        <x:f>$F$7*MIN($B18,$G$7)+$I$7*MAX(0,$B18-$G$7)+$J$7*MAX(0,$B18-$K$7)</x:f>
        <x:v>480</x:v>
      </x:c>
      <x:c r="F18" s="31" t="n">
        <x:f>$F$8*MIN($B18,$G$8)+$I$8*MAX(0,$B18-$G$8)+$J$8*MAX(0,$B18-$K$8)</x:f>
        <x:v>603.88</x:v>
      </x:c>
      <x:c r="G18" s="31" t="n">
        <x:f>$F$9*MIN($B18,$G$9)+$I$9*MAX(0,$B18-$G$9)+$J$9*MAX(0,$B18-$K$9)</x:f>
        <x:v>728.9</x:v>
      </x:c>
      <x:c r="H18" s="16"/>
      <x:c r="I18" s="16"/>
      <x:c r="J18" s="16"/>
      <x:c r="K18" s="16"/>
      <x:c r="L18" s="16"/>
      <x:c r="M18" s="16"/>
      <x:c r="N18" s="16"/>
      <x:c r="O18" s="16"/>
      <x:c r="P18" s="18"/>
      <x:c r="Q18" s="18"/>
      <x:c r="R18" s="18"/>
      <x:c r="S18" s="18"/>
      <x:c r="T18" s="18"/>
      <x:c r="U18" s="18"/>
      <x:c r="V18" s="18"/>
    </x:row>
    <x:row r="19" ht="22" customHeight="1">
      <x:c r="A19" s="2"/>
      <x:c r="B19" s="31" t="n">
        <x:v>0.25</x:v>
      </x:c>
      <x:c r="C19" s="31" t="n">
        <x:f>$F$5*MIN($B19,$G$5)+$I$5*MAX(0,$B19-$G$5)+$J$5*MAX(0,$B19-$K$5)</x:f>
        <x:v>287.82</x:v>
      </x:c>
      <x:c r="D19" s="31" t="n">
        <x:f>$F$6*MIN($B19,$G$6)+$I$6*MAX(0,$B19-$G$6)+$J$6*MAX(0,$B19-$K$6)</x:f>
        <x:v>433.485</x:v>
      </x:c>
      <x:c r="E19" s="31" t="n">
        <x:f>$F$7*MIN($B19,$G$7)+$I$7*MAX(0,$B19-$G$7)+$J$7*MAX(0,$B19-$K$7)</x:f>
        <x:v>585</x:v>
      </x:c>
      <x:c r="F19" s="31" t="n">
        <x:f>$F$8*MIN($B19,$G$8)+$I$8*MAX(0,$B19-$G$8)+$J$8*MAX(0,$B19-$K$8)</x:f>
        <x:v>738.73</x:v>
      </x:c>
      <x:c r="G19" s="31" t="n">
        <x:f>$F$9*MIN($B19,$G$9)+$I$9*MAX(0,$B19-$G$9)+$J$9*MAX(0,$B19-$K$9)</x:f>
        <x:v>895.4</x:v>
      </x:c>
      <x:c r="H19" s="16"/>
      <x:c r="I19" s="16"/>
      <x:c r="J19" s="16"/>
      <x:c r="K19" s="16"/>
      <x:c r="L19" s="16"/>
      <x:c r="M19" s="16"/>
      <x:c r="N19" s="16"/>
      <x:c r="O19" s="16"/>
      <x:c r="P19" s="18"/>
      <x:c r="Q19" s="18"/>
      <x:c r="R19" s="18"/>
      <x:c r="S19" s="18"/>
      <x:c r="T19" s="18"/>
      <x:c r="U19" s="18"/>
      <x:c r="V19" s="18"/>
    </x:row>
    <x:row r="20" ht="22" customHeight="1">
      <x:c r="A20" s="2"/>
      <x:c r="B20" s="31" t="n">
        <x:v>0.3</x:v>
      </x:c>
      <x:c r="C20" s="31" t="n">
        <x:f>$F$5*MIN($B20,$G$5)+$I$5*MAX(0,$B20-$G$5)+$J$5*MAX(0,$B20-$K$5)</x:f>
        <x:v>338.52</x:v>
      </x:c>
      <x:c r="D20" s="31" t="n">
        <x:f>$F$6*MIN($B20,$G$6)+$I$6*MAX(0,$B20-$G$6)+$J$6*MAX(0,$B20-$K$6)</x:f>
        <x:v>510.43499999999995</x:v>
      </x:c>
      <x:c r="E20" s="31" t="n">
        <x:f>$F$7*MIN($B20,$G$7)+$I$7*MAX(0,$B20-$G$7)+$J$7*MAX(0,$B20-$K$7)</x:f>
        <x:v>690</x:v>
      </x:c>
      <x:c r="F20" s="31" t="n">
        <x:f>$F$8*MIN($B20,$G$8)+$I$8*MAX(0,$B20-$G$8)+$J$8*MAX(0,$B20-$K$8)</x:f>
        <x:v>873.5799999999999</x:v>
      </x:c>
      <x:c r="G20" s="31" t="n">
        <x:f>$F$9*MIN($B20,$G$9)+$I$9*MAX(0,$B20-$G$9)+$J$9*MAX(0,$B20-$K$9)</x:f>
        <x:v>1061.8999999999999</x:v>
      </x:c>
      <x:c r="H20" s="16"/>
      <x:c r="I20" s="16"/>
      <x:c r="J20" s="16"/>
      <x:c r="K20" s="16"/>
      <x:c r="L20" s="16"/>
      <x:c r="M20" s="16"/>
      <x:c r="N20" s="16"/>
      <x:c r="O20" s="16"/>
      <x:c r="P20" s="18"/>
      <x:c r="Q20" s="18"/>
      <x:c r="R20" s="18"/>
      <x:c r="S20" s="18"/>
      <x:c r="T20" s="18"/>
      <x:c r="U20" s="18"/>
      <x:c r="V20" s="18"/>
    </x:row>
    <x:row r="21" ht="22" customHeight="1">
      <x:c r="A21" s="2"/>
      <x:c r="B21" s="31" t="n">
        <x:v>0.35</x:v>
      </x:c>
      <x:c r="C21" s="31" t="n">
        <x:f>$F$5*MIN($B21,$G$5)+$I$5*MAX(0,$B21-$G$5)+$J$5*MAX(0,$B21-$K$5)</x:f>
        <x:v>389.21999999999997</x:v>
      </x:c>
      <x:c r="D21" s="31" t="n">
        <x:f>$F$6*MIN($B21,$G$6)+$I$6*MAX(0,$B21-$G$6)+$J$6*MAX(0,$B21-$K$6)</x:f>
        <x:v>587.385</x:v>
      </x:c>
      <x:c r="E21" s="31" t="n">
        <x:f>$F$7*MIN($B21,$G$7)+$I$7*MAX(0,$B21-$G$7)+$J$7*MAX(0,$B21-$K$7)</x:f>
        <x:v>795</x:v>
      </x:c>
      <x:c r="F21" s="31" t="n">
        <x:f>$F$8*MIN($B21,$G$8)+$I$8*MAX(0,$B21-$G$8)+$J$8*MAX(0,$B21-$K$8)</x:f>
        <x:v>1008.43</x:v>
      </x:c>
      <x:c r="G21" s="31" t="n">
        <x:f>$F$9*MIN($B21,$G$9)+$I$9*MAX(0,$B21-$G$9)+$J$9*MAX(0,$B21-$K$9)</x:f>
        <x:v>1228.3999999999999</x:v>
      </x:c>
      <x:c r="H21" s="16"/>
      <x:c r="I21" s="16"/>
      <x:c r="J21" s="16"/>
      <x:c r="K21" s="16"/>
      <x:c r="L21" s="16"/>
      <x:c r="M21" s="16"/>
      <x:c r="N21" s="16"/>
      <x:c r="O21" s="16"/>
      <x:c r="P21" s="18"/>
      <x:c r="Q21" s="18"/>
      <x:c r="R21" s="18"/>
      <x:c r="S21" s="18"/>
      <x:c r="T21" s="18"/>
      <x:c r="U21" s="18"/>
      <x:c r="V21" s="18"/>
    </x:row>
    <x:row r="22" ht="22" customHeight="1">
      <x:c r="A22" s="2"/>
      <x:c r="B22" s="31" t="n">
        <x:v>0.4</x:v>
      </x:c>
      <x:c r="C22" s="31" t="n">
        <x:f>$F$5*MIN($B22,$G$5)+$I$5*MAX(0,$B22-$G$5)+$J$5*MAX(0,$B22-$K$5)</x:f>
        <x:v>439.92</x:v>
      </x:c>
      <x:c r="D22" s="31" t="n">
        <x:f>$F$6*MIN($B22,$G$6)+$I$6*MAX(0,$B22-$G$6)+$J$6*MAX(0,$B22-$K$6)</x:f>
        <x:v>664.335</x:v>
      </x:c>
      <x:c r="E22" s="31" t="n">
        <x:f>$F$7*MIN($B22,$G$7)+$I$7*MAX(0,$B22-$G$7)+$J$7*MAX(0,$B22-$K$7)</x:f>
        <x:v>900</x:v>
      </x:c>
      <x:c r="F22" s="31" t="n">
        <x:f>$F$8*MIN($B22,$G$8)+$I$8*MAX(0,$B22-$G$8)+$J$8*MAX(0,$B22-$K$8)</x:f>
        <x:v>1143.2800000000002</x:v>
      </x:c>
      <x:c r="G22" s="31" t="n">
        <x:f>$F$9*MIN($B22,$G$9)+$I$9*MAX(0,$B22-$G$9)+$J$9*MAX(0,$B22-$K$9)</x:f>
        <x:v>1394.9</x:v>
      </x:c>
      <x:c r="H22" s="16"/>
      <x:c r="I22" s="16"/>
      <x:c r="J22" s="16"/>
      <x:c r="K22" s="16"/>
      <x:c r="L22" s="16"/>
      <x:c r="M22" s="16"/>
      <x:c r="N22" s="16"/>
      <x:c r="O22" s="16"/>
      <x:c r="P22" s="18"/>
      <x:c r="Q22" s="18"/>
      <x:c r="R22" s="18"/>
      <x:c r="S22" s="18"/>
      <x:c r="T22" s="18"/>
      <x:c r="U22" s="18"/>
      <x:c r="V22" s="18"/>
    </x:row>
    <x:row r="23" ht="22" customHeight="1">
      <x:c r="A23" s="2"/>
      <x:c r="B23" s="31" t="n">
        <x:v>0.45</x:v>
      </x:c>
      <x:c r="C23" s="31" t="n">
        <x:f>$F$5*MIN($B23,$G$5)+$I$5*MAX(0,$B23-$G$5)+$J$5*MAX(0,$B23-$K$5)</x:f>
        <x:v>490.62</x:v>
      </x:c>
      <x:c r="D23" s="31" t="n">
        <x:f>$F$6*MIN($B23,$G$6)+$I$6*MAX(0,$B23-$G$6)+$J$6*MAX(0,$B23-$K$6)</x:f>
        <x:v>741.2850000000001</x:v>
      </x:c>
      <x:c r="E23" s="31" t="n">
        <x:f>$F$7*MIN($B23,$G$7)+$I$7*MAX(0,$B23-$G$7)+$J$7*MAX(0,$B23-$K$7)</x:f>
        <x:v>1005.0000000000001</x:v>
      </x:c>
      <x:c r="F23" s="31" t="n">
        <x:f>$F$8*MIN($B23,$G$8)+$I$8*MAX(0,$B23-$G$8)+$J$8*MAX(0,$B23-$K$8)</x:f>
        <x:v>1278.13</x:v>
      </x:c>
      <x:c r="G23" s="31" t="n">
        <x:f>$F$9*MIN($B23,$G$9)+$I$9*MAX(0,$B23-$G$9)+$J$9*MAX(0,$B23-$K$9)</x:f>
        <x:v>1561.4</x:v>
      </x:c>
      <x:c r="H23" s="16"/>
      <x:c r="I23" s="16"/>
      <x:c r="J23" s="16"/>
      <x:c r="K23" s="16"/>
      <x:c r="L23" s="16"/>
      <x:c r="M23" s="16"/>
      <x:c r="N23" s="16"/>
      <x:c r="O23" s="16"/>
      <x:c r="P23" s="18"/>
      <x:c r="Q23" s="18"/>
      <x:c r="R23" s="18"/>
      <x:c r="S23" s="18"/>
      <x:c r="T23" s="18"/>
      <x:c r="U23" s="18"/>
      <x:c r="V23" s="18"/>
    </x:row>
    <x:row r="24" ht="22" customHeight="1">
      <x:c r="A24" s="2"/>
      <x:c r="B24" s="31" t="n">
        <x:v>0.5</x:v>
      </x:c>
      <x:c r="C24" s="31" t="n">
        <x:f>$F$5*MIN($B24,$G$5)+$I$5*MAX(0,$B24-$G$5)+$J$5*MAX(0,$B24-$K$5)</x:f>
        <x:v>541.3199999999999</x:v>
      </x:c>
      <x:c r="D24" s="31" t="n">
        <x:f>$F$6*MIN($B24,$G$6)+$I$6*MAX(0,$B24-$G$6)+$J$6*MAX(0,$B24-$K$6)</x:f>
        <x:v>818.235</x:v>
      </x:c>
      <x:c r="E24" s="31" t="n">
        <x:f>$F$7*MIN($B24,$G$7)+$I$7*MAX(0,$B24-$G$7)+$J$7*MAX(0,$B24-$K$7)</x:f>
        <x:v>1110</x:v>
      </x:c>
      <x:c r="F24" s="31" t="n">
        <x:f>$F$8*MIN($B24,$G$8)+$I$8*MAX(0,$B24-$G$8)+$J$8*MAX(0,$B24-$K$8)</x:f>
        <x:v>1412.98</x:v>
      </x:c>
      <x:c r="G24" s="31" t="n">
        <x:f>$F$9*MIN($B24,$G$9)+$I$9*MAX(0,$B24-$G$9)+$J$9*MAX(0,$B24-$K$9)</x:f>
        <x:v>1727.8999999999999</x:v>
      </x:c>
      <x:c r="H24" s="16"/>
      <x:c r="I24" s="16"/>
      <x:c r="J24" s="16"/>
      <x:c r="K24" s="16"/>
      <x:c r="L24" s="16"/>
      <x:c r="M24" s="16"/>
      <x:c r="N24" s="16"/>
      <x:c r="O24" s="16"/>
      <x:c r="P24" s="18"/>
      <x:c r="Q24" s="18"/>
      <x:c r="R24" s="18"/>
      <x:c r="S24" s="18"/>
      <x:c r="T24" s="18"/>
      <x:c r="U24" s="18"/>
      <x:c r="V24" s="18"/>
    </x:row>
    <x:row r="25" ht="22" customHeight="1">
      <x:c r="A25" s="2"/>
      <x:c r="B25" s="31" t="n">
        <x:v>0.55</x:v>
      </x:c>
      <x:c r="C25" s="31" t="n">
        <x:f>$F$5*MIN($B25,$G$5)+$I$5*MAX(0,$B25-$G$5)+$J$5*MAX(0,$B25-$K$5)</x:f>
        <x:v>592.02</x:v>
      </x:c>
      <x:c r="D25" s="31" t="n">
        <x:f>$F$6*MIN($B25,$G$6)+$I$6*MAX(0,$B25-$G$6)+$J$6*MAX(0,$B25-$K$6)</x:f>
        <x:v>895.1850000000001</x:v>
      </x:c>
      <x:c r="E25" s="31" t="n">
        <x:f>$F$7*MIN($B25,$G$7)+$I$7*MAX(0,$B25-$G$7)+$J$7*MAX(0,$B25-$K$7)</x:f>
        <x:v>1215</x:v>
      </x:c>
      <x:c r="F25" s="31" t="n">
        <x:f>$F$8*MIN($B25,$G$8)+$I$8*MAX(0,$B25-$G$8)+$J$8*MAX(0,$B25-$K$8)</x:f>
        <x:v>1547.83</x:v>
      </x:c>
      <x:c r="G25" s="31" t="n">
        <x:f>$F$9*MIN($B25,$G$9)+$I$9*MAX(0,$B25-$G$9)+$J$9*MAX(0,$B25-$K$9)</x:f>
        <x:v>1894.4</x:v>
      </x:c>
      <x:c r="H25" s="16"/>
      <x:c r="I25" s="16"/>
      <x:c r="J25" s="16"/>
      <x:c r="K25" s="16"/>
      <x:c r="L25" s="16"/>
      <x:c r="M25" s="16"/>
      <x:c r="N25" s="16"/>
      <x:c r="O25" s="16"/>
      <x:c r="P25" s="18"/>
      <x:c r="Q25" s="18"/>
      <x:c r="R25" s="18"/>
      <x:c r="S25" s="18"/>
      <x:c r="T25" s="18"/>
      <x:c r="U25" s="18"/>
      <x:c r="V25" s="18"/>
    </x:row>
    <x:row r="26" ht="22" customHeight="1">
      <x:c r="A26" s="2"/>
      <x:c r="B26" s="31" t="n">
        <x:v>0.6</x:v>
      </x:c>
      <x:c r="C26" s="31" t="n">
        <x:f>$F$5*MIN($B26,$G$5)+$I$5*MAX(0,$B26-$G$5)+$J$5*MAX(0,$B26-$K$5)</x:f>
        <x:v>642.72</x:v>
      </x:c>
      <x:c r="D26" s="31" t="n">
        <x:f>$F$6*MIN($B26,$G$6)+$I$6*MAX(0,$B26-$G$6)+$J$6*MAX(0,$B26-$K$6)</x:f>
        <x:v>972.135</x:v>
      </x:c>
      <x:c r="E26" s="31" t="n">
        <x:f>$F$7*MIN($B26,$G$7)+$I$7*MAX(0,$B26-$G$7)+$J$7*MAX(0,$B26-$K$7)</x:f>
        <x:v>1320</x:v>
      </x:c>
      <x:c r="F26" s="31" t="n">
        <x:f>$F$8*MIN($B26,$G$8)+$I$8*MAX(0,$B26-$G$8)+$J$8*MAX(0,$B26-$K$8)</x:f>
        <x:v>1682.6799999999998</x:v>
      </x:c>
      <x:c r="G26" s="31" t="n">
        <x:f>$F$9*MIN($B26,$G$9)+$I$9*MAX(0,$B26-$G$9)+$J$9*MAX(0,$B26-$K$9)</x:f>
        <x:v>2060.8999999999996</x:v>
      </x:c>
      <x:c r="H26" s="16"/>
      <x:c r="I26" s="16"/>
      <x:c r="J26" s="16"/>
      <x:c r="K26" s="16"/>
      <x:c r="L26" s="16"/>
      <x:c r="M26" s="16"/>
      <x:c r="N26" s="16"/>
      <x:c r="O26" s="16"/>
      <x:c r="P26" s="18"/>
      <x:c r="Q26" s="18"/>
      <x:c r="R26" s="18"/>
      <x:c r="S26" s="18"/>
      <x:c r="T26" s="18"/>
      <x:c r="U26" s="18"/>
      <x:c r="V26" s="18"/>
    </x:row>
    <x:row r="27" ht="22" customHeight="1">
      <x:c r="A27" s="2"/>
      <x:c r="B27" s="31" t="n">
        <x:v>0.65</x:v>
      </x:c>
      <x:c r="C27" s="31" t="n">
        <x:f>$F$5*MIN($B27,$G$5)+$I$5*MAX(0,$B27-$G$5)+$J$5*MAX(0,$B27-$K$5)</x:f>
        <x:v>818.4200000000002</x:v>
      </x:c>
      <x:c r="D27" s="31" t="n">
        <x:f>$F$6*MIN($B27,$G$6)+$I$6*MAX(0,$B27-$G$6)+$J$6*MAX(0,$B27-$K$6)</x:f>
        <x:v>1174.085</x:v>
      </x:c>
      <x:c r="E27" s="31" t="n">
        <x:f>$F$7*MIN($B27,$G$7)+$I$7*MAX(0,$B27-$G$7)+$J$7*MAX(0,$B27-$K$7)</x:f>
        <x:v>1550</x:v>
      </x:c>
      <x:c r="F27" s="31" t="n">
        <x:f>$F$8*MIN($B27,$G$8)+$I$8*MAX(0,$B27-$G$8)+$J$8*MAX(0,$B27-$K$8)</x:f>
        <x:v>1942.5300000000002</x:v>
      </x:c>
      <x:c r="G27" s="31" t="n">
        <x:f>$F$9*MIN($B27,$G$9)+$I$9*MAX(0,$B27-$G$9)+$J$9*MAX(0,$B27-$K$9)</x:f>
        <x:v>2352.3999999999996</x:v>
      </x:c>
      <x:c r="H27" s="16"/>
      <x:c r="I27" s="16"/>
      <x:c r="J27" s="16"/>
      <x:c r="K27" s="16"/>
      <x:c r="L27" s="16"/>
      <x:c r="M27" s="16"/>
      <x:c r="N27" s="16"/>
      <x:c r="O27" s="16"/>
      <x:c r="P27" s="18"/>
      <x:c r="Q27" s="18"/>
      <x:c r="R27" s="18"/>
      <x:c r="S27" s="18"/>
      <x:c r="T27" s="18"/>
      <x:c r="U27" s="18"/>
      <x:c r="V27" s="18"/>
    </x:row>
    <x:row r="28" ht="22" customHeight="1">
      <x:c r="A28" s="2"/>
      <x:c r="B28" s="31" t="n">
        <x:v>0.7</x:v>
      </x:c>
      <x:c r="C28" s="31" t="n">
        <x:f>$F$5*MIN($B28,$G$5)+$I$5*MAX(0,$B28-$G$5)+$J$5*MAX(0,$B28-$K$5)</x:f>
        <x:v>994.1199999999999</x:v>
      </x:c>
      <x:c r="D28" s="31" t="n">
        <x:f>$F$6*MIN($B28,$G$6)+$I$6*MAX(0,$B28-$G$6)+$J$6*MAX(0,$B28-$K$6)</x:f>
        <x:v>1376.0349999999999</x:v>
      </x:c>
      <x:c r="E28" s="31" t="n">
        <x:f>$F$7*MIN($B28,$G$7)+$I$7*MAX(0,$B28-$G$7)+$J$7*MAX(0,$B28-$K$7)</x:f>
        <x:v>1779.9999999999998</x:v>
      </x:c>
      <x:c r="F28" s="31" t="n">
        <x:f>$F$8*MIN($B28,$G$8)+$I$8*MAX(0,$B28-$G$8)+$J$8*MAX(0,$B28-$K$8)</x:f>
        <x:v>2202.3799999999997</x:v>
      </x:c>
      <x:c r="G28" s="31" t="n">
        <x:f>$F$9*MIN($B28,$G$9)+$I$9*MAX(0,$B28-$G$9)+$J$9*MAX(0,$B28-$K$9)</x:f>
        <x:v>2643.8999999999996</x:v>
      </x:c>
      <x:c r="H28" s="16"/>
      <x:c r="I28" s="16"/>
      <x:c r="J28" s="16"/>
      <x:c r="K28" s="16"/>
      <x:c r="L28" s="16"/>
      <x:c r="M28" s="16"/>
      <x:c r="N28" s="16"/>
      <x:c r="O28" s="16"/>
      <x:c r="P28" s="18"/>
      <x:c r="Q28" s="18"/>
      <x:c r="R28" s="18"/>
      <x:c r="S28" s="18"/>
      <x:c r="T28" s="18"/>
      <x:c r="U28" s="18"/>
      <x:c r="V28" s="18"/>
    </x:row>
    <x:row r="29" ht="22" customHeight="1">
      <x:c r="A29" s="2"/>
      <x:c r="B29" s="31" t="n">
        <x:v>0.75</x:v>
      </x:c>
      <x:c r="C29" s="31" t="n">
        <x:f>$F$5*MIN($B29,$G$5)+$I$5*MAX(0,$B29-$G$5)+$J$5*MAX(0,$B29-$K$5)</x:f>
        <x:v>1169.8200000000002</x:v>
      </x:c>
      <x:c r="D29" s="31" t="n">
        <x:f>$F$6*MIN($B29,$G$6)+$I$6*MAX(0,$B29-$G$6)+$J$6*MAX(0,$B29-$K$6)</x:f>
        <x:v>1577.9850000000001</x:v>
      </x:c>
      <x:c r="E29" s="31" t="n">
        <x:f>$F$7*MIN($B29,$G$7)+$I$7*MAX(0,$B29-$G$7)+$J$7*MAX(0,$B29-$K$7)</x:f>
        <x:v>2010</x:v>
      </x:c>
      <x:c r="F29" s="31" t="n">
        <x:f>$F$8*MIN($B29,$G$8)+$I$8*MAX(0,$B29-$G$8)+$J$8*MAX(0,$B29-$K$8)</x:f>
        <x:v>2462.23</x:v>
      </x:c>
      <x:c r="G29" s="31" t="n">
        <x:f>$F$9*MIN($B29,$G$9)+$I$9*MAX(0,$B29-$G$9)+$J$9*MAX(0,$B29-$K$9)</x:f>
        <x:v>2935.3999999999996</x:v>
      </x:c>
      <x:c r="H29" s="16"/>
      <x:c r="I29" s="16"/>
      <x:c r="J29" s="16"/>
      <x:c r="K29" s="16"/>
      <x:c r="L29" s="16"/>
      <x:c r="M29" s="16"/>
      <x:c r="N29" s="16"/>
      <x:c r="O29" s="16"/>
      <x:c r="P29" s="18"/>
      <x:c r="Q29" s="18"/>
      <x:c r="R29" s="18"/>
      <x:c r="S29" s="18"/>
      <x:c r="T29" s="18"/>
      <x:c r="U29" s="18"/>
      <x:c r="V29" s="18"/>
    </x:row>
    <x:row r="30" ht="22" customHeight="1">
      <x:c r="A30" s="2"/>
      <x:c r="B30" s="31" t="n">
        <x:v>0.8</x:v>
      </x:c>
      <x:c r="C30" s="31" t="n">
        <x:f>$F$5*MIN($B30,$G$5)+$I$5*MAX(0,$B30-$G$5)+$J$5*MAX(0,$B30-$K$5)</x:f>
        <x:v>1345.5200000000002</x:v>
      </x:c>
      <x:c r="D30" s="31" t="n">
        <x:f>$F$6*MIN($B30,$G$6)+$I$6*MAX(0,$B30-$G$6)+$J$6*MAX(0,$B30-$K$6)</x:f>
        <x:v>1779.9350000000002</x:v>
      </x:c>
      <x:c r="E30" s="31" t="n">
        <x:f>$F$7*MIN($B30,$G$7)+$I$7*MAX(0,$B30-$G$7)+$J$7*MAX(0,$B30-$K$7)</x:f>
        <x:v>2240</x:v>
      </x:c>
      <x:c r="F30" s="31" t="n">
        <x:f>$F$8*MIN($B30,$G$8)+$I$8*MAX(0,$B30-$G$8)+$J$8*MAX(0,$B30-$K$8)</x:f>
        <x:v>2722.08</x:v>
      </x:c>
      <x:c r="G30" s="31" t="n">
        <x:f>$F$9*MIN($B30,$G$9)+$I$9*MAX(0,$B30-$G$9)+$J$9*MAX(0,$B30-$K$9)</x:f>
        <x:v>3226.9</x:v>
      </x:c>
      <x:c r="H30" s="16"/>
      <x:c r="I30" s="16"/>
      <x:c r="J30" s="16"/>
      <x:c r="K30" s="16"/>
      <x:c r="L30" s="16"/>
      <x:c r="M30" s="16"/>
      <x:c r="N30" s="16"/>
      <x:c r="O30" s="16"/>
      <x:c r="P30" s="18"/>
      <x:c r="Q30" s="18"/>
      <x:c r="R30" s="18"/>
      <x:c r="S30" s="18"/>
      <x:c r="T30" s="18"/>
      <x:c r="U30" s="18"/>
      <x:c r="V30" s="18"/>
    </x:row>
    <x:row r="31" ht="22" customHeight="1">
      <x:c r="A31" s="2"/>
      <x:c r="B31" s="31" t="n">
        <x:v>0.85</x:v>
      </x:c>
      <x:c r="C31" s="31" t="n">
        <x:f>$F$5*MIN($B31,$G$5)+$I$5*MAX(0,$B31-$G$5)+$J$5*MAX(0,$B31-$K$5)</x:f>
        <x:v>1521.22</x:v>
      </x:c>
      <x:c r="D31" s="31" t="n">
        <x:f>$F$6*MIN($B31,$G$6)+$I$6*MAX(0,$B31-$G$6)+$J$6*MAX(0,$B31-$K$6)</x:f>
        <x:v>1981.885</x:v>
      </x:c>
      <x:c r="E31" s="31" t="n">
        <x:f>$F$7*MIN($B31,$G$7)+$I$7*MAX(0,$B31-$G$7)+$J$7*MAX(0,$B31-$K$7)</x:f>
        <x:v>2470</x:v>
      </x:c>
      <x:c r="F31" s="31" t="n">
        <x:f>$F$8*MIN($B31,$G$8)+$I$8*MAX(0,$B31-$G$8)+$J$8*MAX(0,$B31-$K$8)</x:f>
        <x:v>2981.93</x:v>
      </x:c>
      <x:c r="G31" s="31" t="n">
        <x:f>$F$9*MIN($B31,$G$9)+$I$9*MAX(0,$B31-$G$9)+$J$9*MAX(0,$B31-$K$9)</x:f>
        <x:v>3518.3999999999996</x:v>
      </x:c>
      <x:c r="H31" s="16"/>
      <x:c r="I31" s="16"/>
      <x:c r="J31" s="16"/>
      <x:c r="K31" s="16"/>
      <x:c r="L31" s="16"/>
      <x:c r="M31" s="16"/>
      <x:c r="N31" s="16"/>
      <x:c r="O31" s="16"/>
      <x:c r="P31" s="18"/>
      <x:c r="Q31" s="18"/>
      <x:c r="R31" s="18"/>
      <x:c r="S31" s="18"/>
      <x:c r="T31" s="18"/>
      <x:c r="U31" s="18"/>
      <x:c r="V31" s="18"/>
    </x:row>
    <x:row r="32" ht="22" customHeight="1">
      <x:c r="A32" s="2"/>
      <x:c r="B32" s="31" t="n">
        <x:v>0.9</x:v>
      </x:c>
      <x:c r="C32" s="31" t="n">
        <x:f>$F$5*MIN($B32,$G$5)+$I$5*MAX(0,$B32-$G$5)+$J$5*MAX(0,$B32-$K$5)</x:f>
        <x:v>1696.92</x:v>
      </x:c>
      <x:c r="D32" s="31" t="n">
        <x:f>$F$6*MIN($B32,$G$6)+$I$6*MAX(0,$B32-$G$6)+$J$6*MAX(0,$B32-$K$6)</x:f>
        <x:v>2183.835</x:v>
      </x:c>
      <x:c r="E32" s="31" t="n">
        <x:f>$F$7*MIN($B32,$G$7)+$I$7*MAX(0,$B32-$G$7)+$J$7*MAX(0,$B32-$K$7)</x:f>
        <x:v>2700</x:v>
      </x:c>
      <x:c r="F32" s="31" t="n">
        <x:f>$F$8*MIN($B32,$G$8)+$I$8*MAX(0,$B32-$G$8)+$J$8*MAX(0,$B32-$K$8)</x:f>
        <x:v>3241.7799999999997</x:v>
      </x:c>
      <x:c r="G32" s="31" t="n">
        <x:f>$F$9*MIN($B32,$G$9)+$I$9*MAX(0,$B32-$G$9)+$J$9*MAX(0,$B32-$K$9)</x:f>
        <x:v>3809.9</x:v>
      </x:c>
      <x:c r="H32" s="16"/>
      <x:c r="I32" s="16"/>
      <x:c r="J32" s="16"/>
      <x:c r="K32" s="16"/>
      <x:c r="L32" s="16"/>
      <x:c r="M32" s="16"/>
      <x:c r="N32" s="16"/>
      <x:c r="O32" s="16"/>
      <x:c r="P32" s="18"/>
      <x:c r="Q32" s="18"/>
      <x:c r="R32" s="18"/>
      <x:c r="S32" s="18"/>
      <x:c r="T32" s="18"/>
      <x:c r="U32" s="18"/>
      <x:c r="V32" s="18"/>
    </x:row>
    <x:row r="33" ht="22" customHeight="1">
      <x:c r="A33" s="2"/>
      <x:c r="B33" s="31" t="n">
        <x:v>0.95</x:v>
      </x:c>
      <x:c r="C33" s="31" t="n">
        <x:f>$F$5*MIN($B33,$G$5)+$I$5*MAX(0,$B33-$G$5)+$J$5*MAX(0,$B33-$K$5)</x:f>
        <x:v>1872.62</x:v>
      </x:c>
      <x:c r="D33" s="31" t="n">
        <x:f>$F$6*MIN($B33,$G$6)+$I$6*MAX(0,$B33-$G$6)+$J$6*MAX(0,$B33-$K$6)</x:f>
        <x:v>2385.785</x:v>
      </x:c>
      <x:c r="E33" s="31" t="n">
        <x:f>$F$7*MIN($B33,$G$7)+$I$7*MAX(0,$B33-$G$7)+$J$7*MAX(0,$B33-$K$7)</x:f>
        <x:v>2930</x:v>
      </x:c>
      <x:c r="F33" s="31" t="n">
        <x:f>$F$8*MIN($B33,$G$8)+$I$8*MAX(0,$B33-$G$8)+$J$8*MAX(0,$B33-$K$8)</x:f>
        <x:v>3501.6299999999997</x:v>
      </x:c>
      <x:c r="G33" s="31" t="n">
        <x:f>$F$9*MIN($B33,$G$9)+$I$9*MAX(0,$B33-$G$9)+$J$9*MAX(0,$B33-$K$9)</x:f>
        <x:v>4101.4</x:v>
      </x:c>
      <x:c r="H33" s="16"/>
      <x:c r="I33" s="16"/>
      <x:c r="J33" s="16"/>
      <x:c r="K33" s="16"/>
      <x:c r="L33" s="16"/>
      <x:c r="M33" s="16"/>
      <x:c r="N33" s="16"/>
      <x:c r="O33" s="16"/>
      <x:c r="P33" s="18"/>
      <x:c r="Q33" s="18"/>
      <x:c r="R33" s="18"/>
      <x:c r="S33" s="18"/>
      <x:c r="T33" s="18"/>
      <x:c r="U33" s="18"/>
      <x:c r="V33" s="18"/>
    </x:row>
    <x:row r="34" ht="22" customHeight="1">
      <x:c r="A34" s="2"/>
      <x:c r="B34" s="31" t="n">
        <x:v>1</x:v>
      </x:c>
      <x:c r="C34" s="31" t="n">
        <x:f>$F$5*MIN($B34,$G$5)+$I$5*MAX(0,$B34-$G$5)+$J$5*MAX(0,$B34-$K$5)</x:f>
        <x:v>2048.32</x:v>
      </x:c>
      <x:c r="D34" s="31" t="n">
        <x:f>$F$6*MIN($B34,$G$6)+$I$6*MAX(0,$B34-$G$6)+$J$6*MAX(0,$B34-$K$6)</x:f>
        <x:v>2587.7349999999997</x:v>
      </x:c>
      <x:c r="E34" s="31" t="n">
        <x:f>$F$7*MIN($B34,$G$7)+$I$7*MAX(0,$B34-$G$7)+$J$7*MAX(0,$B34-$K$7)</x:f>
        <x:v>3160</x:v>
      </x:c>
      <x:c r="F34" s="31" t="n">
        <x:f>$F$8*MIN($B34,$G$8)+$I$8*MAX(0,$B34-$G$8)+$J$8*MAX(0,$B34-$K$8)</x:f>
        <x:v>3761.48</x:v>
      </x:c>
      <x:c r="G34" s="31" t="n">
        <x:f>$F$9*MIN($B34,$G$9)+$I$9*MAX(0,$B34-$G$9)+$J$9*MAX(0,$B34-$K$9)</x:f>
        <x:v>4392.9</x:v>
      </x:c>
      <x:c r="H34" s="16"/>
      <x:c r="I34" s="16"/>
      <x:c r="J34" s="16"/>
      <x:c r="K34" s="16"/>
      <x:c r="L34" s="16"/>
      <x:c r="M34" s="16"/>
      <x:c r="N34" s="16"/>
      <x:c r="O34" s="16"/>
      <x:c r="P34" s="18"/>
      <x:c r="Q34" s="18"/>
      <x:c r="R34" s="18"/>
      <x:c r="S34" s="18"/>
      <x:c r="T34" s="18"/>
      <x:c r="U34" s="18"/>
      <x:c r="V34" s="18"/>
    </x:row>
    <x:row r="35" ht="22" customHeight="1">
      <x:c r="A35" s="2"/>
      <x:c r="B35" s="16"/>
      <x:c r="C35" s="16"/>
      <x:c r="D35" s="16"/>
      <x:c r="E35" s="16"/>
      <x:c r="F35" s="16"/>
      <x:c r="G35" s="16"/>
      <x:c r="H35" s="16"/>
      <x:c r="I35" s="16"/>
      <x:c r="J35" s="16"/>
      <x:c r="K35" s="16"/>
      <x:c r="L35" s="16"/>
      <x:c r="M35" s="16"/>
      <x:c r="N35" s="16"/>
      <x:c r="O35" s="16"/>
      <x:c r="P35" s="18"/>
      <x:c r="Q35" s="18"/>
      <x:c r="R35" s="18"/>
      <x:c r="S35" s="18"/>
      <x:c r="T35" s="18"/>
      <x:c r="U35" s="18"/>
      <x:c r="V35" s="18"/>
    </x:row>
    <x:row r="36" ht="22" customHeight="1">
      <x:c r="A36" s="2"/>
      <x:c r="B36" s="16"/>
      <x:c r="C36" s="16"/>
      <x:c r="D36" s="16"/>
      <x:c r="E36" s="16"/>
      <x:c r="F36" s="16"/>
      <x:c r="G36" s="16"/>
      <x:c r="H36" s="16"/>
      <x:c r="I36" s="16"/>
      <x:c r="J36" s="16"/>
      <x:c r="K36" s="16"/>
      <x:c r="L36" s="16"/>
      <x:c r="M36" s="16"/>
      <x:c r="N36" s="16"/>
      <x:c r="O36" s="16"/>
      <x:c r="P36" s="18"/>
      <x:c r="Q36" s="18"/>
      <x:c r="R36" s="18"/>
      <x:c r="S36" s="18"/>
      <x:c r="T36" s="18"/>
      <x:c r="U36" s="18"/>
      <x:c r="V36" s="18"/>
    </x:row>
    <x:row r="37" ht="22" customHeight="1">
      <x:c r="A37" s="2"/>
      <x:c r="B37" s="16"/>
      <x:c r="C37" s="16"/>
      <x:c r="D37" s="16"/>
      <x:c r="E37" s="16"/>
      <x:c r="F37" s="16"/>
      <x:c r="G37" s="16"/>
      <x:c r="H37" s="16"/>
      <x:c r="I37" s="16"/>
      <x:c r="J37" s="16"/>
      <x:c r="K37" s="16"/>
      <x:c r="L37" s="16"/>
      <x:c r="M37" s="16"/>
      <x:c r="N37" s="16"/>
      <x:c r="O37" s="16"/>
      <x:c r="P37" s="18"/>
      <x:c r="Q37" s="18"/>
      <x:c r="R37" s="18"/>
      <x:c r="S37" s="18"/>
      <x:c r="T37" s="18"/>
      <x:c r="U37" s="18"/>
      <x:c r="V37" s="18"/>
    </x:row>
    <x:row r="38" ht="22" customHeight="1">
      <x:c r="A38" s="2"/>
      <x:c r="B38" s="16"/>
      <x:c r="C38" s="16"/>
      <x:c r="D38" s="16"/>
      <x:c r="E38" s="16"/>
      <x:c r="F38" s="16"/>
      <x:c r="G38" s="16"/>
      <x:c r="H38" s="16"/>
      <x:c r="I38" s="16"/>
      <x:c r="J38" s="16"/>
      <x:c r="K38" s="16"/>
      <x:c r="L38" s="16"/>
      <x:c r="M38" s="16"/>
      <x:c r="N38" s="16"/>
      <x:c r="O38" s="16"/>
      <x:c r="P38" s="18"/>
      <x:c r="Q38" s="18"/>
      <x:c r="R38" s="18"/>
      <x:c r="S38" s="18"/>
      <x:c r="T38" s="18"/>
      <x:c r="U38" s="18"/>
      <x:c r="V38" s="18"/>
    </x:row>
    <x:row r="39" ht="22" customHeight="1">
      <x:c r="A39" s="2"/>
      <x:c r="B39" s="16"/>
      <x:c r="C39" s="16"/>
      <x:c r="D39" s="16"/>
      <x:c r="E39" s="16"/>
      <x:c r="F39" s="16"/>
      <x:c r="G39" s="16"/>
      <x:c r="H39" s="16"/>
      <x:c r="I39" s="16"/>
      <x:c r="J39" s="16"/>
      <x:c r="K39" s="16"/>
      <x:c r="L39" s="16"/>
      <x:c r="M39" s="16"/>
      <x:c r="N39" s="16"/>
      <x:c r="O39" s="16"/>
      <x:c r="P39" s="18"/>
      <x:c r="Q39" s="18"/>
      <x:c r="R39" s="18"/>
      <x:c r="S39" s="18"/>
      <x:c r="T39" s="18"/>
      <x:c r="U39" s="18"/>
      <x:c r="V39" s="18"/>
    </x:row>
    <x:row r="40" ht="22" customHeight="1">
      <x:c r="A40" s="2"/>
      <x:c r="B40" s="16"/>
      <x:c r="C40" s="16"/>
      <x:c r="D40" s="16"/>
      <x:c r="E40" s="16"/>
      <x:c r="F40" s="16"/>
      <x:c r="G40" s="16"/>
      <x:c r="H40" s="16"/>
      <x:c r="I40" s="16"/>
      <x:c r="J40" s="16"/>
      <x:c r="K40" s="16"/>
      <x:c r="L40" s="16"/>
      <x:c r="M40" s="16"/>
      <x:c r="N40" s="16"/>
      <x:c r="O40" s="16"/>
      <x:c r="P40" s="18"/>
      <x:c r="Q40" s="18"/>
      <x:c r="R40" s="18"/>
      <x:c r="S40" s="18"/>
      <x:c r="T40" s="18"/>
      <x:c r="U40" s="18"/>
      <x:c r="V40" s="18"/>
    </x:row>
    <x:row r="41" ht="22" customHeight="1">
      <x:c r="A41" s="2"/>
      <x:c r="B41" s="23" t="str">
        <x:v>HSC Sweep · 由本页 Valving 开关选择参数</x:v>
      </x:c>
      <x:c r="C41" s="23"/>
      <x:c r="D41" s="23"/>
      <x:c r="E41" s="23"/>
      <x:c r="F41" s="23"/>
      <x:c r="G41" s="23"/>
      <x:c r="H41" s="23"/>
      <x:c r="I41" s="23"/>
      <x:c r="J41" s="23"/>
      <x:c r="K41" s="23"/>
      <x:c r="L41" s="23"/>
      <x:c r="M41" s="23"/>
      <x:c r="N41" s="23"/>
      <x:c r="O41" s="23"/>
      <x:c r="P41" s="24"/>
      <x:c r="Q41" s="24"/>
      <x:c r="R41" s="24"/>
      <x:c r="S41" s="24"/>
      <x:c r="T41" s="24"/>
      <x:c r="U41" s="24"/>
      <x:c r="V41" s="24"/>
    </x:row>
    <x:row r="42" ht="22" customHeight="1">
      <x:c r="A42" s="2"/>
      <x:c r="B42" s="16"/>
      <x:c r="C42" s="16"/>
      <x:c r="D42" s="16"/>
      <x:c r="E42" s="16"/>
      <x:c r="F42" s="16"/>
      <x:c r="G42" s="16"/>
      <x:c r="H42" s="16"/>
      <x:c r="I42" s="16"/>
      <x:c r="J42" s="16"/>
      <x:c r="K42" s="16"/>
      <x:c r="L42" s="16"/>
      <x:c r="M42" s="16"/>
      <x:c r="N42" s="16"/>
      <x:c r="O42" s="16"/>
      <x:c r="P42" s="18"/>
      <x:c r="Q42" s="18"/>
      <x:c r="R42" s="18"/>
      <x:c r="S42" s="18"/>
      <x:c r="T42" s="18"/>
      <x:c r="U42" s="18"/>
      <x:c r="V42" s="18"/>
    </x:row>
    <x:row r="43" ht="22" customHeight="1">
      <x:c r="B43" s="18"/>
      <x:c r="C43" s="18"/>
      <x:c r="D43" s="18"/>
      <x:c r="E43" s="18"/>
      <x:c r="F43" s="18"/>
      <x:c r="G43" s="18"/>
      <x:c r="H43" s="18"/>
      <x:c r="I43" s="18"/>
      <x:c r="J43" s="18"/>
      <x:c r="K43" s="18"/>
      <x:c r="L43" s="18"/>
      <x:c r="M43" s="18"/>
      <x:c r="N43" s="18"/>
      <x:c r="O43" s="18"/>
      <x:c r="P43" s="18"/>
      <x:c r="Q43" s="18"/>
      <x:c r="R43" s="18"/>
      <x:c r="S43" s="18"/>
      <x:c r="T43" s="18"/>
      <x:c r="U43" s="18"/>
      <x:c r="V43" s="18"/>
    </x:row>
    <x:row r="44" ht="35" customHeight="1">
      <x:c r="B44" s="30" t="str">
        <x:v>曲线</x:v>
      </x:c>
      <x:c r="C44" s="30" t="str">
        <x:v>c</x:v>
      </x:c>
      <x:c r="D44" s="30" t="str">
        <x:v>C</x:v>
      </x:c>
      <x:c r="E44" s="30" t="str">
        <x:v>R</x:v>
      </x:c>
      <x:c r="F44" s="30" t="str">
        <x:v>bump1</x:v>
      </x:c>
      <x:c r="G44" s="30" t="str">
        <x:v>LSC knee</x:v>
      </x:c>
      <x:c r="H44" s="30" t="str">
        <x:v>bump2 倍率</x:v>
      </x:c>
      <x:c r="I44" s="30" t="str">
        <x:v>bump2</x:v>
      </x:c>
      <x:c r="J44" s="30" t="str">
        <x:v>HSbump</x:v>
      </x:c>
      <x:c r="K44" s="30" t="str">
        <x:v>HSC knee</x:v>
      </x:c>
      <x:c r="L44" s="30" t="str">
        <x:v>总 HS 系数</x:v>
      </x:c>
      <x:c r="M44" s="30" t="str">
        <x:v>rebound</x:v>
      </x:c>
      <x:c r="N44" s="30" t="str">
        <x:v>Rebound knee</x:v>
      </x:c>
      <x:c r="O44" s="30" t="str">
        <x:v>HSR 倍率</x:v>
      </x:c>
      <x:c r="P44" s="30" t="str">
        <x:v>HSrebound</x:v>
      </x:c>
      <x:c r="Q44" s="30" t="str">
        <x:v>LSC 区间</x:v>
      </x:c>
      <x:c r="R44" s="30" t="str">
        <x:v>HSC 区间</x:v>
      </x:c>
      <x:c r="S44" s="30" t="str">
        <x:v>LSR 区间</x:v>
      </x:c>
      <x:c r="T44" s="30" t="str">
        <x:v>LSC 区间位置</x:v>
      </x:c>
      <x:c r="U44" s="30" t="str">
        <x:v>HSC 区间位置</x:v>
      </x:c>
      <x:c r="V44" s="30" t="str">
        <x:v>LSR 区间位置</x:v>
      </x:c>
    </x:row>
    <x:row r="45" ht="22" customHeight="1">
      <x:c r="B45" s="18" t="str">
        <x:f>"C "&amp;D45</x:f>
        <x:v>C -20</x:v>
      </x:c>
      <x:c r="C45" s="18" t="n">
        <x:f>'HSC Sweep'!$C$6</x:f>
        <x:v>-12</x:v>
      </x:c>
      <x:c r="D45" s="18" t="n">
        <x:f>Parameters!D8</x:f>
        <x:v>-20</x:v>
      </x:c>
      <x:c r="E45" s="18" t="n">
        <x:f>Parameters!D16</x:f>
        <x:v>-40</x:v>
      </x:c>
      <x:c r="F45" s="18" t="n">
        <x:f>IF('HSC Sweep'!$C$4="Type-B",INDEX(Parameters!$J$10:$N$10,1,Q45)+(INDEX(Parameters!$J$10:$N$10,1,Q45+1)-INDEX(Parameters!$J$10:$N$10,1,Q45))*T45,INDEX(Parameters!$D$10:$H$10,1,Q45)+(INDEX(Parameters!$D$10:$H$10,1,Q45+1)-INDEX(Parameters!$D$10:$H$10,1,Q45))*T45)</x:f>
        <x:v>2500</x:v>
      </x:c>
      <x:c r="G45" s="18" t="n">
        <x:f>IF('HSC Sweep'!$C$4="Type-B",INDEX(Parameters!$J$11:$N$11,1,Q45)+(INDEX(Parameters!$J$11:$N$11,1,Q45+1)-INDEX(Parameters!$J$11:$N$11,1,Q45))*T45,INDEX(Parameters!$D$11:$H$11,1,Q45)+(INDEX(Parameters!$D$11:$H$11,1,Q45+1)-INDEX(Parameters!$D$11:$H$11,1,Q45))*T45)</x:f>
        <x:v>0.15</x:v>
      </x:c>
      <x:c r="H45" s="18" t="n">
        <x:f>IF('HSC Sweep'!$C$4="Type-B",INDEX(Parameters!$J$12:$N$12,1,Q45)+(INDEX(Parameters!$J$12:$N$12,1,Q45+1)-INDEX(Parameters!$J$12:$N$12,1,Q45))*T45,INDEX(Parameters!$D$12:$H$12,1,Q45)+(INDEX(Parameters!$D$12:$H$12,1,Q45+1)-INDEX(Parameters!$D$12:$H$12,1,Q45))*T45)</x:f>
        <x:v>0.84</x:v>
      </x:c>
      <x:c r="I45" s="18" t="n">
        <x:f>F45*H45</x:f>
        <x:v>2100</x:v>
      </x:c>
      <x:c r="J45" s="18" t="n">
        <x:f>IF('HSC Sweep'!$C$4="Type-B",INDEX(Parameters!$J$13:$N$13,1,R45)+(INDEX(Parameters!$J$13:$N$13,1,R45+1)-INDEX(Parameters!$J$13:$N$13,1,R45))*U45,INDEX(Parameters!$D$13:$H$13,1,R45)+(INDEX(Parameters!$D$13:$H$13,1,R45+1)-INDEX(Parameters!$D$13:$H$13,1,R45))*U45)</x:f>
        <x:v>1000</x:v>
      </x:c>
      <x:c r="K45" s="18" t="n">
        <x:f>IF('HSC Sweep'!$C$4="Type-B",INDEX(Parameters!$J$14:$N$14,1,R45)+(INDEX(Parameters!$J$14:$N$14,1,R45+1)-INDEX(Parameters!$J$14:$N$14,1,R45))*U45,INDEX(Parameters!$D$14:$H$14,1,R45)+(INDEX(Parameters!$D$14:$H$14,1,R45+1)-INDEX(Parameters!$D$14:$H$14,1,R45))*U45)</x:f>
        <x:v>0.58</x:v>
      </x:c>
      <x:c r="L45" s="18" t="n">
        <x:f>I45+J45</x:f>
        <x:v>3100</x:v>
      </x:c>
      <x:c r="M45" s="18" t="n">
        <x:f>IF('HSC Sweep'!$C$4="Type-B",INDEX(Parameters!$J$17:$N$17,1,S45)+(INDEX(Parameters!$J$17:$N$17,1,S45+1)-INDEX(Parameters!$J$17:$N$17,1,S45))*V45,INDEX(Parameters!$D$17:$H$17,1,S45)+(INDEX(Parameters!$D$17:$H$17,1,S45+1)-INDEX(Parameters!$D$17:$H$17,1,S45))*V45)</x:f>
        <x:v>1215</x:v>
      </x:c>
      <x:c r="N45" s="18" t="n">
        <x:f>IF('HSC Sweep'!$C$4="Type-B",INDEX(Parameters!$J$18:$N$18,1,S45)+(INDEX(Parameters!$J$18:$N$18,1,S45+1)-INDEX(Parameters!$J$18:$N$18,1,S45))*V45,INDEX(Parameters!$D$18:$H$18,1,S45)+(INDEX(Parameters!$D$18:$H$18,1,S45+1)-INDEX(Parameters!$D$18:$H$18,1,S45))*V45)</x:f>
        <x:v>0.3</x:v>
      </x:c>
      <x:c r="O45" s="18" t="n">
        <x:f>IF('HSC Sweep'!$C$4="Type-B",INDEX(Parameters!$J$19:$N$19,1,S45)+(INDEX(Parameters!$J$19:$N$19,1,S45+1)-INDEX(Parameters!$J$19:$N$19,1,S45))*V45,INDEX(Parameters!$D$19:$H$19,1,S45)+(INDEX(Parameters!$D$19:$H$19,1,S45+1)-INDEX(Parameters!$D$19:$H$19,1,S45))*V45)</x:f>
        <x:v>0.74</x:v>
      </x:c>
      <x:c r="P45" s="18" t="n">
        <x:f>M45*O45</x:f>
        <x:v>899.1</x:v>
      </x:c>
      <x:c r="Q45" s="18" t="n">
        <x:f>MIN(4,MAX(1,INT((1+C45/Parameters!$D$24)*4)+1))</x:f>
        <x:v>3</x:v>
      </x:c>
      <x:c r="R45" s="18" t="n">
        <x:f>MIN(4,MAX(1,INT((1+D45/Parameters!$D$25)*4)+1))</x:f>
        <x:v>1</x:v>
      </x:c>
      <x:c r="S45" s="18" t="n">
        <x:f>MIN(4,MAX(1,INT((1+E45/Parameters!$D$26)*4)+1))</x:f>
        <x:v>1</x:v>
      </x:c>
      <x:c r="T45" s="18" t="n">
        <x:f>MAX(0,MIN(1,(1+C45/Parameters!$D$24)*4-(Q45-1)))</x:f>
        <x:v>0</x:v>
      </x:c>
      <x:c r="U45" s="18" t="n">
        <x:f>MAX(0,MIN(1,(1+D45/Parameters!$D$25)*4-(R45-1)))</x:f>
        <x:v>0</x:v>
      </x:c>
      <x:c r="V45" s="18" t="n">
        <x:f>MAX(0,MIN(1,(1+E45/Parameters!$D$26)*4-(S45-1)))</x:f>
        <x:v>0</x:v>
      </x:c>
    </x:row>
    <x:row r="46" ht="22" customHeight="1">
      <x:c r="B46" s="18" t="str">
        <x:f>"C "&amp;D46</x:f>
        <x:v>C -15</x:v>
      </x:c>
      <x:c r="C46" s="18" t="n">
        <x:f>'HSC Sweep'!$C$6</x:f>
        <x:v>-12</x:v>
      </x:c>
      <x:c r="D46" s="18" t="n">
        <x:f>Parameters!E8</x:f>
        <x:v>-15</x:v>
      </x:c>
      <x:c r="E46" s="18" t="n">
        <x:f>Parameters!E16</x:f>
        <x:v>-30</x:v>
      </x:c>
      <x:c r="F46" s="18" t="n">
        <x:f>IF('HSC Sweep'!$C$4="Type-B",INDEX(Parameters!$J$10:$N$10,1,Q46)+(INDEX(Parameters!$J$10:$N$10,1,Q46+1)-INDEX(Parameters!$J$10:$N$10,1,Q46))*T46,INDEX(Parameters!$D$10:$H$10,1,Q46)+(INDEX(Parameters!$D$10:$H$10,1,Q46+1)-INDEX(Parameters!$D$10:$H$10,1,Q46))*T46)</x:f>
        <x:v>2500</x:v>
      </x:c>
      <x:c r="G46" s="18" t="n">
        <x:f>IF('HSC Sweep'!$C$4="Type-B",INDEX(Parameters!$J$11:$N$11,1,Q46)+(INDEX(Parameters!$J$11:$N$11,1,Q46+1)-INDEX(Parameters!$J$11:$N$11,1,Q46))*T46,INDEX(Parameters!$D$11:$H$11,1,Q46)+(INDEX(Parameters!$D$11:$H$11,1,Q46+1)-INDEX(Parameters!$D$11:$H$11,1,Q46))*T46)</x:f>
        <x:v>0.15</x:v>
      </x:c>
      <x:c r="H46" s="18" t="n">
        <x:f>IF('HSC Sweep'!$C$4="Type-B",INDEX(Parameters!$J$12:$N$12,1,Q46)+(INDEX(Parameters!$J$12:$N$12,1,Q46+1)-INDEX(Parameters!$J$12:$N$12,1,Q46))*T46,INDEX(Parameters!$D$12:$H$12,1,Q46)+(INDEX(Parameters!$D$12:$H$12,1,Q46+1)-INDEX(Parameters!$D$12:$H$12,1,Q46))*T46)</x:f>
        <x:v>0.84</x:v>
      </x:c>
      <x:c r="I46" s="18" t="n">
        <x:f>F46*H46</x:f>
        <x:v>2100</x:v>
      </x:c>
      <x:c r="J46" s="18" t="n">
        <x:f>IF('HSC Sweep'!$C$4="Type-B",INDEX(Parameters!$J$13:$N$13,1,R46)+(INDEX(Parameters!$J$13:$N$13,1,R46+1)-INDEX(Parameters!$J$13:$N$13,1,R46))*U46,INDEX(Parameters!$D$13:$H$13,1,R46)+(INDEX(Parameters!$D$13:$H$13,1,R46+1)-INDEX(Parameters!$D$13:$H$13,1,R46))*U46)</x:f>
        <x:v>1750</x:v>
      </x:c>
      <x:c r="K46" s="18" t="n">
        <x:f>IF('HSC Sweep'!$C$4="Type-B",INDEX(Parameters!$J$14:$N$14,1,R46)+(INDEX(Parameters!$J$14:$N$14,1,R46+1)-INDEX(Parameters!$J$14:$N$14,1,R46))*U46,INDEX(Parameters!$D$14:$H$14,1,R46)+(INDEX(Parameters!$D$14:$H$14,1,R46+1)-INDEX(Parameters!$D$14:$H$14,1,R46))*U46)</x:f>
        <x:v>0.59</x:v>
      </x:c>
      <x:c r="L46" s="18" t="n">
        <x:f>I46+J46</x:f>
        <x:v>3850</x:v>
      </x:c>
      <x:c r="M46" s="18" t="n">
        <x:f>IF('HSC Sweep'!$C$4="Type-B",INDEX(Parameters!$J$17:$N$17,1,S46)+(INDEX(Parameters!$J$17:$N$17,1,S46+1)-INDEX(Parameters!$J$17:$N$17,1,S46))*V46,INDEX(Parameters!$D$17:$H$17,1,S46)+(INDEX(Parameters!$D$17:$H$17,1,S46+1)-INDEX(Parameters!$D$17:$H$17,1,S46))*V46)</x:f>
        <x:v>1665</x:v>
      </x:c>
      <x:c r="N46" s="18" t="n">
        <x:f>IF('HSC Sweep'!$C$4="Type-B",INDEX(Parameters!$J$18:$N$18,1,S46)+(INDEX(Parameters!$J$18:$N$18,1,S46+1)-INDEX(Parameters!$J$18:$N$18,1,S46))*V46,INDEX(Parameters!$D$18:$H$18,1,S46)+(INDEX(Parameters!$D$18:$H$18,1,S46+1)-INDEX(Parameters!$D$18:$H$18,1,S46))*V46)</x:f>
        <x:v>0.32499999999999996</x:v>
      </x:c>
      <x:c r="O46" s="18" t="n">
        <x:f>IF('HSC Sweep'!$C$4="Type-B",INDEX(Parameters!$J$19:$N$19,1,S46)+(INDEX(Parameters!$J$19:$N$19,1,S46+1)-INDEX(Parameters!$J$19:$N$19,1,S46))*V46,INDEX(Parameters!$D$19:$H$19,1,S46)+(INDEX(Parameters!$D$19:$H$19,1,S46+1)-INDEX(Parameters!$D$19:$H$19,1,S46))*V46)</x:f>
        <x:v>0.78</x:v>
      </x:c>
      <x:c r="P46" s="18" t="n">
        <x:f>M46*O46</x:f>
        <x:v>1298.7</x:v>
      </x:c>
      <x:c r="Q46" s="18" t="n">
        <x:f>MIN(4,MAX(1,INT((1+C46/Parameters!$D$24)*4)+1))</x:f>
        <x:v>3</x:v>
      </x:c>
      <x:c r="R46" s="18" t="n">
        <x:f>MIN(4,MAX(1,INT((1+D46/Parameters!$D$25)*4)+1))</x:f>
        <x:v>2</x:v>
      </x:c>
      <x:c r="S46" s="18" t="n">
        <x:f>MIN(4,MAX(1,INT((1+E46/Parameters!$D$26)*4)+1))</x:f>
        <x:v>2</x:v>
      </x:c>
      <x:c r="T46" s="18" t="n">
        <x:f>MAX(0,MIN(1,(1+C46/Parameters!$D$24)*4-(Q46-1)))</x:f>
        <x:v>0</x:v>
      </x:c>
      <x:c r="U46" s="18" t="n">
        <x:f>MAX(0,MIN(1,(1+D46/Parameters!$D$25)*4-(R46-1)))</x:f>
        <x:v>0</x:v>
      </x:c>
      <x:c r="V46" s="18" t="n">
        <x:f>MAX(0,MIN(1,(1+E46/Parameters!$D$26)*4-(S46-1)))</x:f>
        <x:v>0</x:v>
      </x:c>
    </x:row>
    <x:row r="47" ht="22" customHeight="1">
      <x:c r="B47" s="18" t="str">
        <x:f>"C "&amp;D47</x:f>
        <x:v>C -10</x:v>
      </x:c>
      <x:c r="C47" s="18" t="n">
        <x:f>'HSC Sweep'!$C$6</x:f>
        <x:v>-12</x:v>
      </x:c>
      <x:c r="D47" s="18" t="n">
        <x:f>Parameters!F8</x:f>
        <x:v>-10</x:v>
      </x:c>
      <x:c r="E47" s="18" t="n">
        <x:f>Parameters!F16</x:f>
        <x:v>-20</x:v>
      </x:c>
      <x:c r="F47" s="18" t="n">
        <x:f>IF('HSC Sweep'!$C$4="Type-B",INDEX(Parameters!$J$10:$N$10,1,Q47)+(INDEX(Parameters!$J$10:$N$10,1,Q47+1)-INDEX(Parameters!$J$10:$N$10,1,Q47))*T47,INDEX(Parameters!$D$10:$H$10,1,Q47)+(INDEX(Parameters!$D$10:$H$10,1,Q47+1)-INDEX(Parameters!$D$10:$H$10,1,Q47))*T47)</x:f>
        <x:v>2500</x:v>
      </x:c>
      <x:c r="G47" s="18" t="n">
        <x:f>IF('HSC Sweep'!$C$4="Type-B",INDEX(Parameters!$J$11:$N$11,1,Q47)+(INDEX(Parameters!$J$11:$N$11,1,Q47+1)-INDEX(Parameters!$J$11:$N$11,1,Q47))*T47,INDEX(Parameters!$D$11:$H$11,1,Q47)+(INDEX(Parameters!$D$11:$H$11,1,Q47+1)-INDEX(Parameters!$D$11:$H$11,1,Q47))*T47)</x:f>
        <x:v>0.15</x:v>
      </x:c>
      <x:c r="H47" s="18" t="n">
        <x:f>IF('HSC Sweep'!$C$4="Type-B",INDEX(Parameters!$J$12:$N$12,1,Q47)+(INDEX(Parameters!$J$12:$N$12,1,Q47+1)-INDEX(Parameters!$J$12:$N$12,1,Q47))*T47,INDEX(Parameters!$D$12:$H$12,1,Q47)+(INDEX(Parameters!$D$12:$H$12,1,Q47+1)-INDEX(Parameters!$D$12:$H$12,1,Q47))*T47)</x:f>
        <x:v>0.84</x:v>
      </x:c>
      <x:c r="I47" s="18" t="n">
        <x:f>F47*H47</x:f>
        <x:v>2100</x:v>
      </x:c>
      <x:c r="J47" s="18" t="n">
        <x:f>IF('HSC Sweep'!$C$4="Type-B",INDEX(Parameters!$J$13:$N$13,1,R47)+(INDEX(Parameters!$J$13:$N$13,1,R47+1)-INDEX(Parameters!$J$13:$N$13,1,R47))*U47,INDEX(Parameters!$D$13:$H$13,1,R47)+(INDEX(Parameters!$D$13:$H$13,1,R47+1)-INDEX(Parameters!$D$13:$H$13,1,R47))*U47)</x:f>
        <x:v>2500</x:v>
      </x:c>
      <x:c r="K47" s="18" t="n">
        <x:f>IF('HSC Sweep'!$C$4="Type-B",INDEX(Parameters!$J$14:$N$14,1,R47)+(INDEX(Parameters!$J$14:$N$14,1,R47+1)-INDEX(Parameters!$J$14:$N$14,1,R47))*U47,INDEX(Parameters!$D$14:$H$14,1,R47)+(INDEX(Parameters!$D$14:$H$14,1,R47+1)-INDEX(Parameters!$D$14:$H$14,1,R47))*U47)</x:f>
        <x:v>0.6</x:v>
      </x:c>
      <x:c r="L47" s="18" t="n">
        <x:f>I47+J47</x:f>
        <x:v>4600</x:v>
      </x:c>
      <x:c r="M47" s="18" t="n">
        <x:f>IF('HSC Sweep'!$C$4="Type-B",INDEX(Parameters!$J$17:$N$17,1,S47)+(INDEX(Parameters!$J$17:$N$17,1,S47+1)-INDEX(Parameters!$J$17:$N$17,1,S47))*V47,INDEX(Parameters!$D$17:$H$17,1,S47)+(INDEX(Parameters!$D$17:$H$17,1,S47+1)-INDEX(Parameters!$D$17:$H$17,1,S47))*V47)</x:f>
        <x:v>2115</x:v>
      </x:c>
      <x:c r="N47" s="18" t="n">
        <x:f>IF('HSC Sweep'!$C$4="Type-B",INDEX(Parameters!$J$18:$N$18,1,S47)+(INDEX(Parameters!$J$18:$N$18,1,S47+1)-INDEX(Parameters!$J$18:$N$18,1,S47))*V47,INDEX(Parameters!$D$18:$H$18,1,S47)+(INDEX(Parameters!$D$18:$H$18,1,S47+1)-INDEX(Parameters!$D$18:$H$18,1,S47))*V47)</x:f>
        <x:v>0.35</x:v>
      </x:c>
      <x:c r="O47" s="18" t="n">
        <x:f>IF('HSC Sweep'!$C$4="Type-B",INDEX(Parameters!$J$19:$N$19,1,S47)+(INDEX(Parameters!$J$19:$N$19,1,S47+1)-INDEX(Parameters!$J$19:$N$19,1,S47))*V47,INDEX(Parameters!$D$19:$H$19,1,S47)+(INDEX(Parameters!$D$19:$H$19,1,S47+1)-INDEX(Parameters!$D$19:$H$19,1,S47))*V47)</x:f>
        <x:v>0.82</x:v>
      </x:c>
      <x:c r="P47" s="18" t="n">
        <x:f>M47*O47</x:f>
        <x:v>1734.3</x:v>
      </x:c>
      <x:c r="Q47" s="18" t="n">
        <x:f>MIN(4,MAX(1,INT((1+C47/Parameters!$D$24)*4)+1))</x:f>
        <x:v>3</x:v>
      </x:c>
      <x:c r="R47" s="18" t="n">
        <x:f>MIN(4,MAX(1,INT((1+D47/Parameters!$D$25)*4)+1))</x:f>
        <x:v>3</x:v>
      </x:c>
      <x:c r="S47" s="18" t="n">
        <x:f>MIN(4,MAX(1,INT((1+E47/Parameters!$D$26)*4)+1))</x:f>
        <x:v>3</x:v>
      </x:c>
      <x:c r="T47" s="18" t="n">
        <x:f>MAX(0,MIN(1,(1+C47/Parameters!$D$24)*4-(Q47-1)))</x:f>
        <x:v>0</x:v>
      </x:c>
      <x:c r="U47" s="18" t="n">
        <x:f>MAX(0,MIN(1,(1+D47/Parameters!$D$25)*4-(R47-1)))</x:f>
        <x:v>0</x:v>
      </x:c>
      <x:c r="V47" s="18" t="n">
        <x:f>MAX(0,MIN(1,(1+E47/Parameters!$D$26)*4-(S47-1)))</x:f>
        <x:v>0</x:v>
      </x:c>
    </x:row>
    <x:row r="48" ht="22" customHeight="1">
      <x:c r="B48" s="18" t="str">
        <x:f>"C "&amp;D48</x:f>
        <x:v>C -5</x:v>
      </x:c>
      <x:c r="C48" s="18" t="n">
        <x:f>'HSC Sweep'!$C$6</x:f>
        <x:v>-12</x:v>
      </x:c>
      <x:c r="D48" s="18" t="n">
        <x:f>Parameters!G8</x:f>
        <x:v>-5</x:v>
      </x:c>
      <x:c r="E48" s="18" t="n">
        <x:f>Parameters!G16</x:f>
        <x:v>-10</x:v>
      </x:c>
      <x:c r="F48" s="18" t="n">
        <x:f>IF('HSC Sweep'!$C$4="Type-B",INDEX(Parameters!$J$10:$N$10,1,Q48)+(INDEX(Parameters!$J$10:$N$10,1,Q48+1)-INDEX(Parameters!$J$10:$N$10,1,Q48))*T48,INDEX(Parameters!$D$10:$H$10,1,Q48)+(INDEX(Parameters!$D$10:$H$10,1,Q48+1)-INDEX(Parameters!$D$10:$H$10,1,Q48))*T48)</x:f>
        <x:v>2500</x:v>
      </x:c>
      <x:c r="G48" s="18" t="n">
        <x:f>IF('HSC Sweep'!$C$4="Type-B",INDEX(Parameters!$J$11:$N$11,1,Q48)+(INDEX(Parameters!$J$11:$N$11,1,Q48+1)-INDEX(Parameters!$J$11:$N$11,1,Q48))*T48,INDEX(Parameters!$D$11:$H$11,1,Q48)+(INDEX(Parameters!$D$11:$H$11,1,Q48+1)-INDEX(Parameters!$D$11:$H$11,1,Q48))*T48)</x:f>
        <x:v>0.15</x:v>
      </x:c>
      <x:c r="H48" s="18" t="n">
        <x:f>IF('HSC Sweep'!$C$4="Type-B",INDEX(Parameters!$J$12:$N$12,1,Q48)+(INDEX(Parameters!$J$12:$N$12,1,Q48+1)-INDEX(Parameters!$J$12:$N$12,1,Q48))*T48,INDEX(Parameters!$D$12:$H$12,1,Q48)+(INDEX(Parameters!$D$12:$H$12,1,Q48+1)-INDEX(Parameters!$D$12:$H$12,1,Q48))*T48)</x:f>
        <x:v>0.84</x:v>
      </x:c>
      <x:c r="I48" s="18" t="n">
        <x:f>F48*H48</x:f>
        <x:v>2100</x:v>
      </x:c>
      <x:c r="J48" s="18" t="n">
        <x:f>IF('HSC Sweep'!$C$4="Type-B",INDEX(Parameters!$J$13:$N$13,1,R48)+(INDEX(Parameters!$J$13:$N$13,1,R48+1)-INDEX(Parameters!$J$13:$N$13,1,R48))*U48,INDEX(Parameters!$D$13:$H$13,1,R48)+(INDEX(Parameters!$D$13:$H$13,1,R48+1)-INDEX(Parameters!$D$13:$H$13,1,R48))*U48)</x:f>
        <x:v>3250</x:v>
      </x:c>
      <x:c r="K48" s="18" t="n">
        <x:f>IF('HSC Sweep'!$C$4="Type-B",INDEX(Parameters!$J$14:$N$14,1,R48)+(INDEX(Parameters!$J$14:$N$14,1,R48+1)-INDEX(Parameters!$J$14:$N$14,1,R48))*U48,INDEX(Parameters!$D$14:$H$14,1,R48)+(INDEX(Parameters!$D$14:$H$14,1,R48+1)-INDEX(Parameters!$D$14:$H$14,1,R48))*U48)</x:f>
        <x:v>0.61</x:v>
      </x:c>
      <x:c r="L48" s="18" t="n">
        <x:f>I48+J48</x:f>
        <x:v>5350</x:v>
      </x:c>
      <x:c r="M48" s="18" t="n">
        <x:f>IF('HSC Sweep'!$C$4="Type-B",INDEX(Parameters!$J$17:$N$17,1,S48)+(INDEX(Parameters!$J$17:$N$17,1,S48+1)-INDEX(Parameters!$J$17:$N$17,1,S48))*V48,INDEX(Parameters!$D$17:$H$17,1,S48)+(INDEX(Parameters!$D$17:$H$17,1,S48+1)-INDEX(Parameters!$D$17:$H$17,1,S48))*V48)</x:f>
        <x:v>2565</x:v>
      </x:c>
      <x:c r="N48" s="18" t="n">
        <x:f>IF('HSC Sweep'!$C$4="Type-B",INDEX(Parameters!$J$18:$N$18,1,S48)+(INDEX(Parameters!$J$18:$N$18,1,S48+1)-INDEX(Parameters!$J$18:$N$18,1,S48))*V48,INDEX(Parameters!$D$18:$H$18,1,S48)+(INDEX(Parameters!$D$18:$H$18,1,S48+1)-INDEX(Parameters!$D$18:$H$18,1,S48))*V48)</x:f>
        <x:v>0.375</x:v>
      </x:c>
      <x:c r="O48" s="18" t="n">
        <x:f>IF('HSC Sweep'!$C$4="Type-B",INDEX(Parameters!$J$19:$N$19,1,S48)+(INDEX(Parameters!$J$19:$N$19,1,S48+1)-INDEX(Parameters!$J$19:$N$19,1,S48))*V48,INDEX(Parameters!$D$19:$H$19,1,S48)+(INDEX(Parameters!$D$19:$H$19,1,S48+1)-INDEX(Parameters!$D$19:$H$19,1,S48))*V48)</x:f>
        <x:v>0.86</x:v>
      </x:c>
      <x:c r="P48" s="18" t="n">
        <x:f>M48*O48</x:f>
        <x:v>2205.9</x:v>
      </x:c>
      <x:c r="Q48" s="18" t="n">
        <x:f>MIN(4,MAX(1,INT((1+C48/Parameters!$D$24)*4)+1))</x:f>
        <x:v>3</x:v>
      </x:c>
      <x:c r="R48" s="18" t="n">
        <x:f>MIN(4,MAX(1,INT((1+D48/Parameters!$D$25)*4)+1))</x:f>
        <x:v>4</x:v>
      </x:c>
      <x:c r="S48" s="18" t="n">
        <x:f>MIN(4,MAX(1,INT((1+E48/Parameters!$D$26)*4)+1))</x:f>
        <x:v>4</x:v>
      </x:c>
      <x:c r="T48" s="18" t="n">
        <x:f>MAX(0,MIN(1,(1+C48/Parameters!$D$24)*4-(Q48-1)))</x:f>
        <x:v>0</x:v>
      </x:c>
      <x:c r="U48" s="18" t="n">
        <x:f>MAX(0,MIN(1,(1+D48/Parameters!$D$25)*4-(R48-1)))</x:f>
        <x:v>0</x:v>
      </x:c>
      <x:c r="V48" s="18" t="n">
        <x:f>MAX(0,MIN(1,(1+E48/Parameters!$D$26)*4-(S48-1)))</x:f>
        <x:v>0</x:v>
      </x:c>
    </x:row>
    <x:row r="49" ht="22" customHeight="1">
      <x:c r="B49" s="18" t="str">
        <x:f>"C "&amp;D49</x:f>
        <x:v>C 0</x:v>
      </x:c>
      <x:c r="C49" s="18" t="n">
        <x:f>'HSC Sweep'!$C$6</x:f>
        <x:v>-12</x:v>
      </x:c>
      <x:c r="D49" s="18" t="n">
        <x:f>Parameters!H8</x:f>
        <x:v>0</x:v>
      </x:c>
      <x:c r="E49" s="18" t="n">
        <x:f>Parameters!H16</x:f>
        <x:v>0</x:v>
      </x:c>
      <x:c r="F49" s="18" t="n">
        <x:f>IF('HSC Sweep'!$C$4="Type-B",INDEX(Parameters!$J$10:$N$10,1,Q49)+(INDEX(Parameters!$J$10:$N$10,1,Q49+1)-INDEX(Parameters!$J$10:$N$10,1,Q49))*T49,INDEX(Parameters!$D$10:$H$10,1,Q49)+(INDEX(Parameters!$D$10:$H$10,1,Q49+1)-INDEX(Parameters!$D$10:$H$10,1,Q49))*T49)</x:f>
        <x:v>2500</x:v>
      </x:c>
      <x:c r="G49" s="18" t="n">
        <x:f>IF('HSC Sweep'!$C$4="Type-B",INDEX(Parameters!$J$11:$N$11,1,Q49)+(INDEX(Parameters!$J$11:$N$11,1,Q49+1)-INDEX(Parameters!$J$11:$N$11,1,Q49))*T49,INDEX(Parameters!$D$11:$H$11,1,Q49)+(INDEX(Parameters!$D$11:$H$11,1,Q49+1)-INDEX(Parameters!$D$11:$H$11,1,Q49))*T49)</x:f>
        <x:v>0.15</x:v>
      </x:c>
      <x:c r="H49" s="18" t="n">
        <x:f>IF('HSC Sweep'!$C$4="Type-B",INDEX(Parameters!$J$12:$N$12,1,Q49)+(INDEX(Parameters!$J$12:$N$12,1,Q49+1)-INDEX(Parameters!$J$12:$N$12,1,Q49))*T49,INDEX(Parameters!$D$12:$H$12,1,Q49)+(INDEX(Parameters!$D$12:$H$12,1,Q49+1)-INDEX(Parameters!$D$12:$H$12,1,Q49))*T49)</x:f>
        <x:v>0.84</x:v>
      </x:c>
      <x:c r="I49" s="18" t="n">
        <x:f>F49*H49</x:f>
        <x:v>2100</x:v>
      </x:c>
      <x:c r="J49" s="18" t="n">
        <x:f>IF('HSC Sweep'!$C$4="Type-B",INDEX(Parameters!$J$13:$N$13,1,R49)+(INDEX(Parameters!$J$13:$N$13,1,R49+1)-INDEX(Parameters!$J$13:$N$13,1,R49))*U49,INDEX(Parameters!$D$13:$H$13,1,R49)+(INDEX(Parameters!$D$13:$H$13,1,R49+1)-INDEX(Parameters!$D$13:$H$13,1,R49))*U49)</x:f>
        <x:v>4000</x:v>
      </x:c>
      <x:c r="K49" s="18" t="n">
        <x:f>IF('HSC Sweep'!$C$4="Type-B",INDEX(Parameters!$J$14:$N$14,1,R49)+(INDEX(Parameters!$J$14:$N$14,1,R49+1)-INDEX(Parameters!$J$14:$N$14,1,R49))*U49,INDEX(Parameters!$D$14:$H$14,1,R49)+(INDEX(Parameters!$D$14:$H$14,1,R49+1)-INDEX(Parameters!$D$14:$H$14,1,R49))*U49)</x:f>
        <x:v>0.62</x:v>
      </x:c>
      <x:c r="L49" s="18" t="n">
        <x:f>I49+J49</x:f>
        <x:v>6100</x:v>
      </x:c>
      <x:c r="M49" s="18" t="n">
        <x:f>IF('HSC Sweep'!$C$4="Type-B",INDEX(Parameters!$J$17:$N$17,1,S49)+(INDEX(Parameters!$J$17:$N$17,1,S49+1)-INDEX(Parameters!$J$17:$N$17,1,S49))*V49,INDEX(Parameters!$D$17:$H$17,1,S49)+(INDEX(Parameters!$D$17:$H$17,1,S49+1)-INDEX(Parameters!$D$17:$H$17,1,S49))*V49)</x:f>
        <x:v>3015</x:v>
      </x:c>
      <x:c r="N49" s="18" t="n">
        <x:f>IF('HSC Sweep'!$C$4="Type-B",INDEX(Parameters!$J$18:$N$18,1,S49)+(INDEX(Parameters!$J$18:$N$18,1,S49+1)-INDEX(Parameters!$J$18:$N$18,1,S49))*V49,INDEX(Parameters!$D$18:$H$18,1,S49)+(INDEX(Parameters!$D$18:$H$18,1,S49+1)-INDEX(Parameters!$D$18:$H$18,1,S49))*V49)</x:f>
        <x:v>0.4</x:v>
      </x:c>
      <x:c r="O49" s="18" t="n">
        <x:f>IF('HSC Sweep'!$C$4="Type-B",INDEX(Parameters!$J$19:$N$19,1,S49)+(INDEX(Parameters!$J$19:$N$19,1,S49+1)-INDEX(Parameters!$J$19:$N$19,1,S49))*V49,INDEX(Parameters!$D$19:$H$19,1,S49)+(INDEX(Parameters!$D$19:$H$19,1,S49+1)-INDEX(Parameters!$D$19:$H$19,1,S49))*V49)</x:f>
        <x:v>0.9</x:v>
      </x:c>
      <x:c r="P49" s="18" t="n">
        <x:f>M49*O49</x:f>
        <x:v>2713.5</x:v>
      </x:c>
      <x:c r="Q49" s="18" t="n">
        <x:f>MIN(4,MAX(1,INT((1+C49/Parameters!$D$24)*4)+1))</x:f>
        <x:v>3</x:v>
      </x:c>
      <x:c r="R49" s="18" t="n">
        <x:f>MIN(4,MAX(1,INT((1+D49/Parameters!$D$25)*4)+1))</x:f>
        <x:v>4</x:v>
      </x:c>
      <x:c r="S49" s="18" t="n">
        <x:f>MIN(4,MAX(1,INT((1+E49/Parameters!$D$26)*4)+1))</x:f>
        <x:v>4</x:v>
      </x:c>
      <x:c r="T49" s="18" t="n">
        <x:f>MAX(0,MIN(1,(1+C49/Parameters!$D$24)*4-(Q49-1)))</x:f>
        <x:v>0</x:v>
      </x:c>
      <x:c r="U49" s="18" t="n">
        <x:f>MAX(0,MIN(1,(1+D49/Parameters!$D$25)*4-(R49-1)))</x:f>
        <x:v>1</x:v>
      </x:c>
      <x:c r="V49" s="18" t="n">
        <x:f>MAX(0,MIN(1,(1+E49/Parameters!$D$26)*4-(S49-1)))</x:f>
        <x:v>1</x:v>
      </x:c>
    </x:row>
    <x:row r="50" ht="22" customHeight="1">
      <x:c r="B50" s="18"/>
      <x:c r="C50" s="18"/>
      <x:c r="D50" s="18"/>
      <x:c r="E50" s="18"/>
      <x:c r="F50" s="18"/>
      <x:c r="G50" s="18"/>
      <x:c r="H50" s="18"/>
      <x:c r="I50" s="18"/>
      <x:c r="J50" s="18"/>
      <x:c r="K50" s="18"/>
      <x:c r="L50" s="18"/>
      <x:c r="M50" s="18"/>
      <x:c r="N50" s="18"/>
      <x:c r="O50" s="18"/>
      <x:c r="P50" s="18"/>
      <x:c r="Q50" s="18"/>
      <x:c r="R50" s="18"/>
      <x:c r="S50" s="18"/>
      <x:c r="T50" s="18"/>
      <x:c r="U50" s="18"/>
      <x:c r="V50" s="18"/>
    </x:row>
    <x:row r="51" ht="22" customHeight="1">
      <x:c r="B51" s="18"/>
      <x:c r="C51" s="18"/>
      <x:c r="D51" s="18"/>
      <x:c r="E51" s="18"/>
      <x:c r="F51" s="18"/>
      <x:c r="G51" s="18"/>
      <x:c r="H51" s="18"/>
      <x:c r="I51" s="18"/>
      <x:c r="J51" s="18"/>
      <x:c r="K51" s="18"/>
      <x:c r="L51" s="18"/>
      <x:c r="M51" s="18"/>
      <x:c r="N51" s="18"/>
      <x:c r="O51" s="18"/>
      <x:c r="P51" s="18"/>
      <x:c r="Q51" s="18"/>
      <x:c r="R51" s="18"/>
      <x:c r="S51" s="18"/>
      <x:c r="T51" s="18"/>
      <x:c r="U51" s="18"/>
      <x:c r="V51" s="18"/>
    </x:row>
    <x:row r="52" ht="22" customHeight="1">
      <x:c r="B52" s="18"/>
      <x:c r="C52" s="18"/>
      <x:c r="D52" s="18"/>
      <x:c r="E52" s="18"/>
      <x:c r="F52" s="18"/>
      <x:c r="G52" s="18"/>
      <x:c r="H52" s="18"/>
      <x:c r="I52" s="18"/>
      <x:c r="J52" s="18"/>
      <x:c r="K52" s="18"/>
      <x:c r="L52" s="18"/>
      <x:c r="M52" s="18"/>
      <x:c r="N52" s="18"/>
      <x:c r="O52" s="18"/>
      <x:c r="P52" s="18"/>
      <x:c r="Q52" s="18"/>
      <x:c r="R52" s="18"/>
      <x:c r="S52" s="18"/>
      <x:c r="T52" s="18"/>
      <x:c r="U52" s="18"/>
      <x:c r="V52" s="18"/>
    </x:row>
    <x:row r="53" ht="22" customHeight="1">
      <x:c r="B53" s="24" t="str">
        <x:v>轴速 (m/s)</x:v>
      </x:c>
      <x:c r="C53" s="24" t="str">
        <x:f>B45</x:f>
        <x:v>C -20</x:v>
      </x:c>
      <x:c r="D53" s="24" t="str">
        <x:f>B46</x:f>
        <x:v>C -15</x:v>
      </x:c>
      <x:c r="E53" s="24" t="str">
        <x:f>B47</x:f>
        <x:v>C -10</x:v>
      </x:c>
      <x:c r="F53" s="24" t="str">
        <x:f>B48</x:f>
        <x:v>C -5</x:v>
      </x:c>
      <x:c r="G53" s="24" t="str">
        <x:f>B49</x:f>
        <x:v>C 0</x:v>
      </x:c>
      <x:c r="H53" s="18"/>
      <x:c r="I53" s="18"/>
      <x:c r="J53" s="18"/>
      <x:c r="K53" s="18"/>
      <x:c r="L53" s="18"/>
      <x:c r="M53" s="18"/>
      <x:c r="N53" s="18"/>
      <x:c r="O53" s="18"/>
      <x:c r="P53" s="18"/>
      <x:c r="Q53" s="18"/>
      <x:c r="R53" s="18"/>
      <x:c r="S53" s="18"/>
      <x:c r="T53" s="18"/>
      <x:c r="U53" s="18"/>
      <x:c r="V53" s="18"/>
    </x:row>
    <x:row r="54" ht="22" customHeight="1">
      <x:c r="B54" s="32" t="n">
        <x:v>0</x:v>
      </x:c>
      <x:c r="C54" s="32" t="n">
        <x:f>$F$45*MIN($B54,$G$45)+$I$45*MAX(0,$B54-$G$45)+$J$45*MAX(0,$B54-$K$45)</x:f>
        <x:v>0</x:v>
      </x:c>
      <x:c r="D54" s="32" t="n">
        <x:f>$F$46*MIN($B54,$G$46)+$I$46*MAX(0,$B54-$G$46)+$J$46*MAX(0,$B54-$K$46)</x:f>
        <x:v>0</x:v>
      </x:c>
      <x:c r="E54" s="32" t="n">
        <x:f>$F$47*MIN($B54,$G$47)+$I$47*MAX(0,$B54-$G$47)+$J$47*MAX(0,$B54-$K$47)</x:f>
        <x:v>0</x:v>
      </x:c>
      <x:c r="F54" s="32" t="n">
        <x:f>$F$48*MIN($B54,$G$48)+$I$48*MAX(0,$B54-$G$48)+$J$48*MAX(0,$B54-$K$48)</x:f>
        <x:v>0</x:v>
      </x:c>
      <x:c r="G54" s="32" t="n">
        <x:f>$F$49*MIN($B54,$G$49)+$I$49*MAX(0,$B54-$G$49)+$J$49*MAX(0,$B54-$K$49)</x:f>
        <x:v>0</x:v>
      </x:c>
      <x:c r="H54" s="18"/>
      <x:c r="I54" s="18"/>
      <x:c r="J54" s="18"/>
      <x:c r="K54" s="18"/>
      <x:c r="L54" s="18"/>
      <x:c r="M54" s="18"/>
      <x:c r="N54" s="18"/>
      <x:c r="O54" s="18"/>
      <x:c r="P54" s="18"/>
      <x:c r="Q54" s="18"/>
      <x:c r="R54" s="18"/>
      <x:c r="S54" s="18"/>
      <x:c r="T54" s="18"/>
      <x:c r="U54" s="18"/>
      <x:c r="V54" s="18"/>
    </x:row>
    <x:row r="55" ht="22" customHeight="1">
      <x:c r="B55" s="32" t="n">
        <x:v>0.05</x:v>
      </x:c>
      <x:c r="C55" s="32" t="n">
        <x:f>$F$45*MIN($B55,$G$45)+$I$45*MAX(0,$B55-$G$45)+$J$45*MAX(0,$B55-$K$45)</x:f>
        <x:v>125</x:v>
      </x:c>
      <x:c r="D55" s="32" t="n">
        <x:f>$F$46*MIN($B55,$G$46)+$I$46*MAX(0,$B55-$G$46)+$J$46*MAX(0,$B55-$K$46)</x:f>
        <x:v>125</x:v>
      </x:c>
      <x:c r="E55" s="32" t="n">
        <x:f>$F$47*MIN($B55,$G$47)+$I$47*MAX(0,$B55-$G$47)+$J$47*MAX(0,$B55-$K$47)</x:f>
        <x:v>125</x:v>
      </x:c>
      <x:c r="F55" s="32" t="n">
        <x:f>$F$48*MIN($B55,$G$48)+$I$48*MAX(0,$B55-$G$48)+$J$48*MAX(0,$B55-$K$48)</x:f>
        <x:v>125</x:v>
      </x:c>
      <x:c r="G55" s="32" t="n">
        <x:f>$F$49*MIN($B55,$G$49)+$I$49*MAX(0,$B55-$G$49)+$J$49*MAX(0,$B55-$K$49)</x:f>
        <x:v>125</x:v>
      </x:c>
      <x:c r="H55" s="18"/>
      <x:c r="I55" s="18"/>
      <x:c r="J55" s="18"/>
      <x:c r="K55" s="18"/>
      <x:c r="L55" s="18"/>
      <x:c r="M55" s="18"/>
      <x:c r="N55" s="18"/>
      <x:c r="O55" s="18"/>
      <x:c r="P55" s="18"/>
      <x:c r="Q55" s="18"/>
      <x:c r="R55" s="18"/>
      <x:c r="S55" s="18"/>
      <x:c r="T55" s="18"/>
      <x:c r="U55" s="18"/>
      <x:c r="V55" s="18"/>
    </x:row>
    <x:row r="56" ht="22" customHeight="1">
      <x:c r="B56" s="32" t="n">
        <x:v>0.1</x:v>
      </x:c>
      <x:c r="C56" s="32" t="n">
        <x:f>$F$45*MIN($B56,$G$45)+$I$45*MAX(0,$B56-$G$45)+$J$45*MAX(0,$B56-$K$45)</x:f>
        <x:v>250</x:v>
      </x:c>
      <x:c r="D56" s="32" t="n">
        <x:f>$F$46*MIN($B56,$G$46)+$I$46*MAX(0,$B56-$G$46)+$J$46*MAX(0,$B56-$K$46)</x:f>
        <x:v>250</x:v>
      </x:c>
      <x:c r="E56" s="32" t="n">
        <x:f>$F$47*MIN($B56,$G$47)+$I$47*MAX(0,$B56-$G$47)+$J$47*MAX(0,$B56-$K$47)</x:f>
        <x:v>250</x:v>
      </x:c>
      <x:c r="F56" s="32" t="n">
        <x:f>$F$48*MIN($B56,$G$48)+$I$48*MAX(0,$B56-$G$48)+$J$48*MAX(0,$B56-$K$48)</x:f>
        <x:v>250</x:v>
      </x:c>
      <x:c r="G56" s="32" t="n">
        <x:f>$F$49*MIN($B56,$G$49)+$I$49*MAX(0,$B56-$G$49)+$J$49*MAX(0,$B56-$K$49)</x:f>
        <x:v>250</x:v>
      </x:c>
      <x:c r="H56" s="18"/>
      <x:c r="I56" s="18"/>
      <x:c r="J56" s="18"/>
      <x:c r="K56" s="18"/>
      <x:c r="L56" s="18"/>
      <x:c r="M56" s="18"/>
      <x:c r="N56" s="18"/>
      <x:c r="O56" s="18"/>
      <x:c r="P56" s="18"/>
      <x:c r="Q56" s="18"/>
      <x:c r="R56" s="18"/>
      <x:c r="S56" s="18"/>
      <x:c r="T56" s="18"/>
      <x:c r="U56" s="18"/>
      <x:c r="V56" s="18"/>
    </x:row>
    <x:row r="57" ht="22" customHeight="1">
      <x:c r="B57" s="32" t="n">
        <x:v>0.15</x:v>
      </x:c>
      <x:c r="C57" s="32" t="n">
        <x:f>$F$45*MIN($B57,$G$45)+$I$45*MAX(0,$B57-$G$45)+$J$45*MAX(0,$B57-$K$45)</x:f>
        <x:v>375</x:v>
      </x:c>
      <x:c r="D57" s="32" t="n">
        <x:f>$F$46*MIN($B57,$G$46)+$I$46*MAX(0,$B57-$G$46)+$J$46*MAX(0,$B57-$K$46)</x:f>
        <x:v>375</x:v>
      </x:c>
      <x:c r="E57" s="32" t="n">
        <x:f>$F$47*MIN($B57,$G$47)+$I$47*MAX(0,$B57-$G$47)+$J$47*MAX(0,$B57-$K$47)</x:f>
        <x:v>375</x:v>
      </x:c>
      <x:c r="F57" s="32" t="n">
        <x:f>$F$48*MIN($B57,$G$48)+$I$48*MAX(0,$B57-$G$48)+$J$48*MAX(0,$B57-$K$48)</x:f>
        <x:v>375</x:v>
      </x:c>
      <x:c r="G57" s="32" t="n">
        <x:f>$F$49*MIN($B57,$G$49)+$I$49*MAX(0,$B57-$G$49)+$J$49*MAX(0,$B57-$K$49)</x:f>
        <x:v>375</x:v>
      </x:c>
      <x:c r="H57" s="18"/>
      <x:c r="I57" s="18"/>
      <x:c r="J57" s="18"/>
      <x:c r="K57" s="18"/>
      <x:c r="L57" s="18"/>
      <x:c r="M57" s="18"/>
      <x:c r="N57" s="18"/>
      <x:c r="O57" s="18"/>
      <x:c r="P57" s="18"/>
      <x:c r="Q57" s="18"/>
      <x:c r="R57" s="18"/>
      <x:c r="S57" s="18"/>
      <x:c r="T57" s="18"/>
      <x:c r="U57" s="18"/>
      <x:c r="V57" s="18"/>
    </x:row>
    <x:row r="58" ht="22" customHeight="1">
      <x:c r="B58" s="32" t="n">
        <x:v>0.2</x:v>
      </x:c>
      <x:c r="C58" s="32" t="n">
        <x:f>$F$45*MIN($B58,$G$45)+$I$45*MAX(0,$B58-$G$45)+$J$45*MAX(0,$B58-$K$45)</x:f>
        <x:v>480</x:v>
      </x:c>
      <x:c r="D58" s="32" t="n">
        <x:f>$F$46*MIN($B58,$G$46)+$I$46*MAX(0,$B58-$G$46)+$J$46*MAX(0,$B58-$K$46)</x:f>
        <x:v>480</x:v>
      </x:c>
      <x:c r="E58" s="32" t="n">
        <x:f>$F$47*MIN($B58,$G$47)+$I$47*MAX(0,$B58-$G$47)+$J$47*MAX(0,$B58-$K$47)</x:f>
        <x:v>480</x:v>
      </x:c>
      <x:c r="F58" s="32" t="n">
        <x:f>$F$48*MIN($B58,$G$48)+$I$48*MAX(0,$B58-$G$48)+$J$48*MAX(0,$B58-$K$48)</x:f>
        <x:v>480</x:v>
      </x:c>
      <x:c r="G58" s="32" t="n">
        <x:f>$F$49*MIN($B58,$G$49)+$I$49*MAX(0,$B58-$G$49)+$J$49*MAX(0,$B58-$K$49)</x:f>
        <x:v>480</x:v>
      </x:c>
      <x:c r="H58" s="18"/>
      <x:c r="I58" s="18"/>
      <x:c r="J58" s="18"/>
      <x:c r="K58" s="18"/>
      <x:c r="L58" s="18"/>
      <x:c r="M58" s="18"/>
      <x:c r="N58" s="18"/>
      <x:c r="O58" s="18"/>
      <x:c r="P58" s="18"/>
      <x:c r="Q58" s="18"/>
      <x:c r="R58" s="18"/>
      <x:c r="S58" s="18"/>
      <x:c r="T58" s="18"/>
      <x:c r="U58" s="18"/>
      <x:c r="V58" s="18"/>
    </x:row>
    <x:row r="59" ht="22" customHeight="1">
      <x:c r="B59" s="32" t="n">
        <x:v>0.25</x:v>
      </x:c>
      <x:c r="C59" s="32" t="n">
        <x:f>$F$45*MIN($B59,$G$45)+$I$45*MAX(0,$B59-$G$45)+$J$45*MAX(0,$B59-$K$45)</x:f>
        <x:v>585</x:v>
      </x:c>
      <x:c r="D59" s="32" t="n">
        <x:f>$F$46*MIN($B59,$G$46)+$I$46*MAX(0,$B59-$G$46)+$J$46*MAX(0,$B59-$K$46)</x:f>
        <x:v>585</x:v>
      </x:c>
      <x:c r="E59" s="32" t="n">
        <x:f>$F$47*MIN($B59,$G$47)+$I$47*MAX(0,$B59-$G$47)+$J$47*MAX(0,$B59-$K$47)</x:f>
        <x:v>585</x:v>
      </x:c>
      <x:c r="F59" s="32" t="n">
        <x:f>$F$48*MIN($B59,$G$48)+$I$48*MAX(0,$B59-$G$48)+$J$48*MAX(0,$B59-$K$48)</x:f>
        <x:v>585</x:v>
      </x:c>
      <x:c r="G59" s="32" t="n">
        <x:f>$F$49*MIN($B59,$G$49)+$I$49*MAX(0,$B59-$G$49)+$J$49*MAX(0,$B59-$K$49)</x:f>
        <x:v>585</x:v>
      </x:c>
      <x:c r="H59" s="18"/>
      <x:c r="I59" s="18"/>
      <x:c r="J59" s="18"/>
      <x:c r="K59" s="18"/>
      <x:c r="L59" s="18"/>
      <x:c r="M59" s="18"/>
      <x:c r="N59" s="18"/>
      <x:c r="O59" s="18"/>
      <x:c r="P59" s="18"/>
      <x:c r="Q59" s="18"/>
      <x:c r="R59" s="18"/>
      <x:c r="S59" s="18"/>
      <x:c r="T59" s="18"/>
      <x:c r="U59" s="18"/>
      <x:c r="V59" s="18"/>
    </x:row>
    <x:row r="60" ht="22" customHeight="1">
      <x:c r="B60" s="32" t="n">
        <x:v>0.3</x:v>
      </x:c>
      <x:c r="C60" s="32" t="n">
        <x:f>$F$45*MIN($B60,$G$45)+$I$45*MAX(0,$B60-$G$45)+$J$45*MAX(0,$B60-$K$45)</x:f>
        <x:v>690</x:v>
      </x:c>
      <x:c r="D60" s="32" t="n">
        <x:f>$F$46*MIN($B60,$G$46)+$I$46*MAX(0,$B60-$G$46)+$J$46*MAX(0,$B60-$K$46)</x:f>
        <x:v>690</x:v>
      </x:c>
      <x:c r="E60" s="32" t="n">
        <x:f>$F$47*MIN($B60,$G$47)+$I$47*MAX(0,$B60-$G$47)+$J$47*MAX(0,$B60-$K$47)</x:f>
        <x:v>690</x:v>
      </x:c>
      <x:c r="F60" s="32" t="n">
        <x:f>$F$48*MIN($B60,$G$48)+$I$48*MAX(0,$B60-$G$48)+$J$48*MAX(0,$B60-$K$48)</x:f>
        <x:v>690</x:v>
      </x:c>
      <x:c r="G60" s="32" t="n">
        <x:f>$F$49*MIN($B60,$G$49)+$I$49*MAX(0,$B60-$G$49)+$J$49*MAX(0,$B60-$K$49)</x:f>
        <x:v>690</x:v>
      </x:c>
      <x:c r="H60" s="18"/>
      <x:c r="I60" s="18"/>
      <x:c r="J60" s="18"/>
      <x:c r="K60" s="18"/>
      <x:c r="L60" s="18"/>
      <x:c r="M60" s="18"/>
      <x:c r="N60" s="18"/>
      <x:c r="O60" s="18"/>
      <x:c r="P60" s="18"/>
      <x:c r="Q60" s="18"/>
      <x:c r="R60" s="18"/>
      <x:c r="S60" s="18"/>
      <x:c r="T60" s="18"/>
      <x:c r="U60" s="18"/>
      <x:c r="V60" s="18"/>
    </x:row>
    <x:row r="61" ht="22" customHeight="1">
      <x:c r="B61" s="32" t="n">
        <x:v>0.35</x:v>
      </x:c>
      <x:c r="C61" s="32" t="n">
        <x:f>$F$45*MIN($B61,$G$45)+$I$45*MAX(0,$B61-$G$45)+$J$45*MAX(0,$B61-$K$45)</x:f>
        <x:v>795</x:v>
      </x:c>
      <x:c r="D61" s="32" t="n">
        <x:f>$F$46*MIN($B61,$G$46)+$I$46*MAX(0,$B61-$G$46)+$J$46*MAX(0,$B61-$K$46)</x:f>
        <x:v>795</x:v>
      </x:c>
      <x:c r="E61" s="32" t="n">
        <x:f>$F$47*MIN($B61,$G$47)+$I$47*MAX(0,$B61-$G$47)+$J$47*MAX(0,$B61-$K$47)</x:f>
        <x:v>795</x:v>
      </x:c>
      <x:c r="F61" s="32" t="n">
        <x:f>$F$48*MIN($B61,$G$48)+$I$48*MAX(0,$B61-$G$48)+$J$48*MAX(0,$B61-$K$48)</x:f>
        <x:v>795</x:v>
      </x:c>
      <x:c r="G61" s="32" t="n">
        <x:f>$F$49*MIN($B61,$G$49)+$I$49*MAX(0,$B61-$G$49)+$J$49*MAX(0,$B61-$K$49)</x:f>
        <x:v>795</x:v>
      </x:c>
      <x:c r="H61" s="18"/>
      <x:c r="I61" s="18"/>
      <x:c r="J61" s="18"/>
      <x:c r="K61" s="18"/>
      <x:c r="L61" s="18"/>
      <x:c r="M61" s="18"/>
      <x:c r="N61" s="18"/>
      <x:c r="O61" s="18"/>
      <x:c r="P61" s="18"/>
      <x:c r="Q61" s="18"/>
      <x:c r="R61" s="18"/>
      <x:c r="S61" s="18"/>
      <x:c r="T61" s="18"/>
      <x:c r="U61" s="18"/>
      <x:c r="V61" s="18"/>
    </x:row>
    <x:row r="62" ht="22" customHeight="1">
      <x:c r="B62" s="32" t="n">
        <x:v>0.4</x:v>
      </x:c>
      <x:c r="C62" s="32" t="n">
        <x:f>$F$45*MIN($B62,$G$45)+$I$45*MAX(0,$B62-$G$45)+$J$45*MAX(0,$B62-$K$45)</x:f>
        <x:v>900</x:v>
      </x:c>
      <x:c r="D62" s="32" t="n">
        <x:f>$F$46*MIN($B62,$G$46)+$I$46*MAX(0,$B62-$G$46)+$J$46*MAX(0,$B62-$K$46)</x:f>
        <x:v>900</x:v>
      </x:c>
      <x:c r="E62" s="32" t="n">
        <x:f>$F$47*MIN($B62,$G$47)+$I$47*MAX(0,$B62-$G$47)+$J$47*MAX(0,$B62-$K$47)</x:f>
        <x:v>900</x:v>
      </x:c>
      <x:c r="F62" s="32" t="n">
        <x:f>$F$48*MIN($B62,$G$48)+$I$48*MAX(0,$B62-$G$48)+$J$48*MAX(0,$B62-$K$48)</x:f>
        <x:v>900</x:v>
      </x:c>
      <x:c r="G62" s="32" t="n">
        <x:f>$F$49*MIN($B62,$G$49)+$I$49*MAX(0,$B62-$G$49)+$J$49*MAX(0,$B62-$K$49)</x:f>
        <x:v>900</x:v>
      </x:c>
      <x:c r="H62" s="18"/>
      <x:c r="I62" s="18"/>
      <x:c r="J62" s="18"/>
      <x:c r="K62" s="18"/>
      <x:c r="L62" s="18"/>
      <x:c r="M62" s="18"/>
      <x:c r="N62" s="18"/>
      <x:c r="O62" s="18"/>
      <x:c r="P62" s="18"/>
      <x:c r="Q62" s="18"/>
      <x:c r="R62" s="18"/>
      <x:c r="S62" s="18"/>
      <x:c r="T62" s="18"/>
      <x:c r="U62" s="18"/>
      <x:c r="V62" s="18"/>
    </x:row>
    <x:row r="63" ht="22" customHeight="1">
      <x:c r="B63" s="32" t="n">
        <x:v>0.45</x:v>
      </x:c>
      <x:c r="C63" s="32" t="n">
        <x:f>$F$45*MIN($B63,$G$45)+$I$45*MAX(0,$B63-$G$45)+$J$45*MAX(0,$B63-$K$45)</x:f>
        <x:v>1005.0000000000001</x:v>
      </x:c>
      <x:c r="D63" s="32" t="n">
        <x:f>$F$46*MIN($B63,$G$46)+$I$46*MAX(0,$B63-$G$46)+$J$46*MAX(0,$B63-$K$46)</x:f>
        <x:v>1005.0000000000001</x:v>
      </x:c>
      <x:c r="E63" s="32" t="n">
        <x:f>$F$47*MIN($B63,$G$47)+$I$47*MAX(0,$B63-$G$47)+$J$47*MAX(0,$B63-$K$47)</x:f>
        <x:v>1005.0000000000001</x:v>
      </x:c>
      <x:c r="F63" s="32" t="n">
        <x:f>$F$48*MIN($B63,$G$48)+$I$48*MAX(0,$B63-$G$48)+$J$48*MAX(0,$B63-$K$48)</x:f>
        <x:v>1005.0000000000001</x:v>
      </x:c>
      <x:c r="G63" s="32" t="n">
        <x:f>$F$49*MIN($B63,$G$49)+$I$49*MAX(0,$B63-$G$49)+$J$49*MAX(0,$B63-$K$49)</x:f>
        <x:v>1005.0000000000001</x:v>
      </x:c>
      <x:c r="H63" s="18"/>
      <x:c r="I63" s="18"/>
      <x:c r="J63" s="18"/>
      <x:c r="K63" s="18"/>
      <x:c r="L63" s="18"/>
      <x:c r="M63" s="18"/>
      <x:c r="N63" s="18"/>
      <x:c r="O63" s="18"/>
      <x:c r="P63" s="18"/>
      <x:c r="Q63" s="18"/>
      <x:c r="R63" s="18"/>
      <x:c r="S63" s="18"/>
      <x:c r="T63" s="18"/>
      <x:c r="U63" s="18"/>
      <x:c r="V63" s="18"/>
    </x:row>
    <x:row r="64" ht="22" customHeight="1">
      <x:c r="B64" s="32" t="n">
        <x:v>0.5</x:v>
      </x:c>
      <x:c r="C64" s="32" t="n">
        <x:f>$F$45*MIN($B64,$G$45)+$I$45*MAX(0,$B64-$G$45)+$J$45*MAX(0,$B64-$K$45)</x:f>
        <x:v>1110</x:v>
      </x:c>
      <x:c r="D64" s="32" t="n">
        <x:f>$F$46*MIN($B64,$G$46)+$I$46*MAX(0,$B64-$G$46)+$J$46*MAX(0,$B64-$K$46)</x:f>
        <x:v>1110</x:v>
      </x:c>
      <x:c r="E64" s="32" t="n">
        <x:f>$F$47*MIN($B64,$G$47)+$I$47*MAX(0,$B64-$G$47)+$J$47*MAX(0,$B64-$K$47)</x:f>
        <x:v>1110</x:v>
      </x:c>
      <x:c r="F64" s="32" t="n">
        <x:f>$F$48*MIN($B64,$G$48)+$I$48*MAX(0,$B64-$G$48)+$J$48*MAX(0,$B64-$K$48)</x:f>
        <x:v>1110</x:v>
      </x:c>
      <x:c r="G64" s="32" t="n">
        <x:f>$F$49*MIN($B64,$G$49)+$I$49*MAX(0,$B64-$G$49)+$J$49*MAX(0,$B64-$K$49)</x:f>
        <x:v>1110</x:v>
      </x:c>
      <x:c r="H64" s="18"/>
      <x:c r="I64" s="18"/>
      <x:c r="J64" s="18"/>
      <x:c r="K64" s="18"/>
      <x:c r="L64" s="18"/>
      <x:c r="M64" s="18"/>
      <x:c r="N64" s="18"/>
      <x:c r="O64" s="18"/>
      <x:c r="P64" s="18"/>
      <x:c r="Q64" s="18"/>
      <x:c r="R64" s="18"/>
      <x:c r="S64" s="18"/>
      <x:c r="T64" s="18"/>
      <x:c r="U64" s="18"/>
      <x:c r="V64" s="18"/>
    </x:row>
    <x:row r="65" ht="22" customHeight="1">
      <x:c r="B65" s="32" t="n">
        <x:v>0.55</x:v>
      </x:c>
      <x:c r="C65" s="32" t="n">
        <x:f>$F$45*MIN($B65,$G$45)+$I$45*MAX(0,$B65-$G$45)+$J$45*MAX(0,$B65-$K$45)</x:f>
        <x:v>1215</x:v>
      </x:c>
      <x:c r="D65" s="32" t="n">
        <x:f>$F$46*MIN($B65,$G$46)+$I$46*MAX(0,$B65-$G$46)+$J$46*MAX(0,$B65-$K$46)</x:f>
        <x:v>1215</x:v>
      </x:c>
      <x:c r="E65" s="32" t="n">
        <x:f>$F$47*MIN($B65,$G$47)+$I$47*MAX(0,$B65-$G$47)+$J$47*MAX(0,$B65-$K$47)</x:f>
        <x:v>1215</x:v>
      </x:c>
      <x:c r="F65" s="32" t="n">
        <x:f>$F$48*MIN($B65,$G$48)+$I$48*MAX(0,$B65-$G$48)+$J$48*MAX(0,$B65-$K$48)</x:f>
        <x:v>1215</x:v>
      </x:c>
      <x:c r="G65" s="32" t="n">
        <x:f>$F$49*MIN($B65,$G$49)+$I$49*MAX(0,$B65-$G$49)+$J$49*MAX(0,$B65-$K$49)</x:f>
        <x:v>1215</x:v>
      </x:c>
      <x:c r="H65" s="18"/>
      <x:c r="I65" s="18"/>
      <x:c r="J65" s="18"/>
      <x:c r="K65" s="18"/>
      <x:c r="L65" s="18"/>
      <x:c r="M65" s="18"/>
      <x:c r="N65" s="18"/>
      <x:c r="O65" s="18"/>
      <x:c r="P65" s="18"/>
      <x:c r="Q65" s="18"/>
      <x:c r="R65" s="18"/>
      <x:c r="S65" s="18"/>
      <x:c r="T65" s="18"/>
      <x:c r="U65" s="18"/>
      <x:c r="V65" s="18"/>
    </x:row>
    <x:row r="66" ht="22" customHeight="1">
      <x:c r="B66" s="32" t="n">
        <x:v>0.6</x:v>
      </x:c>
      <x:c r="C66" s="32" t="n">
        <x:f>$F$45*MIN($B66,$G$45)+$I$45*MAX(0,$B66-$G$45)+$J$45*MAX(0,$B66-$K$45)</x:f>
        <x:v>1340</x:v>
      </x:c>
      <x:c r="D66" s="32" t="n">
        <x:f>$F$46*MIN($B66,$G$46)+$I$46*MAX(0,$B66-$G$46)+$J$46*MAX(0,$B66-$K$46)</x:f>
        <x:v>1337.5</x:v>
      </x:c>
      <x:c r="E66" s="32" t="n">
        <x:f>$F$47*MIN($B66,$G$47)+$I$47*MAX(0,$B66-$G$47)+$J$47*MAX(0,$B66-$K$47)</x:f>
        <x:v>1320</x:v>
      </x:c>
      <x:c r="F66" s="32" t="n">
        <x:f>$F$48*MIN($B66,$G$48)+$I$48*MAX(0,$B66-$G$48)+$J$48*MAX(0,$B66-$K$48)</x:f>
        <x:v>1320</x:v>
      </x:c>
      <x:c r="G66" s="32" t="n">
        <x:f>$F$49*MIN($B66,$G$49)+$I$49*MAX(0,$B66-$G$49)+$J$49*MAX(0,$B66-$K$49)</x:f>
        <x:v>1320</x:v>
      </x:c>
      <x:c r="H66" s="18"/>
      <x:c r="I66" s="18"/>
      <x:c r="J66" s="18"/>
      <x:c r="K66" s="18"/>
      <x:c r="L66" s="18"/>
      <x:c r="M66" s="18"/>
      <x:c r="N66" s="18"/>
      <x:c r="O66" s="18"/>
      <x:c r="P66" s="18"/>
      <x:c r="Q66" s="18"/>
      <x:c r="R66" s="18"/>
      <x:c r="S66" s="18"/>
      <x:c r="T66" s="18"/>
      <x:c r="U66" s="18"/>
      <x:c r="V66" s="18"/>
    </x:row>
    <x:row r="67" ht="22" customHeight="1">
      <x:c r="B67" s="32" t="n">
        <x:v>0.65</x:v>
      </x:c>
      <x:c r="C67" s="32" t="n">
        <x:f>$F$45*MIN($B67,$G$45)+$I$45*MAX(0,$B67-$G$45)+$J$45*MAX(0,$B67-$K$45)</x:f>
        <x:v>1495</x:v>
      </x:c>
      <x:c r="D67" s="32" t="n">
        <x:f>$F$46*MIN($B67,$G$46)+$I$46*MAX(0,$B67-$G$46)+$J$46*MAX(0,$B67-$K$46)</x:f>
        <x:v>1530</x:v>
      </x:c>
      <x:c r="E67" s="32" t="n">
        <x:f>$F$47*MIN($B67,$G$47)+$I$47*MAX(0,$B67-$G$47)+$J$47*MAX(0,$B67-$K$47)</x:f>
        <x:v>1550</x:v>
      </x:c>
      <x:c r="F67" s="32" t="n">
        <x:f>$F$48*MIN($B67,$G$48)+$I$48*MAX(0,$B67-$G$48)+$J$48*MAX(0,$B67-$K$48)</x:f>
        <x:v>1555</x:v>
      </x:c>
      <x:c r="G67" s="32" t="n">
        <x:f>$F$49*MIN($B67,$G$49)+$I$49*MAX(0,$B67-$G$49)+$J$49*MAX(0,$B67-$K$49)</x:f>
        <x:v>1545</x:v>
      </x:c>
      <x:c r="H67" s="18"/>
      <x:c r="I67" s="18"/>
      <x:c r="J67" s="18"/>
      <x:c r="K67" s="18"/>
      <x:c r="L67" s="18"/>
      <x:c r="M67" s="18"/>
      <x:c r="N67" s="18"/>
      <x:c r="O67" s="18"/>
      <x:c r="P67" s="18"/>
      <x:c r="Q67" s="18"/>
      <x:c r="R67" s="18"/>
      <x:c r="S67" s="18"/>
      <x:c r="T67" s="18"/>
      <x:c r="U67" s="18"/>
      <x:c r="V67" s="18"/>
    </x:row>
    <x:row r="68" ht="22" customHeight="1">
      <x:c r="B68" s="32" t="n">
        <x:v>0.7</x:v>
      </x:c>
      <x:c r="C68" s="32" t="n">
        <x:f>$F$45*MIN($B68,$G$45)+$I$45*MAX(0,$B68-$G$45)+$J$45*MAX(0,$B68-$K$45)</x:f>
        <x:v>1649.9999999999998</x:v>
      </x:c>
      <x:c r="D68" s="32" t="n">
        <x:f>$F$46*MIN($B68,$G$46)+$I$46*MAX(0,$B68-$G$46)+$J$46*MAX(0,$B68-$K$46)</x:f>
        <x:v>1722.4999999999998</x:v>
      </x:c>
      <x:c r="E68" s="32" t="n">
        <x:f>$F$47*MIN($B68,$G$47)+$I$47*MAX(0,$B68-$G$47)+$J$47*MAX(0,$B68-$K$47)</x:f>
        <x:v>1779.9999999999998</x:v>
      </x:c>
      <x:c r="F68" s="32" t="n">
        <x:f>$F$48*MIN($B68,$G$48)+$I$48*MAX(0,$B68-$G$48)+$J$48*MAX(0,$B68-$K$48)</x:f>
        <x:v>1822.4999999999995</x:v>
      </x:c>
      <x:c r="G68" s="32" t="n">
        <x:f>$F$49*MIN($B68,$G$49)+$I$49*MAX(0,$B68-$G$49)+$J$49*MAX(0,$B68-$K$49)</x:f>
        <x:v>1849.9999999999995</x:v>
      </x:c>
      <x:c r="H68" s="18"/>
      <x:c r="I68" s="18"/>
      <x:c r="J68" s="18"/>
      <x:c r="K68" s="18"/>
      <x:c r="L68" s="18"/>
      <x:c r="M68" s="18"/>
      <x:c r="N68" s="18"/>
      <x:c r="O68" s="18"/>
      <x:c r="P68" s="18"/>
      <x:c r="Q68" s="18"/>
      <x:c r="R68" s="18"/>
      <x:c r="S68" s="18"/>
      <x:c r="T68" s="18"/>
      <x:c r="U68" s="18"/>
      <x:c r="V68" s="18"/>
    </x:row>
    <x:row r="69" ht="22" customHeight="1">
      <x:c r="B69" s="32" t="n">
        <x:v>0.75</x:v>
      </x:c>
      <x:c r="C69" s="32" t="n">
        <x:f>$F$45*MIN($B69,$G$45)+$I$45*MAX(0,$B69-$G$45)+$J$45*MAX(0,$B69-$K$45)</x:f>
        <x:v>1805</x:v>
      </x:c>
      <x:c r="D69" s="32" t="n">
        <x:f>$F$46*MIN($B69,$G$46)+$I$46*MAX(0,$B69-$G$46)+$J$46*MAX(0,$B69-$K$46)</x:f>
        <x:v>1915</x:v>
      </x:c>
      <x:c r="E69" s="32" t="n">
        <x:f>$F$47*MIN($B69,$G$47)+$I$47*MAX(0,$B69-$G$47)+$J$47*MAX(0,$B69-$K$47)</x:f>
        <x:v>2010</x:v>
      </x:c>
      <x:c r="F69" s="32" t="n">
        <x:f>$F$48*MIN($B69,$G$48)+$I$48*MAX(0,$B69-$G$48)+$J$48*MAX(0,$B69-$K$48)</x:f>
        <x:v>2090</x:v>
      </x:c>
      <x:c r="G69" s="32" t="n">
        <x:f>$F$49*MIN($B69,$G$49)+$I$49*MAX(0,$B69-$G$49)+$J$49*MAX(0,$B69-$K$49)</x:f>
        <x:v>2155</x:v>
      </x:c>
      <x:c r="H69" s="18"/>
      <x:c r="I69" s="18"/>
      <x:c r="J69" s="18"/>
      <x:c r="K69" s="18"/>
      <x:c r="L69" s="18"/>
      <x:c r="M69" s="18"/>
      <x:c r="N69" s="18"/>
      <x:c r="O69" s="18"/>
      <x:c r="P69" s="18"/>
      <x:c r="Q69" s="18"/>
      <x:c r="R69" s="18"/>
      <x:c r="S69" s="18"/>
      <x:c r="T69" s="18"/>
      <x:c r="U69" s="18"/>
      <x:c r="V69" s="18"/>
    </x:row>
    <x:row r="70" ht="22" customHeight="1">
      <x:c r="B70" s="32" t="n">
        <x:v>0.8</x:v>
      </x:c>
      <x:c r="C70" s="32" t="n">
        <x:f>$F$45*MIN($B70,$G$45)+$I$45*MAX(0,$B70-$G$45)+$J$45*MAX(0,$B70-$K$45)</x:f>
        <x:v>1960</x:v>
      </x:c>
      <x:c r="D70" s="32" t="n">
        <x:f>$F$46*MIN($B70,$G$46)+$I$46*MAX(0,$B70-$G$46)+$J$46*MAX(0,$B70-$K$46)</x:f>
        <x:v>2107.5</x:v>
      </x:c>
      <x:c r="E70" s="32" t="n">
        <x:f>$F$47*MIN($B70,$G$47)+$I$47*MAX(0,$B70-$G$47)+$J$47*MAX(0,$B70-$K$47)</x:f>
        <x:v>2240</x:v>
      </x:c>
      <x:c r="F70" s="32" t="n">
        <x:f>$F$48*MIN($B70,$G$48)+$I$48*MAX(0,$B70-$G$48)+$J$48*MAX(0,$B70-$K$48)</x:f>
        <x:v>2357.5</x:v>
      </x:c>
      <x:c r="G70" s="32" t="n">
        <x:f>$F$49*MIN($B70,$G$49)+$I$49*MAX(0,$B70-$G$49)+$J$49*MAX(0,$B70-$K$49)</x:f>
        <x:v>2460</x:v>
      </x:c>
      <x:c r="H70" s="18"/>
      <x:c r="I70" s="18"/>
      <x:c r="J70" s="18"/>
      <x:c r="K70" s="18"/>
      <x:c r="L70" s="18"/>
      <x:c r="M70" s="18"/>
      <x:c r="N70" s="18"/>
      <x:c r="O70" s="18"/>
      <x:c r="P70" s="18"/>
      <x:c r="Q70" s="18"/>
      <x:c r="R70" s="18"/>
      <x:c r="S70" s="18"/>
      <x:c r="T70" s="18"/>
      <x:c r="U70" s="18"/>
      <x:c r="V70" s="18"/>
    </x:row>
    <x:row r="71" ht="22" customHeight="1">
      <x:c r="B71" s="32" t="n">
        <x:v>0.85</x:v>
      </x:c>
      <x:c r="C71" s="32" t="n">
        <x:f>$F$45*MIN($B71,$G$45)+$I$45*MAX(0,$B71-$G$45)+$J$45*MAX(0,$B71-$K$45)</x:f>
        <x:v>2115</x:v>
      </x:c>
      <x:c r="D71" s="32" t="n">
        <x:f>$F$46*MIN($B71,$G$46)+$I$46*MAX(0,$B71-$G$46)+$J$46*MAX(0,$B71-$K$46)</x:f>
        <x:v>2300</x:v>
      </x:c>
      <x:c r="E71" s="32" t="n">
        <x:f>$F$47*MIN($B71,$G$47)+$I$47*MAX(0,$B71-$G$47)+$J$47*MAX(0,$B71-$K$47)</x:f>
        <x:v>2470</x:v>
      </x:c>
      <x:c r="F71" s="32" t="n">
        <x:f>$F$48*MIN($B71,$G$48)+$I$48*MAX(0,$B71-$G$48)+$J$48*MAX(0,$B71-$K$48)</x:f>
        <x:v>2625</x:v>
      </x:c>
      <x:c r="G71" s="32" t="n">
        <x:f>$F$49*MIN($B71,$G$49)+$I$49*MAX(0,$B71-$G$49)+$J$49*MAX(0,$B71-$K$49)</x:f>
        <x:v>2765</x:v>
      </x:c>
      <x:c r="H71" s="18"/>
      <x:c r="I71" s="18"/>
      <x:c r="J71" s="18"/>
      <x:c r="K71" s="18"/>
      <x:c r="L71" s="18"/>
      <x:c r="M71" s="18"/>
      <x:c r="N71" s="18"/>
      <x:c r="O71" s="18"/>
      <x:c r="P71" s="18"/>
      <x:c r="Q71" s="18"/>
      <x:c r="R71" s="18"/>
      <x:c r="S71" s="18"/>
      <x:c r="T71" s="18"/>
      <x:c r="U71" s="18"/>
      <x:c r="V71" s="18"/>
    </x:row>
    <x:row r="72" ht="22" customHeight="1">
      <x:c r="B72" s="32" t="n">
        <x:v>0.9</x:v>
      </x:c>
      <x:c r="C72" s="32" t="n">
        <x:f>$F$45*MIN($B72,$G$45)+$I$45*MAX(0,$B72-$G$45)+$J$45*MAX(0,$B72-$K$45)</x:f>
        <x:v>2270</x:v>
      </x:c>
      <x:c r="D72" s="32" t="n">
        <x:f>$F$46*MIN($B72,$G$46)+$I$46*MAX(0,$B72-$G$46)+$J$46*MAX(0,$B72-$K$46)</x:f>
        <x:v>2492.5</x:v>
      </x:c>
      <x:c r="E72" s="32" t="n">
        <x:f>$F$47*MIN($B72,$G$47)+$I$47*MAX(0,$B72-$G$47)+$J$47*MAX(0,$B72-$K$47)</x:f>
        <x:v>2700</x:v>
      </x:c>
      <x:c r="F72" s="32" t="n">
        <x:f>$F$48*MIN($B72,$G$48)+$I$48*MAX(0,$B72-$G$48)+$J$48*MAX(0,$B72-$K$48)</x:f>
        <x:v>2892.5</x:v>
      </x:c>
      <x:c r="G72" s="32" t="n">
        <x:f>$F$49*MIN($B72,$G$49)+$I$49*MAX(0,$B72-$G$49)+$J$49*MAX(0,$B72-$K$49)</x:f>
        <x:v>3070</x:v>
      </x:c>
      <x:c r="H72" s="18"/>
      <x:c r="I72" s="18"/>
      <x:c r="J72" s="18"/>
      <x:c r="K72" s="18"/>
      <x:c r="L72" s="18"/>
      <x:c r="M72" s="18"/>
      <x:c r="N72" s="18"/>
      <x:c r="O72" s="18"/>
      <x:c r="P72" s="18"/>
      <x:c r="Q72" s="18"/>
      <x:c r="R72" s="18"/>
      <x:c r="S72" s="18"/>
      <x:c r="T72" s="18"/>
      <x:c r="U72" s="18"/>
      <x:c r="V72" s="18"/>
    </x:row>
    <x:row r="73" ht="22" customHeight="1">
      <x:c r="B73" s="32" t="n">
        <x:v>0.95</x:v>
      </x:c>
      <x:c r="C73" s="32" t="n">
        <x:f>$F$45*MIN($B73,$G$45)+$I$45*MAX(0,$B73-$G$45)+$J$45*MAX(0,$B73-$K$45)</x:f>
        <x:v>2425</x:v>
      </x:c>
      <x:c r="D73" s="32" t="n">
        <x:f>$F$46*MIN($B73,$G$46)+$I$46*MAX(0,$B73-$G$46)+$J$46*MAX(0,$B73-$K$46)</x:f>
        <x:v>2685</x:v>
      </x:c>
      <x:c r="E73" s="32" t="n">
        <x:f>$F$47*MIN($B73,$G$47)+$I$47*MAX(0,$B73-$G$47)+$J$47*MAX(0,$B73-$K$47)</x:f>
        <x:v>2930</x:v>
      </x:c>
      <x:c r="F73" s="32" t="n">
        <x:f>$F$48*MIN($B73,$G$48)+$I$48*MAX(0,$B73-$G$48)+$J$48*MAX(0,$B73-$K$48)</x:f>
        <x:v>3160</x:v>
      </x:c>
      <x:c r="G73" s="32" t="n">
        <x:f>$F$49*MIN($B73,$G$49)+$I$49*MAX(0,$B73-$G$49)+$J$49*MAX(0,$B73-$K$49)</x:f>
        <x:v>3375</x:v>
      </x:c>
      <x:c r="H73" s="18"/>
      <x:c r="I73" s="18"/>
      <x:c r="J73" s="18"/>
      <x:c r="K73" s="18"/>
      <x:c r="L73" s="18"/>
      <x:c r="M73" s="18"/>
      <x:c r="N73" s="18"/>
      <x:c r="O73" s="18"/>
      <x:c r="P73" s="18"/>
      <x:c r="Q73" s="18"/>
      <x:c r="R73" s="18"/>
      <x:c r="S73" s="18"/>
      <x:c r="T73" s="18"/>
      <x:c r="U73" s="18"/>
      <x:c r="V73" s="18"/>
    </x:row>
    <x:row r="74" ht="22" customHeight="1">
      <x:c r="B74" s="32" t="n">
        <x:v>1</x:v>
      </x:c>
      <x:c r="C74" s="32" t="n">
        <x:f>$F$45*MIN($B74,$G$45)+$I$45*MAX(0,$B74-$G$45)+$J$45*MAX(0,$B74-$K$45)</x:f>
        <x:v>2580</x:v>
      </x:c>
      <x:c r="D74" s="32" t="n">
        <x:f>$F$46*MIN($B74,$G$46)+$I$46*MAX(0,$B74-$G$46)+$J$46*MAX(0,$B74-$K$46)</x:f>
        <x:v>2877.5</x:v>
      </x:c>
      <x:c r="E74" s="32" t="n">
        <x:f>$F$47*MIN($B74,$G$47)+$I$47*MAX(0,$B74-$G$47)+$J$47*MAX(0,$B74-$K$47)</x:f>
        <x:v>3160</x:v>
      </x:c>
      <x:c r="F74" s="32" t="n">
        <x:f>$F$48*MIN($B74,$G$48)+$I$48*MAX(0,$B74-$G$48)+$J$48*MAX(0,$B74-$K$48)</x:f>
        <x:v>3427.5</x:v>
      </x:c>
      <x:c r="G74" s="32" t="n">
        <x:f>$F$49*MIN($B74,$G$49)+$I$49*MAX(0,$B74-$G$49)+$J$49*MAX(0,$B74-$K$49)</x:f>
        <x:v>3680</x:v>
      </x:c>
      <x:c r="H74" s="18"/>
      <x:c r="I74" s="18"/>
      <x:c r="J74" s="18"/>
      <x:c r="K74" s="18"/>
      <x:c r="L74" s="18"/>
      <x:c r="M74" s="18"/>
      <x:c r="N74" s="18"/>
      <x:c r="O74" s="18"/>
      <x:c r="P74" s="18"/>
      <x:c r="Q74" s="18"/>
      <x:c r="R74" s="18"/>
      <x:c r="S74" s="18"/>
      <x:c r="T74" s="18"/>
      <x:c r="U74" s="18"/>
      <x:c r="V74" s="18"/>
    </x:row>
    <x:row r="75" ht="22" customHeight="1">
      <x:c r="B75" s="18"/>
      <x:c r="C75" s="18"/>
      <x:c r="D75" s="18"/>
      <x:c r="E75" s="18"/>
      <x:c r="F75" s="18"/>
      <x:c r="G75" s="18"/>
      <x:c r="H75" s="18"/>
      <x:c r="I75" s="18"/>
      <x:c r="J75" s="18"/>
      <x:c r="K75" s="18"/>
      <x:c r="L75" s="18"/>
      <x:c r="M75" s="18"/>
      <x:c r="N75" s="18"/>
      <x:c r="O75" s="18"/>
      <x:c r="P75" s="18"/>
      <x:c r="Q75" s="18"/>
      <x:c r="R75" s="18"/>
      <x:c r="S75" s="18"/>
      <x:c r="T75" s="18"/>
      <x:c r="U75" s="18"/>
      <x:c r="V75" s="18"/>
    </x:row>
    <x:row r="76" ht="22" customHeight="1">
      <x:c r="B76" s="18"/>
      <x:c r="C76" s="18"/>
      <x:c r="D76" s="18"/>
      <x:c r="E76" s="18"/>
      <x:c r="F76" s="18"/>
      <x:c r="G76" s="18"/>
      <x:c r="H76" s="18"/>
      <x:c r="I76" s="18"/>
      <x:c r="J76" s="18"/>
      <x:c r="K76" s="18"/>
      <x:c r="L76" s="18"/>
      <x:c r="M76" s="18"/>
      <x:c r="N76" s="18"/>
      <x:c r="O76" s="18"/>
      <x:c r="P76" s="18"/>
      <x:c r="Q76" s="18"/>
      <x:c r="R76" s="18"/>
      <x:c r="S76" s="18"/>
      <x:c r="T76" s="18"/>
      <x:c r="U76" s="18"/>
      <x:c r="V76" s="18"/>
    </x:row>
    <x:row r="77" ht="22" customHeight="1">
      <x:c r="B77" s="18"/>
      <x:c r="C77" s="18"/>
      <x:c r="D77" s="18"/>
      <x:c r="E77" s="18"/>
      <x:c r="F77" s="18"/>
      <x:c r="G77" s="18"/>
      <x:c r="H77" s="18"/>
      <x:c r="I77" s="18"/>
      <x:c r="J77" s="18"/>
      <x:c r="K77" s="18"/>
      <x:c r="L77" s="18"/>
      <x:c r="M77" s="18"/>
      <x:c r="N77" s="18"/>
      <x:c r="O77" s="18"/>
      <x:c r="P77" s="18"/>
      <x:c r="Q77" s="18"/>
      <x:c r="R77" s="18"/>
      <x:c r="S77" s="18"/>
      <x:c r="T77" s="18"/>
      <x:c r="U77" s="18"/>
      <x:c r="V77" s="18"/>
    </x:row>
    <x:row r="78" ht="22" customHeight="1">
      <x:c r="B78" s="18"/>
      <x:c r="C78" s="18"/>
      <x:c r="D78" s="18"/>
      <x:c r="E78" s="18"/>
      <x:c r="F78" s="18"/>
      <x:c r="G78" s="18"/>
      <x:c r="H78" s="18"/>
      <x:c r="I78" s="18"/>
      <x:c r="J78" s="18"/>
      <x:c r="K78" s="18"/>
      <x:c r="L78" s="18"/>
      <x:c r="M78" s="18"/>
      <x:c r="N78" s="18"/>
      <x:c r="O78" s="18"/>
      <x:c r="P78" s="18"/>
      <x:c r="Q78" s="18"/>
      <x:c r="R78" s="18"/>
      <x:c r="S78" s="18"/>
      <x:c r="T78" s="18"/>
      <x:c r="U78" s="18"/>
      <x:c r="V78" s="18"/>
    </x:row>
    <x:row r="79" ht="22" customHeight="1">
      <x:c r="B79" s="18"/>
      <x:c r="C79" s="18"/>
      <x:c r="D79" s="18"/>
      <x:c r="E79" s="18"/>
      <x:c r="F79" s="18"/>
      <x:c r="G79" s="18"/>
      <x:c r="H79" s="18"/>
      <x:c r="I79" s="18"/>
      <x:c r="J79" s="18"/>
      <x:c r="K79" s="18"/>
      <x:c r="L79" s="18"/>
      <x:c r="M79" s="18"/>
      <x:c r="N79" s="18"/>
      <x:c r="O79" s="18"/>
      <x:c r="P79" s="18"/>
      <x:c r="Q79" s="18"/>
      <x:c r="R79" s="18"/>
      <x:c r="S79" s="18"/>
      <x:c r="T79" s="18"/>
      <x:c r="U79" s="18"/>
      <x:c r="V79" s="18"/>
    </x:row>
    <x:row r="80" ht="22" customHeight="1">
      <x:c r="B80" s="18"/>
      <x:c r="C80" s="18"/>
      <x:c r="D80" s="18"/>
      <x:c r="E80" s="18"/>
      <x:c r="F80" s="18"/>
      <x:c r="G80" s="18"/>
      <x:c r="H80" s="18"/>
      <x:c r="I80" s="18"/>
      <x:c r="J80" s="18"/>
      <x:c r="K80" s="18"/>
      <x:c r="L80" s="18"/>
      <x:c r="M80" s="18"/>
      <x:c r="N80" s="18"/>
      <x:c r="O80" s="18"/>
      <x:c r="P80" s="18"/>
      <x:c r="Q80" s="18"/>
      <x:c r="R80" s="18"/>
      <x:c r="S80" s="18"/>
      <x:c r="T80" s="18"/>
      <x:c r="U80" s="18"/>
      <x:c r="V80" s="18"/>
    </x:row>
    <x:row r="81" ht="22" customHeight="1">
      <x:c r="B81" s="24" t="str">
        <x:v>LSR Sweep · 由本页 Valving 开关选择参数</x:v>
      </x:c>
      <x:c r="C81" s="24"/>
      <x:c r="D81" s="24"/>
      <x:c r="E81" s="24"/>
      <x:c r="F81" s="24"/>
      <x:c r="G81" s="24"/>
      <x:c r="H81" s="24"/>
      <x:c r="I81" s="24"/>
      <x:c r="J81" s="24"/>
      <x:c r="K81" s="24"/>
      <x:c r="L81" s="24"/>
      <x:c r="M81" s="24"/>
      <x:c r="N81" s="24"/>
      <x:c r="O81" s="24"/>
      <x:c r="P81" s="24"/>
      <x:c r="Q81" s="24"/>
      <x:c r="R81" s="24"/>
      <x:c r="S81" s="24"/>
      <x:c r="T81" s="24"/>
      <x:c r="U81" s="24"/>
      <x:c r="V81" s="24"/>
    </x:row>
    <x:row r="82" ht="22" customHeight="1">
      <x:c r="B82" s="18"/>
      <x:c r="C82" s="18"/>
      <x:c r="D82" s="18"/>
      <x:c r="E82" s="18"/>
      <x:c r="F82" s="18"/>
      <x:c r="G82" s="18"/>
      <x:c r="H82" s="18"/>
      <x:c r="I82" s="18"/>
      <x:c r="J82" s="18"/>
      <x:c r="K82" s="18"/>
      <x:c r="L82" s="18"/>
      <x:c r="M82" s="18"/>
      <x:c r="N82" s="18"/>
      <x:c r="O82" s="18"/>
      <x:c r="P82" s="18"/>
      <x:c r="Q82" s="18"/>
      <x:c r="R82" s="18"/>
      <x:c r="S82" s="18"/>
      <x:c r="T82" s="18"/>
      <x:c r="U82" s="18"/>
      <x:c r="V82" s="18"/>
    </x:row>
    <x:row r="83" ht="22" customHeight="1">
      <x:c r="B83" s="18"/>
      <x:c r="C83" s="18"/>
      <x:c r="D83" s="18"/>
      <x:c r="E83" s="18"/>
      <x:c r="F83" s="18"/>
      <x:c r="G83" s="18"/>
      <x:c r="H83" s="18"/>
      <x:c r="I83" s="18"/>
      <x:c r="J83" s="18"/>
      <x:c r="K83" s="18"/>
      <x:c r="L83" s="18"/>
      <x:c r="M83" s="18"/>
      <x:c r="N83" s="18"/>
      <x:c r="O83" s="18"/>
      <x:c r="P83" s="18"/>
      <x:c r="Q83" s="18"/>
      <x:c r="R83" s="18"/>
      <x:c r="S83" s="18"/>
      <x:c r="T83" s="18"/>
      <x:c r="U83" s="18"/>
      <x:c r="V83" s="18"/>
    </x:row>
    <x:row r="84" ht="35" customHeight="1">
      <x:c r="B84" s="30" t="str">
        <x:v>曲线</x:v>
      </x:c>
      <x:c r="C84" s="30" t="str">
        <x:v>c</x:v>
      </x:c>
      <x:c r="D84" s="30" t="str">
        <x:v>C</x:v>
      </x:c>
      <x:c r="E84" s="30" t="str">
        <x:v>R</x:v>
      </x:c>
      <x:c r="F84" s="30" t="str">
        <x:v>bump1</x:v>
      </x:c>
      <x:c r="G84" s="30" t="str">
        <x:v>LSC knee</x:v>
      </x:c>
      <x:c r="H84" s="30" t="str">
        <x:v>bump2 倍率</x:v>
      </x:c>
      <x:c r="I84" s="30" t="str">
        <x:v>bump2</x:v>
      </x:c>
      <x:c r="J84" s="30" t="str">
        <x:v>HSbump</x:v>
      </x:c>
      <x:c r="K84" s="30" t="str">
        <x:v>HSC knee</x:v>
      </x:c>
      <x:c r="L84" s="30" t="str">
        <x:v>总 HS 系数</x:v>
      </x:c>
      <x:c r="M84" s="30" t="str">
        <x:v>rebound</x:v>
      </x:c>
      <x:c r="N84" s="30" t="str">
        <x:v>Rebound knee</x:v>
      </x:c>
      <x:c r="O84" s="30" t="str">
        <x:v>HSR 倍率</x:v>
      </x:c>
      <x:c r="P84" s="30" t="str">
        <x:v>HSrebound</x:v>
      </x:c>
      <x:c r="Q84" s="30" t="str">
        <x:v>LSC 区间</x:v>
      </x:c>
      <x:c r="R84" s="30" t="str">
        <x:v>HSC 区间</x:v>
      </x:c>
      <x:c r="S84" s="30" t="str">
        <x:v>LSR 区间</x:v>
      </x:c>
      <x:c r="T84" s="30" t="str">
        <x:v>LSC 区间位置</x:v>
      </x:c>
      <x:c r="U84" s="30" t="str">
        <x:v>HSC 区间位置</x:v>
      </x:c>
      <x:c r="V84" s="30" t="str">
        <x:v>LSR 区间位置</x:v>
      </x:c>
    </x:row>
    <x:row r="85" ht="22" customHeight="1">
      <x:c r="B85" s="18" t="str">
        <x:f>"R "&amp;E85</x:f>
        <x:v>R -40</x:v>
      </x:c>
      <x:c r="C85" s="18" t="n">
        <x:f>Parameters!D7</x:f>
        <x:v>-24</x:v>
      </x:c>
      <x:c r="D85" s="18" t="n">
        <x:f>Parameters!D8</x:f>
        <x:v>-20</x:v>
      </x:c>
      <x:c r="E85" s="18" t="n">
        <x:f>Parameters!D16</x:f>
        <x:v>-40</x:v>
      </x:c>
      <x:c r="F85" s="18" t="n">
        <x:f>IF('LSR Sweep'!$C$4="Type-B",INDEX(Parameters!$J$10:$N$10,1,Q85)+(INDEX(Parameters!$J$10:$N$10,1,Q85+1)-INDEX(Parameters!$J$10:$N$10,1,Q85))*T85,INDEX(Parameters!$D$10:$H$10,1,Q85)+(INDEX(Parameters!$D$10:$H$10,1,Q85+1)-INDEX(Parameters!$D$10:$H$10,1,Q85))*T85)</x:f>
        <x:v>1300</x:v>
      </x:c>
      <x:c r="G85" s="18" t="n">
        <x:f>IF('LSR Sweep'!$C$4="Type-B",INDEX(Parameters!$J$11:$N$11,1,Q85)+(INDEX(Parameters!$J$11:$N$11,1,Q85+1)-INDEX(Parameters!$J$11:$N$11,1,Q85))*T85,INDEX(Parameters!$D$11:$H$11,1,Q85)+(INDEX(Parameters!$D$11:$H$11,1,Q85+1)-INDEX(Parameters!$D$11:$H$11,1,Q85))*T85)</x:f>
        <x:v>0.12</x:v>
      </x:c>
      <x:c r="H85" s="18" t="n">
        <x:f>IF('LSR Sweep'!$C$4="Type-B",INDEX(Parameters!$J$12:$N$12,1,Q85)+(INDEX(Parameters!$J$12:$N$12,1,Q85+1)-INDEX(Parameters!$J$12:$N$12,1,Q85))*T85,INDEX(Parameters!$D$12:$H$12,1,Q85)+(INDEX(Parameters!$D$12:$H$12,1,Q85+1)-INDEX(Parameters!$D$12:$H$12,1,Q85))*T85)</x:f>
        <x:v>0.78</x:v>
      </x:c>
      <x:c r="I85" s="18" t="n">
        <x:f>F85*H85</x:f>
        <x:v>1014</x:v>
      </x:c>
      <x:c r="J85" s="18" t="n">
        <x:f>IF('LSR Sweep'!$C$4="Type-B",INDEX(Parameters!$J$13:$N$13,1,R85)+(INDEX(Parameters!$J$13:$N$13,1,R85+1)-INDEX(Parameters!$J$13:$N$13,1,R85))*U85,INDEX(Parameters!$D$13:$H$13,1,R85)+(INDEX(Parameters!$D$13:$H$13,1,R85+1)-INDEX(Parameters!$D$13:$H$13,1,R85))*U85)</x:f>
        <x:v>1000</x:v>
      </x:c>
      <x:c r="K85" s="18" t="n">
        <x:f>IF('LSR Sweep'!$C$4="Type-B",INDEX(Parameters!$J$14:$N$14,1,R85)+(INDEX(Parameters!$J$14:$N$14,1,R85+1)-INDEX(Parameters!$J$14:$N$14,1,R85))*U85,INDEX(Parameters!$D$14:$H$14,1,R85)+(INDEX(Parameters!$D$14:$H$14,1,R85+1)-INDEX(Parameters!$D$14:$H$14,1,R85))*U85)</x:f>
        <x:v>0.58</x:v>
      </x:c>
      <x:c r="L85" s="18" t="n">
        <x:f>I85+J85</x:f>
        <x:v>2014</x:v>
      </x:c>
      <x:c r="M85" s="18" t="n">
        <x:f>IF('LSR Sweep'!$C$4="Type-B",INDEX(Parameters!$J$17:$N$17,1,S85)+(INDEX(Parameters!$J$17:$N$17,1,S85+1)-INDEX(Parameters!$J$17:$N$17,1,S85))*V85,INDEX(Parameters!$D$17:$H$17,1,S85)+(INDEX(Parameters!$D$17:$H$17,1,S85+1)-INDEX(Parameters!$D$17:$H$17,1,S85))*V85)</x:f>
        <x:v>1215</x:v>
      </x:c>
      <x:c r="N85" s="18" t="n">
        <x:f>IF('LSR Sweep'!$C$4="Type-B",INDEX(Parameters!$J$18:$N$18,1,S85)+(INDEX(Parameters!$J$18:$N$18,1,S85+1)-INDEX(Parameters!$J$18:$N$18,1,S85))*V85,INDEX(Parameters!$D$18:$H$18,1,S85)+(INDEX(Parameters!$D$18:$H$18,1,S85+1)-INDEX(Parameters!$D$18:$H$18,1,S85))*V85)</x:f>
        <x:v>0.3</x:v>
      </x:c>
      <x:c r="O85" s="18" t="n">
        <x:f>IF('LSR Sweep'!$C$4="Type-B",INDEX(Parameters!$J$19:$N$19,1,S85)+(INDEX(Parameters!$J$19:$N$19,1,S85+1)-INDEX(Parameters!$J$19:$N$19,1,S85))*V85,INDEX(Parameters!$D$19:$H$19,1,S85)+(INDEX(Parameters!$D$19:$H$19,1,S85+1)-INDEX(Parameters!$D$19:$H$19,1,S85))*V85)</x:f>
        <x:v>0.74</x:v>
      </x:c>
      <x:c r="P85" s="18" t="n">
        <x:f>M85*O85</x:f>
        <x:v>899.1</x:v>
      </x:c>
      <x:c r="Q85" s="18" t="n">
        <x:f>MIN(4,MAX(1,INT((1+C85/Parameters!$D$24)*4)+1))</x:f>
        <x:v>1</x:v>
      </x:c>
      <x:c r="R85" s="18" t="n">
        <x:f>MIN(4,MAX(1,INT((1+D85/Parameters!$D$25)*4)+1))</x:f>
        <x:v>1</x:v>
      </x:c>
      <x:c r="S85" s="18" t="n">
        <x:f>MIN(4,MAX(1,INT((1+E85/Parameters!$D$26)*4)+1))</x:f>
        <x:v>1</x:v>
      </x:c>
      <x:c r="T85" s="18" t="n">
        <x:f>MAX(0,MIN(1,(1+C85/Parameters!$D$24)*4-(Q85-1)))</x:f>
        <x:v>0</x:v>
      </x:c>
      <x:c r="U85" s="18" t="n">
        <x:f>MAX(0,MIN(1,(1+D85/Parameters!$D$25)*4-(R85-1)))</x:f>
        <x:v>0</x:v>
      </x:c>
      <x:c r="V85" s="18" t="n">
        <x:f>MAX(0,MIN(1,(1+E85/Parameters!$D$26)*4-(S85-1)))</x:f>
        <x:v>0</x:v>
      </x:c>
    </x:row>
    <x:row r="86" ht="22" customHeight="1">
      <x:c r="B86" s="18" t="str">
        <x:f>"R "&amp;E86</x:f>
        <x:v>R -30</x:v>
      </x:c>
      <x:c r="C86" s="18" t="n">
        <x:f>Parameters!E7</x:f>
        <x:v>-18</x:v>
      </x:c>
      <x:c r="D86" s="18" t="n">
        <x:f>Parameters!E8</x:f>
        <x:v>-15</x:v>
      </x:c>
      <x:c r="E86" s="18" t="n">
        <x:f>Parameters!E16</x:f>
        <x:v>-30</x:v>
      </x:c>
      <x:c r="F86" s="18" t="n">
        <x:f>IF('LSR Sweep'!$C$4="Type-B",INDEX(Parameters!$J$10:$N$10,1,Q86)+(INDEX(Parameters!$J$10:$N$10,1,Q86+1)-INDEX(Parameters!$J$10:$N$10,1,Q86))*T86,INDEX(Parameters!$D$10:$H$10,1,Q86)+(INDEX(Parameters!$D$10:$H$10,1,Q86+1)-INDEX(Parameters!$D$10:$H$10,1,Q86))*T86)</x:f>
        <x:v>1900</x:v>
      </x:c>
      <x:c r="G86" s="18" t="n">
        <x:f>IF('LSR Sweep'!$C$4="Type-B",INDEX(Parameters!$J$11:$N$11,1,Q86)+(INDEX(Parameters!$J$11:$N$11,1,Q86+1)-INDEX(Parameters!$J$11:$N$11,1,Q86))*T86,INDEX(Parameters!$D$11:$H$11,1,Q86)+(INDEX(Parameters!$D$11:$H$11,1,Q86+1)-INDEX(Parameters!$D$11:$H$11,1,Q86))*T86)</x:f>
        <x:v>0.135</x:v>
      </x:c>
      <x:c r="H86" s="18" t="n">
        <x:f>IF('LSR Sweep'!$C$4="Type-B",INDEX(Parameters!$J$12:$N$12,1,Q86)+(INDEX(Parameters!$J$12:$N$12,1,Q86+1)-INDEX(Parameters!$J$12:$N$12,1,Q86))*T86,INDEX(Parameters!$D$12:$H$12,1,Q86)+(INDEX(Parameters!$D$12:$H$12,1,Q86+1)-INDEX(Parameters!$D$12:$H$12,1,Q86))*T86)</x:f>
        <x:v>0.81</x:v>
      </x:c>
      <x:c r="I86" s="18" t="n">
        <x:f>F86*H86</x:f>
        <x:v>1539</x:v>
      </x:c>
      <x:c r="J86" s="18" t="n">
        <x:f>IF('LSR Sweep'!$C$4="Type-B",INDEX(Parameters!$J$13:$N$13,1,R86)+(INDEX(Parameters!$J$13:$N$13,1,R86+1)-INDEX(Parameters!$J$13:$N$13,1,R86))*U86,INDEX(Parameters!$D$13:$H$13,1,R86)+(INDEX(Parameters!$D$13:$H$13,1,R86+1)-INDEX(Parameters!$D$13:$H$13,1,R86))*U86)</x:f>
        <x:v>1750</x:v>
      </x:c>
      <x:c r="K86" s="18" t="n">
        <x:f>IF('LSR Sweep'!$C$4="Type-B",INDEX(Parameters!$J$14:$N$14,1,R86)+(INDEX(Parameters!$J$14:$N$14,1,R86+1)-INDEX(Parameters!$J$14:$N$14,1,R86))*U86,INDEX(Parameters!$D$14:$H$14,1,R86)+(INDEX(Parameters!$D$14:$H$14,1,R86+1)-INDEX(Parameters!$D$14:$H$14,1,R86))*U86)</x:f>
        <x:v>0.59</x:v>
      </x:c>
      <x:c r="L86" s="18" t="n">
        <x:f>I86+J86</x:f>
        <x:v>3289</x:v>
      </x:c>
      <x:c r="M86" s="18" t="n">
        <x:f>IF('LSR Sweep'!$C$4="Type-B",INDEX(Parameters!$J$17:$N$17,1,S86)+(INDEX(Parameters!$J$17:$N$17,1,S86+1)-INDEX(Parameters!$J$17:$N$17,1,S86))*V86,INDEX(Parameters!$D$17:$H$17,1,S86)+(INDEX(Parameters!$D$17:$H$17,1,S86+1)-INDEX(Parameters!$D$17:$H$17,1,S86))*V86)</x:f>
        <x:v>1665</x:v>
      </x:c>
      <x:c r="N86" s="18" t="n">
        <x:f>IF('LSR Sweep'!$C$4="Type-B",INDEX(Parameters!$J$18:$N$18,1,S86)+(INDEX(Parameters!$J$18:$N$18,1,S86+1)-INDEX(Parameters!$J$18:$N$18,1,S86))*V86,INDEX(Parameters!$D$18:$H$18,1,S86)+(INDEX(Parameters!$D$18:$H$18,1,S86+1)-INDEX(Parameters!$D$18:$H$18,1,S86))*V86)</x:f>
        <x:v>0.32499999999999996</x:v>
      </x:c>
      <x:c r="O86" s="18" t="n">
        <x:f>IF('LSR Sweep'!$C$4="Type-B",INDEX(Parameters!$J$19:$N$19,1,S86)+(INDEX(Parameters!$J$19:$N$19,1,S86+1)-INDEX(Parameters!$J$19:$N$19,1,S86))*V86,INDEX(Parameters!$D$19:$H$19,1,S86)+(INDEX(Parameters!$D$19:$H$19,1,S86+1)-INDEX(Parameters!$D$19:$H$19,1,S86))*V86)</x:f>
        <x:v>0.78</x:v>
      </x:c>
      <x:c r="P86" s="18" t="n">
        <x:f>M86*O86</x:f>
        <x:v>1298.7</x:v>
      </x:c>
      <x:c r="Q86" s="18" t="n">
        <x:f>MIN(4,MAX(1,INT((1+C86/Parameters!$D$24)*4)+1))</x:f>
        <x:v>2</x:v>
      </x:c>
      <x:c r="R86" s="18" t="n">
        <x:f>MIN(4,MAX(1,INT((1+D86/Parameters!$D$25)*4)+1))</x:f>
        <x:v>2</x:v>
      </x:c>
      <x:c r="S86" s="18" t="n">
        <x:f>MIN(4,MAX(1,INT((1+E86/Parameters!$D$26)*4)+1))</x:f>
        <x:v>2</x:v>
      </x:c>
      <x:c r="T86" s="18" t="n">
        <x:f>MAX(0,MIN(1,(1+C86/Parameters!$D$24)*4-(Q86-1)))</x:f>
        <x:v>0</x:v>
      </x:c>
      <x:c r="U86" s="18" t="n">
        <x:f>MAX(0,MIN(1,(1+D86/Parameters!$D$25)*4-(R86-1)))</x:f>
        <x:v>0</x:v>
      </x:c>
      <x:c r="V86" s="18" t="n">
        <x:f>MAX(0,MIN(1,(1+E86/Parameters!$D$26)*4-(S86-1)))</x:f>
        <x:v>0</x:v>
      </x:c>
    </x:row>
    <x:row r="87" ht="22" customHeight="1">
      <x:c r="B87" s="18" t="str">
        <x:f>"R "&amp;E87</x:f>
        <x:v>R -20</x:v>
      </x:c>
      <x:c r="C87" s="18" t="n">
        <x:f>Parameters!F7</x:f>
        <x:v>-12</x:v>
      </x:c>
      <x:c r="D87" s="18" t="n">
        <x:f>Parameters!F8</x:f>
        <x:v>-10</x:v>
      </x:c>
      <x:c r="E87" s="18" t="n">
        <x:f>Parameters!F16</x:f>
        <x:v>-20</x:v>
      </x:c>
      <x:c r="F87" s="18" t="n">
        <x:f>IF('LSR Sweep'!$C$4="Type-B",INDEX(Parameters!$J$10:$N$10,1,Q87)+(INDEX(Parameters!$J$10:$N$10,1,Q87+1)-INDEX(Parameters!$J$10:$N$10,1,Q87))*T87,INDEX(Parameters!$D$10:$H$10,1,Q87)+(INDEX(Parameters!$D$10:$H$10,1,Q87+1)-INDEX(Parameters!$D$10:$H$10,1,Q87))*T87)</x:f>
        <x:v>2500</x:v>
      </x:c>
      <x:c r="G87" s="18" t="n">
        <x:f>IF('LSR Sweep'!$C$4="Type-B",INDEX(Parameters!$J$11:$N$11,1,Q87)+(INDEX(Parameters!$J$11:$N$11,1,Q87+1)-INDEX(Parameters!$J$11:$N$11,1,Q87))*T87,INDEX(Parameters!$D$11:$H$11,1,Q87)+(INDEX(Parameters!$D$11:$H$11,1,Q87+1)-INDEX(Parameters!$D$11:$H$11,1,Q87))*T87)</x:f>
        <x:v>0.15</x:v>
      </x:c>
      <x:c r="H87" s="18" t="n">
        <x:f>IF('LSR Sweep'!$C$4="Type-B",INDEX(Parameters!$J$12:$N$12,1,Q87)+(INDEX(Parameters!$J$12:$N$12,1,Q87+1)-INDEX(Parameters!$J$12:$N$12,1,Q87))*T87,INDEX(Parameters!$D$12:$H$12,1,Q87)+(INDEX(Parameters!$D$12:$H$12,1,Q87+1)-INDEX(Parameters!$D$12:$H$12,1,Q87))*T87)</x:f>
        <x:v>0.84</x:v>
      </x:c>
      <x:c r="I87" s="18" t="n">
        <x:f>F87*H87</x:f>
        <x:v>2100</x:v>
      </x:c>
      <x:c r="J87" s="18" t="n">
        <x:f>IF('LSR Sweep'!$C$4="Type-B",INDEX(Parameters!$J$13:$N$13,1,R87)+(INDEX(Parameters!$J$13:$N$13,1,R87+1)-INDEX(Parameters!$J$13:$N$13,1,R87))*U87,INDEX(Parameters!$D$13:$H$13,1,R87)+(INDEX(Parameters!$D$13:$H$13,1,R87+1)-INDEX(Parameters!$D$13:$H$13,1,R87))*U87)</x:f>
        <x:v>2500</x:v>
      </x:c>
      <x:c r="K87" s="18" t="n">
        <x:f>IF('LSR Sweep'!$C$4="Type-B",INDEX(Parameters!$J$14:$N$14,1,R87)+(INDEX(Parameters!$J$14:$N$14,1,R87+1)-INDEX(Parameters!$J$14:$N$14,1,R87))*U87,INDEX(Parameters!$D$14:$H$14,1,R87)+(INDEX(Parameters!$D$14:$H$14,1,R87+1)-INDEX(Parameters!$D$14:$H$14,1,R87))*U87)</x:f>
        <x:v>0.6</x:v>
      </x:c>
      <x:c r="L87" s="18" t="n">
        <x:f>I87+J87</x:f>
        <x:v>4600</x:v>
      </x:c>
      <x:c r="M87" s="18" t="n">
        <x:f>IF('LSR Sweep'!$C$4="Type-B",INDEX(Parameters!$J$17:$N$17,1,S87)+(INDEX(Parameters!$J$17:$N$17,1,S87+1)-INDEX(Parameters!$J$17:$N$17,1,S87))*V87,INDEX(Parameters!$D$17:$H$17,1,S87)+(INDEX(Parameters!$D$17:$H$17,1,S87+1)-INDEX(Parameters!$D$17:$H$17,1,S87))*V87)</x:f>
        <x:v>2115</x:v>
      </x:c>
      <x:c r="N87" s="18" t="n">
        <x:f>IF('LSR Sweep'!$C$4="Type-B",INDEX(Parameters!$J$18:$N$18,1,S87)+(INDEX(Parameters!$J$18:$N$18,1,S87+1)-INDEX(Parameters!$J$18:$N$18,1,S87))*V87,INDEX(Parameters!$D$18:$H$18,1,S87)+(INDEX(Parameters!$D$18:$H$18,1,S87+1)-INDEX(Parameters!$D$18:$H$18,1,S87))*V87)</x:f>
        <x:v>0.35</x:v>
      </x:c>
      <x:c r="O87" s="18" t="n">
        <x:f>IF('LSR Sweep'!$C$4="Type-B",INDEX(Parameters!$J$19:$N$19,1,S87)+(INDEX(Parameters!$J$19:$N$19,1,S87+1)-INDEX(Parameters!$J$19:$N$19,1,S87))*V87,INDEX(Parameters!$D$19:$H$19,1,S87)+(INDEX(Parameters!$D$19:$H$19,1,S87+1)-INDEX(Parameters!$D$19:$H$19,1,S87))*V87)</x:f>
        <x:v>0.82</x:v>
      </x:c>
      <x:c r="P87" s="18" t="n">
        <x:f>M87*O87</x:f>
        <x:v>1734.3</x:v>
      </x:c>
      <x:c r="Q87" s="18" t="n">
        <x:f>MIN(4,MAX(1,INT((1+C87/Parameters!$D$24)*4)+1))</x:f>
        <x:v>3</x:v>
      </x:c>
      <x:c r="R87" s="18" t="n">
        <x:f>MIN(4,MAX(1,INT((1+D87/Parameters!$D$25)*4)+1))</x:f>
        <x:v>3</x:v>
      </x:c>
      <x:c r="S87" s="18" t="n">
        <x:f>MIN(4,MAX(1,INT((1+E87/Parameters!$D$26)*4)+1))</x:f>
        <x:v>3</x:v>
      </x:c>
      <x:c r="T87" s="18" t="n">
        <x:f>MAX(0,MIN(1,(1+C87/Parameters!$D$24)*4-(Q87-1)))</x:f>
        <x:v>0</x:v>
      </x:c>
      <x:c r="U87" s="18" t="n">
        <x:f>MAX(0,MIN(1,(1+D87/Parameters!$D$25)*4-(R87-1)))</x:f>
        <x:v>0</x:v>
      </x:c>
      <x:c r="V87" s="18" t="n">
        <x:f>MAX(0,MIN(1,(1+E87/Parameters!$D$26)*4-(S87-1)))</x:f>
        <x:v>0</x:v>
      </x:c>
    </x:row>
    <x:row r="88" ht="22" customHeight="1">
      <x:c r="B88" s="18" t="str">
        <x:f>"R "&amp;E88</x:f>
        <x:v>R -10</x:v>
      </x:c>
      <x:c r="C88" s="18" t="n">
        <x:f>Parameters!G7</x:f>
        <x:v>-6</x:v>
      </x:c>
      <x:c r="D88" s="18" t="n">
        <x:f>Parameters!G8</x:f>
        <x:v>-5</x:v>
      </x:c>
      <x:c r="E88" s="18" t="n">
        <x:f>Parameters!G16</x:f>
        <x:v>-10</x:v>
      </x:c>
      <x:c r="F88" s="18" t="n">
        <x:f>IF('LSR Sweep'!$C$4="Type-B",INDEX(Parameters!$J$10:$N$10,1,Q88)+(INDEX(Parameters!$J$10:$N$10,1,Q88+1)-INDEX(Parameters!$J$10:$N$10,1,Q88))*T88,INDEX(Parameters!$D$10:$H$10,1,Q88)+(INDEX(Parameters!$D$10:$H$10,1,Q88+1)-INDEX(Parameters!$D$10:$H$10,1,Q88))*T88)</x:f>
        <x:v>3100</x:v>
      </x:c>
      <x:c r="G88" s="18" t="n">
        <x:f>IF('LSR Sweep'!$C$4="Type-B",INDEX(Parameters!$J$11:$N$11,1,Q88)+(INDEX(Parameters!$J$11:$N$11,1,Q88+1)-INDEX(Parameters!$J$11:$N$11,1,Q88))*T88,INDEX(Parameters!$D$11:$H$11,1,Q88)+(INDEX(Parameters!$D$11:$H$11,1,Q88+1)-INDEX(Parameters!$D$11:$H$11,1,Q88))*T88)</x:f>
        <x:v>0.16</x:v>
      </x:c>
      <x:c r="H88" s="18" t="n">
        <x:f>IF('LSR Sweep'!$C$4="Type-B",INDEX(Parameters!$J$12:$N$12,1,Q88)+(INDEX(Parameters!$J$12:$N$12,1,Q88+1)-INDEX(Parameters!$J$12:$N$12,1,Q88))*T88,INDEX(Parameters!$D$12:$H$12,1,Q88)+(INDEX(Parameters!$D$12:$H$12,1,Q88+1)-INDEX(Parameters!$D$12:$H$12,1,Q88))*T88)</x:f>
        <x:v>0.87</x:v>
      </x:c>
      <x:c r="I88" s="18" t="n">
        <x:f>F88*H88</x:f>
        <x:v>2697</x:v>
      </x:c>
      <x:c r="J88" s="18" t="n">
        <x:f>IF('LSR Sweep'!$C$4="Type-B",INDEX(Parameters!$J$13:$N$13,1,R88)+(INDEX(Parameters!$J$13:$N$13,1,R88+1)-INDEX(Parameters!$J$13:$N$13,1,R88))*U88,INDEX(Parameters!$D$13:$H$13,1,R88)+(INDEX(Parameters!$D$13:$H$13,1,R88+1)-INDEX(Parameters!$D$13:$H$13,1,R88))*U88)</x:f>
        <x:v>3250</x:v>
      </x:c>
      <x:c r="K88" s="18" t="n">
        <x:f>IF('LSR Sweep'!$C$4="Type-B",INDEX(Parameters!$J$14:$N$14,1,R88)+(INDEX(Parameters!$J$14:$N$14,1,R88+1)-INDEX(Parameters!$J$14:$N$14,1,R88))*U88,INDEX(Parameters!$D$14:$H$14,1,R88)+(INDEX(Parameters!$D$14:$H$14,1,R88+1)-INDEX(Parameters!$D$14:$H$14,1,R88))*U88)</x:f>
        <x:v>0.61</x:v>
      </x:c>
      <x:c r="L88" s="18" t="n">
        <x:f>I88+J88</x:f>
        <x:v>5947</x:v>
      </x:c>
      <x:c r="M88" s="18" t="n">
        <x:f>IF('LSR Sweep'!$C$4="Type-B",INDEX(Parameters!$J$17:$N$17,1,S88)+(INDEX(Parameters!$J$17:$N$17,1,S88+1)-INDEX(Parameters!$J$17:$N$17,1,S88))*V88,INDEX(Parameters!$D$17:$H$17,1,S88)+(INDEX(Parameters!$D$17:$H$17,1,S88+1)-INDEX(Parameters!$D$17:$H$17,1,S88))*V88)</x:f>
        <x:v>2565</x:v>
      </x:c>
      <x:c r="N88" s="18" t="n">
        <x:f>IF('LSR Sweep'!$C$4="Type-B",INDEX(Parameters!$J$18:$N$18,1,S88)+(INDEX(Parameters!$J$18:$N$18,1,S88+1)-INDEX(Parameters!$J$18:$N$18,1,S88))*V88,INDEX(Parameters!$D$18:$H$18,1,S88)+(INDEX(Parameters!$D$18:$H$18,1,S88+1)-INDEX(Parameters!$D$18:$H$18,1,S88))*V88)</x:f>
        <x:v>0.375</x:v>
      </x:c>
      <x:c r="O88" s="18" t="n">
        <x:f>IF('LSR Sweep'!$C$4="Type-B",INDEX(Parameters!$J$19:$N$19,1,S88)+(INDEX(Parameters!$J$19:$N$19,1,S88+1)-INDEX(Parameters!$J$19:$N$19,1,S88))*V88,INDEX(Parameters!$D$19:$H$19,1,S88)+(INDEX(Parameters!$D$19:$H$19,1,S88+1)-INDEX(Parameters!$D$19:$H$19,1,S88))*V88)</x:f>
        <x:v>0.86</x:v>
      </x:c>
      <x:c r="P88" s="18" t="n">
        <x:f>M88*O88</x:f>
        <x:v>2205.9</x:v>
      </x:c>
      <x:c r="Q88" s="18" t="n">
        <x:f>MIN(4,MAX(1,INT((1+C88/Parameters!$D$24)*4)+1))</x:f>
        <x:v>4</x:v>
      </x:c>
      <x:c r="R88" s="18" t="n">
        <x:f>MIN(4,MAX(1,INT((1+D88/Parameters!$D$25)*4)+1))</x:f>
        <x:v>4</x:v>
      </x:c>
      <x:c r="S88" s="18" t="n">
        <x:f>MIN(4,MAX(1,INT((1+E88/Parameters!$D$26)*4)+1))</x:f>
        <x:v>4</x:v>
      </x:c>
      <x:c r="T88" s="18" t="n">
        <x:f>MAX(0,MIN(1,(1+C88/Parameters!$D$24)*4-(Q88-1)))</x:f>
        <x:v>0</x:v>
      </x:c>
      <x:c r="U88" s="18" t="n">
        <x:f>MAX(0,MIN(1,(1+D88/Parameters!$D$25)*4-(R88-1)))</x:f>
        <x:v>0</x:v>
      </x:c>
      <x:c r="V88" s="18" t="n">
        <x:f>MAX(0,MIN(1,(1+E88/Parameters!$D$26)*4-(S88-1)))</x:f>
        <x:v>0</x:v>
      </x:c>
    </x:row>
    <x:row r="89" ht="22" customHeight="1">
      <x:c r="B89" s="18" t="str">
        <x:f>"R "&amp;E89</x:f>
        <x:v>R 0</x:v>
      </x:c>
      <x:c r="C89" s="18" t="n">
        <x:f>Parameters!H7</x:f>
        <x:v>0</x:v>
      </x:c>
      <x:c r="D89" s="18" t="n">
        <x:f>Parameters!H8</x:f>
        <x:v>0</x:v>
      </x:c>
      <x:c r="E89" s="18" t="n">
        <x:f>Parameters!H16</x:f>
        <x:v>0</x:v>
      </x:c>
      <x:c r="F89" s="18" t="n">
        <x:f>IF('LSR Sweep'!$C$4="Type-B",INDEX(Parameters!$J$10:$N$10,1,Q89)+(INDEX(Parameters!$J$10:$N$10,1,Q89+1)-INDEX(Parameters!$J$10:$N$10,1,Q89))*T89,INDEX(Parameters!$D$10:$H$10,1,Q89)+(INDEX(Parameters!$D$10:$H$10,1,Q89+1)-INDEX(Parameters!$D$10:$H$10,1,Q89))*T89)</x:f>
        <x:v>3700</x:v>
      </x:c>
      <x:c r="G89" s="18" t="n">
        <x:f>IF('LSR Sweep'!$C$4="Type-B",INDEX(Parameters!$J$11:$N$11,1,Q89)+(INDEX(Parameters!$J$11:$N$11,1,Q89+1)-INDEX(Parameters!$J$11:$N$11,1,Q89))*T89,INDEX(Parameters!$D$11:$H$11,1,Q89)+(INDEX(Parameters!$D$11:$H$11,1,Q89+1)-INDEX(Parameters!$D$11:$H$11,1,Q89))*T89)</x:f>
        <x:v>0.17</x:v>
      </x:c>
      <x:c r="H89" s="18" t="n">
        <x:f>IF('LSR Sweep'!$C$4="Type-B",INDEX(Parameters!$J$12:$N$12,1,Q89)+(INDEX(Parameters!$J$12:$N$12,1,Q89+1)-INDEX(Parameters!$J$12:$N$12,1,Q89))*T89,INDEX(Parameters!$D$12:$H$12,1,Q89)+(INDEX(Parameters!$D$12:$H$12,1,Q89+1)-INDEX(Parameters!$D$12:$H$12,1,Q89))*T89)</x:f>
        <x:v>0.9</x:v>
      </x:c>
      <x:c r="I89" s="18" t="n">
        <x:f>F89*H89</x:f>
        <x:v>3330</x:v>
      </x:c>
      <x:c r="J89" s="18" t="n">
        <x:f>IF('LSR Sweep'!$C$4="Type-B",INDEX(Parameters!$J$13:$N$13,1,R89)+(INDEX(Parameters!$J$13:$N$13,1,R89+1)-INDEX(Parameters!$J$13:$N$13,1,R89))*U89,INDEX(Parameters!$D$13:$H$13,1,R89)+(INDEX(Parameters!$D$13:$H$13,1,R89+1)-INDEX(Parameters!$D$13:$H$13,1,R89))*U89)</x:f>
        <x:v>4000</x:v>
      </x:c>
      <x:c r="K89" s="18" t="n">
        <x:f>IF('LSR Sweep'!$C$4="Type-B",INDEX(Parameters!$J$14:$N$14,1,R89)+(INDEX(Parameters!$J$14:$N$14,1,R89+1)-INDEX(Parameters!$J$14:$N$14,1,R89))*U89,INDEX(Parameters!$D$14:$H$14,1,R89)+(INDEX(Parameters!$D$14:$H$14,1,R89+1)-INDEX(Parameters!$D$14:$H$14,1,R89))*U89)</x:f>
        <x:v>0.62</x:v>
      </x:c>
      <x:c r="L89" s="18" t="n">
        <x:f>I89+J89</x:f>
        <x:v>7330</x:v>
      </x:c>
      <x:c r="M89" s="18" t="n">
        <x:f>IF('LSR Sweep'!$C$4="Type-B",INDEX(Parameters!$J$17:$N$17,1,S89)+(INDEX(Parameters!$J$17:$N$17,1,S89+1)-INDEX(Parameters!$J$17:$N$17,1,S89))*V89,INDEX(Parameters!$D$17:$H$17,1,S89)+(INDEX(Parameters!$D$17:$H$17,1,S89+1)-INDEX(Parameters!$D$17:$H$17,1,S89))*V89)</x:f>
        <x:v>3015</x:v>
      </x:c>
      <x:c r="N89" s="18" t="n">
        <x:f>IF('LSR Sweep'!$C$4="Type-B",INDEX(Parameters!$J$18:$N$18,1,S89)+(INDEX(Parameters!$J$18:$N$18,1,S89+1)-INDEX(Parameters!$J$18:$N$18,1,S89))*V89,INDEX(Parameters!$D$18:$H$18,1,S89)+(INDEX(Parameters!$D$18:$H$18,1,S89+1)-INDEX(Parameters!$D$18:$H$18,1,S89))*V89)</x:f>
        <x:v>0.4</x:v>
      </x:c>
      <x:c r="O89" s="18" t="n">
        <x:f>IF('LSR Sweep'!$C$4="Type-B",INDEX(Parameters!$J$19:$N$19,1,S89)+(INDEX(Parameters!$J$19:$N$19,1,S89+1)-INDEX(Parameters!$J$19:$N$19,1,S89))*V89,INDEX(Parameters!$D$19:$H$19,1,S89)+(INDEX(Parameters!$D$19:$H$19,1,S89+1)-INDEX(Parameters!$D$19:$H$19,1,S89))*V89)</x:f>
        <x:v>0.9</x:v>
      </x:c>
      <x:c r="P89" s="18" t="n">
        <x:f>M89*O89</x:f>
        <x:v>2713.5</x:v>
      </x:c>
      <x:c r="Q89" s="18" t="n">
        <x:f>MIN(4,MAX(1,INT((1+C89/Parameters!$D$24)*4)+1))</x:f>
        <x:v>4</x:v>
      </x:c>
      <x:c r="R89" s="18" t="n">
        <x:f>MIN(4,MAX(1,INT((1+D89/Parameters!$D$25)*4)+1))</x:f>
        <x:v>4</x:v>
      </x:c>
      <x:c r="S89" s="18" t="n">
        <x:f>MIN(4,MAX(1,INT((1+E89/Parameters!$D$26)*4)+1))</x:f>
        <x:v>4</x:v>
      </x:c>
      <x:c r="T89" s="18" t="n">
        <x:f>MAX(0,MIN(1,(1+C89/Parameters!$D$24)*4-(Q89-1)))</x:f>
        <x:v>1</x:v>
      </x:c>
      <x:c r="U89" s="18" t="n">
        <x:f>MAX(0,MIN(1,(1+D89/Parameters!$D$25)*4-(R89-1)))</x:f>
        <x:v>1</x:v>
      </x:c>
      <x:c r="V89" s="18" t="n">
        <x:f>MAX(0,MIN(1,(1+E89/Parameters!$D$26)*4-(S89-1)))</x:f>
        <x:v>1</x:v>
      </x:c>
    </x:row>
    <x:row r="90" ht="22" customHeight="1">
      <x:c r="B90" s="18"/>
      <x:c r="C90" s="18"/>
      <x:c r="D90" s="18"/>
      <x:c r="E90" s="18"/>
      <x:c r="F90" s="18"/>
      <x:c r="G90" s="18"/>
      <x:c r="H90" s="18"/>
      <x:c r="I90" s="18"/>
      <x:c r="J90" s="18"/>
      <x:c r="K90" s="18"/>
      <x:c r="L90" s="18"/>
      <x:c r="M90" s="18"/>
      <x:c r="N90" s="18"/>
      <x:c r="O90" s="18"/>
      <x:c r="P90" s="18"/>
      <x:c r="Q90" s="18"/>
      <x:c r="R90" s="18"/>
      <x:c r="S90" s="18"/>
      <x:c r="T90" s="18"/>
      <x:c r="U90" s="18"/>
      <x:c r="V90" s="18"/>
    </x:row>
    <x:row r="91" ht="22" customHeight="1">
      <x:c r="B91" s="18"/>
      <x:c r="C91" s="18"/>
      <x:c r="D91" s="18"/>
      <x:c r="E91" s="18"/>
      <x:c r="F91" s="18"/>
      <x:c r="G91" s="18"/>
      <x:c r="H91" s="18"/>
      <x:c r="I91" s="18"/>
      <x:c r="J91" s="18"/>
      <x:c r="K91" s="18"/>
      <x:c r="L91" s="18"/>
      <x:c r="M91" s="18"/>
      <x:c r="N91" s="18"/>
      <x:c r="O91" s="18"/>
      <x:c r="P91" s="18"/>
      <x:c r="Q91" s="18"/>
      <x:c r="R91" s="18"/>
      <x:c r="S91" s="18"/>
      <x:c r="T91" s="18"/>
      <x:c r="U91" s="18"/>
      <x:c r="V91" s="18"/>
    </x:row>
    <x:row r="92" ht="22" customHeight="1">
      <x:c r="B92" s="18"/>
      <x:c r="C92" s="18"/>
      <x:c r="D92" s="18"/>
      <x:c r="E92" s="18"/>
      <x:c r="F92" s="18"/>
      <x:c r="G92" s="18"/>
      <x:c r="H92" s="18"/>
      <x:c r="I92" s="18"/>
      <x:c r="J92" s="18"/>
      <x:c r="K92" s="18"/>
      <x:c r="L92" s="18"/>
      <x:c r="M92" s="18"/>
      <x:c r="N92" s="18"/>
      <x:c r="O92" s="18"/>
      <x:c r="P92" s="18"/>
      <x:c r="Q92" s="18"/>
      <x:c r="R92" s="18"/>
      <x:c r="S92" s="18"/>
      <x:c r="T92" s="18"/>
      <x:c r="U92" s="18"/>
      <x:c r="V92" s="18"/>
    </x:row>
    <x:row r="93" ht="22" customHeight="1">
      <x:c r="B93" s="24" t="str">
        <x:v>轴速 (m/s)</x:v>
      </x:c>
      <x:c r="C93" s="24" t="str">
        <x:f>B85</x:f>
        <x:v>R -40</x:v>
      </x:c>
      <x:c r="D93" s="24" t="str">
        <x:f>B86</x:f>
        <x:v>R -30</x:v>
      </x:c>
      <x:c r="E93" s="24" t="str">
        <x:f>B87</x:f>
        <x:v>R -20</x:v>
      </x:c>
      <x:c r="F93" s="24" t="str">
        <x:f>B88</x:f>
        <x:v>R -10</x:v>
      </x:c>
      <x:c r="G93" s="24" t="str">
        <x:f>B89</x:f>
        <x:v>R 0</x:v>
      </x:c>
      <x:c r="H93" s="18"/>
      <x:c r="I93" s="18"/>
      <x:c r="J93" s="18"/>
      <x:c r="K93" s="18"/>
      <x:c r="L93" s="18"/>
      <x:c r="M93" s="18"/>
      <x:c r="N93" s="18"/>
      <x:c r="O93" s="18"/>
      <x:c r="P93" s="18"/>
      <x:c r="Q93" s="18"/>
      <x:c r="R93" s="18"/>
      <x:c r="S93" s="18"/>
      <x:c r="T93" s="18"/>
      <x:c r="U93" s="18"/>
      <x:c r="V93" s="18"/>
    </x:row>
    <x:row r="94" ht="22" customHeight="1">
      <x:c r="B94" s="32" t="n">
        <x:v>0</x:v>
      </x:c>
      <x:c r="C94" s="32" t="n">
        <x:f>$M$85*MIN($B94,$N$85)+$P$85*MAX(0,$B94-$N$85)</x:f>
        <x:v>0</x:v>
      </x:c>
      <x:c r="D94" s="32" t="n">
        <x:f>$M$86*MIN($B94,$N$86)+$P$86*MAX(0,$B94-$N$86)</x:f>
        <x:v>0</x:v>
      </x:c>
      <x:c r="E94" s="32" t="n">
        <x:f>$M$87*MIN($B94,$N$87)+$P$87*MAX(0,$B94-$N$87)</x:f>
        <x:v>0</x:v>
      </x:c>
      <x:c r="F94" s="32" t="n">
        <x:f>$M$88*MIN($B94,$N$88)+$P$88*MAX(0,$B94-$N$88)</x:f>
        <x:v>0</x:v>
      </x:c>
      <x:c r="G94" s="32" t="n">
        <x:f>$M$89*MIN($B94,$N$89)+$P$89*MAX(0,$B94-$N$89)</x:f>
        <x:v>0</x:v>
      </x:c>
      <x:c r="H94" s="18"/>
      <x:c r="I94" s="18"/>
      <x:c r="J94" s="18"/>
      <x:c r="K94" s="18"/>
      <x:c r="L94" s="18"/>
      <x:c r="M94" s="18"/>
      <x:c r="N94" s="18"/>
      <x:c r="O94" s="18"/>
      <x:c r="P94" s="18"/>
      <x:c r="Q94" s="18"/>
      <x:c r="R94" s="18"/>
      <x:c r="S94" s="18"/>
      <x:c r="T94" s="18"/>
      <x:c r="U94" s="18"/>
      <x:c r="V94" s="18"/>
    </x:row>
    <x:row r="95" ht="22" customHeight="1">
      <x:c r="B95" s="32" t="n">
        <x:v>0.05</x:v>
      </x:c>
      <x:c r="C95" s="32" t="n">
        <x:f>$M$85*MIN($B95,$N$85)+$P$85*MAX(0,$B95-$N$85)</x:f>
        <x:v>60.75</x:v>
      </x:c>
      <x:c r="D95" s="32" t="n">
        <x:f>$M$86*MIN($B95,$N$86)+$P$86*MAX(0,$B95-$N$86)</x:f>
        <x:v>83.25</x:v>
      </x:c>
      <x:c r="E95" s="32" t="n">
        <x:f>$M$87*MIN($B95,$N$87)+$P$87*MAX(0,$B95-$N$87)</x:f>
        <x:v>105.75</x:v>
      </x:c>
      <x:c r="F95" s="32" t="n">
        <x:f>$M$88*MIN($B95,$N$88)+$P$88*MAX(0,$B95-$N$88)</x:f>
        <x:v>128.25</x:v>
      </x:c>
      <x:c r="G95" s="32" t="n">
        <x:f>$M$89*MIN($B95,$N$89)+$P$89*MAX(0,$B95-$N$89)</x:f>
        <x:v>150.75</x:v>
      </x:c>
      <x:c r="H95" s="18"/>
      <x:c r="I95" s="18"/>
      <x:c r="J95" s="18"/>
      <x:c r="K95" s="18"/>
      <x:c r="L95" s="18"/>
      <x:c r="M95" s="18"/>
      <x:c r="N95" s="18"/>
      <x:c r="O95" s="18"/>
      <x:c r="P95" s="18"/>
      <x:c r="Q95" s="18"/>
      <x:c r="R95" s="18"/>
      <x:c r="S95" s="18"/>
      <x:c r="T95" s="18"/>
      <x:c r="U95" s="18"/>
      <x:c r="V95" s="18"/>
    </x:row>
    <x:row r="96" ht="22" customHeight="1">
      <x:c r="B96" s="32" t="n">
        <x:v>0.1</x:v>
      </x:c>
      <x:c r="C96" s="32" t="n">
        <x:f>$M$85*MIN($B96,$N$85)+$P$85*MAX(0,$B96-$N$85)</x:f>
        <x:v>121.5</x:v>
      </x:c>
      <x:c r="D96" s="32" t="n">
        <x:f>$M$86*MIN($B96,$N$86)+$P$86*MAX(0,$B96-$N$86)</x:f>
        <x:v>166.5</x:v>
      </x:c>
      <x:c r="E96" s="32" t="n">
        <x:f>$M$87*MIN($B96,$N$87)+$P$87*MAX(0,$B96-$N$87)</x:f>
        <x:v>211.5</x:v>
      </x:c>
      <x:c r="F96" s="32" t="n">
        <x:f>$M$88*MIN($B96,$N$88)+$P$88*MAX(0,$B96-$N$88)</x:f>
        <x:v>256.5</x:v>
      </x:c>
      <x:c r="G96" s="32" t="n">
        <x:f>$M$89*MIN($B96,$N$89)+$P$89*MAX(0,$B96-$N$89)</x:f>
        <x:v>301.5</x:v>
      </x:c>
      <x:c r="H96" s="18"/>
      <x:c r="I96" s="18"/>
      <x:c r="J96" s="18"/>
      <x:c r="K96" s="18"/>
      <x:c r="L96" s="18"/>
      <x:c r="M96" s="18"/>
      <x:c r="N96" s="18"/>
      <x:c r="O96" s="18"/>
      <x:c r="P96" s="18"/>
      <x:c r="Q96" s="18"/>
      <x:c r="R96" s="18"/>
      <x:c r="S96" s="18"/>
      <x:c r="T96" s="18"/>
      <x:c r="U96" s="18"/>
      <x:c r="V96" s="18"/>
    </x:row>
    <x:row r="97" ht="22" customHeight="1">
      <x:c r="B97" s="32" t="n">
        <x:v>0.15</x:v>
      </x:c>
      <x:c r="C97" s="32" t="n">
        <x:f>$M$85*MIN($B97,$N$85)+$P$85*MAX(0,$B97-$N$85)</x:f>
        <x:v>182.25</x:v>
      </x:c>
      <x:c r="D97" s="32" t="n">
        <x:f>$M$86*MIN($B97,$N$86)+$P$86*MAX(0,$B97-$N$86)</x:f>
        <x:v>249.75</x:v>
      </x:c>
      <x:c r="E97" s="32" t="n">
        <x:f>$M$87*MIN($B97,$N$87)+$P$87*MAX(0,$B97-$N$87)</x:f>
        <x:v>317.25</x:v>
      </x:c>
      <x:c r="F97" s="32" t="n">
        <x:f>$M$88*MIN($B97,$N$88)+$P$88*MAX(0,$B97-$N$88)</x:f>
        <x:v>384.75</x:v>
      </x:c>
      <x:c r="G97" s="32" t="n">
        <x:f>$M$89*MIN($B97,$N$89)+$P$89*MAX(0,$B97-$N$89)</x:f>
        <x:v>452.25</x:v>
      </x:c>
      <x:c r="H97" s="18"/>
      <x:c r="I97" s="18"/>
      <x:c r="J97" s="18"/>
      <x:c r="K97" s="18"/>
      <x:c r="L97" s="18"/>
      <x:c r="M97" s="18"/>
      <x:c r="N97" s="18"/>
      <x:c r="O97" s="18"/>
      <x:c r="P97" s="18"/>
      <x:c r="Q97" s="18"/>
      <x:c r="R97" s="18"/>
      <x:c r="S97" s="18"/>
      <x:c r="T97" s="18"/>
      <x:c r="U97" s="18"/>
      <x:c r="V97" s="18"/>
    </x:row>
    <x:row r="98" ht="22" customHeight="1">
      <x:c r="B98" s="32" t="n">
        <x:v>0.2</x:v>
      </x:c>
      <x:c r="C98" s="32" t="n">
        <x:f>$M$85*MIN($B98,$N$85)+$P$85*MAX(0,$B98-$N$85)</x:f>
        <x:v>243</x:v>
      </x:c>
      <x:c r="D98" s="32" t="n">
        <x:f>$M$86*MIN($B98,$N$86)+$P$86*MAX(0,$B98-$N$86)</x:f>
        <x:v>333</x:v>
      </x:c>
      <x:c r="E98" s="32" t="n">
        <x:f>$M$87*MIN($B98,$N$87)+$P$87*MAX(0,$B98-$N$87)</x:f>
        <x:v>423</x:v>
      </x:c>
      <x:c r="F98" s="32" t="n">
        <x:f>$M$88*MIN($B98,$N$88)+$P$88*MAX(0,$B98-$N$88)</x:f>
        <x:v>513</x:v>
      </x:c>
      <x:c r="G98" s="32" t="n">
        <x:f>$M$89*MIN($B98,$N$89)+$P$89*MAX(0,$B98-$N$89)</x:f>
        <x:v>603</x:v>
      </x:c>
      <x:c r="H98" s="18"/>
      <x:c r="I98" s="18"/>
      <x:c r="J98" s="18"/>
      <x:c r="K98" s="18"/>
      <x:c r="L98" s="18"/>
      <x:c r="M98" s="18"/>
      <x:c r="N98" s="18"/>
      <x:c r="O98" s="18"/>
      <x:c r="P98" s="18"/>
      <x:c r="Q98" s="18"/>
      <x:c r="R98" s="18"/>
      <x:c r="S98" s="18"/>
      <x:c r="T98" s="18"/>
      <x:c r="U98" s="18"/>
      <x:c r="V98" s="18"/>
    </x:row>
    <x:row r="99" ht="22" customHeight="1">
      <x:c r="B99" s="32" t="n">
        <x:v>0.25</x:v>
      </x:c>
      <x:c r="C99" s="32" t="n">
        <x:f>$M$85*MIN($B99,$N$85)+$P$85*MAX(0,$B99-$N$85)</x:f>
        <x:v>303.75</x:v>
      </x:c>
      <x:c r="D99" s="32" t="n">
        <x:f>$M$86*MIN($B99,$N$86)+$P$86*MAX(0,$B99-$N$86)</x:f>
        <x:v>416.25</x:v>
      </x:c>
      <x:c r="E99" s="32" t="n">
        <x:f>$M$87*MIN($B99,$N$87)+$P$87*MAX(0,$B99-$N$87)</x:f>
        <x:v>528.75</x:v>
      </x:c>
      <x:c r="F99" s="32" t="n">
        <x:f>$M$88*MIN($B99,$N$88)+$P$88*MAX(0,$B99-$N$88)</x:f>
        <x:v>641.25</x:v>
      </x:c>
      <x:c r="G99" s="32" t="n">
        <x:f>$M$89*MIN($B99,$N$89)+$P$89*MAX(0,$B99-$N$89)</x:f>
        <x:v>753.75</x:v>
      </x:c>
      <x:c r="H99" s="18"/>
      <x:c r="I99" s="18"/>
      <x:c r="J99" s="18"/>
      <x:c r="K99" s="18"/>
      <x:c r="L99" s="18"/>
      <x:c r="M99" s="18"/>
      <x:c r="N99" s="18"/>
      <x:c r="O99" s="18"/>
      <x:c r="P99" s="18"/>
      <x:c r="Q99" s="18"/>
      <x:c r="R99" s="18"/>
      <x:c r="S99" s="18"/>
      <x:c r="T99" s="18"/>
      <x:c r="U99" s="18"/>
      <x:c r="V99" s="18"/>
    </x:row>
    <x:row r="100" ht="22" customHeight="1">
      <x:c r="B100" s="32" t="n">
        <x:v>0.3</x:v>
      </x:c>
      <x:c r="C100" s="32" t="n">
        <x:f>$M$85*MIN($B100,$N$85)+$P$85*MAX(0,$B100-$N$85)</x:f>
        <x:v>364.5</x:v>
      </x:c>
      <x:c r="D100" s="32" t="n">
        <x:f>$M$86*MIN($B100,$N$86)+$P$86*MAX(0,$B100-$N$86)</x:f>
        <x:v>499.5</x:v>
      </x:c>
      <x:c r="E100" s="32" t="n">
        <x:f>$M$87*MIN($B100,$N$87)+$P$87*MAX(0,$B100-$N$87)</x:f>
        <x:v>634.5</x:v>
      </x:c>
      <x:c r="F100" s="32" t="n">
        <x:f>$M$88*MIN($B100,$N$88)+$P$88*MAX(0,$B100-$N$88)</x:f>
        <x:v>769.5</x:v>
      </x:c>
      <x:c r="G100" s="32" t="n">
        <x:f>$M$89*MIN($B100,$N$89)+$P$89*MAX(0,$B100-$N$89)</x:f>
        <x:v>904.5</x:v>
      </x:c>
      <x:c r="H100" s="18"/>
      <x:c r="I100" s="18"/>
      <x:c r="J100" s="18"/>
      <x:c r="K100" s="18"/>
      <x:c r="L100" s="18"/>
      <x:c r="M100" s="18"/>
      <x:c r="N100" s="18"/>
      <x:c r="O100" s="18"/>
      <x:c r="P100" s="18"/>
      <x:c r="Q100" s="18"/>
      <x:c r="R100" s="18"/>
      <x:c r="S100" s="18"/>
      <x:c r="T100" s="18"/>
      <x:c r="U100" s="18"/>
      <x:c r="V100" s="18"/>
    </x:row>
    <x:row r="101" ht="22" customHeight="1">
      <x:c r="B101" s="32" t="n">
        <x:v>0.35</x:v>
      </x:c>
      <x:c r="C101" s="32" t="n">
        <x:f>$M$85*MIN($B101,$N$85)+$P$85*MAX(0,$B101-$N$85)</x:f>
        <x:v>409.455</x:v>
      </x:c>
      <x:c r="D101" s="32" t="n">
        <x:f>$M$86*MIN($B101,$N$86)+$P$86*MAX(0,$B101-$N$86)</x:f>
        <x:v>573.5925</x:v>
      </x:c>
      <x:c r="E101" s="32" t="n">
        <x:f>$M$87*MIN($B101,$N$87)+$P$87*MAX(0,$B101-$N$87)</x:f>
        <x:v>740.25</x:v>
      </x:c>
      <x:c r="F101" s="32" t="n">
        <x:f>$M$88*MIN($B101,$N$88)+$P$88*MAX(0,$B101-$N$88)</x:f>
        <x:v>897.7499999999999</x:v>
      </x:c>
      <x:c r="G101" s="32" t="n">
        <x:f>$M$89*MIN($B101,$N$89)+$P$89*MAX(0,$B101-$N$89)</x:f>
        <x:v>1055.25</x:v>
      </x:c>
      <x:c r="H101" s="18"/>
      <x:c r="I101" s="18"/>
      <x:c r="J101" s="18"/>
      <x:c r="K101" s="18"/>
      <x:c r="L101" s="18"/>
      <x:c r="M101" s="18"/>
      <x:c r="N101" s="18"/>
      <x:c r="O101" s="18"/>
      <x:c r="P101" s="18"/>
      <x:c r="Q101" s="18"/>
      <x:c r="R101" s="18"/>
      <x:c r="S101" s="18"/>
      <x:c r="T101" s="18"/>
      <x:c r="U101" s="18"/>
      <x:c r="V101" s="18"/>
    </x:row>
    <x:row r="102" ht="22" customHeight="1">
      <x:c r="B102" s="32" t="n">
        <x:v>0.4</x:v>
      </x:c>
      <x:c r="C102" s="32" t="n">
        <x:f>$M$85*MIN($B102,$N$85)+$P$85*MAX(0,$B102-$N$85)</x:f>
        <x:v>454.41</x:v>
      </x:c>
      <x:c r="D102" s="32" t="n">
        <x:f>$M$86*MIN($B102,$N$86)+$P$86*MAX(0,$B102-$N$86)</x:f>
        <x:v>638.5274999999999</x:v>
      </x:c>
      <x:c r="E102" s="32" t="n">
        <x:f>$M$87*MIN($B102,$N$87)+$P$87*MAX(0,$B102-$N$87)</x:f>
        <x:v>826.965</x:v>
      </x:c>
      <x:c r="F102" s="32" t="n">
        <x:f>$M$88*MIN($B102,$N$88)+$P$88*MAX(0,$B102-$N$88)</x:f>
        <x:v>1017.0225</x:v>
      </x:c>
      <x:c r="G102" s="32" t="n">
        <x:f>$M$89*MIN($B102,$N$89)+$P$89*MAX(0,$B102-$N$89)</x:f>
        <x:v>1206</x:v>
      </x:c>
      <x:c r="H102" s="18"/>
      <x:c r="I102" s="18"/>
      <x:c r="J102" s="18"/>
      <x:c r="K102" s="18"/>
      <x:c r="L102" s="18"/>
      <x:c r="M102" s="18"/>
      <x:c r="N102" s="18"/>
      <x:c r="O102" s="18"/>
      <x:c r="P102" s="18"/>
      <x:c r="Q102" s="18"/>
      <x:c r="R102" s="18"/>
      <x:c r="S102" s="18"/>
      <x:c r="T102" s="18"/>
      <x:c r="U102" s="18"/>
      <x:c r="V102" s="18"/>
    </x:row>
    <x:row r="103" ht="22" customHeight="1">
      <x:c r="B103" s="32" t="n">
        <x:v>0.45</x:v>
      </x:c>
      <x:c r="C103" s="32" t="n">
        <x:f>$M$85*MIN($B103,$N$85)+$P$85*MAX(0,$B103-$N$85)</x:f>
        <x:v>499.365</x:v>
      </x:c>
      <x:c r="D103" s="32" t="n">
        <x:f>$M$86*MIN($B103,$N$86)+$P$86*MAX(0,$B103-$N$86)</x:f>
        <x:v>703.4625</x:v>
      </x:c>
      <x:c r="E103" s="32" t="n">
        <x:f>$M$87*MIN($B103,$N$87)+$P$87*MAX(0,$B103-$N$87)</x:f>
        <x:v>913.6800000000001</x:v>
      </x:c>
      <x:c r="F103" s="32" t="n">
        <x:f>$M$88*MIN($B103,$N$88)+$P$88*MAX(0,$B103-$N$88)</x:f>
        <x:v>1127.3175</x:v>
      </x:c>
      <x:c r="G103" s="32" t="n">
        <x:f>$M$89*MIN($B103,$N$89)+$P$89*MAX(0,$B103-$N$89)</x:f>
        <x:v>1341.675</x:v>
      </x:c>
      <x:c r="H103" s="18"/>
      <x:c r="I103" s="18"/>
      <x:c r="J103" s="18"/>
      <x:c r="K103" s="18"/>
      <x:c r="L103" s="18"/>
      <x:c r="M103" s="18"/>
      <x:c r="N103" s="18"/>
      <x:c r="O103" s="18"/>
      <x:c r="P103" s="18"/>
      <x:c r="Q103" s="18"/>
      <x:c r="R103" s="18"/>
      <x:c r="S103" s="18"/>
      <x:c r="T103" s="18"/>
      <x:c r="U103" s="18"/>
      <x:c r="V103" s="18"/>
    </x:row>
    <x:row r="104" ht="22" customHeight="1">
      <x:c r="B104" s="32" t="n">
        <x:v>0.5</x:v>
      </x:c>
      <x:c r="C104" s="32" t="n">
        <x:f>$M$85*MIN($B104,$N$85)+$P$85*MAX(0,$B104-$N$85)</x:f>
        <x:v>544.32</x:v>
      </x:c>
      <x:c r="D104" s="32" t="n">
        <x:f>$M$86*MIN($B104,$N$86)+$P$86*MAX(0,$B104-$N$86)</x:f>
        <x:v>768.3974999999999</x:v>
      </x:c>
      <x:c r="E104" s="32" t="n">
        <x:f>$M$87*MIN($B104,$N$87)+$P$87*MAX(0,$B104-$N$87)</x:f>
        <x:v>1000.395</x:v>
      </x:c>
      <x:c r="F104" s="32" t="n">
        <x:f>$M$88*MIN($B104,$N$88)+$P$88*MAX(0,$B104-$N$88)</x:f>
        <x:v>1237.6125</x:v>
      </x:c>
      <x:c r="G104" s="32" t="n">
        <x:f>$M$89*MIN($B104,$N$89)+$P$89*MAX(0,$B104-$N$89)</x:f>
        <x:v>1477.35</x:v>
      </x:c>
      <x:c r="H104" s="18"/>
      <x:c r="I104" s="18"/>
      <x:c r="J104" s="18"/>
      <x:c r="K104" s="18"/>
      <x:c r="L104" s="18"/>
      <x:c r="M104" s="18"/>
      <x:c r="N104" s="18"/>
      <x:c r="O104" s="18"/>
      <x:c r="P104" s="18"/>
      <x:c r="Q104" s="18"/>
      <x:c r="R104" s="18"/>
      <x:c r="S104" s="18"/>
      <x:c r="T104" s="18"/>
      <x:c r="U104" s="18"/>
      <x:c r="V104" s="18"/>
    </x:row>
    <x:row r="105" ht="22" customHeight="1">
      <x:c r="B105" s="32" t="n">
        <x:v>0.55</x:v>
      </x:c>
      <x:c r="C105" s="32" t="n">
        <x:f>$M$85*MIN($B105,$N$85)+$P$85*MAX(0,$B105-$N$85)</x:f>
        <x:v>589.2750000000001</x:v>
      </x:c>
      <x:c r="D105" s="32" t="n">
        <x:f>$M$86*MIN($B105,$N$86)+$P$86*MAX(0,$B105-$N$86)</x:f>
        <x:v>833.3325</x:v>
      </x:c>
      <x:c r="E105" s="32" t="n">
        <x:f>$M$87*MIN($B105,$N$87)+$P$87*MAX(0,$B105-$N$87)</x:f>
        <x:v>1087.1100000000001</x:v>
      </x:c>
      <x:c r="F105" s="32" t="n">
        <x:f>$M$88*MIN($B105,$N$88)+$P$88*MAX(0,$B105-$N$88)</x:f>
        <x:v>1347.9075000000003</x:v>
      </x:c>
      <x:c r="G105" s="32" t="n">
        <x:f>$M$89*MIN($B105,$N$89)+$P$89*MAX(0,$B105-$N$89)</x:f>
        <x:v>1613.025</x:v>
      </x:c>
      <x:c r="H105" s="18"/>
      <x:c r="I105" s="18"/>
      <x:c r="J105" s="18"/>
      <x:c r="K105" s="18"/>
      <x:c r="L105" s="18"/>
      <x:c r="M105" s="18"/>
      <x:c r="N105" s="18"/>
      <x:c r="O105" s="18"/>
      <x:c r="P105" s="18"/>
      <x:c r="Q105" s="18"/>
      <x:c r="R105" s="18"/>
      <x:c r="S105" s="18"/>
      <x:c r="T105" s="18"/>
      <x:c r="U105" s="18"/>
      <x:c r="V105" s="18"/>
    </x:row>
    <x:row r="106" ht="22" customHeight="1">
      <x:c r="B106" s="32" t="n">
        <x:v>0.6</x:v>
      </x:c>
      <x:c r="C106" s="32" t="n">
        <x:f>$M$85*MIN($B106,$N$85)+$P$85*MAX(0,$B106-$N$85)</x:f>
        <x:v>634.23</x:v>
      </x:c>
      <x:c r="D106" s="32" t="n">
        <x:f>$M$86*MIN($B106,$N$86)+$P$86*MAX(0,$B106-$N$86)</x:f>
        <x:v>898.2674999999999</x:v>
      </x:c>
      <x:c r="E106" s="32" t="n">
        <x:f>$M$87*MIN($B106,$N$87)+$P$87*MAX(0,$B106-$N$87)</x:f>
        <x:v>1173.825</x:v>
      </x:c>
      <x:c r="F106" s="32" t="n">
        <x:f>$M$88*MIN($B106,$N$88)+$P$88*MAX(0,$B106-$N$88)</x:f>
        <x:v>1458.2024999999999</x:v>
      </x:c>
      <x:c r="G106" s="32" t="n">
        <x:f>$M$89*MIN($B106,$N$89)+$P$89*MAX(0,$B106-$N$89)</x:f>
        <x:v>1748.6999999999998</x:v>
      </x:c>
      <x:c r="H106" s="18"/>
      <x:c r="I106" s="18"/>
      <x:c r="J106" s="18"/>
      <x:c r="K106" s="18"/>
      <x:c r="L106" s="18"/>
      <x:c r="M106" s="18"/>
      <x:c r="N106" s="18"/>
      <x:c r="O106" s="18"/>
      <x:c r="P106" s="18"/>
      <x:c r="Q106" s="18"/>
      <x:c r="R106" s="18"/>
      <x:c r="S106" s="18"/>
      <x:c r="T106" s="18"/>
      <x:c r="U106" s="18"/>
      <x:c r="V106" s="18"/>
    </x:row>
    <x:row r="107" ht="22" customHeight="1">
      <x:c r="B107" s="32" t="n">
        <x:v>0.65</x:v>
      </x:c>
      <x:c r="C107" s="32" t="n">
        <x:f>$M$85*MIN($B107,$N$85)+$P$85*MAX(0,$B107-$N$85)</x:f>
        <x:v>679.1850000000001</x:v>
      </x:c>
      <x:c r="D107" s="32" t="n">
        <x:f>$M$86*MIN($B107,$N$86)+$P$86*MAX(0,$B107-$N$86)</x:f>
        <x:v>963.2025</x:v>
      </x:c>
      <x:c r="E107" s="32" t="n">
        <x:f>$M$87*MIN($B107,$N$87)+$P$87*MAX(0,$B107-$N$87)</x:f>
        <x:v>1260.54</x:v>
      </x:c>
      <x:c r="F107" s="32" t="n">
        <x:f>$M$88*MIN($B107,$N$88)+$P$88*MAX(0,$B107-$N$88)</x:f>
        <x:v>1568.4975</x:v>
      </x:c>
      <x:c r="G107" s="32" t="n">
        <x:f>$M$89*MIN($B107,$N$89)+$P$89*MAX(0,$B107-$N$89)</x:f>
        <x:v>1884.375</x:v>
      </x:c>
      <x:c r="H107" s="18"/>
      <x:c r="I107" s="18"/>
      <x:c r="J107" s="18"/>
      <x:c r="K107" s="18"/>
      <x:c r="L107" s="18"/>
      <x:c r="M107" s="18"/>
      <x:c r="N107" s="18"/>
      <x:c r="O107" s="18"/>
      <x:c r="P107" s="18"/>
      <x:c r="Q107" s="18"/>
      <x:c r="R107" s="18"/>
      <x:c r="S107" s="18"/>
      <x:c r="T107" s="18"/>
      <x:c r="U107" s="18"/>
      <x:c r="V107" s="18"/>
    </x:row>
    <x:row r="108" ht="22" customHeight="1">
      <x:c r="B108" s="32" t="n">
        <x:v>0.7</x:v>
      </x:c>
      <x:c r="C108" s="32" t="n">
        <x:f>$M$85*MIN($B108,$N$85)+$P$85*MAX(0,$B108-$N$85)</x:f>
        <x:v>724.14</x:v>
      </x:c>
      <x:c r="D108" s="32" t="n">
        <x:f>$M$86*MIN($B108,$N$86)+$P$86*MAX(0,$B108-$N$86)</x:f>
        <x:v>1028.1374999999998</x:v>
      </x:c>
      <x:c r="E108" s="32" t="n">
        <x:f>$M$87*MIN($B108,$N$87)+$P$87*MAX(0,$B108-$N$87)</x:f>
        <x:v>1347.255</x:v>
      </x:c>
      <x:c r="F108" s="32" t="n">
        <x:f>$M$88*MIN($B108,$N$88)+$P$88*MAX(0,$B108-$N$88)</x:f>
        <x:v>1678.7925</x:v>
      </x:c>
      <x:c r="G108" s="32" t="n">
        <x:f>$M$89*MIN($B108,$N$89)+$P$89*MAX(0,$B108-$N$89)</x:f>
        <x:v>2020.0499999999997</x:v>
      </x:c>
      <x:c r="H108" s="18"/>
      <x:c r="I108" s="18"/>
      <x:c r="J108" s="18"/>
      <x:c r="K108" s="18"/>
      <x:c r="L108" s="18"/>
      <x:c r="M108" s="18"/>
      <x:c r="N108" s="18"/>
      <x:c r="O108" s="18"/>
      <x:c r="P108" s="18"/>
      <x:c r="Q108" s="18"/>
      <x:c r="R108" s="18"/>
      <x:c r="S108" s="18"/>
      <x:c r="T108" s="18"/>
      <x:c r="U108" s="18"/>
      <x:c r="V108" s="18"/>
    </x:row>
    <x:row r="109" ht="22" customHeight="1">
      <x:c r="B109" s="32" t="n">
        <x:v>0.75</x:v>
      </x:c>
      <x:c r="C109" s="32" t="n">
        <x:f>$M$85*MIN($B109,$N$85)+$P$85*MAX(0,$B109-$N$85)</x:f>
        <x:v>769.095</x:v>
      </x:c>
      <x:c r="D109" s="32" t="n">
        <x:f>$M$86*MIN($B109,$N$86)+$P$86*MAX(0,$B109-$N$86)</x:f>
        <x:v>1093.0725</x:v>
      </x:c>
      <x:c r="E109" s="32" t="n">
        <x:f>$M$87*MIN($B109,$N$87)+$P$87*MAX(0,$B109-$N$87)</x:f>
        <x:v>1433.97</x:v>
      </x:c>
      <x:c r="F109" s="32" t="n">
        <x:f>$M$88*MIN($B109,$N$88)+$P$88*MAX(0,$B109-$N$88)</x:f>
        <x:v>1789.0875</x:v>
      </x:c>
      <x:c r="G109" s="32" t="n">
        <x:f>$M$89*MIN($B109,$N$89)+$P$89*MAX(0,$B109-$N$89)</x:f>
        <x:v>2155.725</x:v>
      </x:c>
      <x:c r="H109" s="18"/>
      <x:c r="I109" s="18"/>
      <x:c r="J109" s="18"/>
      <x:c r="K109" s="18"/>
      <x:c r="L109" s="18"/>
      <x:c r="M109" s="18"/>
      <x:c r="N109" s="18"/>
      <x:c r="O109" s="18"/>
      <x:c r="P109" s="18"/>
      <x:c r="Q109" s="18"/>
      <x:c r="R109" s="18"/>
      <x:c r="S109" s="18"/>
      <x:c r="T109" s="18"/>
      <x:c r="U109" s="18"/>
      <x:c r="V109" s="18"/>
    </x:row>
    <x:row r="110" ht="22" customHeight="1">
      <x:c r="B110" s="32" t="n">
        <x:v>0.8</x:v>
      </x:c>
      <x:c r="C110" s="32" t="n">
        <x:f>$M$85*MIN($B110,$N$85)+$P$85*MAX(0,$B110-$N$85)</x:f>
        <x:v>814.05</x:v>
      </x:c>
      <x:c r="D110" s="32" t="n">
        <x:f>$M$86*MIN($B110,$N$86)+$P$86*MAX(0,$B110-$N$86)</x:f>
        <x:v>1158.0075000000002</x:v>
      </x:c>
      <x:c r="E110" s="32" t="n">
        <x:f>$M$87*MIN($B110,$N$87)+$P$87*MAX(0,$B110-$N$87)</x:f>
        <x:v>1520.685</x:v>
      </x:c>
      <x:c r="F110" s="32" t="n">
        <x:f>$M$88*MIN($B110,$N$88)+$P$88*MAX(0,$B110-$N$88)</x:f>
        <x:v>1899.3825000000002</x:v>
      </x:c>
      <x:c r="G110" s="32" t="n">
        <x:f>$M$89*MIN($B110,$N$89)+$P$89*MAX(0,$B110-$N$89)</x:f>
        <x:v>2291.4</x:v>
      </x:c>
      <x:c r="H110" s="18"/>
      <x:c r="I110" s="18"/>
      <x:c r="J110" s="18"/>
      <x:c r="K110" s="18"/>
      <x:c r="L110" s="18"/>
      <x:c r="M110" s="18"/>
      <x:c r="N110" s="18"/>
      <x:c r="O110" s="18"/>
      <x:c r="P110" s="18"/>
      <x:c r="Q110" s="18"/>
      <x:c r="R110" s="18"/>
      <x:c r="S110" s="18"/>
      <x:c r="T110" s="18"/>
      <x:c r="U110" s="18"/>
      <x:c r="V110" s="18"/>
    </x:row>
    <x:row r="111" ht="22" customHeight="1">
      <x:c r="B111" s="32" t="n">
        <x:v>0.85</x:v>
      </x:c>
      <x:c r="C111" s="32" t="n">
        <x:f>$M$85*MIN($B111,$N$85)+$P$85*MAX(0,$B111-$N$85)</x:f>
        <x:v>859.0050000000001</x:v>
      </x:c>
      <x:c r="D111" s="32" t="n">
        <x:f>$M$86*MIN($B111,$N$86)+$P$86*MAX(0,$B111-$N$86)</x:f>
        <x:v>1222.9425</x:v>
      </x:c>
      <x:c r="E111" s="32" t="n">
        <x:f>$M$87*MIN($B111,$N$87)+$P$87*MAX(0,$B111-$N$87)</x:f>
        <x:v>1607.4</x:v>
      </x:c>
      <x:c r="F111" s="32" t="n">
        <x:f>$M$88*MIN($B111,$N$88)+$P$88*MAX(0,$B111-$N$88)</x:f>
        <x:v>2009.6775</x:v>
      </x:c>
      <x:c r="G111" s="32" t="n">
        <x:f>$M$89*MIN($B111,$N$89)+$P$89*MAX(0,$B111-$N$89)</x:f>
        <x:v>2427.075</x:v>
      </x:c>
      <x:c r="H111" s="18"/>
      <x:c r="I111" s="18"/>
      <x:c r="J111" s="18"/>
      <x:c r="K111" s="18"/>
      <x:c r="L111" s="18"/>
      <x:c r="M111" s="18"/>
      <x:c r="N111" s="18"/>
      <x:c r="O111" s="18"/>
      <x:c r="P111" s="18"/>
      <x:c r="Q111" s="18"/>
      <x:c r="R111" s="18"/>
      <x:c r="S111" s="18"/>
      <x:c r="T111" s="18"/>
      <x:c r="U111" s="18"/>
      <x:c r="V111" s="18"/>
    </x:row>
    <x:row r="112" ht="22" customHeight="1">
      <x:c r="B112" s="32" t="n">
        <x:v>0.9</x:v>
      </x:c>
      <x:c r="C112" s="32" t="n">
        <x:f>$M$85*MIN($B112,$N$85)+$P$85*MAX(0,$B112-$N$85)</x:f>
        <x:v>903.9600000000002</x:v>
      </x:c>
      <x:c r="D112" s="32" t="n">
        <x:f>$M$86*MIN($B112,$N$86)+$P$86*MAX(0,$B112-$N$86)</x:f>
        <x:v>1287.8775</x:v>
      </x:c>
      <x:c r="E112" s="32" t="n">
        <x:f>$M$87*MIN($B112,$N$87)+$P$87*MAX(0,$B112-$N$87)</x:f>
        <x:v>1694.115</x:v>
      </x:c>
      <x:c r="F112" s="32" t="n">
        <x:f>$M$88*MIN($B112,$N$88)+$P$88*MAX(0,$B112-$N$88)</x:f>
        <x:v>2119.9725</x:v>
      </x:c>
      <x:c r="G112" s="32" t="n">
        <x:f>$M$89*MIN($B112,$N$89)+$P$89*MAX(0,$B112-$N$89)</x:f>
        <x:v>2562.75</x:v>
      </x:c>
      <x:c r="H112" s="18"/>
      <x:c r="I112" s="18"/>
      <x:c r="J112" s="18"/>
      <x:c r="K112" s="18"/>
      <x:c r="L112" s="18"/>
      <x:c r="M112" s="18"/>
      <x:c r="N112" s="18"/>
      <x:c r="O112" s="18"/>
      <x:c r="P112" s="18"/>
      <x:c r="Q112" s="18"/>
      <x:c r="R112" s="18"/>
      <x:c r="S112" s="18"/>
      <x:c r="T112" s="18"/>
      <x:c r="U112" s="18"/>
      <x:c r="V112" s="18"/>
    </x:row>
    <x:row r="113" ht="22" customHeight="1">
      <x:c r="B113" s="32" t="n">
        <x:v>0.95</x:v>
      </x:c>
      <x:c r="C113" s="32" t="n">
        <x:f>$M$85*MIN($B113,$N$85)+$P$85*MAX(0,$B113-$N$85)</x:f>
        <x:v>948.915</x:v>
      </x:c>
      <x:c r="D113" s="32" t="n">
        <x:f>$M$86*MIN($B113,$N$86)+$P$86*MAX(0,$B113-$N$86)</x:f>
        <x:v>1352.8125</x:v>
      </x:c>
      <x:c r="E113" s="32" t="n">
        <x:f>$M$87*MIN($B113,$N$87)+$P$87*MAX(0,$B113-$N$87)</x:f>
        <x:v>1780.83</x:v>
      </x:c>
      <x:c r="F113" s="32" t="n">
        <x:f>$M$88*MIN($B113,$N$88)+$P$88*MAX(0,$B113-$N$88)</x:f>
        <x:v>2230.2675</x:v>
      </x:c>
      <x:c r="G113" s="32" t="n">
        <x:f>$M$89*MIN($B113,$N$89)+$P$89*MAX(0,$B113-$N$89)</x:f>
        <x:v>2698.4249999999997</x:v>
      </x:c>
      <x:c r="H113" s="18"/>
      <x:c r="I113" s="18"/>
      <x:c r="J113" s="18"/>
      <x:c r="K113" s="18"/>
      <x:c r="L113" s="18"/>
      <x:c r="M113" s="18"/>
      <x:c r="N113" s="18"/>
      <x:c r="O113" s="18"/>
      <x:c r="P113" s="18"/>
      <x:c r="Q113" s="18"/>
      <x:c r="R113" s="18"/>
      <x:c r="S113" s="18"/>
      <x:c r="T113" s="18"/>
      <x:c r="U113" s="18"/>
      <x:c r="V113" s="18"/>
    </x:row>
    <x:row r="114" ht="22" customHeight="1">
      <x:c r="B114" s="32" t="n">
        <x:v>1</x:v>
      </x:c>
      <x:c r="C114" s="32" t="n">
        <x:f>$M$85*MIN($B114,$N$85)+$P$85*MAX(0,$B114-$N$85)</x:f>
        <x:v>993.87</x:v>
      </x:c>
      <x:c r="D114" s="32" t="n">
        <x:f>$M$86*MIN($B114,$N$86)+$P$86*MAX(0,$B114-$N$86)</x:f>
        <x:v>1417.7475</x:v>
      </x:c>
      <x:c r="E114" s="32" t="n">
        <x:f>$M$87*MIN($B114,$N$87)+$P$87*MAX(0,$B114-$N$87)</x:f>
        <x:v>1867.545</x:v>
      </x:c>
      <x:c r="F114" s="32" t="n">
        <x:f>$M$88*MIN($B114,$N$88)+$P$88*MAX(0,$B114-$N$88)</x:f>
        <x:v>2340.5625</x:v>
      </x:c>
      <x:c r="G114" s="32" t="n">
        <x:f>$M$89*MIN($B114,$N$89)+$P$89*MAX(0,$B114-$N$89)</x:f>
        <x:v>2834.1</x:v>
      </x:c>
      <x:c r="H114" s="18"/>
      <x:c r="I114" s="18"/>
      <x:c r="J114" s="18"/>
      <x:c r="K114" s="18"/>
      <x:c r="L114" s="18"/>
      <x:c r="M114" s="18"/>
      <x:c r="N114" s="18"/>
      <x:c r="O114" s="18"/>
      <x:c r="P114" s="18"/>
      <x:c r="Q114" s="18"/>
      <x:c r="R114" s="18"/>
      <x:c r="S114" s="18"/>
      <x:c r="T114" s="18"/>
      <x:c r="U114" s="18"/>
      <x:c r="V114" s="18"/>
    </x:row>
    <x:row r="115" ht="22" customHeight="1">
      <x:c r="B115" s="18"/>
      <x:c r="C115" s="18"/>
      <x:c r="D115" s="18"/>
      <x:c r="E115" s="18"/>
      <x:c r="F115" s="18"/>
      <x:c r="G115" s="18"/>
      <x:c r="H115" s="18"/>
      <x:c r="I115" s="18"/>
      <x:c r="J115" s="18"/>
      <x:c r="K115" s="18"/>
      <x:c r="L115" s="18"/>
      <x:c r="M115" s="18"/>
      <x:c r="N115" s="18"/>
      <x:c r="O115" s="18"/>
      <x:c r="P115" s="18"/>
      <x:c r="Q115" s="18"/>
      <x:c r="R115" s="18"/>
      <x:c r="S115" s="18"/>
      <x:c r="T115" s="18"/>
      <x:c r="U115" s="18"/>
      <x:c r="V115" s="18"/>
    </x:row>
    <x:row r="116" ht="22" customHeight="1">
      <x:c r="B116" s="18"/>
      <x:c r="C116" s="18"/>
      <x:c r="D116" s="18"/>
      <x:c r="E116" s="18"/>
      <x:c r="F116" s="18"/>
      <x:c r="G116" s="18"/>
      <x:c r="H116" s="18"/>
      <x:c r="I116" s="18"/>
      <x:c r="J116" s="18"/>
      <x:c r="K116" s="18"/>
      <x:c r="L116" s="18"/>
      <x:c r="M116" s="18"/>
      <x:c r="N116" s="18"/>
      <x:c r="O116" s="18"/>
      <x:c r="P116" s="18"/>
      <x:c r="Q116" s="18"/>
      <x:c r="R116" s="18"/>
      <x:c r="S116" s="18"/>
      <x:c r="T116" s="18"/>
      <x:c r="U116" s="18"/>
      <x:c r="V116" s="18"/>
    </x:row>
    <x:row r="117" ht="22" customHeight="1">
      <x:c r="B117" s="18"/>
      <x:c r="C117" s="18"/>
      <x:c r="D117" s="18"/>
      <x:c r="E117" s="18"/>
      <x:c r="F117" s="18"/>
      <x:c r="G117" s="18"/>
      <x:c r="H117" s="18"/>
      <x:c r="I117" s="18"/>
      <x:c r="J117" s="18"/>
      <x:c r="K117" s="18"/>
      <x:c r="L117" s="18"/>
      <x:c r="M117" s="18"/>
      <x:c r="N117" s="18"/>
      <x:c r="O117" s="18"/>
      <x:c r="P117" s="18"/>
      <x:c r="Q117" s="18"/>
      <x:c r="R117" s="18"/>
      <x:c r="S117" s="18"/>
      <x:c r="T117" s="18"/>
      <x:c r="U117" s="18"/>
      <x:c r="V117" s="18"/>
    </x:row>
    <x:row r="118" ht="22" customHeight="1">
      <x:c r="B118" s="18"/>
      <x:c r="C118" s="18"/>
      <x:c r="D118" s="18"/>
      <x:c r="E118" s="18"/>
      <x:c r="F118" s="18"/>
      <x:c r="G118" s="18"/>
      <x:c r="H118" s="18"/>
      <x:c r="I118" s="18"/>
      <x:c r="J118" s="18"/>
      <x:c r="K118" s="18"/>
      <x:c r="L118" s="18"/>
      <x:c r="M118" s="18"/>
      <x:c r="N118" s="18"/>
      <x:c r="O118" s="18"/>
      <x:c r="P118" s="18"/>
      <x:c r="Q118" s="18"/>
      <x:c r="R118" s="18"/>
      <x:c r="S118" s="18"/>
      <x:c r="T118" s="18"/>
      <x:c r="U118" s="18"/>
      <x:c r="V118" s="18"/>
    </x:row>
    <x:row r="119" ht="22" customHeight="1">
      <x:c r="B119" s="18"/>
      <x:c r="C119" s="18"/>
      <x:c r="D119" s="18"/>
      <x:c r="E119" s="18"/>
      <x:c r="F119" s="18"/>
      <x:c r="G119" s="18"/>
      <x:c r="H119" s="18"/>
      <x:c r="I119" s="18"/>
      <x:c r="J119" s="18"/>
      <x:c r="K119" s="18"/>
      <x:c r="L119" s="18"/>
      <x:c r="M119" s="18"/>
      <x:c r="N119" s="18"/>
      <x:c r="O119" s="18"/>
      <x:c r="P119" s="18"/>
      <x:c r="Q119" s="18"/>
      <x:c r="R119" s="18"/>
      <x:c r="S119" s="18"/>
      <x:c r="T119" s="18"/>
      <x:c r="U119" s="18"/>
      <x:c r="V119" s="18"/>
    </x:row>
    <x:row r="120" ht="22" customHeight="1">
      <x:c r="B120" s="18"/>
      <x:c r="C120" s="18"/>
      <x:c r="D120" s="18"/>
      <x:c r="E120" s="18"/>
      <x:c r="F120" s="18"/>
      <x:c r="G120" s="18"/>
      <x:c r="H120" s="18"/>
      <x:c r="I120" s="18"/>
      <x:c r="J120" s="18"/>
      <x:c r="K120" s="18"/>
      <x:c r="L120" s="18"/>
      <x:c r="M120" s="18"/>
      <x:c r="N120" s="18"/>
      <x:c r="O120" s="18"/>
      <x:c r="P120" s="18"/>
      <x:c r="Q120" s="18"/>
      <x:c r="R120" s="18"/>
      <x:c r="S120" s="18"/>
      <x:c r="T120" s="18"/>
      <x:c r="U120" s="18"/>
      <x:c r="V120" s="18"/>
    </x:row>
    <x:row r="121" ht="22" customHeight="1">
      <x:c r="B121" s="24" t="str">
        <x:v>Full Sweep · 由本页 Valving 开关选择参数</x:v>
      </x:c>
      <x:c r="C121" s="24"/>
      <x:c r="D121" s="24"/>
      <x:c r="E121" s="24"/>
      <x:c r="F121" s="24"/>
      <x:c r="G121" s="24"/>
      <x:c r="H121" s="24"/>
      <x:c r="I121" s="24"/>
      <x:c r="J121" s="24"/>
      <x:c r="K121" s="24"/>
      <x:c r="L121" s="24"/>
      <x:c r="M121" s="24"/>
      <x:c r="N121" s="24"/>
      <x:c r="O121" s="24"/>
      <x:c r="P121" s="24"/>
      <x:c r="Q121" s="24"/>
      <x:c r="R121" s="24"/>
      <x:c r="S121" s="24"/>
      <x:c r="T121" s="24"/>
      <x:c r="U121" s="24"/>
      <x:c r="V121" s="24"/>
    </x:row>
    <x:row r="122" ht="22" customHeight="1">
      <x:c r="B122" s="18"/>
      <x:c r="C122" s="18"/>
      <x:c r="D122" s="18"/>
      <x:c r="E122" s="18"/>
      <x:c r="F122" s="18"/>
      <x:c r="G122" s="18"/>
      <x:c r="H122" s="18"/>
      <x:c r="I122" s="18"/>
      <x:c r="J122" s="18"/>
      <x:c r="K122" s="18"/>
      <x:c r="L122" s="18"/>
      <x:c r="M122" s="18"/>
      <x:c r="N122" s="18"/>
      <x:c r="O122" s="18"/>
      <x:c r="P122" s="18"/>
      <x:c r="Q122" s="18"/>
      <x:c r="R122" s="18"/>
      <x:c r="S122" s="18"/>
      <x:c r="T122" s="18"/>
      <x:c r="U122" s="18"/>
      <x:c r="V122" s="18"/>
    </x:row>
    <x:row r="123" ht="22" customHeight="1">
      <x:c r="B123" s="18"/>
      <x:c r="C123" s="18"/>
      <x:c r="D123" s="18"/>
      <x:c r="E123" s="18"/>
      <x:c r="F123" s="18"/>
      <x:c r="G123" s="18"/>
      <x:c r="H123" s="18"/>
      <x:c r="I123" s="18"/>
      <x:c r="J123" s="18"/>
      <x:c r="K123" s="18"/>
      <x:c r="L123" s="18"/>
      <x:c r="M123" s="18"/>
      <x:c r="N123" s="18"/>
      <x:c r="O123" s="18"/>
      <x:c r="P123" s="18"/>
      <x:c r="Q123" s="18"/>
      <x:c r="R123" s="18"/>
      <x:c r="S123" s="18"/>
      <x:c r="T123" s="18"/>
      <x:c r="U123" s="18"/>
      <x:c r="V123" s="18"/>
    </x:row>
    <x:row r="124" ht="35" customHeight="1">
      <x:c r="B124" s="30" t="str">
        <x:v>曲线</x:v>
      </x:c>
      <x:c r="C124" s="30" t="str">
        <x:v>c</x:v>
      </x:c>
      <x:c r="D124" s="30" t="str">
        <x:v>C</x:v>
      </x:c>
      <x:c r="E124" s="30" t="str">
        <x:v>R</x:v>
      </x:c>
      <x:c r="F124" s="30" t="str">
        <x:v>bump1</x:v>
      </x:c>
      <x:c r="G124" s="30" t="str">
        <x:v>LSC knee</x:v>
      </x:c>
      <x:c r="H124" s="30" t="str">
        <x:v>bump2 倍率</x:v>
      </x:c>
      <x:c r="I124" s="30" t="str">
        <x:v>bump2</x:v>
      </x:c>
      <x:c r="J124" s="30" t="str">
        <x:v>HSbump</x:v>
      </x:c>
      <x:c r="K124" s="30" t="str">
        <x:v>HSC knee</x:v>
      </x:c>
      <x:c r="L124" s="30" t="str">
        <x:v>总 HS 系数</x:v>
      </x:c>
      <x:c r="M124" s="30" t="str">
        <x:v>rebound</x:v>
      </x:c>
      <x:c r="N124" s="30" t="str">
        <x:v>Rebound knee</x:v>
      </x:c>
      <x:c r="O124" s="30" t="str">
        <x:v>HSR 倍率</x:v>
      </x:c>
      <x:c r="P124" s="30" t="str">
        <x:v>HSrebound</x:v>
      </x:c>
      <x:c r="Q124" s="30" t="str">
        <x:v>LSC 区间</x:v>
      </x:c>
      <x:c r="R124" s="30" t="str">
        <x:v>HSC 区间</x:v>
      </x:c>
      <x:c r="S124" s="30" t="str">
        <x:v>LSR 区间</x:v>
      </x:c>
      <x:c r="T124" s="30" t="str">
        <x:v>LSC 区间位置</x:v>
      </x:c>
      <x:c r="U124" s="30" t="str">
        <x:v>HSC 区间位置</x:v>
      </x:c>
      <x:c r="V124" s="30" t="str">
        <x:v>LSR 区间位置</x:v>
      </x:c>
    </x:row>
    <x:row r="125" ht="22" customHeight="1">
      <x:c r="B125" s="18" t="str">
        <x:f>"c "&amp;C125&amp;" / C "&amp;D125</x:f>
        <x:v>c -24 / C -20</x:v>
      </x:c>
      <x:c r="C125" s="18" t="n">
        <x:f>Parameters!D7</x:f>
        <x:v>-24</x:v>
      </x:c>
      <x:c r="D125" s="18" t="n">
        <x:f>Parameters!D8</x:f>
        <x:v>-20</x:v>
      </x:c>
      <x:c r="E125" s="18" t="n">
        <x:f>Parameters!D16</x:f>
        <x:v>-40</x:v>
      </x:c>
      <x:c r="F125" s="18" t="n">
        <x:f>IF('Full Sweep'!$C$4="Type-B",INDEX(Parameters!$J$10:$N$10,1,Q125)+(INDEX(Parameters!$J$10:$N$10,1,Q125+1)-INDEX(Parameters!$J$10:$N$10,1,Q125))*T125,INDEX(Parameters!$D$10:$H$10,1,Q125)+(INDEX(Parameters!$D$10:$H$10,1,Q125+1)-INDEX(Parameters!$D$10:$H$10,1,Q125))*T125)</x:f>
        <x:v>1300</x:v>
      </x:c>
      <x:c r="G125" s="18" t="n">
        <x:f>IF('Full Sweep'!$C$4="Type-B",INDEX(Parameters!$J$11:$N$11,1,Q125)+(INDEX(Parameters!$J$11:$N$11,1,Q125+1)-INDEX(Parameters!$J$11:$N$11,1,Q125))*T125,INDEX(Parameters!$D$11:$H$11,1,Q125)+(INDEX(Parameters!$D$11:$H$11,1,Q125+1)-INDEX(Parameters!$D$11:$H$11,1,Q125))*T125)</x:f>
        <x:v>0.12</x:v>
      </x:c>
      <x:c r="H125" s="18" t="n">
        <x:f>IF('Full Sweep'!$C$4="Type-B",INDEX(Parameters!$J$12:$N$12,1,Q125)+(INDEX(Parameters!$J$12:$N$12,1,Q125+1)-INDEX(Parameters!$J$12:$N$12,1,Q125))*T125,INDEX(Parameters!$D$12:$H$12,1,Q125)+(INDEX(Parameters!$D$12:$H$12,1,Q125+1)-INDEX(Parameters!$D$12:$H$12,1,Q125))*T125)</x:f>
        <x:v>0.78</x:v>
      </x:c>
      <x:c r="I125" s="18" t="n">
        <x:f>F125*H125</x:f>
        <x:v>1014</x:v>
      </x:c>
      <x:c r="J125" s="18" t="n">
        <x:f>IF('Full Sweep'!$C$4="Type-B",INDEX(Parameters!$J$13:$N$13,1,R125)+(INDEX(Parameters!$J$13:$N$13,1,R125+1)-INDEX(Parameters!$J$13:$N$13,1,R125))*U125,INDEX(Parameters!$D$13:$H$13,1,R125)+(INDEX(Parameters!$D$13:$H$13,1,R125+1)-INDEX(Parameters!$D$13:$H$13,1,R125))*U125)</x:f>
        <x:v>1000</x:v>
      </x:c>
      <x:c r="K125" s="18" t="n">
        <x:f>IF('Full Sweep'!$C$4="Type-B",INDEX(Parameters!$J$14:$N$14,1,R125)+(INDEX(Parameters!$J$14:$N$14,1,R125+1)-INDEX(Parameters!$J$14:$N$14,1,R125))*U125,INDEX(Parameters!$D$14:$H$14,1,R125)+(INDEX(Parameters!$D$14:$H$14,1,R125+1)-INDEX(Parameters!$D$14:$H$14,1,R125))*U125)</x:f>
        <x:v>0.58</x:v>
      </x:c>
      <x:c r="L125" s="18" t="n">
        <x:f>I125+J125</x:f>
        <x:v>2014</x:v>
      </x:c>
      <x:c r="M125" s="18" t="n">
        <x:f>IF('Full Sweep'!$C$4="Type-B",INDEX(Parameters!$J$17:$N$17,1,S125)+(INDEX(Parameters!$J$17:$N$17,1,S125+1)-INDEX(Parameters!$J$17:$N$17,1,S125))*V125,INDEX(Parameters!$D$17:$H$17,1,S125)+(INDEX(Parameters!$D$17:$H$17,1,S125+1)-INDEX(Parameters!$D$17:$H$17,1,S125))*V125)</x:f>
        <x:v>1215</x:v>
      </x:c>
      <x:c r="N125" s="18" t="n">
        <x:f>IF('Full Sweep'!$C$4="Type-B",INDEX(Parameters!$J$18:$N$18,1,S125)+(INDEX(Parameters!$J$18:$N$18,1,S125+1)-INDEX(Parameters!$J$18:$N$18,1,S125))*V125,INDEX(Parameters!$D$18:$H$18,1,S125)+(INDEX(Parameters!$D$18:$H$18,1,S125+1)-INDEX(Parameters!$D$18:$H$18,1,S125))*V125)</x:f>
        <x:v>0.3</x:v>
      </x:c>
      <x:c r="O125" s="18" t="n">
        <x:f>IF('Full Sweep'!$C$4="Type-B",INDEX(Parameters!$J$19:$N$19,1,S125)+(INDEX(Parameters!$J$19:$N$19,1,S125+1)-INDEX(Parameters!$J$19:$N$19,1,S125))*V125,INDEX(Parameters!$D$19:$H$19,1,S125)+(INDEX(Parameters!$D$19:$H$19,1,S125+1)-INDEX(Parameters!$D$19:$H$19,1,S125))*V125)</x:f>
        <x:v>0.74</x:v>
      </x:c>
      <x:c r="P125" s="18" t="n">
        <x:f>M125*O125</x:f>
        <x:v>899.1</x:v>
      </x:c>
      <x:c r="Q125" s="18" t="n">
        <x:f>MIN(4,MAX(1,INT((1+C125/Parameters!$D$24)*4)+1))</x:f>
        <x:v>1</x:v>
      </x:c>
      <x:c r="R125" s="18" t="n">
        <x:f>MIN(4,MAX(1,INT((1+D125/Parameters!$D$25)*4)+1))</x:f>
        <x:v>1</x:v>
      </x:c>
      <x:c r="S125" s="18" t="n">
        <x:f>MIN(4,MAX(1,INT((1+E125/Parameters!$D$26)*4)+1))</x:f>
        <x:v>1</x:v>
      </x:c>
      <x:c r="T125" s="18" t="n">
        <x:f>MAX(0,MIN(1,(1+C125/Parameters!$D$24)*4-(Q125-1)))</x:f>
        <x:v>0</x:v>
      </x:c>
      <x:c r="U125" s="18" t="n">
        <x:f>MAX(0,MIN(1,(1+D125/Parameters!$D$25)*4-(R125-1)))</x:f>
        <x:v>0</x:v>
      </x:c>
      <x:c r="V125" s="18" t="n">
        <x:f>MAX(0,MIN(1,(1+E125/Parameters!$D$26)*4-(S125-1)))</x:f>
        <x:v>0</x:v>
      </x:c>
    </x:row>
    <x:row r="126" ht="22" customHeight="1">
      <x:c r="B126" s="18" t="str">
        <x:f>"c "&amp;C126&amp;" / C "&amp;D126</x:f>
        <x:v>c -18 / C -15</x:v>
      </x:c>
      <x:c r="C126" s="18" t="n">
        <x:f>Parameters!E7</x:f>
        <x:v>-18</x:v>
      </x:c>
      <x:c r="D126" s="18" t="n">
        <x:f>Parameters!E8</x:f>
        <x:v>-15</x:v>
      </x:c>
      <x:c r="E126" s="18" t="n">
        <x:f>Parameters!E16</x:f>
        <x:v>-30</x:v>
      </x:c>
      <x:c r="F126" s="18" t="n">
        <x:f>IF('Full Sweep'!$C$4="Type-B",INDEX(Parameters!$J$10:$N$10,1,Q126)+(INDEX(Parameters!$J$10:$N$10,1,Q126+1)-INDEX(Parameters!$J$10:$N$10,1,Q126))*T126,INDEX(Parameters!$D$10:$H$10,1,Q126)+(INDEX(Parameters!$D$10:$H$10,1,Q126+1)-INDEX(Parameters!$D$10:$H$10,1,Q126))*T126)</x:f>
        <x:v>1900</x:v>
      </x:c>
      <x:c r="G126" s="18" t="n">
        <x:f>IF('Full Sweep'!$C$4="Type-B",INDEX(Parameters!$J$11:$N$11,1,Q126)+(INDEX(Parameters!$J$11:$N$11,1,Q126+1)-INDEX(Parameters!$J$11:$N$11,1,Q126))*T126,INDEX(Parameters!$D$11:$H$11,1,Q126)+(INDEX(Parameters!$D$11:$H$11,1,Q126+1)-INDEX(Parameters!$D$11:$H$11,1,Q126))*T126)</x:f>
        <x:v>0.135</x:v>
      </x:c>
      <x:c r="H126" s="18" t="n">
        <x:f>IF('Full Sweep'!$C$4="Type-B",INDEX(Parameters!$J$12:$N$12,1,Q126)+(INDEX(Parameters!$J$12:$N$12,1,Q126+1)-INDEX(Parameters!$J$12:$N$12,1,Q126))*T126,INDEX(Parameters!$D$12:$H$12,1,Q126)+(INDEX(Parameters!$D$12:$H$12,1,Q126+1)-INDEX(Parameters!$D$12:$H$12,1,Q126))*T126)</x:f>
        <x:v>0.81</x:v>
      </x:c>
      <x:c r="I126" s="18" t="n">
        <x:f>F126*H126</x:f>
        <x:v>1539</x:v>
      </x:c>
      <x:c r="J126" s="18" t="n">
        <x:f>IF('Full Sweep'!$C$4="Type-B",INDEX(Parameters!$J$13:$N$13,1,R126)+(INDEX(Parameters!$J$13:$N$13,1,R126+1)-INDEX(Parameters!$J$13:$N$13,1,R126))*U126,INDEX(Parameters!$D$13:$H$13,1,R126)+(INDEX(Parameters!$D$13:$H$13,1,R126+1)-INDEX(Parameters!$D$13:$H$13,1,R126))*U126)</x:f>
        <x:v>1750</x:v>
      </x:c>
      <x:c r="K126" s="18" t="n">
        <x:f>IF('Full Sweep'!$C$4="Type-B",INDEX(Parameters!$J$14:$N$14,1,R126)+(INDEX(Parameters!$J$14:$N$14,1,R126+1)-INDEX(Parameters!$J$14:$N$14,1,R126))*U126,INDEX(Parameters!$D$14:$H$14,1,R126)+(INDEX(Parameters!$D$14:$H$14,1,R126+1)-INDEX(Parameters!$D$14:$H$14,1,R126))*U126)</x:f>
        <x:v>0.59</x:v>
      </x:c>
      <x:c r="L126" s="18" t="n">
        <x:f>I126+J126</x:f>
        <x:v>3289</x:v>
      </x:c>
      <x:c r="M126" s="18" t="n">
        <x:f>IF('Full Sweep'!$C$4="Type-B",INDEX(Parameters!$J$17:$N$17,1,S126)+(INDEX(Parameters!$J$17:$N$17,1,S126+1)-INDEX(Parameters!$J$17:$N$17,1,S126))*V126,INDEX(Parameters!$D$17:$H$17,1,S126)+(INDEX(Parameters!$D$17:$H$17,1,S126+1)-INDEX(Parameters!$D$17:$H$17,1,S126))*V126)</x:f>
        <x:v>1665</x:v>
      </x:c>
      <x:c r="N126" s="18" t="n">
        <x:f>IF('Full Sweep'!$C$4="Type-B",INDEX(Parameters!$J$18:$N$18,1,S126)+(INDEX(Parameters!$J$18:$N$18,1,S126+1)-INDEX(Parameters!$J$18:$N$18,1,S126))*V126,INDEX(Parameters!$D$18:$H$18,1,S126)+(INDEX(Parameters!$D$18:$H$18,1,S126+1)-INDEX(Parameters!$D$18:$H$18,1,S126))*V126)</x:f>
        <x:v>0.32499999999999996</x:v>
      </x:c>
      <x:c r="O126" s="18" t="n">
        <x:f>IF('Full Sweep'!$C$4="Type-B",INDEX(Parameters!$J$19:$N$19,1,S126)+(INDEX(Parameters!$J$19:$N$19,1,S126+1)-INDEX(Parameters!$J$19:$N$19,1,S126))*V126,INDEX(Parameters!$D$19:$H$19,1,S126)+(INDEX(Parameters!$D$19:$H$19,1,S126+1)-INDEX(Parameters!$D$19:$H$19,1,S126))*V126)</x:f>
        <x:v>0.78</x:v>
      </x:c>
      <x:c r="P126" s="18" t="n">
        <x:f>M126*O126</x:f>
        <x:v>1298.7</x:v>
      </x:c>
      <x:c r="Q126" s="18" t="n">
        <x:f>MIN(4,MAX(1,INT((1+C126/Parameters!$D$24)*4)+1))</x:f>
        <x:v>2</x:v>
      </x:c>
      <x:c r="R126" s="18" t="n">
        <x:f>MIN(4,MAX(1,INT((1+D126/Parameters!$D$25)*4)+1))</x:f>
        <x:v>2</x:v>
      </x:c>
      <x:c r="S126" s="18" t="n">
        <x:f>MIN(4,MAX(1,INT((1+E126/Parameters!$D$26)*4)+1))</x:f>
        <x:v>2</x:v>
      </x:c>
      <x:c r="T126" s="18" t="n">
        <x:f>MAX(0,MIN(1,(1+C126/Parameters!$D$24)*4-(Q126-1)))</x:f>
        <x:v>0</x:v>
      </x:c>
      <x:c r="U126" s="18" t="n">
        <x:f>MAX(0,MIN(1,(1+D126/Parameters!$D$25)*4-(R126-1)))</x:f>
        <x:v>0</x:v>
      </x:c>
      <x:c r="V126" s="18" t="n">
        <x:f>MAX(0,MIN(1,(1+E126/Parameters!$D$26)*4-(S126-1)))</x:f>
        <x:v>0</x:v>
      </x:c>
    </x:row>
    <x:row r="127" ht="22" customHeight="1">
      <x:c r="B127" s="18" t="str">
        <x:f>"c "&amp;C127&amp;" / C "&amp;D127</x:f>
        <x:v>c -12 / C -10</x:v>
      </x:c>
      <x:c r="C127" s="18" t="n">
        <x:f>Parameters!F7</x:f>
        <x:v>-12</x:v>
      </x:c>
      <x:c r="D127" s="18" t="n">
        <x:f>Parameters!F8</x:f>
        <x:v>-10</x:v>
      </x:c>
      <x:c r="E127" s="18" t="n">
        <x:f>Parameters!F16</x:f>
        <x:v>-20</x:v>
      </x:c>
      <x:c r="F127" s="18" t="n">
        <x:f>IF('Full Sweep'!$C$4="Type-B",INDEX(Parameters!$J$10:$N$10,1,Q127)+(INDEX(Parameters!$J$10:$N$10,1,Q127+1)-INDEX(Parameters!$J$10:$N$10,1,Q127))*T127,INDEX(Parameters!$D$10:$H$10,1,Q127)+(INDEX(Parameters!$D$10:$H$10,1,Q127+1)-INDEX(Parameters!$D$10:$H$10,1,Q127))*T127)</x:f>
        <x:v>2500</x:v>
      </x:c>
      <x:c r="G127" s="18" t="n">
        <x:f>IF('Full Sweep'!$C$4="Type-B",INDEX(Parameters!$J$11:$N$11,1,Q127)+(INDEX(Parameters!$J$11:$N$11,1,Q127+1)-INDEX(Parameters!$J$11:$N$11,1,Q127))*T127,INDEX(Parameters!$D$11:$H$11,1,Q127)+(INDEX(Parameters!$D$11:$H$11,1,Q127+1)-INDEX(Parameters!$D$11:$H$11,1,Q127))*T127)</x:f>
        <x:v>0.15</x:v>
      </x:c>
      <x:c r="H127" s="18" t="n">
        <x:f>IF('Full Sweep'!$C$4="Type-B",INDEX(Parameters!$J$12:$N$12,1,Q127)+(INDEX(Parameters!$J$12:$N$12,1,Q127+1)-INDEX(Parameters!$J$12:$N$12,1,Q127))*T127,INDEX(Parameters!$D$12:$H$12,1,Q127)+(INDEX(Parameters!$D$12:$H$12,1,Q127+1)-INDEX(Parameters!$D$12:$H$12,1,Q127))*T127)</x:f>
        <x:v>0.84</x:v>
      </x:c>
      <x:c r="I127" s="18" t="n">
        <x:f>F127*H127</x:f>
        <x:v>2100</x:v>
      </x:c>
      <x:c r="J127" s="18" t="n">
        <x:f>IF('Full Sweep'!$C$4="Type-B",INDEX(Parameters!$J$13:$N$13,1,R127)+(INDEX(Parameters!$J$13:$N$13,1,R127+1)-INDEX(Parameters!$J$13:$N$13,1,R127))*U127,INDEX(Parameters!$D$13:$H$13,1,R127)+(INDEX(Parameters!$D$13:$H$13,1,R127+1)-INDEX(Parameters!$D$13:$H$13,1,R127))*U127)</x:f>
        <x:v>2500</x:v>
      </x:c>
      <x:c r="K127" s="18" t="n">
        <x:f>IF('Full Sweep'!$C$4="Type-B",INDEX(Parameters!$J$14:$N$14,1,R127)+(INDEX(Parameters!$J$14:$N$14,1,R127+1)-INDEX(Parameters!$J$14:$N$14,1,R127))*U127,INDEX(Parameters!$D$14:$H$14,1,R127)+(INDEX(Parameters!$D$14:$H$14,1,R127+1)-INDEX(Parameters!$D$14:$H$14,1,R127))*U127)</x:f>
        <x:v>0.6</x:v>
      </x:c>
      <x:c r="L127" s="18" t="n">
        <x:f>I127+J127</x:f>
        <x:v>4600</x:v>
      </x:c>
      <x:c r="M127" s="18" t="n">
        <x:f>IF('Full Sweep'!$C$4="Type-B",INDEX(Parameters!$J$17:$N$17,1,S127)+(INDEX(Parameters!$J$17:$N$17,1,S127+1)-INDEX(Parameters!$J$17:$N$17,1,S127))*V127,INDEX(Parameters!$D$17:$H$17,1,S127)+(INDEX(Parameters!$D$17:$H$17,1,S127+1)-INDEX(Parameters!$D$17:$H$17,1,S127))*V127)</x:f>
        <x:v>2115</x:v>
      </x:c>
      <x:c r="N127" s="18" t="n">
        <x:f>IF('Full Sweep'!$C$4="Type-B",INDEX(Parameters!$J$18:$N$18,1,S127)+(INDEX(Parameters!$J$18:$N$18,1,S127+1)-INDEX(Parameters!$J$18:$N$18,1,S127))*V127,INDEX(Parameters!$D$18:$H$18,1,S127)+(INDEX(Parameters!$D$18:$H$18,1,S127+1)-INDEX(Parameters!$D$18:$H$18,1,S127))*V127)</x:f>
        <x:v>0.35</x:v>
      </x:c>
      <x:c r="O127" s="18" t="n">
        <x:f>IF('Full Sweep'!$C$4="Type-B",INDEX(Parameters!$J$19:$N$19,1,S127)+(INDEX(Parameters!$J$19:$N$19,1,S127+1)-INDEX(Parameters!$J$19:$N$19,1,S127))*V127,INDEX(Parameters!$D$19:$H$19,1,S127)+(INDEX(Parameters!$D$19:$H$19,1,S127+1)-INDEX(Parameters!$D$19:$H$19,1,S127))*V127)</x:f>
        <x:v>0.82</x:v>
      </x:c>
      <x:c r="P127" s="18" t="n">
        <x:f>M127*O127</x:f>
        <x:v>1734.3</x:v>
      </x:c>
      <x:c r="Q127" s="18" t="n">
        <x:f>MIN(4,MAX(1,INT((1+C127/Parameters!$D$24)*4)+1))</x:f>
        <x:v>3</x:v>
      </x:c>
      <x:c r="R127" s="18" t="n">
        <x:f>MIN(4,MAX(1,INT((1+D127/Parameters!$D$25)*4)+1))</x:f>
        <x:v>3</x:v>
      </x:c>
      <x:c r="S127" s="18" t="n">
        <x:f>MIN(4,MAX(1,INT((1+E127/Parameters!$D$26)*4)+1))</x:f>
        <x:v>3</x:v>
      </x:c>
      <x:c r="T127" s="18" t="n">
        <x:f>MAX(0,MIN(1,(1+C127/Parameters!$D$24)*4-(Q127-1)))</x:f>
        <x:v>0</x:v>
      </x:c>
      <x:c r="U127" s="18" t="n">
        <x:f>MAX(0,MIN(1,(1+D127/Parameters!$D$25)*4-(R127-1)))</x:f>
        <x:v>0</x:v>
      </x:c>
      <x:c r="V127" s="18" t="n">
        <x:f>MAX(0,MIN(1,(1+E127/Parameters!$D$26)*4-(S127-1)))</x:f>
        <x:v>0</x:v>
      </x:c>
    </x:row>
    <x:row r="128" ht="22" customHeight="1">
      <x:c r="B128" s="18" t="str">
        <x:f>"c "&amp;C128&amp;" / C "&amp;D128</x:f>
        <x:v>c -6 / C -5</x:v>
      </x:c>
      <x:c r="C128" s="18" t="n">
        <x:f>Parameters!G7</x:f>
        <x:v>-6</x:v>
      </x:c>
      <x:c r="D128" s="18" t="n">
        <x:f>Parameters!G8</x:f>
        <x:v>-5</x:v>
      </x:c>
      <x:c r="E128" s="18" t="n">
        <x:f>Parameters!G16</x:f>
        <x:v>-10</x:v>
      </x:c>
      <x:c r="F128" s="18" t="n">
        <x:f>IF('Full Sweep'!$C$4="Type-B",INDEX(Parameters!$J$10:$N$10,1,Q128)+(INDEX(Parameters!$J$10:$N$10,1,Q128+1)-INDEX(Parameters!$J$10:$N$10,1,Q128))*T128,INDEX(Parameters!$D$10:$H$10,1,Q128)+(INDEX(Parameters!$D$10:$H$10,1,Q128+1)-INDEX(Parameters!$D$10:$H$10,1,Q128))*T128)</x:f>
        <x:v>3100</x:v>
      </x:c>
      <x:c r="G128" s="18" t="n">
        <x:f>IF('Full Sweep'!$C$4="Type-B",INDEX(Parameters!$J$11:$N$11,1,Q128)+(INDEX(Parameters!$J$11:$N$11,1,Q128+1)-INDEX(Parameters!$J$11:$N$11,1,Q128))*T128,INDEX(Parameters!$D$11:$H$11,1,Q128)+(INDEX(Parameters!$D$11:$H$11,1,Q128+1)-INDEX(Parameters!$D$11:$H$11,1,Q128))*T128)</x:f>
        <x:v>0.16</x:v>
      </x:c>
      <x:c r="H128" s="18" t="n">
        <x:f>IF('Full Sweep'!$C$4="Type-B",INDEX(Parameters!$J$12:$N$12,1,Q128)+(INDEX(Parameters!$J$12:$N$12,1,Q128+1)-INDEX(Parameters!$J$12:$N$12,1,Q128))*T128,INDEX(Parameters!$D$12:$H$12,1,Q128)+(INDEX(Parameters!$D$12:$H$12,1,Q128+1)-INDEX(Parameters!$D$12:$H$12,1,Q128))*T128)</x:f>
        <x:v>0.87</x:v>
      </x:c>
      <x:c r="I128" s="18" t="n">
        <x:f>F128*H128</x:f>
        <x:v>2697</x:v>
      </x:c>
      <x:c r="J128" s="18" t="n">
        <x:f>IF('Full Sweep'!$C$4="Type-B",INDEX(Parameters!$J$13:$N$13,1,R128)+(INDEX(Parameters!$J$13:$N$13,1,R128+1)-INDEX(Parameters!$J$13:$N$13,1,R128))*U128,INDEX(Parameters!$D$13:$H$13,1,R128)+(INDEX(Parameters!$D$13:$H$13,1,R128+1)-INDEX(Parameters!$D$13:$H$13,1,R128))*U128)</x:f>
        <x:v>3250</x:v>
      </x:c>
      <x:c r="K128" s="18" t="n">
        <x:f>IF('Full Sweep'!$C$4="Type-B",INDEX(Parameters!$J$14:$N$14,1,R128)+(INDEX(Parameters!$J$14:$N$14,1,R128+1)-INDEX(Parameters!$J$14:$N$14,1,R128))*U128,INDEX(Parameters!$D$14:$H$14,1,R128)+(INDEX(Parameters!$D$14:$H$14,1,R128+1)-INDEX(Parameters!$D$14:$H$14,1,R128))*U128)</x:f>
        <x:v>0.61</x:v>
      </x:c>
      <x:c r="L128" s="18" t="n">
        <x:f>I128+J128</x:f>
        <x:v>5947</x:v>
      </x:c>
      <x:c r="M128" s="18" t="n">
        <x:f>IF('Full Sweep'!$C$4="Type-B",INDEX(Parameters!$J$17:$N$17,1,S128)+(INDEX(Parameters!$J$17:$N$17,1,S128+1)-INDEX(Parameters!$J$17:$N$17,1,S128))*V128,INDEX(Parameters!$D$17:$H$17,1,S128)+(INDEX(Parameters!$D$17:$H$17,1,S128+1)-INDEX(Parameters!$D$17:$H$17,1,S128))*V128)</x:f>
        <x:v>2565</x:v>
      </x:c>
      <x:c r="N128" s="18" t="n">
        <x:f>IF('Full Sweep'!$C$4="Type-B",INDEX(Parameters!$J$18:$N$18,1,S128)+(INDEX(Parameters!$J$18:$N$18,1,S128+1)-INDEX(Parameters!$J$18:$N$18,1,S128))*V128,INDEX(Parameters!$D$18:$H$18,1,S128)+(INDEX(Parameters!$D$18:$H$18,1,S128+1)-INDEX(Parameters!$D$18:$H$18,1,S128))*V128)</x:f>
        <x:v>0.375</x:v>
      </x:c>
      <x:c r="O128" s="18" t="n">
        <x:f>IF('Full Sweep'!$C$4="Type-B",INDEX(Parameters!$J$19:$N$19,1,S128)+(INDEX(Parameters!$J$19:$N$19,1,S128+1)-INDEX(Parameters!$J$19:$N$19,1,S128))*V128,INDEX(Parameters!$D$19:$H$19,1,S128)+(INDEX(Parameters!$D$19:$H$19,1,S128+1)-INDEX(Parameters!$D$19:$H$19,1,S128))*V128)</x:f>
        <x:v>0.86</x:v>
      </x:c>
      <x:c r="P128" s="18" t="n">
        <x:f>M128*O128</x:f>
        <x:v>2205.9</x:v>
      </x:c>
      <x:c r="Q128" s="18" t="n">
        <x:f>MIN(4,MAX(1,INT((1+C128/Parameters!$D$24)*4)+1))</x:f>
        <x:v>4</x:v>
      </x:c>
      <x:c r="R128" s="18" t="n">
        <x:f>MIN(4,MAX(1,INT((1+D128/Parameters!$D$25)*4)+1))</x:f>
        <x:v>4</x:v>
      </x:c>
      <x:c r="S128" s="18" t="n">
        <x:f>MIN(4,MAX(1,INT((1+E128/Parameters!$D$26)*4)+1))</x:f>
        <x:v>4</x:v>
      </x:c>
      <x:c r="T128" s="18" t="n">
        <x:f>MAX(0,MIN(1,(1+C128/Parameters!$D$24)*4-(Q128-1)))</x:f>
        <x:v>0</x:v>
      </x:c>
      <x:c r="U128" s="18" t="n">
        <x:f>MAX(0,MIN(1,(1+D128/Parameters!$D$25)*4-(R128-1)))</x:f>
        <x:v>0</x:v>
      </x:c>
      <x:c r="V128" s="18" t="n">
        <x:f>MAX(0,MIN(1,(1+E128/Parameters!$D$26)*4-(S128-1)))</x:f>
        <x:v>0</x:v>
      </x:c>
    </x:row>
    <x:row r="129" ht="22" customHeight="1">
      <x:c r="B129" s="18" t="str">
        <x:f>"c "&amp;C129&amp;" / C "&amp;D129</x:f>
        <x:v>c 0 / C 0</x:v>
      </x:c>
      <x:c r="C129" s="18" t="n">
        <x:f>Parameters!H7</x:f>
        <x:v>0</x:v>
      </x:c>
      <x:c r="D129" s="18" t="n">
        <x:f>Parameters!H8</x:f>
        <x:v>0</x:v>
      </x:c>
      <x:c r="E129" s="18" t="n">
        <x:f>Parameters!H16</x:f>
        <x:v>0</x:v>
      </x:c>
      <x:c r="F129" s="18" t="n">
        <x:f>IF('Full Sweep'!$C$4="Type-B",INDEX(Parameters!$J$10:$N$10,1,Q129)+(INDEX(Parameters!$J$10:$N$10,1,Q129+1)-INDEX(Parameters!$J$10:$N$10,1,Q129))*T129,INDEX(Parameters!$D$10:$H$10,1,Q129)+(INDEX(Parameters!$D$10:$H$10,1,Q129+1)-INDEX(Parameters!$D$10:$H$10,1,Q129))*T129)</x:f>
        <x:v>3700</x:v>
      </x:c>
      <x:c r="G129" s="18" t="n">
        <x:f>IF('Full Sweep'!$C$4="Type-B",INDEX(Parameters!$J$11:$N$11,1,Q129)+(INDEX(Parameters!$J$11:$N$11,1,Q129+1)-INDEX(Parameters!$J$11:$N$11,1,Q129))*T129,INDEX(Parameters!$D$11:$H$11,1,Q129)+(INDEX(Parameters!$D$11:$H$11,1,Q129+1)-INDEX(Parameters!$D$11:$H$11,1,Q129))*T129)</x:f>
        <x:v>0.17</x:v>
      </x:c>
      <x:c r="H129" s="18" t="n">
        <x:f>IF('Full Sweep'!$C$4="Type-B",INDEX(Parameters!$J$12:$N$12,1,Q129)+(INDEX(Parameters!$J$12:$N$12,1,Q129+1)-INDEX(Parameters!$J$12:$N$12,1,Q129))*T129,INDEX(Parameters!$D$12:$H$12,1,Q129)+(INDEX(Parameters!$D$12:$H$12,1,Q129+1)-INDEX(Parameters!$D$12:$H$12,1,Q129))*T129)</x:f>
        <x:v>0.9</x:v>
      </x:c>
      <x:c r="I129" s="18" t="n">
        <x:f>F129*H129</x:f>
        <x:v>3330</x:v>
      </x:c>
      <x:c r="J129" s="18" t="n">
        <x:f>IF('Full Sweep'!$C$4="Type-B",INDEX(Parameters!$J$13:$N$13,1,R129)+(INDEX(Parameters!$J$13:$N$13,1,R129+1)-INDEX(Parameters!$J$13:$N$13,1,R129))*U129,INDEX(Parameters!$D$13:$H$13,1,R129)+(INDEX(Parameters!$D$13:$H$13,1,R129+1)-INDEX(Parameters!$D$13:$H$13,1,R129))*U129)</x:f>
        <x:v>4000</x:v>
      </x:c>
      <x:c r="K129" s="18" t="n">
        <x:f>IF('Full Sweep'!$C$4="Type-B",INDEX(Parameters!$J$14:$N$14,1,R129)+(INDEX(Parameters!$J$14:$N$14,1,R129+1)-INDEX(Parameters!$J$14:$N$14,1,R129))*U129,INDEX(Parameters!$D$14:$H$14,1,R129)+(INDEX(Parameters!$D$14:$H$14,1,R129+1)-INDEX(Parameters!$D$14:$H$14,1,R129))*U129)</x:f>
        <x:v>0.62</x:v>
      </x:c>
      <x:c r="L129" s="18" t="n">
        <x:f>I129+J129</x:f>
        <x:v>7330</x:v>
      </x:c>
      <x:c r="M129" s="18" t="n">
        <x:f>IF('Full Sweep'!$C$4="Type-B",INDEX(Parameters!$J$17:$N$17,1,S129)+(INDEX(Parameters!$J$17:$N$17,1,S129+1)-INDEX(Parameters!$J$17:$N$17,1,S129))*V129,INDEX(Parameters!$D$17:$H$17,1,S129)+(INDEX(Parameters!$D$17:$H$17,1,S129+1)-INDEX(Parameters!$D$17:$H$17,1,S129))*V129)</x:f>
        <x:v>3015</x:v>
      </x:c>
      <x:c r="N129" s="18" t="n">
        <x:f>IF('Full Sweep'!$C$4="Type-B",INDEX(Parameters!$J$18:$N$18,1,S129)+(INDEX(Parameters!$J$18:$N$18,1,S129+1)-INDEX(Parameters!$J$18:$N$18,1,S129))*V129,INDEX(Parameters!$D$18:$H$18,1,S129)+(INDEX(Parameters!$D$18:$H$18,1,S129+1)-INDEX(Parameters!$D$18:$H$18,1,S129))*V129)</x:f>
        <x:v>0.4</x:v>
      </x:c>
      <x:c r="O129" s="18" t="n">
        <x:f>IF('Full Sweep'!$C$4="Type-B",INDEX(Parameters!$J$19:$N$19,1,S129)+(INDEX(Parameters!$J$19:$N$19,1,S129+1)-INDEX(Parameters!$J$19:$N$19,1,S129))*V129,INDEX(Parameters!$D$19:$H$19,1,S129)+(INDEX(Parameters!$D$19:$H$19,1,S129+1)-INDEX(Parameters!$D$19:$H$19,1,S129))*V129)</x:f>
        <x:v>0.9</x:v>
      </x:c>
      <x:c r="P129" s="18" t="n">
        <x:f>M129*O129</x:f>
        <x:v>2713.5</x:v>
      </x:c>
      <x:c r="Q129" s="18" t="n">
        <x:f>MIN(4,MAX(1,INT((1+C129/Parameters!$D$24)*4)+1))</x:f>
        <x:v>4</x:v>
      </x:c>
      <x:c r="R129" s="18" t="n">
        <x:f>MIN(4,MAX(1,INT((1+D129/Parameters!$D$25)*4)+1))</x:f>
        <x:v>4</x:v>
      </x:c>
      <x:c r="S129" s="18" t="n">
        <x:f>MIN(4,MAX(1,INT((1+E129/Parameters!$D$26)*4)+1))</x:f>
        <x:v>4</x:v>
      </x:c>
      <x:c r="T129" s="18" t="n">
        <x:f>MAX(0,MIN(1,(1+C129/Parameters!$D$24)*4-(Q129-1)))</x:f>
        <x:v>1</x:v>
      </x:c>
      <x:c r="U129" s="18" t="n">
        <x:f>MAX(0,MIN(1,(1+D129/Parameters!$D$25)*4-(R129-1)))</x:f>
        <x:v>1</x:v>
      </x:c>
      <x:c r="V129" s="18" t="n">
        <x:f>MAX(0,MIN(1,(1+E129/Parameters!$D$26)*4-(S129-1)))</x:f>
        <x:v>1</x:v>
      </x:c>
    </x:row>
    <x:row r="130" ht="22" customHeight="1">
      <x:c r="B130" s="18"/>
      <x:c r="C130" s="18"/>
      <x:c r="D130" s="18"/>
      <x:c r="E130" s="18"/>
      <x:c r="F130" s="18"/>
      <x:c r="G130" s="18"/>
      <x:c r="H130" s="18"/>
      <x:c r="I130" s="18"/>
      <x:c r="J130" s="18"/>
      <x:c r="K130" s="18"/>
      <x:c r="L130" s="18"/>
      <x:c r="M130" s="18"/>
      <x:c r="N130" s="18"/>
      <x:c r="O130" s="18"/>
      <x:c r="P130" s="18"/>
      <x:c r="Q130" s="18"/>
      <x:c r="R130" s="18"/>
      <x:c r="S130" s="18"/>
      <x:c r="T130" s="18"/>
      <x:c r="U130" s="18"/>
      <x:c r="V130" s="18"/>
    </x:row>
    <x:row r="131" ht="22" customHeight="1">
      <x:c r="B131" s="18"/>
      <x:c r="C131" s="18"/>
      <x:c r="D131" s="18"/>
      <x:c r="E131" s="18"/>
      <x:c r="F131" s="18"/>
      <x:c r="G131" s="18"/>
      <x:c r="H131" s="18"/>
      <x:c r="I131" s="18"/>
      <x:c r="J131" s="18"/>
      <x:c r="K131" s="18"/>
      <x:c r="L131" s="18"/>
      <x:c r="M131" s="18"/>
      <x:c r="N131" s="18"/>
      <x:c r="O131" s="18"/>
      <x:c r="P131" s="18"/>
      <x:c r="Q131" s="18"/>
      <x:c r="R131" s="18"/>
      <x:c r="S131" s="18"/>
      <x:c r="T131" s="18"/>
      <x:c r="U131" s="18"/>
      <x:c r="V131" s="18"/>
    </x:row>
    <x:row r="132" ht="22" customHeight="1">
      <x:c r="B132" s="18"/>
      <x:c r="C132" s="18"/>
      <x:c r="D132" s="18"/>
      <x:c r="E132" s="18"/>
      <x:c r="F132" s="18"/>
      <x:c r="G132" s="18"/>
      <x:c r="H132" s="18"/>
      <x:c r="I132" s="18"/>
      <x:c r="J132" s="18"/>
      <x:c r="K132" s="18"/>
      <x:c r="L132" s="18"/>
      <x:c r="M132" s="18"/>
      <x:c r="N132" s="18"/>
      <x:c r="O132" s="18"/>
      <x:c r="P132" s="18"/>
      <x:c r="Q132" s="18"/>
      <x:c r="R132" s="18"/>
      <x:c r="S132" s="18"/>
      <x:c r="T132" s="18"/>
      <x:c r="U132" s="18"/>
      <x:c r="V132" s="18"/>
    </x:row>
    <x:row r="133" ht="22" customHeight="1">
      <x:c r="B133" s="24" t="str">
        <x:v>轴速 (m/s)</x:v>
      </x:c>
      <x:c r="C133" s="24" t="str">
        <x:f>B125</x:f>
        <x:v>c -24 / C -20</x:v>
      </x:c>
      <x:c r="D133" s="24" t="str">
        <x:f>B126</x:f>
        <x:v>c -18 / C -15</x:v>
      </x:c>
      <x:c r="E133" s="24" t="str">
        <x:f>B127</x:f>
        <x:v>c -12 / C -10</x:v>
      </x:c>
      <x:c r="F133" s="24" t="str">
        <x:f>B128</x:f>
        <x:v>c -6 / C -5</x:v>
      </x:c>
      <x:c r="G133" s="24" t="str">
        <x:f>B129</x:f>
        <x:v>c 0 / C 0</x:v>
      </x:c>
      <x:c r="H133" s="24" t="str">
        <x:f>"R "&amp;E125</x:f>
        <x:v>R -40</x:v>
      </x:c>
      <x:c r="I133" s="24" t="str">
        <x:f>"R "&amp;E126</x:f>
        <x:v>R -30</x:v>
      </x:c>
      <x:c r="J133" s="24" t="str">
        <x:f>"R "&amp;E127</x:f>
        <x:v>R -20</x:v>
      </x:c>
      <x:c r="K133" s="24" t="str">
        <x:f>"R "&amp;E128</x:f>
        <x:v>R -10</x:v>
      </x:c>
      <x:c r="L133" s="24" t="str">
        <x:f>"R "&amp;E129</x:f>
        <x:v>R 0</x:v>
      </x:c>
      <x:c r="M133" s="18"/>
      <x:c r="N133" s="18"/>
      <x:c r="O133" s="18"/>
      <x:c r="P133" s="18"/>
      <x:c r="Q133" s="18"/>
      <x:c r="R133" s="18"/>
      <x:c r="S133" s="18"/>
      <x:c r="T133" s="18"/>
      <x:c r="U133" s="18"/>
      <x:c r="V133" s="18"/>
    </x:row>
    <x:row r="134" ht="22" customHeight="1">
      <x:c r="B134" s="32" t="n">
        <x:v>0</x:v>
      </x:c>
      <x:c r="C134" s="32" t="n">
        <x:f>$F$125*MIN($B134,$G$125)+$I$125*MAX(0,$B134-$G$125)+$J$125*MAX(0,$B134-$K$125)</x:f>
        <x:v>0</x:v>
      </x:c>
      <x:c r="D134" s="32" t="n">
        <x:f>$F$126*MIN($B134,$G$126)+$I$126*MAX(0,$B134-$G$126)+$J$126*MAX(0,$B134-$K$126)</x:f>
        <x:v>0</x:v>
      </x:c>
      <x:c r="E134" s="32" t="n">
        <x:f>$F$127*MIN($B134,$G$127)+$I$127*MAX(0,$B134-$G$127)+$J$127*MAX(0,$B134-$K$127)</x:f>
        <x:v>0</x:v>
      </x:c>
      <x:c r="F134" s="32" t="n">
        <x:f>$F$128*MIN($B134,$G$128)+$I$128*MAX(0,$B134-$G$128)+$J$128*MAX(0,$B134-$K$128)</x:f>
        <x:v>0</x:v>
      </x:c>
      <x:c r="G134" s="32" t="n">
        <x:f>$F$129*MIN($B134,$G$129)+$I$129*MAX(0,$B134-$G$129)+$J$129*MAX(0,$B134-$K$129)</x:f>
        <x:v>0</x:v>
      </x:c>
      <x:c r="H134" s="32" t="n">
        <x:f>-($M$125*MIN($B134,$N$125)+$P$125*MAX(0,$B134-$N$125))</x:f>
        <x:v>0</x:v>
      </x:c>
      <x:c r="I134" s="32" t="n">
        <x:f>-($M$126*MIN($B134,$N$126)+$P$126*MAX(0,$B134-$N$126))</x:f>
        <x:v>0</x:v>
      </x:c>
      <x:c r="J134" s="32" t="n">
        <x:f>-($M$127*MIN($B134,$N$127)+$P$127*MAX(0,$B134-$N$127))</x:f>
        <x:v>0</x:v>
      </x:c>
      <x:c r="K134" s="32" t="n">
        <x:f>-($M$128*MIN($B134,$N$128)+$P$128*MAX(0,$B134-$N$128))</x:f>
        <x:v>0</x:v>
      </x:c>
      <x:c r="L134" s="32" t="n">
        <x:f>-($M$129*MIN($B134,$N$129)+$P$129*MAX(0,$B134-$N$129))</x:f>
        <x:v>0</x:v>
      </x:c>
      <x:c r="M134" s="18"/>
      <x:c r="N134" s="18"/>
      <x:c r="O134" s="18"/>
      <x:c r="P134" s="18"/>
      <x:c r="Q134" s="18"/>
      <x:c r="R134" s="18"/>
      <x:c r="S134" s="18"/>
      <x:c r="T134" s="18"/>
      <x:c r="U134" s="18"/>
      <x:c r="V134" s="18"/>
    </x:row>
    <x:row r="135" ht="22" customHeight="1">
      <x:c r="B135" s="32" t="n">
        <x:v>0.05</x:v>
      </x:c>
      <x:c r="C135" s="32" t="n">
        <x:f>$F$125*MIN($B135,$G$125)+$I$125*MAX(0,$B135-$G$125)+$J$125*MAX(0,$B135-$K$125)</x:f>
        <x:v>65</x:v>
      </x:c>
      <x:c r="D135" s="32" t="n">
        <x:f>$F$126*MIN($B135,$G$126)+$I$126*MAX(0,$B135-$G$126)+$J$126*MAX(0,$B135-$K$126)</x:f>
        <x:v>95</x:v>
      </x:c>
      <x:c r="E135" s="32" t="n">
        <x:f>$F$127*MIN($B135,$G$127)+$I$127*MAX(0,$B135-$G$127)+$J$127*MAX(0,$B135-$K$127)</x:f>
        <x:v>125</x:v>
      </x:c>
      <x:c r="F135" s="32" t="n">
        <x:f>$F$128*MIN($B135,$G$128)+$I$128*MAX(0,$B135-$G$128)+$J$128*MAX(0,$B135-$K$128)</x:f>
        <x:v>155</x:v>
      </x:c>
      <x:c r="G135" s="32" t="n">
        <x:f>$F$129*MIN($B135,$G$129)+$I$129*MAX(0,$B135-$G$129)+$J$129*MAX(0,$B135-$K$129)</x:f>
        <x:v>185</x:v>
      </x:c>
      <x:c r="H135" s="32" t="n">
        <x:f>-($M$125*MIN($B135,$N$125)+$P$125*MAX(0,$B135-$N$125))</x:f>
        <x:v>-60.75</x:v>
      </x:c>
      <x:c r="I135" s="32" t="n">
        <x:f>-($M$126*MIN($B135,$N$126)+$P$126*MAX(0,$B135-$N$126))</x:f>
        <x:v>-83.25</x:v>
      </x:c>
      <x:c r="J135" s="32" t="n">
        <x:f>-($M$127*MIN($B135,$N$127)+$P$127*MAX(0,$B135-$N$127))</x:f>
        <x:v>-105.75</x:v>
      </x:c>
      <x:c r="K135" s="32" t="n">
        <x:f>-($M$128*MIN($B135,$N$128)+$P$128*MAX(0,$B135-$N$128))</x:f>
        <x:v>-128.25</x:v>
      </x:c>
      <x:c r="L135" s="32" t="n">
        <x:f>-($M$129*MIN($B135,$N$129)+$P$129*MAX(0,$B135-$N$129))</x:f>
        <x:v>-150.75</x:v>
      </x:c>
      <x:c r="M135" s="18"/>
      <x:c r="N135" s="18"/>
      <x:c r="O135" s="18"/>
      <x:c r="P135" s="18"/>
      <x:c r="Q135" s="18"/>
      <x:c r="R135" s="18"/>
      <x:c r="S135" s="18"/>
      <x:c r="T135" s="18"/>
      <x:c r="U135" s="18"/>
      <x:c r="V135" s="18"/>
    </x:row>
    <x:row r="136" ht="22" customHeight="1">
      <x:c r="B136" s="32" t="n">
        <x:v>0.1</x:v>
      </x:c>
      <x:c r="C136" s="32" t="n">
        <x:f>$F$125*MIN($B136,$G$125)+$I$125*MAX(0,$B136-$G$125)+$J$125*MAX(0,$B136-$K$125)</x:f>
        <x:v>130</x:v>
      </x:c>
      <x:c r="D136" s="32" t="n">
        <x:f>$F$126*MIN($B136,$G$126)+$I$126*MAX(0,$B136-$G$126)+$J$126*MAX(0,$B136-$K$126)</x:f>
        <x:v>190</x:v>
      </x:c>
      <x:c r="E136" s="32" t="n">
        <x:f>$F$127*MIN($B136,$G$127)+$I$127*MAX(0,$B136-$G$127)+$J$127*MAX(0,$B136-$K$127)</x:f>
        <x:v>250</x:v>
      </x:c>
      <x:c r="F136" s="32" t="n">
        <x:f>$F$128*MIN($B136,$G$128)+$I$128*MAX(0,$B136-$G$128)+$J$128*MAX(0,$B136-$K$128)</x:f>
        <x:v>310</x:v>
      </x:c>
      <x:c r="G136" s="32" t="n">
        <x:f>$F$129*MIN($B136,$G$129)+$I$129*MAX(0,$B136-$G$129)+$J$129*MAX(0,$B136-$K$129)</x:f>
        <x:v>370</x:v>
      </x:c>
      <x:c r="H136" s="32" t="n">
        <x:f>-($M$125*MIN($B136,$N$125)+$P$125*MAX(0,$B136-$N$125))</x:f>
        <x:v>-121.5</x:v>
      </x:c>
      <x:c r="I136" s="32" t="n">
        <x:f>-($M$126*MIN($B136,$N$126)+$P$126*MAX(0,$B136-$N$126))</x:f>
        <x:v>-166.5</x:v>
      </x:c>
      <x:c r="J136" s="32" t="n">
        <x:f>-($M$127*MIN($B136,$N$127)+$P$127*MAX(0,$B136-$N$127))</x:f>
        <x:v>-211.5</x:v>
      </x:c>
      <x:c r="K136" s="32" t="n">
        <x:f>-($M$128*MIN($B136,$N$128)+$P$128*MAX(0,$B136-$N$128))</x:f>
        <x:v>-256.5</x:v>
      </x:c>
      <x:c r="L136" s="32" t="n">
        <x:f>-($M$129*MIN($B136,$N$129)+$P$129*MAX(0,$B136-$N$129))</x:f>
        <x:v>-301.5</x:v>
      </x:c>
      <x:c r="M136" s="18"/>
      <x:c r="N136" s="18"/>
      <x:c r="O136" s="18"/>
      <x:c r="P136" s="18"/>
      <x:c r="Q136" s="18"/>
      <x:c r="R136" s="18"/>
      <x:c r="S136" s="18"/>
      <x:c r="T136" s="18"/>
      <x:c r="U136" s="18"/>
      <x:c r="V136" s="18"/>
    </x:row>
    <x:row r="137" ht="22" customHeight="1">
      <x:c r="B137" s="32" t="n">
        <x:v>0.15</x:v>
      </x:c>
      <x:c r="C137" s="32" t="n">
        <x:f>$F$125*MIN($B137,$G$125)+$I$125*MAX(0,$B137-$G$125)+$J$125*MAX(0,$B137-$K$125)</x:f>
        <x:v>186.42</x:v>
      </x:c>
      <x:c r="D137" s="32" t="n">
        <x:f>$F$126*MIN($B137,$G$126)+$I$126*MAX(0,$B137-$G$126)+$J$126*MAX(0,$B137-$K$126)</x:f>
        <x:v>279.585</x:v>
      </x:c>
      <x:c r="E137" s="32" t="n">
        <x:f>$F$127*MIN($B137,$G$127)+$I$127*MAX(0,$B137-$G$127)+$J$127*MAX(0,$B137-$K$127)</x:f>
        <x:v>375</x:v>
      </x:c>
      <x:c r="F137" s="32" t="n">
        <x:f>$F$128*MIN($B137,$G$128)+$I$128*MAX(0,$B137-$G$128)+$J$128*MAX(0,$B137-$K$128)</x:f>
        <x:v>465</x:v>
      </x:c>
      <x:c r="G137" s="32" t="n">
        <x:f>$F$129*MIN($B137,$G$129)+$I$129*MAX(0,$B137-$G$129)+$J$129*MAX(0,$B137-$K$129)</x:f>
        <x:v>555</x:v>
      </x:c>
      <x:c r="H137" s="32" t="n">
        <x:f>-($M$125*MIN($B137,$N$125)+$P$125*MAX(0,$B137-$N$125))</x:f>
        <x:v>-182.25</x:v>
      </x:c>
      <x:c r="I137" s="32" t="n">
        <x:f>-($M$126*MIN($B137,$N$126)+$P$126*MAX(0,$B137-$N$126))</x:f>
        <x:v>-249.75</x:v>
      </x:c>
      <x:c r="J137" s="32" t="n">
        <x:f>-($M$127*MIN($B137,$N$127)+$P$127*MAX(0,$B137-$N$127))</x:f>
        <x:v>-317.25</x:v>
      </x:c>
      <x:c r="K137" s="32" t="n">
        <x:f>-($M$128*MIN($B137,$N$128)+$P$128*MAX(0,$B137-$N$128))</x:f>
        <x:v>-384.75</x:v>
      </x:c>
      <x:c r="L137" s="32" t="n">
        <x:f>-($M$129*MIN($B137,$N$129)+$P$129*MAX(0,$B137-$N$129))</x:f>
        <x:v>-452.25</x:v>
      </x:c>
      <x:c r="M137" s="18"/>
      <x:c r="N137" s="18"/>
      <x:c r="O137" s="18"/>
      <x:c r="P137" s="18"/>
      <x:c r="Q137" s="18"/>
      <x:c r="R137" s="18"/>
      <x:c r="S137" s="18"/>
      <x:c r="T137" s="18"/>
      <x:c r="U137" s="18"/>
      <x:c r="V137" s="18"/>
    </x:row>
    <x:row r="138" ht="22" customHeight="1">
      <x:c r="B138" s="32" t="n">
        <x:v>0.2</x:v>
      </x:c>
      <x:c r="C138" s="32" t="n">
        <x:f>$F$125*MIN($B138,$G$125)+$I$125*MAX(0,$B138-$G$125)+$J$125*MAX(0,$B138-$K$125)</x:f>
        <x:v>237.12</x:v>
      </x:c>
      <x:c r="D138" s="32" t="n">
        <x:f>$F$126*MIN($B138,$G$126)+$I$126*MAX(0,$B138-$G$126)+$J$126*MAX(0,$B138-$K$126)</x:f>
        <x:v>356.53499999999997</x:v>
      </x:c>
      <x:c r="E138" s="32" t="n">
        <x:f>$F$127*MIN($B138,$G$127)+$I$127*MAX(0,$B138-$G$127)+$J$127*MAX(0,$B138-$K$127)</x:f>
        <x:v>480</x:v>
      </x:c>
      <x:c r="F138" s="32" t="n">
        <x:f>$F$128*MIN($B138,$G$128)+$I$128*MAX(0,$B138-$G$128)+$J$128*MAX(0,$B138-$K$128)</x:f>
        <x:v>603.88</x:v>
      </x:c>
      <x:c r="G138" s="32" t="n">
        <x:f>$F$129*MIN($B138,$G$129)+$I$129*MAX(0,$B138-$G$129)+$J$129*MAX(0,$B138-$K$129)</x:f>
        <x:v>728.9</x:v>
      </x:c>
      <x:c r="H138" s="32" t="n">
        <x:f>-($M$125*MIN($B138,$N$125)+$P$125*MAX(0,$B138-$N$125))</x:f>
        <x:v>-243</x:v>
      </x:c>
      <x:c r="I138" s="32" t="n">
        <x:f>-($M$126*MIN($B138,$N$126)+$P$126*MAX(0,$B138-$N$126))</x:f>
        <x:v>-333</x:v>
      </x:c>
      <x:c r="J138" s="32" t="n">
        <x:f>-($M$127*MIN($B138,$N$127)+$P$127*MAX(0,$B138-$N$127))</x:f>
        <x:v>-423</x:v>
      </x:c>
      <x:c r="K138" s="32" t="n">
        <x:f>-($M$128*MIN($B138,$N$128)+$P$128*MAX(0,$B138-$N$128))</x:f>
        <x:v>-513</x:v>
      </x:c>
      <x:c r="L138" s="32" t="n">
        <x:f>-($M$129*MIN($B138,$N$129)+$P$129*MAX(0,$B138-$N$129))</x:f>
        <x:v>-603</x:v>
      </x:c>
      <x:c r="M138" s="18"/>
      <x:c r="N138" s="18"/>
      <x:c r="O138" s="18"/>
      <x:c r="P138" s="18"/>
      <x:c r="Q138" s="18"/>
      <x:c r="R138" s="18"/>
      <x:c r="S138" s="18"/>
      <x:c r="T138" s="18"/>
      <x:c r="U138" s="18"/>
      <x:c r="V138" s="18"/>
    </x:row>
    <x:row r="139" ht="22" customHeight="1">
      <x:c r="B139" s="32" t="n">
        <x:v>0.25</x:v>
      </x:c>
      <x:c r="C139" s="32" t="n">
        <x:f>$F$125*MIN($B139,$G$125)+$I$125*MAX(0,$B139-$G$125)+$J$125*MAX(0,$B139-$K$125)</x:f>
        <x:v>287.82</x:v>
      </x:c>
      <x:c r="D139" s="32" t="n">
        <x:f>$F$126*MIN($B139,$G$126)+$I$126*MAX(0,$B139-$G$126)+$J$126*MAX(0,$B139-$K$126)</x:f>
        <x:v>433.485</x:v>
      </x:c>
      <x:c r="E139" s="32" t="n">
        <x:f>$F$127*MIN($B139,$G$127)+$I$127*MAX(0,$B139-$G$127)+$J$127*MAX(0,$B139-$K$127)</x:f>
        <x:v>585</x:v>
      </x:c>
      <x:c r="F139" s="32" t="n">
        <x:f>$F$128*MIN($B139,$G$128)+$I$128*MAX(0,$B139-$G$128)+$J$128*MAX(0,$B139-$K$128)</x:f>
        <x:v>738.73</x:v>
      </x:c>
      <x:c r="G139" s="32" t="n">
        <x:f>$F$129*MIN($B139,$G$129)+$I$129*MAX(0,$B139-$G$129)+$J$129*MAX(0,$B139-$K$129)</x:f>
        <x:v>895.4</x:v>
      </x:c>
      <x:c r="H139" s="32" t="n">
        <x:f>-($M$125*MIN($B139,$N$125)+$P$125*MAX(0,$B139-$N$125))</x:f>
        <x:v>-303.75</x:v>
      </x:c>
      <x:c r="I139" s="32" t="n">
        <x:f>-($M$126*MIN($B139,$N$126)+$P$126*MAX(0,$B139-$N$126))</x:f>
        <x:v>-416.25</x:v>
      </x:c>
      <x:c r="J139" s="32" t="n">
        <x:f>-($M$127*MIN($B139,$N$127)+$P$127*MAX(0,$B139-$N$127))</x:f>
        <x:v>-528.75</x:v>
      </x:c>
      <x:c r="K139" s="32" t="n">
        <x:f>-($M$128*MIN($B139,$N$128)+$P$128*MAX(0,$B139-$N$128))</x:f>
        <x:v>-641.25</x:v>
      </x:c>
      <x:c r="L139" s="32" t="n">
        <x:f>-($M$129*MIN($B139,$N$129)+$P$129*MAX(0,$B139-$N$129))</x:f>
        <x:v>-753.75</x:v>
      </x:c>
      <x:c r="M139" s="18"/>
      <x:c r="N139" s="18"/>
      <x:c r="O139" s="18"/>
      <x:c r="P139" s="18"/>
      <x:c r="Q139" s="18"/>
      <x:c r="R139" s="18"/>
      <x:c r="S139" s="18"/>
      <x:c r="T139" s="18"/>
      <x:c r="U139" s="18"/>
      <x:c r="V139" s="18"/>
    </x:row>
    <x:row r="140" ht="22" customHeight="1">
      <x:c r="B140" s="32" t="n">
        <x:v>0.3</x:v>
      </x:c>
      <x:c r="C140" s="32" t="n">
        <x:f>$F$125*MIN($B140,$G$125)+$I$125*MAX(0,$B140-$G$125)+$J$125*MAX(0,$B140-$K$125)</x:f>
        <x:v>338.52</x:v>
      </x:c>
      <x:c r="D140" s="32" t="n">
        <x:f>$F$126*MIN($B140,$G$126)+$I$126*MAX(0,$B140-$G$126)+$J$126*MAX(0,$B140-$K$126)</x:f>
        <x:v>510.43499999999995</x:v>
      </x:c>
      <x:c r="E140" s="32" t="n">
        <x:f>$F$127*MIN($B140,$G$127)+$I$127*MAX(0,$B140-$G$127)+$J$127*MAX(0,$B140-$K$127)</x:f>
        <x:v>690</x:v>
      </x:c>
      <x:c r="F140" s="32" t="n">
        <x:f>$F$128*MIN($B140,$G$128)+$I$128*MAX(0,$B140-$G$128)+$J$128*MAX(0,$B140-$K$128)</x:f>
        <x:v>873.5799999999999</x:v>
      </x:c>
      <x:c r="G140" s="32" t="n">
        <x:f>$F$129*MIN($B140,$G$129)+$I$129*MAX(0,$B140-$G$129)+$J$129*MAX(0,$B140-$K$129)</x:f>
        <x:v>1061.8999999999999</x:v>
      </x:c>
      <x:c r="H140" s="32" t="n">
        <x:f>-($M$125*MIN($B140,$N$125)+$P$125*MAX(0,$B140-$N$125))</x:f>
        <x:v>-364.5</x:v>
      </x:c>
      <x:c r="I140" s="32" t="n">
        <x:f>-($M$126*MIN($B140,$N$126)+$P$126*MAX(0,$B140-$N$126))</x:f>
        <x:v>-499.5</x:v>
      </x:c>
      <x:c r="J140" s="32" t="n">
        <x:f>-($M$127*MIN($B140,$N$127)+$P$127*MAX(0,$B140-$N$127))</x:f>
        <x:v>-634.5</x:v>
      </x:c>
      <x:c r="K140" s="32" t="n">
        <x:f>-($M$128*MIN($B140,$N$128)+$P$128*MAX(0,$B140-$N$128))</x:f>
        <x:v>-769.5</x:v>
      </x:c>
      <x:c r="L140" s="32" t="n">
        <x:f>-($M$129*MIN($B140,$N$129)+$P$129*MAX(0,$B140-$N$129))</x:f>
        <x:v>-904.5</x:v>
      </x:c>
      <x:c r="M140" s="18"/>
      <x:c r="N140" s="18"/>
      <x:c r="O140" s="18"/>
      <x:c r="P140" s="18"/>
      <x:c r="Q140" s="18"/>
      <x:c r="R140" s="18"/>
      <x:c r="S140" s="18"/>
      <x:c r="T140" s="18"/>
      <x:c r="U140" s="18"/>
      <x:c r="V140" s="18"/>
    </x:row>
    <x:row r="141" ht="22" customHeight="1">
      <x:c r="B141" s="32" t="n">
        <x:v>0.35</x:v>
      </x:c>
      <x:c r="C141" s="32" t="n">
        <x:f>$F$125*MIN($B141,$G$125)+$I$125*MAX(0,$B141-$G$125)+$J$125*MAX(0,$B141-$K$125)</x:f>
        <x:v>389.21999999999997</x:v>
      </x:c>
      <x:c r="D141" s="32" t="n">
        <x:f>$F$126*MIN($B141,$G$126)+$I$126*MAX(0,$B141-$G$126)+$J$126*MAX(0,$B141-$K$126)</x:f>
        <x:v>587.385</x:v>
      </x:c>
      <x:c r="E141" s="32" t="n">
        <x:f>$F$127*MIN($B141,$G$127)+$I$127*MAX(0,$B141-$G$127)+$J$127*MAX(0,$B141-$K$127)</x:f>
        <x:v>795</x:v>
      </x:c>
      <x:c r="F141" s="32" t="n">
        <x:f>$F$128*MIN($B141,$G$128)+$I$128*MAX(0,$B141-$G$128)+$J$128*MAX(0,$B141-$K$128)</x:f>
        <x:v>1008.43</x:v>
      </x:c>
      <x:c r="G141" s="32" t="n">
        <x:f>$F$129*MIN($B141,$G$129)+$I$129*MAX(0,$B141-$G$129)+$J$129*MAX(0,$B141-$K$129)</x:f>
        <x:v>1228.3999999999999</x:v>
      </x:c>
      <x:c r="H141" s="32" t="n">
        <x:f>-($M$125*MIN($B141,$N$125)+$P$125*MAX(0,$B141-$N$125))</x:f>
        <x:v>-409.455</x:v>
      </x:c>
      <x:c r="I141" s="32" t="n">
        <x:f>-($M$126*MIN($B141,$N$126)+$P$126*MAX(0,$B141-$N$126))</x:f>
        <x:v>-573.5925</x:v>
      </x:c>
      <x:c r="J141" s="32" t="n">
        <x:f>-($M$127*MIN($B141,$N$127)+$P$127*MAX(0,$B141-$N$127))</x:f>
        <x:v>-740.25</x:v>
      </x:c>
      <x:c r="K141" s="32" t="n">
        <x:f>-($M$128*MIN($B141,$N$128)+$P$128*MAX(0,$B141-$N$128))</x:f>
        <x:v>-897.7499999999999</x:v>
      </x:c>
      <x:c r="L141" s="32" t="n">
        <x:f>-($M$129*MIN($B141,$N$129)+$P$129*MAX(0,$B141-$N$129))</x:f>
        <x:v>-1055.25</x:v>
      </x:c>
      <x:c r="M141" s="18"/>
      <x:c r="N141" s="18"/>
      <x:c r="O141" s="18"/>
      <x:c r="P141" s="18"/>
      <x:c r="Q141" s="18"/>
      <x:c r="R141" s="18"/>
      <x:c r="S141" s="18"/>
      <x:c r="T141" s="18"/>
      <x:c r="U141" s="18"/>
      <x:c r="V141" s="18"/>
    </x:row>
    <x:row r="142" ht="22" customHeight="1">
      <x:c r="B142" s="32" t="n">
        <x:v>0.4</x:v>
      </x:c>
      <x:c r="C142" s="32" t="n">
        <x:f>$F$125*MIN($B142,$G$125)+$I$125*MAX(0,$B142-$G$125)+$J$125*MAX(0,$B142-$K$125)</x:f>
        <x:v>439.92</x:v>
      </x:c>
      <x:c r="D142" s="32" t="n">
        <x:f>$F$126*MIN($B142,$G$126)+$I$126*MAX(0,$B142-$G$126)+$J$126*MAX(0,$B142-$K$126)</x:f>
        <x:v>664.335</x:v>
      </x:c>
      <x:c r="E142" s="32" t="n">
        <x:f>$F$127*MIN($B142,$G$127)+$I$127*MAX(0,$B142-$G$127)+$J$127*MAX(0,$B142-$K$127)</x:f>
        <x:v>900</x:v>
      </x:c>
      <x:c r="F142" s="32" t="n">
        <x:f>$F$128*MIN($B142,$G$128)+$I$128*MAX(0,$B142-$G$128)+$J$128*MAX(0,$B142-$K$128)</x:f>
        <x:v>1143.2800000000002</x:v>
      </x:c>
      <x:c r="G142" s="32" t="n">
        <x:f>$F$129*MIN($B142,$G$129)+$I$129*MAX(0,$B142-$G$129)+$J$129*MAX(0,$B142-$K$129)</x:f>
        <x:v>1394.9</x:v>
      </x:c>
      <x:c r="H142" s="32" t="n">
        <x:f>-($M$125*MIN($B142,$N$125)+$P$125*MAX(0,$B142-$N$125))</x:f>
        <x:v>-454.41</x:v>
      </x:c>
      <x:c r="I142" s="32" t="n">
        <x:f>-($M$126*MIN($B142,$N$126)+$P$126*MAX(0,$B142-$N$126))</x:f>
        <x:v>-638.5274999999999</x:v>
      </x:c>
      <x:c r="J142" s="32" t="n">
        <x:f>-($M$127*MIN($B142,$N$127)+$P$127*MAX(0,$B142-$N$127))</x:f>
        <x:v>-826.965</x:v>
      </x:c>
      <x:c r="K142" s="32" t="n">
        <x:f>-($M$128*MIN($B142,$N$128)+$P$128*MAX(0,$B142-$N$128))</x:f>
        <x:v>-1017.0225</x:v>
      </x:c>
      <x:c r="L142" s="32" t="n">
        <x:f>-($M$129*MIN($B142,$N$129)+$P$129*MAX(0,$B142-$N$129))</x:f>
        <x:v>-1206</x:v>
      </x:c>
      <x:c r="M142" s="18"/>
      <x:c r="N142" s="18"/>
      <x:c r="O142" s="18"/>
      <x:c r="P142" s="18"/>
      <x:c r="Q142" s="18"/>
      <x:c r="R142" s="18"/>
      <x:c r="S142" s="18"/>
      <x:c r="T142" s="18"/>
      <x:c r="U142" s="18"/>
      <x:c r="V142" s="18"/>
    </x:row>
    <x:row r="143" ht="22" customHeight="1">
      <x:c r="B143" s="32" t="n">
        <x:v>0.45</x:v>
      </x:c>
      <x:c r="C143" s="32" t="n">
        <x:f>$F$125*MIN($B143,$G$125)+$I$125*MAX(0,$B143-$G$125)+$J$125*MAX(0,$B143-$K$125)</x:f>
        <x:v>490.62</x:v>
      </x:c>
      <x:c r="D143" s="32" t="n">
        <x:f>$F$126*MIN($B143,$G$126)+$I$126*MAX(0,$B143-$G$126)+$J$126*MAX(0,$B143-$K$126)</x:f>
        <x:v>741.2850000000001</x:v>
      </x:c>
      <x:c r="E143" s="32" t="n">
        <x:f>$F$127*MIN($B143,$G$127)+$I$127*MAX(0,$B143-$G$127)+$J$127*MAX(0,$B143-$K$127)</x:f>
        <x:v>1005.0000000000001</x:v>
      </x:c>
      <x:c r="F143" s="32" t="n">
        <x:f>$F$128*MIN($B143,$G$128)+$I$128*MAX(0,$B143-$G$128)+$J$128*MAX(0,$B143-$K$128)</x:f>
        <x:v>1278.13</x:v>
      </x:c>
      <x:c r="G143" s="32" t="n">
        <x:f>$F$129*MIN($B143,$G$129)+$I$129*MAX(0,$B143-$G$129)+$J$129*MAX(0,$B143-$K$129)</x:f>
        <x:v>1561.4</x:v>
      </x:c>
      <x:c r="H143" s="32" t="n">
        <x:f>-($M$125*MIN($B143,$N$125)+$P$125*MAX(0,$B143-$N$125))</x:f>
        <x:v>-499.365</x:v>
      </x:c>
      <x:c r="I143" s="32" t="n">
        <x:f>-($M$126*MIN($B143,$N$126)+$P$126*MAX(0,$B143-$N$126))</x:f>
        <x:v>-703.4625</x:v>
      </x:c>
      <x:c r="J143" s="32" t="n">
        <x:f>-($M$127*MIN($B143,$N$127)+$P$127*MAX(0,$B143-$N$127))</x:f>
        <x:v>-913.6800000000001</x:v>
      </x:c>
      <x:c r="K143" s="32" t="n">
        <x:f>-($M$128*MIN($B143,$N$128)+$P$128*MAX(0,$B143-$N$128))</x:f>
        <x:v>-1127.3175</x:v>
      </x:c>
      <x:c r="L143" s="32" t="n">
        <x:f>-($M$129*MIN($B143,$N$129)+$P$129*MAX(0,$B143-$N$129))</x:f>
        <x:v>-1341.675</x:v>
      </x:c>
      <x:c r="M143" s="18"/>
      <x:c r="N143" s="18"/>
      <x:c r="O143" s="18"/>
      <x:c r="P143" s="18"/>
      <x:c r="Q143" s="18"/>
      <x:c r="R143" s="18"/>
      <x:c r="S143" s="18"/>
      <x:c r="T143" s="18"/>
      <x:c r="U143" s="18"/>
      <x:c r="V143" s="18"/>
    </x:row>
    <x:row r="144" ht="22" customHeight="1">
      <x:c r="B144" s="32" t="n">
        <x:v>0.5</x:v>
      </x:c>
      <x:c r="C144" s="32" t="n">
        <x:f>$F$125*MIN($B144,$G$125)+$I$125*MAX(0,$B144-$G$125)+$J$125*MAX(0,$B144-$K$125)</x:f>
        <x:v>541.3199999999999</x:v>
      </x:c>
      <x:c r="D144" s="32" t="n">
        <x:f>$F$126*MIN($B144,$G$126)+$I$126*MAX(0,$B144-$G$126)+$J$126*MAX(0,$B144-$K$126)</x:f>
        <x:v>818.235</x:v>
      </x:c>
      <x:c r="E144" s="32" t="n">
        <x:f>$F$127*MIN($B144,$G$127)+$I$127*MAX(0,$B144-$G$127)+$J$127*MAX(0,$B144-$K$127)</x:f>
        <x:v>1110</x:v>
      </x:c>
      <x:c r="F144" s="32" t="n">
        <x:f>$F$128*MIN($B144,$G$128)+$I$128*MAX(0,$B144-$G$128)+$J$128*MAX(0,$B144-$K$128)</x:f>
        <x:v>1412.98</x:v>
      </x:c>
      <x:c r="G144" s="32" t="n">
        <x:f>$F$129*MIN($B144,$G$129)+$I$129*MAX(0,$B144-$G$129)+$J$129*MAX(0,$B144-$K$129)</x:f>
        <x:v>1727.8999999999999</x:v>
      </x:c>
      <x:c r="H144" s="32" t="n">
        <x:f>-($M$125*MIN($B144,$N$125)+$P$125*MAX(0,$B144-$N$125))</x:f>
        <x:v>-544.32</x:v>
      </x:c>
      <x:c r="I144" s="32" t="n">
        <x:f>-($M$126*MIN($B144,$N$126)+$P$126*MAX(0,$B144-$N$126))</x:f>
        <x:v>-768.3974999999999</x:v>
      </x:c>
      <x:c r="J144" s="32" t="n">
        <x:f>-($M$127*MIN($B144,$N$127)+$P$127*MAX(0,$B144-$N$127))</x:f>
        <x:v>-1000.395</x:v>
      </x:c>
      <x:c r="K144" s="32" t="n">
        <x:f>-($M$128*MIN($B144,$N$128)+$P$128*MAX(0,$B144-$N$128))</x:f>
        <x:v>-1237.6125</x:v>
      </x:c>
      <x:c r="L144" s="32" t="n">
        <x:f>-($M$129*MIN($B144,$N$129)+$P$129*MAX(0,$B144-$N$129))</x:f>
        <x:v>-1477.35</x:v>
      </x:c>
      <x:c r="M144" s="18"/>
      <x:c r="N144" s="18"/>
      <x:c r="O144" s="18"/>
      <x:c r="P144" s="18"/>
      <x:c r="Q144" s="18"/>
      <x:c r="R144" s="18"/>
      <x:c r="S144" s="18"/>
      <x:c r="T144" s="18"/>
      <x:c r="U144" s="18"/>
      <x:c r="V144" s="18"/>
    </x:row>
    <x:row r="145" ht="22" customHeight="1">
      <x:c r="B145" s="32" t="n">
        <x:v>0.55</x:v>
      </x:c>
      <x:c r="C145" s="32" t="n">
        <x:f>$F$125*MIN($B145,$G$125)+$I$125*MAX(0,$B145-$G$125)+$J$125*MAX(0,$B145-$K$125)</x:f>
        <x:v>592.02</x:v>
      </x:c>
      <x:c r="D145" s="32" t="n">
        <x:f>$F$126*MIN($B145,$G$126)+$I$126*MAX(0,$B145-$G$126)+$J$126*MAX(0,$B145-$K$126)</x:f>
        <x:v>895.1850000000001</x:v>
      </x:c>
      <x:c r="E145" s="32" t="n">
        <x:f>$F$127*MIN($B145,$G$127)+$I$127*MAX(0,$B145-$G$127)+$J$127*MAX(0,$B145-$K$127)</x:f>
        <x:v>1215</x:v>
      </x:c>
      <x:c r="F145" s="32" t="n">
        <x:f>$F$128*MIN($B145,$G$128)+$I$128*MAX(0,$B145-$G$128)+$J$128*MAX(0,$B145-$K$128)</x:f>
        <x:v>1547.83</x:v>
      </x:c>
      <x:c r="G145" s="32" t="n">
        <x:f>$F$129*MIN($B145,$G$129)+$I$129*MAX(0,$B145-$G$129)+$J$129*MAX(0,$B145-$K$129)</x:f>
        <x:v>1894.4</x:v>
      </x:c>
      <x:c r="H145" s="32" t="n">
        <x:f>-($M$125*MIN($B145,$N$125)+$P$125*MAX(0,$B145-$N$125))</x:f>
        <x:v>-589.2750000000001</x:v>
      </x:c>
      <x:c r="I145" s="32" t="n">
        <x:f>-($M$126*MIN($B145,$N$126)+$P$126*MAX(0,$B145-$N$126))</x:f>
        <x:v>-833.3325</x:v>
      </x:c>
      <x:c r="J145" s="32" t="n">
        <x:f>-($M$127*MIN($B145,$N$127)+$P$127*MAX(0,$B145-$N$127))</x:f>
        <x:v>-1087.1100000000001</x:v>
      </x:c>
      <x:c r="K145" s="32" t="n">
        <x:f>-($M$128*MIN($B145,$N$128)+$P$128*MAX(0,$B145-$N$128))</x:f>
        <x:v>-1347.9075000000003</x:v>
      </x:c>
      <x:c r="L145" s="32" t="n">
        <x:f>-($M$129*MIN($B145,$N$129)+$P$129*MAX(0,$B145-$N$129))</x:f>
        <x:v>-1613.025</x:v>
      </x:c>
      <x:c r="M145" s="18"/>
      <x:c r="N145" s="18"/>
      <x:c r="O145" s="18"/>
      <x:c r="P145" s="18"/>
      <x:c r="Q145" s="18"/>
      <x:c r="R145" s="18"/>
      <x:c r="S145" s="18"/>
      <x:c r="T145" s="18"/>
      <x:c r="U145" s="18"/>
      <x:c r="V145" s="18"/>
    </x:row>
    <x:row r="146" ht="22" customHeight="1">
      <x:c r="B146" s="32" t="n">
        <x:v>0.6</x:v>
      </x:c>
      <x:c r="C146" s="32" t="n">
        <x:f>$F$125*MIN($B146,$G$125)+$I$125*MAX(0,$B146-$G$125)+$J$125*MAX(0,$B146-$K$125)</x:f>
        <x:v>662.72</x:v>
      </x:c>
      <x:c r="D146" s="32" t="n">
        <x:f>$F$126*MIN($B146,$G$126)+$I$126*MAX(0,$B146-$G$126)+$J$126*MAX(0,$B146-$K$126)</x:f>
        <x:v>989.635</x:v>
      </x:c>
      <x:c r="E146" s="32" t="n">
        <x:f>$F$127*MIN($B146,$G$127)+$I$127*MAX(0,$B146-$G$127)+$J$127*MAX(0,$B146-$K$127)</x:f>
        <x:v>1320</x:v>
      </x:c>
      <x:c r="F146" s="32" t="n">
        <x:f>$F$128*MIN($B146,$G$128)+$I$128*MAX(0,$B146-$G$128)+$J$128*MAX(0,$B146-$K$128)</x:f>
        <x:v>1682.6799999999998</x:v>
      </x:c>
      <x:c r="G146" s="32" t="n">
        <x:f>$F$129*MIN($B146,$G$129)+$I$129*MAX(0,$B146-$G$129)+$J$129*MAX(0,$B146-$K$129)</x:f>
        <x:v>2060.8999999999996</x:v>
      </x:c>
      <x:c r="H146" s="32" t="n">
        <x:f>-($M$125*MIN($B146,$N$125)+$P$125*MAX(0,$B146-$N$125))</x:f>
        <x:v>-634.23</x:v>
      </x:c>
      <x:c r="I146" s="32" t="n">
        <x:f>-($M$126*MIN($B146,$N$126)+$P$126*MAX(0,$B146-$N$126))</x:f>
        <x:v>-898.2674999999999</x:v>
      </x:c>
      <x:c r="J146" s="32" t="n">
        <x:f>-($M$127*MIN($B146,$N$127)+$P$127*MAX(0,$B146-$N$127))</x:f>
        <x:v>-1173.825</x:v>
      </x:c>
      <x:c r="K146" s="32" t="n">
        <x:f>-($M$128*MIN($B146,$N$128)+$P$128*MAX(0,$B146-$N$128))</x:f>
        <x:v>-1458.2024999999999</x:v>
      </x:c>
      <x:c r="L146" s="32" t="n">
        <x:f>-($M$129*MIN($B146,$N$129)+$P$129*MAX(0,$B146-$N$129))</x:f>
        <x:v>-1748.6999999999998</x:v>
      </x:c>
      <x:c r="M146" s="18"/>
      <x:c r="N146" s="18"/>
      <x:c r="O146" s="18"/>
      <x:c r="P146" s="18"/>
      <x:c r="Q146" s="18"/>
      <x:c r="R146" s="18"/>
      <x:c r="S146" s="18"/>
      <x:c r="T146" s="18"/>
      <x:c r="U146" s="18"/>
      <x:c r="V146" s="18"/>
    </x:row>
    <x:row r="147" ht="22" customHeight="1">
      <x:c r="B147" s="32" t="n">
        <x:v>0.65</x:v>
      </x:c>
      <x:c r="C147" s="32" t="n">
        <x:f>$F$125*MIN($B147,$G$125)+$I$125*MAX(0,$B147-$G$125)+$J$125*MAX(0,$B147-$K$125)</x:f>
        <x:v>763.4200000000001</x:v>
      </x:c>
      <x:c r="D147" s="32" t="n">
        <x:f>$F$126*MIN($B147,$G$126)+$I$126*MAX(0,$B147-$G$126)+$J$126*MAX(0,$B147-$K$126)</x:f>
        <x:v>1154.085</x:v>
      </x:c>
      <x:c r="E147" s="32" t="n">
        <x:f>$F$127*MIN($B147,$G$127)+$I$127*MAX(0,$B147-$G$127)+$J$127*MAX(0,$B147-$K$127)</x:f>
        <x:v>1550</x:v>
      </x:c>
      <x:c r="F147" s="32" t="n">
        <x:f>$F$128*MIN($B147,$G$128)+$I$128*MAX(0,$B147-$G$128)+$J$128*MAX(0,$B147-$K$128)</x:f>
        <x:v>1947.5300000000002</x:v>
      </x:c>
      <x:c r="G147" s="32" t="n">
        <x:f>$F$129*MIN($B147,$G$129)+$I$129*MAX(0,$B147-$G$129)+$J$129*MAX(0,$B147-$K$129)</x:f>
        <x:v>2347.3999999999996</x:v>
      </x:c>
      <x:c r="H147" s="32" t="n">
        <x:f>-($M$125*MIN($B147,$N$125)+$P$125*MAX(0,$B147-$N$125))</x:f>
        <x:v>-679.1850000000001</x:v>
      </x:c>
      <x:c r="I147" s="32" t="n">
        <x:f>-($M$126*MIN($B147,$N$126)+$P$126*MAX(0,$B147-$N$126))</x:f>
        <x:v>-963.2025</x:v>
      </x:c>
      <x:c r="J147" s="32" t="n">
        <x:f>-($M$127*MIN($B147,$N$127)+$P$127*MAX(0,$B147-$N$127))</x:f>
        <x:v>-1260.54</x:v>
      </x:c>
      <x:c r="K147" s="32" t="n">
        <x:f>-($M$128*MIN($B147,$N$128)+$P$128*MAX(0,$B147-$N$128))</x:f>
        <x:v>-1568.4975</x:v>
      </x:c>
      <x:c r="L147" s="32" t="n">
        <x:f>-($M$129*MIN($B147,$N$129)+$P$129*MAX(0,$B147-$N$129))</x:f>
        <x:v>-1884.375</x:v>
      </x:c>
      <x:c r="M147" s="18"/>
      <x:c r="N147" s="18"/>
      <x:c r="O147" s="18"/>
      <x:c r="P147" s="18"/>
      <x:c r="Q147" s="18"/>
      <x:c r="R147" s="18"/>
      <x:c r="S147" s="18"/>
      <x:c r="T147" s="18"/>
      <x:c r="U147" s="18"/>
      <x:c r="V147" s="18"/>
    </x:row>
    <x:row r="148" ht="22" customHeight="1">
      <x:c r="B148" s="32" t="n">
        <x:v>0.7</x:v>
      </x:c>
      <x:c r="C148" s="32" t="n">
        <x:f>$F$125*MIN($B148,$G$125)+$I$125*MAX(0,$B148-$G$125)+$J$125*MAX(0,$B148-$K$125)</x:f>
        <x:v>864.12</x:v>
      </x:c>
      <x:c r="D148" s="32" t="n">
        <x:f>$F$126*MIN($B148,$G$126)+$I$126*MAX(0,$B148-$G$126)+$J$126*MAX(0,$B148-$K$126)</x:f>
        <x:v>1318.5349999999999</x:v>
      </x:c>
      <x:c r="E148" s="32" t="n">
        <x:f>$F$127*MIN($B148,$G$127)+$I$127*MAX(0,$B148-$G$127)+$J$127*MAX(0,$B148-$K$127)</x:f>
        <x:v>1779.9999999999998</x:v>
      </x:c>
      <x:c r="F148" s="32" t="n">
        <x:f>$F$128*MIN($B148,$G$128)+$I$128*MAX(0,$B148-$G$128)+$J$128*MAX(0,$B148-$K$128)</x:f>
        <x:v>2244.8799999999997</x:v>
      </x:c>
      <x:c r="G148" s="32" t="n">
        <x:f>$F$129*MIN($B148,$G$129)+$I$129*MAX(0,$B148-$G$129)+$J$129*MAX(0,$B148-$K$129)</x:f>
        <x:v>2713.8999999999996</x:v>
      </x:c>
      <x:c r="H148" s="32" t="n">
        <x:f>-($M$125*MIN($B148,$N$125)+$P$125*MAX(0,$B148-$N$125))</x:f>
        <x:v>-724.14</x:v>
      </x:c>
      <x:c r="I148" s="32" t="n">
        <x:f>-($M$126*MIN($B148,$N$126)+$P$126*MAX(0,$B148-$N$126))</x:f>
        <x:v>-1028.1374999999998</x:v>
      </x:c>
      <x:c r="J148" s="32" t="n">
        <x:f>-($M$127*MIN($B148,$N$127)+$P$127*MAX(0,$B148-$N$127))</x:f>
        <x:v>-1347.255</x:v>
      </x:c>
      <x:c r="K148" s="32" t="n">
        <x:f>-($M$128*MIN($B148,$N$128)+$P$128*MAX(0,$B148-$N$128))</x:f>
        <x:v>-1678.7925</x:v>
      </x:c>
      <x:c r="L148" s="32" t="n">
        <x:f>-($M$129*MIN($B148,$N$129)+$P$129*MAX(0,$B148-$N$129))</x:f>
        <x:v>-2020.0499999999997</x:v>
      </x:c>
      <x:c r="M148" s="18"/>
      <x:c r="N148" s="18"/>
      <x:c r="O148" s="18"/>
      <x:c r="P148" s="18"/>
      <x:c r="Q148" s="18"/>
      <x:c r="R148" s="18"/>
      <x:c r="S148" s="18"/>
      <x:c r="T148" s="18"/>
      <x:c r="U148" s="18"/>
      <x:c r="V148" s="18"/>
    </x:row>
    <x:row r="149" ht="22" customHeight="1">
      <x:c r="B149" s="32" t="n">
        <x:v>0.75</x:v>
      </x:c>
      <x:c r="C149" s="32" t="n">
        <x:f>$F$125*MIN($B149,$G$125)+$I$125*MAX(0,$B149-$G$125)+$J$125*MAX(0,$B149-$K$125)</x:f>
        <x:v>964.82</x:v>
      </x:c>
      <x:c r="D149" s="32" t="n">
        <x:f>$F$126*MIN($B149,$G$126)+$I$126*MAX(0,$B149-$G$126)+$J$126*MAX(0,$B149-$K$126)</x:f>
        <x:v>1482.9850000000001</x:v>
      </x:c>
      <x:c r="E149" s="32" t="n">
        <x:f>$F$127*MIN($B149,$G$127)+$I$127*MAX(0,$B149-$G$127)+$J$127*MAX(0,$B149-$K$127)</x:f>
        <x:v>2010</x:v>
      </x:c>
      <x:c r="F149" s="32" t="n">
        <x:f>$F$128*MIN($B149,$G$128)+$I$128*MAX(0,$B149-$G$128)+$J$128*MAX(0,$B149-$K$128)</x:f>
        <x:v>2542.23</x:v>
      </x:c>
      <x:c r="G149" s="32" t="n">
        <x:f>$F$129*MIN($B149,$G$129)+$I$129*MAX(0,$B149-$G$129)+$J$129*MAX(0,$B149-$K$129)</x:f>
        <x:v>3080.3999999999996</x:v>
      </x:c>
      <x:c r="H149" s="32" t="n">
        <x:f>-($M$125*MIN($B149,$N$125)+$P$125*MAX(0,$B149-$N$125))</x:f>
        <x:v>-769.095</x:v>
      </x:c>
      <x:c r="I149" s="32" t="n">
        <x:f>-($M$126*MIN($B149,$N$126)+$P$126*MAX(0,$B149-$N$126))</x:f>
        <x:v>-1093.0725</x:v>
      </x:c>
      <x:c r="J149" s="32" t="n">
        <x:f>-($M$127*MIN($B149,$N$127)+$P$127*MAX(0,$B149-$N$127))</x:f>
        <x:v>-1433.97</x:v>
      </x:c>
      <x:c r="K149" s="32" t="n">
        <x:f>-($M$128*MIN($B149,$N$128)+$P$128*MAX(0,$B149-$N$128))</x:f>
        <x:v>-1789.0875</x:v>
      </x:c>
      <x:c r="L149" s="32" t="n">
        <x:f>-($M$129*MIN($B149,$N$129)+$P$129*MAX(0,$B149-$N$129))</x:f>
        <x:v>-2155.725</x:v>
      </x:c>
      <x:c r="M149" s="18"/>
      <x:c r="N149" s="18"/>
      <x:c r="O149" s="18"/>
      <x:c r="P149" s="18"/>
      <x:c r="Q149" s="18"/>
      <x:c r="R149" s="18"/>
      <x:c r="S149" s="18"/>
      <x:c r="T149" s="18"/>
      <x:c r="U149" s="18"/>
      <x:c r="V149" s="18"/>
    </x:row>
    <x:row r="150" ht="22" customHeight="1">
      <x:c r="B150" s="32" t="n">
        <x:v>0.8</x:v>
      </x:c>
      <x:c r="C150" s="32" t="n">
        <x:f>$F$125*MIN($B150,$G$125)+$I$125*MAX(0,$B150-$G$125)+$J$125*MAX(0,$B150-$K$125)</x:f>
        <x:v>1065.5200000000002</x:v>
      </x:c>
      <x:c r="D150" s="32" t="n">
        <x:f>$F$126*MIN($B150,$G$126)+$I$126*MAX(0,$B150-$G$126)+$J$126*MAX(0,$B150-$K$126)</x:f>
        <x:v>1647.435</x:v>
      </x:c>
      <x:c r="E150" s="32" t="n">
        <x:f>$F$127*MIN($B150,$G$127)+$I$127*MAX(0,$B150-$G$127)+$J$127*MAX(0,$B150-$K$127)</x:f>
        <x:v>2240</x:v>
      </x:c>
      <x:c r="F150" s="32" t="n">
        <x:f>$F$128*MIN($B150,$G$128)+$I$128*MAX(0,$B150-$G$128)+$J$128*MAX(0,$B150-$K$128)</x:f>
        <x:v>2839.58</x:v>
      </x:c>
      <x:c r="G150" s="32" t="n">
        <x:f>$F$129*MIN($B150,$G$129)+$I$129*MAX(0,$B150-$G$129)+$J$129*MAX(0,$B150-$K$129)</x:f>
        <x:v>3446.9000000000005</x:v>
      </x:c>
      <x:c r="H150" s="32" t="n">
        <x:f>-($M$125*MIN($B150,$N$125)+$P$125*MAX(0,$B150-$N$125))</x:f>
        <x:v>-814.05</x:v>
      </x:c>
      <x:c r="I150" s="32" t="n">
        <x:f>-($M$126*MIN($B150,$N$126)+$P$126*MAX(0,$B150-$N$126))</x:f>
        <x:v>-1158.0075000000002</x:v>
      </x:c>
      <x:c r="J150" s="32" t="n">
        <x:f>-($M$127*MIN($B150,$N$127)+$P$127*MAX(0,$B150-$N$127))</x:f>
        <x:v>-1520.685</x:v>
      </x:c>
      <x:c r="K150" s="32" t="n">
        <x:f>-($M$128*MIN($B150,$N$128)+$P$128*MAX(0,$B150-$N$128))</x:f>
        <x:v>-1899.3825000000002</x:v>
      </x:c>
      <x:c r="L150" s="32" t="n">
        <x:f>-($M$129*MIN($B150,$N$129)+$P$129*MAX(0,$B150-$N$129))</x:f>
        <x:v>-2291.4</x:v>
      </x:c>
      <x:c r="M150" s="18"/>
      <x:c r="N150" s="18"/>
      <x:c r="O150" s="18"/>
      <x:c r="P150" s="18"/>
      <x:c r="Q150" s="18"/>
      <x:c r="R150" s="18"/>
      <x:c r="S150" s="18"/>
      <x:c r="T150" s="18"/>
      <x:c r="U150" s="18"/>
      <x:c r="V150" s="18"/>
    </x:row>
    <x:row r="151" ht="22" customHeight="1">
      <x:c r="B151" s="32" t="n">
        <x:v>0.85</x:v>
      </x:c>
      <x:c r="C151" s="32" t="n">
        <x:f>$F$125*MIN($B151,$G$125)+$I$125*MAX(0,$B151-$G$125)+$J$125*MAX(0,$B151-$K$125)</x:f>
        <x:v>1166.22</x:v>
      </x:c>
      <x:c r="D151" s="32" t="n">
        <x:f>$F$126*MIN($B151,$G$126)+$I$126*MAX(0,$B151-$G$126)+$J$126*MAX(0,$B151-$K$126)</x:f>
        <x:v>1811.885</x:v>
      </x:c>
      <x:c r="E151" s="32" t="n">
        <x:f>$F$127*MIN($B151,$G$127)+$I$127*MAX(0,$B151-$G$127)+$J$127*MAX(0,$B151-$K$127)</x:f>
        <x:v>2470</x:v>
      </x:c>
      <x:c r="F151" s="32" t="n">
        <x:f>$F$128*MIN($B151,$G$128)+$I$128*MAX(0,$B151-$G$128)+$J$128*MAX(0,$B151-$K$128)</x:f>
        <x:v>3136.93</x:v>
      </x:c>
      <x:c r="G151" s="32" t="n">
        <x:f>$F$129*MIN($B151,$G$129)+$I$129*MAX(0,$B151-$G$129)+$J$129*MAX(0,$B151-$K$129)</x:f>
        <x:v>3813.3999999999996</x:v>
      </x:c>
      <x:c r="H151" s="32" t="n">
        <x:f>-($M$125*MIN($B151,$N$125)+$P$125*MAX(0,$B151-$N$125))</x:f>
        <x:v>-859.0050000000001</x:v>
      </x:c>
      <x:c r="I151" s="32" t="n">
        <x:f>-($M$126*MIN($B151,$N$126)+$P$126*MAX(0,$B151-$N$126))</x:f>
        <x:v>-1222.9425</x:v>
      </x:c>
      <x:c r="J151" s="32" t="n">
        <x:f>-($M$127*MIN($B151,$N$127)+$P$127*MAX(0,$B151-$N$127))</x:f>
        <x:v>-1607.4</x:v>
      </x:c>
      <x:c r="K151" s="32" t="n">
        <x:f>-($M$128*MIN($B151,$N$128)+$P$128*MAX(0,$B151-$N$128))</x:f>
        <x:v>-2009.6775</x:v>
      </x:c>
      <x:c r="L151" s="32" t="n">
        <x:f>-($M$129*MIN($B151,$N$129)+$P$129*MAX(0,$B151-$N$129))</x:f>
        <x:v>-2427.075</x:v>
      </x:c>
      <x:c r="M151" s="18"/>
      <x:c r="N151" s="18"/>
      <x:c r="O151" s="18"/>
      <x:c r="P151" s="18"/>
      <x:c r="Q151" s="18"/>
      <x:c r="R151" s="18"/>
      <x:c r="S151" s="18"/>
      <x:c r="T151" s="18"/>
      <x:c r="U151" s="18"/>
      <x:c r="V151" s="18"/>
    </x:row>
    <x:row r="152" ht="22" customHeight="1">
      <x:c r="B152" s="32" t="n">
        <x:v>0.9</x:v>
      </x:c>
      <x:c r="C152" s="32" t="n">
        <x:f>$F$125*MIN($B152,$G$125)+$I$125*MAX(0,$B152-$G$125)+$J$125*MAX(0,$B152-$K$125)</x:f>
        <x:v>1266.92</x:v>
      </x:c>
      <x:c r="D152" s="32" t="n">
        <x:f>$F$126*MIN($B152,$G$126)+$I$126*MAX(0,$B152-$G$126)+$J$126*MAX(0,$B152-$K$126)</x:f>
        <x:v>1976.335</x:v>
      </x:c>
      <x:c r="E152" s="32" t="n">
        <x:f>$F$127*MIN($B152,$G$127)+$I$127*MAX(0,$B152-$G$127)+$J$127*MAX(0,$B152-$K$127)</x:f>
        <x:v>2700</x:v>
      </x:c>
      <x:c r="F152" s="32" t="n">
        <x:f>$F$128*MIN($B152,$G$128)+$I$128*MAX(0,$B152-$G$128)+$J$128*MAX(0,$B152-$K$128)</x:f>
        <x:v>3434.2799999999997</x:v>
      </x:c>
      <x:c r="G152" s="32" t="n">
        <x:f>$F$129*MIN($B152,$G$129)+$I$129*MAX(0,$B152-$G$129)+$J$129*MAX(0,$B152-$K$129)</x:f>
        <x:v>4179.9</x:v>
      </x:c>
      <x:c r="H152" s="32" t="n">
        <x:f>-($M$125*MIN($B152,$N$125)+$P$125*MAX(0,$B152-$N$125))</x:f>
        <x:v>-903.9600000000002</x:v>
      </x:c>
      <x:c r="I152" s="32" t="n">
        <x:f>-($M$126*MIN($B152,$N$126)+$P$126*MAX(0,$B152-$N$126))</x:f>
        <x:v>-1287.8775</x:v>
      </x:c>
      <x:c r="J152" s="32" t="n">
        <x:f>-($M$127*MIN($B152,$N$127)+$P$127*MAX(0,$B152-$N$127))</x:f>
        <x:v>-1694.115</x:v>
      </x:c>
      <x:c r="K152" s="32" t="n">
        <x:f>-($M$128*MIN($B152,$N$128)+$P$128*MAX(0,$B152-$N$128))</x:f>
        <x:v>-2119.9725</x:v>
      </x:c>
      <x:c r="L152" s="32" t="n">
        <x:f>-($M$129*MIN($B152,$N$129)+$P$129*MAX(0,$B152-$N$129))</x:f>
        <x:v>-2562.75</x:v>
      </x:c>
      <x:c r="M152" s="18"/>
      <x:c r="N152" s="18"/>
      <x:c r="O152" s="18"/>
      <x:c r="P152" s="18"/>
      <x:c r="Q152" s="18"/>
      <x:c r="R152" s="18"/>
      <x:c r="S152" s="18"/>
      <x:c r="T152" s="18"/>
      <x:c r="U152" s="18"/>
      <x:c r="V152" s="18"/>
    </x:row>
    <x:row r="153" ht="22" customHeight="1">
      <x:c r="B153" s="32" t="n">
        <x:v>0.95</x:v>
      </x:c>
      <x:c r="C153" s="32" t="n">
        <x:f>$F$125*MIN($B153,$G$125)+$I$125*MAX(0,$B153-$G$125)+$J$125*MAX(0,$B153-$K$125)</x:f>
        <x:v>1367.62</x:v>
      </x:c>
      <x:c r="D153" s="32" t="n">
        <x:f>$F$126*MIN($B153,$G$126)+$I$126*MAX(0,$B153-$G$126)+$J$126*MAX(0,$B153-$K$126)</x:f>
        <x:v>2140.785</x:v>
      </x:c>
      <x:c r="E153" s="32" t="n">
        <x:f>$F$127*MIN($B153,$G$127)+$I$127*MAX(0,$B153-$G$127)+$J$127*MAX(0,$B153-$K$127)</x:f>
        <x:v>2930</x:v>
      </x:c>
      <x:c r="F153" s="32" t="n">
        <x:f>$F$128*MIN($B153,$G$128)+$I$128*MAX(0,$B153-$G$128)+$J$128*MAX(0,$B153-$K$128)</x:f>
        <x:v>3731.6299999999997</x:v>
      </x:c>
      <x:c r="G153" s="32" t="n">
        <x:f>$F$129*MIN($B153,$G$129)+$I$129*MAX(0,$B153-$G$129)+$J$129*MAX(0,$B153-$K$129)</x:f>
        <x:v>4546.4</x:v>
      </x:c>
      <x:c r="H153" s="32" t="n">
        <x:f>-($M$125*MIN($B153,$N$125)+$P$125*MAX(0,$B153-$N$125))</x:f>
        <x:v>-948.915</x:v>
      </x:c>
      <x:c r="I153" s="32" t="n">
        <x:f>-($M$126*MIN($B153,$N$126)+$P$126*MAX(0,$B153-$N$126))</x:f>
        <x:v>-1352.8125</x:v>
      </x:c>
      <x:c r="J153" s="32" t="n">
        <x:f>-($M$127*MIN($B153,$N$127)+$P$127*MAX(0,$B153-$N$127))</x:f>
        <x:v>-1780.83</x:v>
      </x:c>
      <x:c r="K153" s="32" t="n">
        <x:f>-($M$128*MIN($B153,$N$128)+$P$128*MAX(0,$B153-$N$128))</x:f>
        <x:v>-2230.2675</x:v>
      </x:c>
      <x:c r="L153" s="32" t="n">
        <x:f>-($M$129*MIN($B153,$N$129)+$P$129*MAX(0,$B153-$N$129))</x:f>
        <x:v>-2698.4249999999997</x:v>
      </x:c>
      <x:c r="M153" s="18"/>
      <x:c r="N153" s="18"/>
      <x:c r="O153" s="18"/>
      <x:c r="P153" s="18"/>
      <x:c r="Q153" s="18"/>
      <x:c r="R153" s="18"/>
      <x:c r="S153" s="18"/>
      <x:c r="T153" s="18"/>
      <x:c r="U153" s="18"/>
      <x:c r="V153" s="18"/>
    </x:row>
    <x:row r="154" ht="22" customHeight="1">
      <x:c r="B154" s="32" t="n">
        <x:v>1</x:v>
      </x:c>
      <x:c r="C154" s="32" t="n">
        <x:f>$F$125*MIN($B154,$G$125)+$I$125*MAX(0,$B154-$G$125)+$J$125*MAX(0,$B154-$K$125)</x:f>
        <x:v>1468.3200000000002</x:v>
      </x:c>
      <x:c r="D154" s="32" t="n">
        <x:f>$F$126*MIN($B154,$G$126)+$I$126*MAX(0,$B154-$G$126)+$J$126*MAX(0,$B154-$K$126)</x:f>
        <x:v>2305.2349999999997</x:v>
      </x:c>
      <x:c r="E154" s="32" t="n">
        <x:f>$F$127*MIN($B154,$G$127)+$I$127*MAX(0,$B154-$G$127)+$J$127*MAX(0,$B154-$K$127)</x:f>
        <x:v>3160</x:v>
      </x:c>
      <x:c r="F154" s="32" t="n">
        <x:f>$F$128*MIN($B154,$G$128)+$I$128*MAX(0,$B154-$G$128)+$J$128*MAX(0,$B154-$K$128)</x:f>
        <x:v>4028.98</x:v>
      </x:c>
      <x:c r="G154" s="32" t="n">
        <x:f>$F$129*MIN($B154,$G$129)+$I$129*MAX(0,$B154-$G$129)+$J$129*MAX(0,$B154-$K$129)</x:f>
        <x:v>4912.9</x:v>
      </x:c>
      <x:c r="H154" s="32" t="n">
        <x:f>-($M$125*MIN($B154,$N$125)+$P$125*MAX(0,$B154-$N$125))</x:f>
        <x:v>-993.87</x:v>
      </x:c>
      <x:c r="I154" s="32" t="n">
        <x:f>-($M$126*MIN($B154,$N$126)+$P$126*MAX(0,$B154-$N$126))</x:f>
        <x:v>-1417.7475</x:v>
      </x:c>
      <x:c r="J154" s="32" t="n">
        <x:f>-($M$127*MIN($B154,$N$127)+$P$127*MAX(0,$B154-$N$127))</x:f>
        <x:v>-1867.545</x:v>
      </x:c>
      <x:c r="K154" s="32" t="n">
        <x:f>-($M$128*MIN($B154,$N$128)+$P$128*MAX(0,$B154-$N$128))</x:f>
        <x:v>-2340.5625</x:v>
      </x:c>
      <x:c r="L154" s="32" t="n">
        <x:f>-($M$129*MIN($B154,$N$129)+$P$129*MAX(0,$B154-$N$129))</x:f>
        <x:v>-2834.1</x:v>
      </x:c>
      <x:c r="M154" s="18"/>
      <x:c r="N154" s="18"/>
      <x:c r="O154" s="18"/>
      <x:c r="P154" s="18"/>
      <x:c r="Q154" s="18"/>
      <x:c r="R154" s="18"/>
      <x:c r="S154" s="18"/>
      <x:c r="T154" s="18"/>
      <x:c r="U154" s="18"/>
      <x:c r="V154" s="18"/>
    </x:row>
    <x:row r="155" ht="22" customHeight="1">
      <x:c r="B155" s="18"/>
      <x:c r="C155" s="18"/>
      <x:c r="D155" s="18"/>
      <x:c r="E155" s="18"/>
      <x:c r="F155" s="18"/>
      <x:c r="G155" s="18"/>
      <x:c r="H155" s="18"/>
      <x:c r="I155" s="18"/>
      <x:c r="J155" s="18"/>
      <x:c r="K155" s="18"/>
      <x:c r="L155" s="18"/>
      <x:c r="M155" s="18"/>
      <x:c r="N155" s="18"/>
      <x:c r="O155" s="18"/>
      <x:c r="P155" s="18"/>
      <x:c r="Q155" s="18"/>
      <x:c r="R155" s="18"/>
      <x:c r="S155" s="18"/>
      <x:c r="T155" s="18"/>
      <x:c r="U155" s="18"/>
      <x:c r="V155" s="18"/>
    </x:row>
    <x:row r="156" ht="22" customHeight="1">
      <x:c r="B156" s="18"/>
      <x:c r="C156" s="18"/>
      <x:c r="D156" s="18"/>
      <x:c r="E156" s="18"/>
      <x:c r="F156" s="18"/>
      <x:c r="G156" s="18"/>
      <x:c r="H156" s="18"/>
      <x:c r="I156" s="18"/>
      <x:c r="J156" s="18"/>
      <x:c r="K156" s="18"/>
      <x:c r="L156" s="18"/>
      <x:c r="M156" s="18"/>
      <x:c r="N156" s="18"/>
      <x:c r="O156" s="18"/>
      <x:c r="P156" s="18"/>
      <x:c r="Q156" s="18"/>
      <x:c r="R156" s="18"/>
      <x:c r="S156" s="18"/>
      <x:c r="T156" s="18"/>
      <x:c r="U156" s="18"/>
      <x:c r="V156" s="18"/>
    </x:row>
    <x:row r="157" ht="22" customHeight="1">
      <x:c r="B157" s="18"/>
      <x:c r="C157" s="18"/>
      <x:c r="D157" s="18"/>
      <x:c r="E157" s="18"/>
      <x:c r="F157" s="18"/>
      <x:c r="G157" s="18"/>
      <x:c r="H157" s="18"/>
      <x:c r="I157" s="18"/>
      <x:c r="J157" s="18"/>
      <x:c r="K157" s="18"/>
      <x:c r="L157" s="18"/>
      <x:c r="M157" s="18"/>
      <x:c r="N157" s="18"/>
      <x:c r="O157" s="18"/>
      <x:c r="P157" s="18"/>
      <x:c r="Q157" s="18"/>
      <x:c r="R157" s="18"/>
      <x:c r="S157" s="18"/>
      <x:c r="T157" s="18"/>
      <x:c r="U157" s="18"/>
      <x:c r="V157" s="18"/>
    </x:row>
    <x:row r="161">
      <x:c r="B161" s="35" t="str">
        <x:v>Calculator · 插值参数</x:v>
      </x:c>
      <x:c r="C161" s="35"/>
      <x:c r="D161" s="35"/>
      <x:c r="E161" s="35"/>
      <x:c r="F161" s="35"/>
      <x:c r="G161" s="35"/>
      <x:c r="H161" s="35"/>
      <x:c r="I161" s="35"/>
      <x:c r="J161" s="35"/>
      <x:c r="K161" s="35"/>
      <x:c r="L161" s="35"/>
      <x:c r="M161" s="35"/>
      <x:c r="N161" s="35"/>
      <x:c r="O161" s="35"/>
      <x:c r="P161" s="35"/>
      <x:c r="Q161" s="35"/>
      <x:c r="R161" s="35"/>
      <x:c r="S161" s="35"/>
      <x:c r="T161" s="35"/>
      <x:c r="U161" s="35"/>
      <x:c r="V161" s="35"/>
    </x:row>
    <x:row r="164">
      <x:c r="B164" t="str">
        <x:v>曲线</x:v>
      </x:c>
      <x:c r="C164" t="str">
        <x:v>c</x:v>
      </x:c>
      <x:c r="D164" t="str">
        <x:v>C</x:v>
      </x:c>
      <x:c r="E164" t="str">
        <x:v>R</x:v>
      </x:c>
      <x:c r="F164" t="str">
        <x:v>bump1</x:v>
      </x:c>
      <x:c r="G164" t="str">
        <x:v>LSC knee</x:v>
      </x:c>
      <x:c r="H164" t="str">
        <x:v>bump2 倍率</x:v>
      </x:c>
      <x:c r="I164" t="str">
        <x:v>bump2</x:v>
      </x:c>
      <x:c r="J164" t="str">
        <x:v>HSbump</x:v>
      </x:c>
      <x:c r="K164" t="str">
        <x:v>HSC knee</x:v>
      </x:c>
      <x:c r="L164" t="str">
        <x:v>总 HS 系数</x:v>
      </x:c>
      <x:c r="M164" t="str">
        <x:v>rebound</x:v>
      </x:c>
      <x:c r="N164" t="str">
        <x:v>Rebound knee</x:v>
      </x:c>
      <x:c r="O164" t="str">
        <x:v>HSR 倍率</x:v>
      </x:c>
      <x:c r="P164" t="str">
        <x:v>HSrebound</x:v>
      </x:c>
      <x:c r="Q164" t="str">
        <x:v>LSC 区间</x:v>
      </x:c>
      <x:c r="R164" t="str">
        <x:v>HSC 区间</x:v>
      </x:c>
      <x:c r="S164" t="str">
        <x:v>LSR 区间</x:v>
      </x:c>
      <x:c r="T164" t="str">
        <x:v>LSC 区间位置</x:v>
      </x:c>
      <x:c r="U164" t="str">
        <x:v>HSC 区间位置</x:v>
      </x:c>
      <x:c r="V164" t="str">
        <x:v>LSR 区间位置</x:v>
      </x:c>
    </x:row>
    <x:row r="165">
      <x:c r="C165" t="n">
        <x:f>'Calculator'!C7</x:f>
        <x:v>-12</x:v>
      </x:c>
      <x:c r="D165" t="n">
        <x:f>'Calculator'!C8</x:f>
        <x:v>-10</x:v>
      </x:c>
      <x:c r="E165" t="n">
        <x:f>'Calculator'!C9</x:f>
        <x:v>-20</x:v>
      </x:c>
      <x:c r="F165" t="n">
        <x:f>IF('Calculator'!$C$4="Type-B",INDEX(Parameters!$J$10:$N$10,1,Q165)+(INDEX(Parameters!$J$10:$N$10,1,Q165+1)-INDEX(Parameters!$J$10:$N$10,1,Q165))*T165,INDEX(Parameters!$D$10:$H$10,1,Q165)+(INDEX(Parameters!$D$10:$H$10,1,Q165+1)-INDEX(Parameters!$D$10:$H$10,1,Q165))*T165)</x:f>
        <x:v>2500</x:v>
      </x:c>
      <x:c r="G165" t="n">
        <x:f>IF('Calculator'!$C$4="Type-B",INDEX(Parameters!$J$11:$N$11,1,Q165)+(INDEX(Parameters!$J$11:$N$11,1,Q165+1)-INDEX(Parameters!$J$11:$N$11,1,Q165))*T165,INDEX(Parameters!$D$11:$H$11,1,Q165)+(INDEX(Parameters!$D$11:$H$11,1,Q165+1)-INDEX(Parameters!$D$11:$H$11,1,Q165))*T165)</x:f>
        <x:v>0.15</x:v>
      </x:c>
      <x:c r="H165" t="n">
        <x:f>IF('Calculator'!$C$4="Type-B",INDEX(Parameters!$J$12:$N$12,1,Q165)+(INDEX(Parameters!$J$12:$N$12,1,Q165+1)-INDEX(Parameters!$J$12:$N$12,1,Q165))*T165,INDEX(Parameters!$D$12:$H$12,1,Q165)+(INDEX(Parameters!$D$12:$H$12,1,Q165+1)-INDEX(Parameters!$D$12:$H$12,1,Q165))*T165)</x:f>
        <x:v>0.84</x:v>
      </x:c>
      <x:c r="I165" t="n">
        <x:f>F165*H165</x:f>
        <x:v>2100</x:v>
      </x:c>
      <x:c r="J165" t="n">
        <x:f>IF('Calculator'!$C$4="Type-B",INDEX(Parameters!$J$13:$N$13,1,R165)+(INDEX(Parameters!$J$13:$N$13,1,R165+1)-INDEX(Parameters!$J$13:$N$13,1,R165))*U165,INDEX(Parameters!$D$13:$H$13,1,R165)+(INDEX(Parameters!$D$13:$H$13,1,R165+1)-INDEX(Parameters!$D$13:$H$13,1,R165))*U165)</x:f>
        <x:v>2500</x:v>
      </x:c>
      <x:c r="K165" t="n">
        <x:f>IF('Calculator'!$C$4="Type-B",INDEX(Parameters!$J$14:$N$14,1,R165)+(INDEX(Parameters!$J$14:$N$14,1,R165+1)-INDEX(Parameters!$J$14:$N$14,1,R165))*U165,INDEX(Parameters!$D$14:$H$14,1,R165)+(INDEX(Parameters!$D$14:$H$14,1,R165+1)-INDEX(Parameters!$D$14:$H$14,1,R165))*U165)</x:f>
        <x:v>0.6</x:v>
      </x:c>
      <x:c r="L165" t="n">
        <x:f>I165+J165</x:f>
        <x:v>4600</x:v>
      </x:c>
      <x:c r="M165" t="n">
        <x:f>IF('Calculator'!$C$4="Type-B",INDEX(Parameters!$J$17:$N$17,1,S165)+(INDEX(Parameters!$J$17:$N$17,1,S165+1)-INDEX(Parameters!$J$17:$N$17,1,S165))*V165,INDEX(Parameters!$D$17:$H$17,1,S165)+(INDEX(Parameters!$D$17:$H$17,1,S165+1)-INDEX(Parameters!$D$17:$H$17,1,S165))*V165)</x:f>
        <x:v>2115</x:v>
      </x:c>
      <x:c r="N165" t="n">
        <x:f>IF('Calculator'!$C$4="Type-B",INDEX(Parameters!$J$18:$N$18,1,S165)+(INDEX(Parameters!$J$18:$N$18,1,S165+1)-INDEX(Parameters!$J$18:$N$18,1,S165))*V165,INDEX(Parameters!$D$18:$H$18,1,S165)+(INDEX(Parameters!$D$18:$H$18,1,S165+1)-INDEX(Parameters!$D$18:$H$18,1,S165))*V165)</x:f>
        <x:v>0.35</x:v>
      </x:c>
      <x:c r="O165" t="n">
        <x:f>IF('Calculator'!$C$4="Type-B",INDEX(Parameters!$J$19:$N$19,1,S165)+(INDEX(Parameters!$J$19:$N$19,1,S165+1)-INDEX(Parameters!$J$19:$N$19,1,S165))*V165,INDEX(Parameters!$D$19:$H$19,1,S165)+(INDEX(Parameters!$D$19:$H$19,1,S165+1)-INDEX(Parameters!$D$19:$H$19,1,S165))*V165)</x:f>
        <x:v>0.82</x:v>
      </x:c>
      <x:c r="P165" t="n">
        <x:f>M165*O165</x:f>
        <x:v>1734.3</x:v>
      </x:c>
      <x:c r="Q165" t="n">
        <x:f>MIN(4,MAX(1,INT((1+C165/Parameters!$D$24)*4)+1))</x:f>
        <x:v>3</x:v>
      </x:c>
      <x:c r="R165" t="n">
        <x:f>MIN(4,MAX(1,INT((1+D165/Parameters!$D$25)*4)+1))</x:f>
        <x:v>3</x:v>
      </x:c>
      <x:c r="S165" t="n">
        <x:f>MIN(4,MAX(1,INT((1+E165/'Calculator'!$C$15)*4)+1))</x:f>
        <x:v>3</x:v>
      </x:c>
      <x:c r="T165" t="n">
        <x:f>MAX(0,MIN(1,(1+C165/Parameters!$D$24)*4-(Q165-1)))</x:f>
        <x:v>0</x:v>
      </x:c>
      <x:c r="U165" t="n">
        <x:f>MAX(0,MIN(1,(1+D165/Parameters!$D$25)*4-(R165-1)))</x:f>
        <x:v>0</x:v>
      </x:c>
      <x:c r="V165" t="n">
        <x:f>MAX(0,MIN(1,(1+E165/'Calculator'!$C$15)*4-(S165-1)))</x:f>
        <x:v>0</x:v>
      </x:c>
    </x:row>
  </x:sheetData>
  <x:mergeCells>
    <x:mergeCell ref="B1:V1"/>
    <x:mergeCell ref="B41:V41"/>
    <x:mergeCell ref="B81:V81"/>
    <x:mergeCell ref="B121:V121"/>
    <x:mergeCell ref="B161:V161"/>
  </x:mergeCells>
  <x:pageMargins left="0.7" right="0.7" top="0.75" bottom="0.75" header="0.3" footer="0.3"/>
</x:worksheet>
</file>