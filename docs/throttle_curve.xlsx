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n1corn\.codex\visualizations\2026\09\05\01a07025-ed7a-7f60-89f7-3275b6531400\xlsx-locale-20261027\output\"/>
    </mc:Choice>
  </mc:AlternateContent>
  <xr:revisionPtr revIDLastSave="0" documentId="13_ncr:1_{30F1388E-3FA3-476A-A59E-E86EF9A176B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Throttle Curves" sheetId="1" r:id="rId1"/>
    <sheet name="Parameters" sheetId="2" r:id="rId2"/>
    <sheet name="Locale" sheetId="4" state="hidden" r:id="rId3"/>
    <sheet name="Samples" sheetId="3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H4" i="3"/>
  <c r="D14" i="4"/>
  <c r="B2" i="3" s="1"/>
  <c r="D13" i="4"/>
  <c r="B2" i="2" s="1"/>
  <c r="D12" i="4"/>
  <c r="B2" i="1" s="1"/>
  <c r="D11" i="4"/>
  <c r="D10" i="4"/>
  <c r="D9" i="4"/>
  <c r="B5" i="3" s="1"/>
  <c r="D8" i="4"/>
  <c r="D7" i="4"/>
  <c r="G4" i="3" s="1"/>
  <c r="D6" i="4"/>
  <c r="D5" i="4"/>
  <c r="G6" i="3" s="1"/>
  <c r="D4" i="4"/>
  <c r="G8" i="3" s="1"/>
  <c r="D3" i="4"/>
  <c r="D2" i="4"/>
  <c r="B6" i="2"/>
  <c r="B4" i="1"/>
  <c r="D5" i="3" l="1"/>
  <c r="E5" i="2"/>
  <c r="C5" i="3"/>
  <c r="C5" i="2"/>
  <c r="E5" i="3"/>
  <c r="G5" i="2"/>
  <c r="H10" i="3"/>
  <c r="I11" i="3"/>
  <c r="I9" i="3"/>
  <c r="H9" i="3"/>
  <c r="H11" i="3"/>
  <c r="I10" i="3"/>
  <c r="E13" i="3" l="1"/>
  <c r="E16" i="3"/>
  <c r="E17" i="3"/>
  <c r="E18" i="3"/>
  <c r="E21" i="3"/>
  <c r="E22" i="3"/>
  <c r="E24" i="3"/>
  <c r="E35" i="3"/>
  <c r="E36" i="3"/>
  <c r="E38" i="3"/>
  <c r="E40" i="3"/>
  <c r="E41" i="3"/>
  <c r="E42" i="3"/>
  <c r="E44" i="3"/>
  <c r="E45" i="3"/>
  <c r="E46" i="3"/>
  <c r="E47" i="3"/>
  <c r="E48" i="3"/>
  <c r="E49" i="3"/>
  <c r="E51" i="3"/>
  <c r="E53" i="3"/>
  <c r="E56" i="3"/>
  <c r="E57" i="3"/>
  <c r="E59" i="3"/>
  <c r="E63" i="3"/>
  <c r="E68" i="3"/>
  <c r="E69" i="3"/>
  <c r="E72" i="3"/>
  <c r="E74" i="3"/>
  <c r="E76" i="3"/>
  <c r="E79" i="3"/>
  <c r="E81" i="3"/>
  <c r="E82" i="3"/>
  <c r="E84" i="3"/>
  <c r="E85" i="3"/>
  <c r="E86" i="3"/>
  <c r="E90" i="3"/>
  <c r="E91" i="3"/>
  <c r="E96" i="3"/>
  <c r="E97" i="3"/>
  <c r="E98" i="3"/>
  <c r="E99" i="3"/>
  <c r="E10" i="3"/>
  <c r="E12" i="3"/>
  <c r="E33" i="3"/>
  <c r="E37" i="3"/>
  <c r="E39" i="3"/>
  <c r="E43" i="3"/>
  <c r="E26" i="3"/>
  <c r="E28" i="3"/>
  <c r="E55" i="3"/>
  <c r="E100" i="3"/>
  <c r="E101" i="3"/>
  <c r="E102" i="3"/>
  <c r="E103" i="3"/>
  <c r="E104" i="3"/>
  <c r="E105" i="3"/>
  <c r="E106" i="3"/>
  <c r="E7" i="3"/>
  <c r="E9" i="3"/>
  <c r="E11" i="3"/>
  <c r="E14" i="3"/>
  <c r="E19" i="3"/>
  <c r="E20" i="3"/>
  <c r="E23" i="3"/>
  <c r="E25" i="3"/>
  <c r="E27" i="3"/>
  <c r="E15" i="3"/>
  <c r="E29" i="3"/>
  <c r="E30" i="3"/>
  <c r="E31" i="3"/>
  <c r="E32" i="3"/>
  <c r="E34" i="3"/>
  <c r="E50" i="3"/>
  <c r="E52" i="3"/>
  <c r="E54" i="3"/>
  <c r="E58" i="3"/>
  <c r="E60" i="3"/>
  <c r="E61" i="3"/>
  <c r="E62" i="3"/>
  <c r="E64" i="3"/>
  <c r="E65" i="3"/>
  <c r="E66" i="3"/>
  <c r="E67" i="3"/>
  <c r="E70" i="3"/>
  <c r="E71" i="3"/>
  <c r="E73" i="3"/>
  <c r="E75" i="3"/>
  <c r="E77" i="3"/>
  <c r="E78" i="3"/>
  <c r="E80" i="3"/>
  <c r="E83" i="3"/>
  <c r="E87" i="3"/>
  <c r="E88" i="3"/>
  <c r="E89" i="3"/>
  <c r="E92" i="3"/>
  <c r="E93" i="3"/>
  <c r="E94" i="3"/>
  <c r="E95" i="3"/>
  <c r="E6" i="3"/>
  <c r="E8" i="3"/>
  <c r="C13" i="3"/>
  <c r="C24" i="3"/>
  <c r="C30" i="3"/>
  <c r="C38" i="3"/>
  <c r="C40" i="3"/>
  <c r="C42" i="3"/>
  <c r="C43" i="3"/>
  <c r="C44" i="3"/>
  <c r="C45" i="3"/>
  <c r="C46" i="3"/>
  <c r="C51" i="3"/>
  <c r="C59" i="3"/>
  <c r="C62" i="3"/>
  <c r="C63" i="3"/>
  <c r="C65" i="3"/>
  <c r="C66" i="3"/>
  <c r="C68" i="3"/>
  <c r="C72" i="3"/>
  <c r="C76" i="3"/>
  <c r="C77" i="3"/>
  <c r="C79" i="3"/>
  <c r="C80" i="3"/>
  <c r="C81" i="3"/>
  <c r="C84" i="3"/>
  <c r="C89" i="3"/>
  <c r="C90" i="3"/>
  <c r="C97" i="3"/>
  <c r="C98" i="3"/>
  <c r="C99" i="3"/>
  <c r="C28" i="3"/>
  <c r="C39" i="3"/>
  <c r="C41" i="3"/>
  <c r="C19" i="3"/>
  <c r="C31" i="3"/>
  <c r="C33" i="3"/>
  <c r="C35" i="3"/>
  <c r="C53" i="3"/>
  <c r="C100" i="3"/>
  <c r="C101" i="3"/>
  <c r="C102" i="3"/>
  <c r="C103" i="3"/>
  <c r="C104" i="3"/>
  <c r="C105" i="3"/>
  <c r="C106" i="3"/>
  <c r="C7" i="3"/>
  <c r="C10" i="3"/>
  <c r="C11" i="3"/>
  <c r="C12" i="3"/>
  <c r="C15" i="3"/>
  <c r="C16" i="3"/>
  <c r="C23" i="3"/>
  <c r="C25" i="3"/>
  <c r="C32" i="3"/>
  <c r="C9" i="3"/>
  <c r="C14" i="3"/>
  <c r="C17" i="3"/>
  <c r="C18" i="3"/>
  <c r="C20" i="3"/>
  <c r="C21" i="3"/>
  <c r="C22" i="3"/>
  <c r="C26" i="3"/>
  <c r="C27" i="3"/>
  <c r="C29" i="3"/>
  <c r="C34" i="3"/>
  <c r="C36" i="3"/>
  <c r="C37" i="3"/>
  <c r="C47" i="3"/>
  <c r="C48" i="3"/>
  <c r="C49" i="3"/>
  <c r="C50" i="3"/>
  <c r="C52" i="3"/>
  <c r="C54" i="3"/>
  <c r="C55" i="3"/>
  <c r="C56" i="3"/>
  <c r="C57" i="3"/>
  <c r="C58" i="3"/>
  <c r="C60" i="3"/>
  <c r="C61" i="3"/>
  <c r="C64" i="3"/>
  <c r="C67" i="3"/>
  <c r="C69" i="3"/>
  <c r="C70" i="3"/>
  <c r="C71" i="3"/>
  <c r="C73" i="3"/>
  <c r="C74" i="3"/>
  <c r="C75" i="3"/>
  <c r="C78" i="3"/>
  <c r="C82" i="3"/>
  <c r="C83" i="3"/>
  <c r="C85" i="3"/>
  <c r="C86" i="3"/>
  <c r="C87" i="3"/>
  <c r="C88" i="3"/>
  <c r="C91" i="3"/>
  <c r="C92" i="3"/>
  <c r="C93" i="3"/>
  <c r="C94" i="3"/>
  <c r="C95" i="3"/>
  <c r="C96" i="3"/>
  <c r="C6" i="3"/>
  <c r="C8" i="3"/>
  <c r="D16" i="3"/>
  <c r="D17" i="3"/>
  <c r="D21" i="3"/>
  <c r="D9" i="3"/>
  <c r="D18" i="3"/>
  <c r="D19" i="3"/>
  <c r="D23" i="3"/>
  <c r="D24" i="3"/>
  <c r="D28" i="3"/>
  <c r="D30" i="3"/>
  <c r="D31" i="3"/>
  <c r="D33" i="3"/>
  <c r="D34" i="3"/>
  <c r="D35" i="3"/>
  <c r="D37" i="3"/>
  <c r="D38" i="3"/>
  <c r="D47" i="3"/>
  <c r="D56" i="3"/>
  <c r="D57" i="3"/>
  <c r="D59" i="3"/>
  <c r="D62" i="3"/>
  <c r="D63" i="3"/>
  <c r="D65" i="3"/>
  <c r="D68" i="3"/>
  <c r="D69" i="3"/>
  <c r="D72" i="3"/>
  <c r="D76" i="3"/>
  <c r="D77" i="3"/>
  <c r="D79" i="3"/>
  <c r="D80" i="3"/>
  <c r="D81" i="3"/>
  <c r="D82" i="3"/>
  <c r="D84" i="3"/>
  <c r="D85" i="3"/>
  <c r="D86" i="3"/>
  <c r="D89" i="3"/>
  <c r="D90" i="3"/>
  <c r="D91" i="3"/>
  <c r="D92" i="3"/>
  <c r="D93" i="3"/>
  <c r="D94" i="3"/>
  <c r="D95" i="3"/>
  <c r="D96" i="3"/>
  <c r="D6" i="3"/>
  <c r="D7" i="3"/>
  <c r="D12" i="3"/>
  <c r="D14" i="3"/>
  <c r="D20" i="3"/>
  <c r="D22" i="3"/>
  <c r="D25" i="3"/>
  <c r="D26" i="3"/>
  <c r="D27" i="3"/>
  <c r="D29" i="3"/>
  <c r="D39" i="3"/>
  <c r="D43" i="3"/>
  <c r="D49" i="3"/>
  <c r="D50" i="3"/>
  <c r="D52" i="3"/>
  <c r="D53" i="3"/>
  <c r="D54" i="3"/>
  <c r="D55" i="3"/>
  <c r="D60" i="3"/>
  <c r="D61" i="3"/>
  <c r="D64" i="3"/>
  <c r="D66" i="3"/>
  <c r="D67" i="3"/>
  <c r="D70" i="3"/>
  <c r="D71" i="3"/>
  <c r="D73" i="3"/>
  <c r="D74" i="3"/>
  <c r="D75" i="3"/>
  <c r="D78" i="3"/>
  <c r="D83" i="3"/>
  <c r="D87" i="3"/>
  <c r="D88" i="3"/>
  <c r="D97" i="3"/>
  <c r="D98" i="3"/>
  <c r="D99" i="3"/>
  <c r="D10" i="3"/>
  <c r="D32" i="3"/>
  <c r="D42" i="3"/>
  <c r="D45" i="3"/>
  <c r="D48" i="3"/>
  <c r="D103" i="3"/>
  <c r="D11" i="3"/>
  <c r="D13" i="3"/>
  <c r="D15" i="3"/>
  <c r="D36" i="3"/>
  <c r="D40" i="3"/>
  <c r="D41" i="3"/>
  <c r="D44" i="3"/>
  <c r="D46" i="3"/>
  <c r="D51" i="3"/>
  <c r="D58" i="3"/>
  <c r="D100" i="3"/>
  <c r="D101" i="3"/>
  <c r="D102" i="3"/>
  <c r="D104" i="3"/>
  <c r="D105" i="3"/>
  <c r="D106" i="3"/>
  <c r="D8" i="3"/>
</calcChain>
</file>

<file path=xl/sharedStrings.xml><?xml version="1.0" encoding="utf-8"?>
<sst xmlns="http://schemas.openxmlformats.org/spreadsheetml/2006/main" count="63" uniqueCount="54">
  <si>
    <t>Astral · Throttle curves</t>
  </si>
  <si>
    <t>车型 / ECU</t>
  </si>
  <si>
    <t>Rally2</t>
  </si>
  <si>
    <t>Astral · Throttle parameters</t>
  </si>
  <si>
    <t>1 · Progressive</t>
  </si>
  <si>
    <t>2 · Subtle Linear</t>
  </si>
  <si>
    <t>3 · Aggressive</t>
  </si>
  <si>
    <t>a</t>
  </si>
  <si>
    <t>k</t>
  </si>
  <si>
    <t>WRC17 / Rally1</t>
  </si>
  <si>
    <t>WRC (11–16)</t>
  </si>
  <si>
    <t>RX1</t>
  </si>
  <si>
    <t>RX3</t>
  </si>
  <si>
    <t>Astral · Throttle samples</t>
  </si>
  <si>
    <t>所选 ECU</t>
  </si>
  <si>
    <t>Throttle input</t>
  </si>
  <si>
    <t>参数行</t>
  </si>
  <si>
    <t>档位</t>
  </si>
  <si>
    <t>Language / 语言</t>
  </si>
  <si>
    <t>简体中文</t>
  </si>
  <si>
    <t>key</t>
  </si>
  <si>
    <t>en-US</t>
  </si>
  <si>
    <t>zh-CN</t>
  </si>
  <si>
    <t>Active</t>
  </si>
  <si>
    <t>chart.throttleInputOutput</t>
  </si>
  <si>
    <t>Throttle input / output</t>
  </si>
  <si>
    <t>油门输入 / 输出</t>
  </si>
  <si>
    <t>label.aggressiveMap</t>
  </si>
  <si>
    <t>3 · 激进</t>
  </si>
  <si>
    <t>label.mapSetting</t>
  </si>
  <si>
    <t>Setting</t>
  </si>
  <si>
    <t>label.parameterRow</t>
  </si>
  <si>
    <t>Parameter row</t>
  </si>
  <si>
    <t>label.progressiveMap</t>
  </si>
  <si>
    <t>1 · 渐进</t>
  </si>
  <si>
    <t>label.selectedEcu</t>
  </si>
  <si>
    <t>Selected ECU</t>
  </si>
  <si>
    <t>label.subtleLinearMap</t>
  </si>
  <si>
    <t>2 · 轻度线性</t>
  </si>
  <si>
    <t>label.throttleInput</t>
  </si>
  <si>
    <t>油门输入</t>
  </si>
  <si>
    <t>label.throttleOutput</t>
  </si>
  <si>
    <t>Throttle output</t>
  </si>
  <si>
    <t>油门输出</t>
  </si>
  <si>
    <t>label.vehicleEcu</t>
  </si>
  <si>
    <t>Vehicle / ECU</t>
  </si>
  <si>
    <t>title.throttleCurves</t>
  </si>
  <si>
    <t>Astral · 油门曲线</t>
  </si>
  <si>
    <t>title.throttleParameters</t>
  </si>
  <si>
    <t>Astral · 油门参数</t>
  </si>
  <si>
    <t>title.throttleSamples</t>
  </si>
  <si>
    <t>Astral · 油门采样</t>
  </si>
  <si>
    <t>WRC17 / Rally1</t>
    <phoneticPr fontId="3" type="noConversion"/>
  </si>
  <si>
    <t>简体中文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</si>
</sst>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6">
    <font>
      <sz val="11"/>
      <name val="Carlito"/>
    </font>
    <font>
      <sz val="11"/>
      <color rgb="FF283C50"/>
      <name val="Arial"/>
      <family val="2"/>
    </font>
    <font>
      <sz val="11"/>
      <color rgb="FF195DB1"/>
      <name val="Arial"/>
      <family val="2"/>
    </font>
    <font>
      <sz val="9"/>
      <name val="宋体"/>
      <family val="3"/>
      <charset val="134"/>
    </font>
    <font>
      <b/>
      <sz val="20"/>
      <color rgb="FF283C50"/>
      <name val="Arial"/>
      <family val="2"/>
    </font>
    <font>
      <sz val="11"/>
      <color rgb="FF667B91"/>
      <name val="微软雅黑"/>
      <family val="2"/>
      <charset val="134"/>
    </font>
    <font>
      <sz val="11"/>
      <color rgb="FF195DB1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微软雅黑"/>
      <family val="2"/>
      <charset val="134"/>
    </font>
    <font>
      <b/>
      <sz val="12"/>
      <color rgb="FFFFFFFF"/>
      <name val="Arial"/>
      <family val="2"/>
    </font>
    <font>
      <sz val="11"/>
      <color rgb="FF667B91"/>
      <name val="Arial"/>
      <family val="2"/>
    </font>
    <font>
      <sz val="11"/>
      <color rgb="FF195DB1"/>
      <name val="Arial"/>
      <family val="2"/>
    </font>
    <font>
      <sz val="11"/>
      <color rgb="FF667B91"/>
      <name val="Arial"/>
      <family val="2"/>
    </font>
    <font>
      <sz val="11"/>
      <color rgb="FF283C50"/>
      <name val="Arial"/>
      <family val="2"/>
    </font>
    <font>
      <b/>
      <sz val="12"/>
      <color rgb="FFFFFFFF"/>
      <name val="Arial"/>
      <family val="2"/>
    </font>
    <font>
      <sz val="11"/>
      <color rgb="FF283C50"/>
      <name val="Arial"/>
      <family val="2"/>
    </font>
    <font>
      <sz val="11"/>
      <color rgb="FF283C50"/>
      <name val="微软雅黑"/>
      <family val="2"/>
      <charset val="134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2"/>
      <color rgb="FFFFFFFF"/>
      <name val="微软雅黑"/>
      <family val="2"/>
      <charset val="134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22222"/>
      <name val="Arial"/>
      <family val="2"/>
    </font>
    <font>
      <b/>
      <sz val="11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vertical="center"/>
    </xf>
    <xf numFmtId="2" fontId="11" fillId="10" borderId="5" xfId="0" applyNumberFormat="1" applyFont="1" applyFill="1" applyBorder="1" applyAlignment="1">
      <alignment vertical="center"/>
    </xf>
    <xf numFmtId="0" fontId="12" fillId="11" borderId="6" xfId="0" applyFont="1" applyFill="1" applyBorder="1" applyAlignment="1">
      <alignment vertical="center"/>
    </xf>
    <xf numFmtId="0" fontId="14" fillId="13" borderId="7" xfId="0" applyFont="1" applyFill="1" applyBorder="1" applyAlignment="1">
      <alignment vertical="center" wrapText="1"/>
    </xf>
    <xf numFmtId="176" fontId="15" fillId="14" borderId="8" xfId="0" applyNumberFormat="1" applyFont="1" applyFill="1" applyBorder="1" applyAlignment="1">
      <alignment vertical="center"/>
    </xf>
    <xf numFmtId="0" fontId="16" fillId="15" borderId="0" xfId="0" applyFont="1" applyFill="1" applyAlignment="1">
      <alignment vertical="center"/>
    </xf>
    <xf numFmtId="0" fontId="17" fillId="16" borderId="0" xfId="0" applyFont="1" applyFill="1" applyAlignment="1">
      <alignment vertical="center"/>
    </xf>
    <xf numFmtId="176" fontId="18" fillId="17" borderId="9" xfId="0" applyNumberFormat="1" applyFont="1" applyFill="1" applyBorder="1" applyAlignment="1">
      <alignment vertical="center"/>
    </xf>
    <xf numFmtId="0" fontId="19" fillId="18" borderId="10" xfId="0" applyFont="1" applyFill="1" applyBorder="1" applyAlignment="1">
      <alignment vertical="center" wrapText="1"/>
    </xf>
    <xf numFmtId="0" fontId="20" fillId="19" borderId="11" xfId="0" applyFont="1" applyFill="1" applyBorder="1" applyAlignment="1">
      <alignment vertical="center"/>
    </xf>
    <xf numFmtId="2" fontId="21" fillId="20" borderId="12" xfId="0" applyNumberFormat="1" applyFont="1" applyFill="1" applyBorder="1" applyAlignment="1">
      <alignment vertical="center"/>
    </xf>
    <xf numFmtId="0" fontId="22" fillId="21" borderId="13" xfId="0" applyFont="1" applyFill="1" applyBorder="1" applyAlignment="1">
      <alignment vertical="center"/>
    </xf>
    <xf numFmtId="2" fontId="23" fillId="22" borderId="14" xfId="0" applyNumberFormat="1" applyFont="1" applyFill="1" applyBorder="1" applyAlignment="1">
      <alignment vertical="center"/>
    </xf>
    <xf numFmtId="0" fontId="24" fillId="23" borderId="15" xfId="0" applyFont="1" applyFill="1" applyBorder="1"/>
    <xf numFmtId="0" fontId="25" fillId="25" borderId="15" xfId="0" applyFont="1" applyFill="1" applyBorder="1"/>
    <xf numFmtId="0" fontId="4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4" fillId="23" borderId="15" xfId="0" applyFont="1" applyFill="1" applyBorder="1" applyAlignment="1">
      <alignment vertical="center"/>
    </xf>
    <xf numFmtId="0" fontId="24" fillId="24" borderId="15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Locale!$D$2</c:f>
          <c:strCache>
            <c:ptCount val="1"/>
            <c:pt idx="0">
              <c:v>油门输入 / 输出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Samples!$C$5</c:f>
              <c:strCache>
                <c:ptCount val="1"/>
                <c:pt idx="0">
                  <c:v>1 · 渐进</c:v>
                </c:pt>
              </c:strCache>
            </c:strRef>
          </c:tx>
          <c:spPr>
            <a:ln w="25400">
              <a:solidFill>
                <a:srgbClr val="3275BD"/>
              </a:solidFill>
              <a:prstDash val="solid"/>
            </a:ln>
          </c:spPr>
          <c:marker>
            <c:symbol val="none"/>
          </c:marker>
          <c:xVal>
            <c:numRef>
              <c:f>Samples!$B$6:$B$106</c:f>
              <c:numCache>
                <c:formatCode>0.0%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Samples!$C$6:$C$106</c:f>
              <c:numCache>
                <c:formatCode>0.0%</c:formatCode>
                <c:ptCount val="101"/>
                <c:pt idx="0">
                  <c:v>0</c:v>
                </c:pt>
                <c:pt idx="1">
                  <c:v>3.186337086193345E-3</c:v>
                </c:pt>
                <c:pt idx="2">
                  <c:v>6.4033824337768443E-3</c:v>
                </c:pt>
                <c:pt idx="3">
                  <c:v>9.6517337079458313E-3</c:v>
                </c:pt>
                <c:pt idx="4">
                  <c:v>1.2932006193754548E-2</c:v>
                </c:pt>
                <c:pt idx="5">
                  <c:v>1.6244833495600405E-2</c:v>
                </c:pt>
                <c:pt idx="6">
                  <c:v>1.9590868271767738E-2</c:v>
                </c:pt>
                <c:pt idx="7">
                  <c:v>2.2970783006160234E-2</c:v>
                </c:pt>
                <c:pt idx="8">
                  <c:v>2.6385270819504796E-2</c:v>
                </c:pt>
                <c:pt idx="9">
                  <c:v>2.9835046322475019E-2</c:v>
                </c:pt>
                <c:pt idx="10">
                  <c:v>3.33208465133598E-2</c:v>
                </c:pt>
                <c:pt idx="11">
                  <c:v>3.6843431723099021E-2</c:v>
                </c:pt>
                <c:pt idx="12">
                  <c:v>4.0403586610716101E-2</c:v>
                </c:pt>
                <c:pt idx="13">
                  <c:v>4.4002121212408853E-2</c:v>
                </c:pt>
                <c:pt idx="14">
                  <c:v>4.7639872047806051E-2</c:v>
                </c:pt>
                <c:pt idx="15">
                  <c:v>5.1317703287169718E-2</c:v>
                </c:pt>
                <c:pt idx="16">
                  <c:v>5.5036507983617249E-2</c:v>
                </c:pt>
                <c:pt idx="17">
                  <c:v>5.8797209374757908E-2</c:v>
                </c:pt>
                <c:pt idx="18">
                  <c:v>6.2600762258491024E-2</c:v>
                </c:pt>
                <c:pt idx="19">
                  <c:v>6.6448154448093127E-2</c:v>
                </c:pt>
                <c:pt idx="20">
                  <c:v>7.0340408312143138E-2</c:v>
                </c:pt>
                <c:pt idx="21">
                  <c:v>7.4278582405290297E-2</c:v>
                </c:pt>
                <c:pt idx="22">
                  <c:v>7.8263773196372607E-2</c:v>
                </c:pt>
                <c:pt idx="23">
                  <c:v>8.2297116900944781E-2</c:v>
                </c:pt>
                <c:pt idx="24">
                  <c:v>8.6379791425876637E-2</c:v>
                </c:pt>
                <c:pt idx="25">
                  <c:v>9.0513018434350292E-2</c:v>
                </c:pt>
                <c:pt idx="26">
                  <c:v>9.469806554031196E-2</c:v>
                </c:pt>
                <c:pt idx="27">
                  <c:v>9.8936248642242236E-2</c:v>
                </c:pt>
                <c:pt idx="28">
                  <c:v>0.10322893440699456</c:v>
                </c:pt>
                <c:pt idx="29">
                  <c:v>0.10757754291543231</c:v>
                </c:pt>
                <c:pt idx="30">
                  <c:v>0.11198355048268077</c:v>
                </c:pt>
                <c:pt idx="31">
                  <c:v>0.11644849266700712</c:v>
                </c:pt>
                <c:pt idx="32">
                  <c:v>0.12097396748267401</c:v>
                </c:pt>
                <c:pt idx="33">
                  <c:v>0.12556163883358859</c:v>
                </c:pt>
                <c:pt idx="34">
                  <c:v>0.13021324018620845</c:v>
                </c:pt>
                <c:pt idx="35">
                  <c:v>0.13493057850199364</c:v>
                </c:pt>
                <c:pt idx="36">
                  <c:v>0.1397155384517296</c:v>
                </c:pt>
                <c:pt idx="37">
                  <c:v>0.14457008693631948</c:v>
                </c:pt>
                <c:pt idx="38">
                  <c:v>0.14949627794118397</c:v>
                </c:pt>
                <c:pt idx="39">
                  <c:v>0.15449625775425421</c:v>
                </c:pt>
                <c:pt idx="40">
                  <c:v>0.1595722705807357</c:v>
                </c:pt>
                <c:pt idx="41">
                  <c:v>0.16472666459140581</c:v>
                </c:pt>
                <c:pt idx="42">
                  <c:v>0.16996189844524612</c:v>
                </c:pt>
                <c:pt idx="43">
                  <c:v>0.17528054833176071</c:v>
                </c:pt>
                <c:pt idx="44">
                  <c:v>0.18068531558347348</c:v>
                </c:pt>
                <c:pt idx="45">
                  <c:v>0.18617903491491378</c:v>
                </c:pt>
                <c:pt idx="46">
                  <c:v>0.19176468335099819</c:v>
                </c:pt>
                <c:pt idx="47">
                  <c:v>0.19744538991520971</c:v>
                </c:pt>
                <c:pt idx="48">
                  <c:v>0.20322444615651072</c:v>
                </c:pt>
                <c:pt idx="49">
                  <c:v>0.20910531760365855</c:v>
                </c:pt>
                <c:pt idx="50">
                  <c:v>0.21509165624673118</c:v>
                </c:pt>
                <c:pt idx="51">
                  <c:v>0.22118731415842602</c:v>
                </c:pt>
                <c:pt idx="52">
                  <c:v>0.22739635838235542</c:v>
                </c:pt>
                <c:pt idx="53">
                  <c:v>0.23372308723244489</c:v>
                </c:pt>
                <c:pt idx="54">
                  <c:v>0.24017204816703402</c:v>
                </c:pt>
                <c:pt idx="55">
                  <c:v>0.24674805742384046</c:v>
                </c:pt>
                <c:pt idx="56">
                  <c:v>0.25345622162814618</c:v>
                </c:pt>
                <c:pt idx="57">
                  <c:v>0.26030196161705293</c:v>
                </c:pt>
                <c:pt idx="58">
                  <c:v>0.26729103875825755</c:v>
                </c:pt>
                <c:pt idx="59">
                  <c:v>0.27442958408348866</c:v>
                </c:pt>
                <c:pt idx="60">
                  <c:v>0.28172413060573137</c:v>
                </c:pt>
                <c:pt idx="61">
                  <c:v>0.28918164924710904</c:v>
                </c:pt>
                <c:pt idx="62">
                  <c:v>0.29680958887258779</c:v>
                </c:pt>
                <c:pt idx="63">
                  <c:v>0.30461592100575746</c:v>
                </c:pt>
                <c:pt idx="64">
                  <c:v>0.31260918989955822</c:v>
                </c:pt>
                <c:pt idx="65">
                  <c:v>0.32079856875041485</c:v>
                </c:pt>
                <c:pt idx="66">
                  <c:v>0.3291939229831008</c:v>
                </c:pt>
                <c:pt idx="67">
                  <c:v>0.33780588170117226</c:v>
                </c:pt>
                <c:pt idx="68">
                  <c:v>0.34664591860085897</c:v>
                </c:pt>
                <c:pt idx="69">
                  <c:v>0.35572644389352442</c:v>
                </c:pt>
                <c:pt idx="70">
                  <c:v>0.36506090908439143</c:v>
                </c:pt>
                <c:pt idx="71">
                  <c:v>0.37466392682746691</c:v>
                </c:pt>
                <c:pt idx="72">
                  <c:v>0.3845514085370963</c:v>
                </c:pt>
                <c:pt idx="73">
                  <c:v>0.39474072300959206</c:v>
                </c:pt>
                <c:pt idx="74">
                  <c:v>0.4052508800257974</c:v>
                </c:pt>
                <c:pt idx="75">
                  <c:v>0.41610274380958168</c:v>
                </c:pt>
                <c:pt idx="76">
                  <c:v>0.42731928236457911</c:v>
                </c:pt>
                <c:pt idx="77">
                  <c:v>0.43892586017817919</c:v>
                </c:pt>
                <c:pt idx="78">
                  <c:v>0.45095058367145918</c:v>
                </c:pt>
                <c:pt idx="79">
                  <c:v>0.46342471122880308</c:v>
                </c:pt>
                <c:pt idx="80">
                  <c:v>0.4763831428591197</c:v>
                </c:pt>
                <c:pt idx="81">
                  <c:v>0.48986500879948736</c:v>
                </c:pt>
                <c:pt idx="82">
                  <c:v>0.50391438206641781</c:v>
                </c:pt>
                <c:pt idx="83">
                  <c:v>0.51858114765802221</c:v>
                </c:pt>
                <c:pt idx="84">
                  <c:v>0.5339220716420624</c:v>
                </c:pt>
                <c:pt idx="85">
                  <c:v>0.5500021279603855</c:v>
                </c:pt>
                <c:pt idx="86">
                  <c:v>0.56689616129346987</c:v>
                </c:pt>
                <c:pt idx="87">
                  <c:v>0.58469099360378995</c:v>
                </c:pt>
                <c:pt idx="88">
                  <c:v>0.60348812446218625</c:v>
                </c:pt>
                <c:pt idx="89">
                  <c:v>0.6234072380669563</c:v>
                </c:pt>
                <c:pt idx="90">
                  <c:v>0.64459082462355466</c:v>
                </c:pt>
                <c:pt idx="91">
                  <c:v>0.66721037000116235</c:v>
                </c:pt>
                <c:pt idx="92">
                  <c:v>0.69147479910585075</c:v>
                </c:pt>
                <c:pt idx="93">
                  <c:v>0.71764223557463891</c:v>
                </c:pt>
                <c:pt idx="94">
                  <c:v>0.74603677513171862</c:v>
                </c:pt>
                <c:pt idx="95">
                  <c:v>0.77707307876902676</c:v>
                </c:pt>
                <c:pt idx="96">
                  <c:v>0.8112936145727736</c:v>
                </c:pt>
                <c:pt idx="97">
                  <c:v>0.84942725912383288</c:v>
                </c:pt>
                <c:pt idx="98">
                  <c:v>0.8924858866687011</c:v>
                </c:pt>
                <c:pt idx="99">
                  <c:v>0.94193295954412271</c:v>
                </c:pt>
                <c:pt idx="100">
                  <c:v>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0-B975-4EAE-9176-DBF0ADD42898}"/>
            </c:ext>
          </c:extLst>
        </c:ser>
        <c:ser>
          <c:idx val="1"/>
          <c:order val="1"/>
          <c:tx>
            <c:strRef>
              <c:f>Samples!$D$5</c:f>
              <c:strCache>
                <c:ptCount val="1"/>
                <c:pt idx="0">
                  <c:v>2 · 轻度线性</c:v>
                </c:pt>
              </c:strCache>
            </c:strRef>
          </c:tx>
          <c:spPr>
            <a:ln w="25400">
              <a:solidFill>
                <a:srgbClr val="303A45"/>
              </a:solidFill>
              <a:prstDash val="solid"/>
            </a:ln>
          </c:spPr>
          <c:marker>
            <c:symbol val="none"/>
          </c:marker>
          <c:xVal>
            <c:numRef>
              <c:f>Samples!$B$6:$B$106</c:f>
              <c:numCache>
                <c:formatCode>0.0%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Samples!$D$6:$D$106</c:f>
              <c:numCache>
                <c:formatCode>0.0%</c:formatCode>
                <c:ptCount val="101"/>
                <c:pt idx="0">
                  <c:v>0</c:v>
                </c:pt>
                <c:pt idx="1">
                  <c:v>7.6801448322603195E-3</c:v>
                </c:pt>
                <c:pt idx="2">
                  <c:v>1.5389017612306488E-2</c:v>
                </c:pt>
                <c:pt idx="3">
                  <c:v>2.3126938755721561E-2</c:v>
                </c:pt>
                <c:pt idx="4">
                  <c:v>3.0894234068771745E-2</c:v>
                </c:pt>
                <c:pt idx="5">
                  <c:v>3.8691234870011873E-2</c:v>
                </c:pt>
                <c:pt idx="6">
                  <c:v>4.6518278115341136E-2</c:v>
                </c:pt>
                <c:pt idx="7">
                  <c:v>5.437570652662372E-2</c:v>
                </c:pt>
                <c:pt idx="8">
                  <c:v>6.2263868724000346E-2</c:v>
                </c:pt>
                <c:pt idx="9">
                  <c:v>7.0183119362015323E-2</c:v>
                </c:pt>
                <c:pt idx="10">
                  <c:v>7.8133819269695204E-2</c:v>
                </c:pt>
                <c:pt idx="11">
                  <c:v>8.6116335594713919E-2</c:v>
                </c:pt>
                <c:pt idx="12">
                  <c:v>9.4131041951792213E-2</c:v>
                </c:pt>
                <c:pt idx="13">
                  <c:v>0.10217831857547742</c:v>
                </c:pt>
                <c:pt idx="14">
                  <c:v>0.1102585524774635</c:v>
                </c:pt>
                <c:pt idx="15">
                  <c:v>0.11837213760861129</c:v>
                </c:pt>
                <c:pt idx="16">
                  <c:v>0.1265194750258396</c:v>
                </c:pt>
                <c:pt idx="17">
                  <c:v>0.13470097306406517</c:v>
                </c:pt>
                <c:pt idx="18">
                  <c:v>0.1429170475133727</c:v>
                </c:pt>
                <c:pt idx="19">
                  <c:v>0.15116812180161127</c:v>
                </c:pt>
                <c:pt idx="20">
                  <c:v>0.1594546271826133</c:v>
                </c:pt>
                <c:pt idx="21">
                  <c:v>0.1677770029302495</c:v>
                </c:pt>
                <c:pt idx="22">
                  <c:v>0.1761356965385342</c:v>
                </c:pt>
                <c:pt idx="23">
                  <c:v>0.18453116392801255</c:v>
                </c:pt>
                <c:pt idx="24">
                  <c:v>0.19296386965866436</c:v>
                </c:pt>
                <c:pt idx="25">
                  <c:v>0.20143428714957642</c:v>
                </c:pt>
                <c:pt idx="26">
                  <c:v>0.20994289890563997</c:v>
                </c:pt>
                <c:pt idx="27">
                  <c:v>0.21849019675154671</c:v>
                </c:pt>
                <c:pt idx="28">
                  <c:v>0.22707668207336662</c:v>
                </c:pt>
                <c:pt idx="29">
                  <c:v>0.23570286606800478</c:v>
                </c:pt>
                <c:pt idx="30">
                  <c:v>0.24436927000084591</c:v>
                </c:pt>
                <c:pt idx="31">
                  <c:v>0.25307642547191278</c:v>
                </c:pt>
                <c:pt idx="32">
                  <c:v>0.26182487469087928</c:v>
                </c:pt>
                <c:pt idx="33">
                  <c:v>0.27061517076129021</c:v>
                </c:pt>
                <c:pt idx="34">
                  <c:v>0.27944787797436538</c:v>
                </c:pt>
                <c:pt idx="35">
                  <c:v>0.28832357211277315</c:v>
                </c:pt>
                <c:pt idx="36">
                  <c:v>0.29724284076478735</c:v>
                </c:pt>
                <c:pt idx="37">
                  <c:v>0.3062062836492514</c:v>
                </c:pt>
                <c:pt idx="38">
                  <c:v>0.31521451295180247</c:v>
                </c:pt>
                <c:pt idx="39">
                  <c:v>0.32426815367282602</c:v>
                </c:pt>
                <c:pt idx="40">
                  <c:v>0.33336784398763486</c:v>
                </c:pt>
                <c:pt idx="41">
                  <c:v>0.3425142356193922</c:v>
                </c:pt>
                <c:pt idx="42">
                  <c:v>0.35170799422532273</c:v>
                </c:pt>
                <c:pt idx="43">
                  <c:v>0.36094979979678654</c:v>
                </c:pt>
                <c:pt idx="44">
                  <c:v>0.37024034707381337</c:v>
                </c:pt>
                <c:pt idx="45">
                  <c:v>0.37958034597473334</c:v>
                </c:pt>
                <c:pt idx="46">
                  <c:v>0.38897052204156446</c:v>
                </c:pt>
                <c:pt idx="47">
                  <c:v>0.39841161690185894</c:v>
                </c:pt>
                <c:pt idx="48">
                  <c:v>0.40790438874774249</c:v>
                </c:pt>
                <c:pt idx="49">
                  <c:v>0.4174496128329182</c:v>
                </c:pt>
                <c:pt idx="50">
                  <c:v>0.42704808198845362</c:v>
                </c:pt>
                <c:pt idx="51">
                  <c:v>0.43670060715820669</c:v>
                </c:pt>
                <c:pt idx="52">
                  <c:v>0.44640801795479484</c:v>
                </c:pt>
                <c:pt idx="53">
                  <c:v>0.45617116323706058</c:v>
                </c:pt>
                <c:pt idx="54">
                  <c:v>0.46599091171004031</c:v>
                </c:pt>
                <c:pt idx="55">
                  <c:v>0.47586815254849502</c:v>
                </c:pt>
                <c:pt idx="56">
                  <c:v>0.48580379604512214</c:v>
                </c:pt>
                <c:pt idx="57">
                  <c:v>0.49579877428463126</c:v>
                </c:pt>
                <c:pt idx="58">
                  <c:v>0.50585404184493254</c:v>
                </c:pt>
                <c:pt idx="59">
                  <c:v>0.51597057652675415</c:v>
                </c:pt>
                <c:pt idx="60">
                  <c:v>0.5261493801130871</c:v>
                </c:pt>
                <c:pt idx="61">
                  <c:v>0.53639147915992924</c:v>
                </c:pt>
                <c:pt idx="62">
                  <c:v>0.54669792581989296</c:v>
                </c:pt>
                <c:pt idx="63">
                  <c:v>0.55706979870032503</c:v>
                </c:pt>
                <c:pt idx="64">
                  <c:v>0.56750820375769195</c:v>
                </c:pt>
                <c:pt idx="65">
                  <c:v>0.5780142752300842</c:v>
                </c:pt>
                <c:pt idx="66">
                  <c:v>0.58858917660980759</c:v>
                </c:pt>
                <c:pt idx="67">
                  <c:v>0.59923410165814361</c:v>
                </c:pt>
                <c:pt idx="68">
                  <c:v>0.60995027546449632</c:v>
                </c:pt>
                <c:pt idx="69">
                  <c:v>0.62073895555227376</c:v>
                </c:pt>
                <c:pt idx="70">
                  <c:v>0.63160143303400229</c:v>
                </c:pt>
                <c:pt idx="71">
                  <c:v>0.64253903381832389</c:v>
                </c:pt>
                <c:pt idx="72">
                  <c:v>0.65355311987170273</c:v>
                </c:pt>
                <c:pt idx="73">
                  <c:v>0.66464509053784282</c:v>
                </c:pt>
                <c:pt idx="74">
                  <c:v>0.67581638391801158</c:v>
                </c:pt>
                <c:pt idx="75">
                  <c:v>0.68706847831567486</c:v>
                </c:pt>
                <c:pt idx="76">
                  <c:v>0.69840289374907738</c:v>
                </c:pt>
                <c:pt idx="77">
                  <c:v>0.70982119353563444</c:v>
                </c:pt>
                <c:pt idx="78">
                  <c:v>0.72132498595226613</c:v>
                </c:pt>
                <c:pt idx="79">
                  <c:v>0.73291592597608868</c:v>
                </c:pt>
                <c:pt idx="80">
                  <c:v>0.74459571711016936</c:v>
                </c:pt>
                <c:pt idx="81">
                  <c:v>0.75636611329938919</c:v>
                </c:pt>
                <c:pt idx="82">
                  <c:v>0.76822892094179585</c:v>
                </c:pt>
                <c:pt idx="83">
                  <c:v>0.7801860010012226</c:v>
                </c:pt>
                <c:pt idx="84">
                  <c:v>0.7922392712273485</c:v>
                </c:pt>
                <c:pt idx="85">
                  <c:v>0.80439070848982852</c:v>
                </c:pt>
                <c:pt idx="86">
                  <c:v>0.81664235123359474</c:v>
                </c:pt>
                <c:pt idx="87">
                  <c:v>0.82899630206296215</c:v>
                </c:pt>
                <c:pt idx="88">
                  <c:v>0.84145473046272989</c:v>
                </c:pt>
                <c:pt idx="89">
                  <c:v>0.85401987566508752</c:v>
                </c:pt>
                <c:pt idx="90">
                  <c:v>0.86669404967180197</c:v>
                </c:pt>
                <c:pt idx="91">
                  <c:v>0.87947964044189242</c:v>
                </c:pt>
                <c:pt idx="92">
                  <c:v>0.89237911525578284</c:v>
                </c:pt>
                <c:pt idx="93">
                  <c:v>0.90539502426779028</c:v>
                </c:pt>
                <c:pt idx="94">
                  <c:v>0.91853000425974562</c:v>
                </c:pt>
                <c:pt idx="95">
                  <c:v>0.93178678260956671</c:v>
                </c:pt>
                <c:pt idx="96">
                  <c:v>0.94516818148972548</c:v>
                </c:pt>
                <c:pt idx="97">
                  <c:v>0.95867712231178137</c:v>
                </c:pt>
                <c:pt idx="98">
                  <c:v>0.97231663043448913</c:v>
                </c:pt>
                <c:pt idx="99">
                  <c:v>0.98608984015446355</c:v>
                </c:pt>
                <c:pt idx="100">
                  <c:v>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B975-4EAE-9176-DBF0ADD42898}"/>
            </c:ext>
          </c:extLst>
        </c:ser>
        <c:ser>
          <c:idx val="2"/>
          <c:order val="2"/>
          <c:tx>
            <c:strRef>
              <c:f>Samples!$E$5</c:f>
              <c:strCache>
                <c:ptCount val="1"/>
                <c:pt idx="0">
                  <c:v>3 · 激进</c:v>
                </c:pt>
              </c:strCache>
            </c:strRef>
          </c:tx>
          <c:spPr>
            <a:ln w="25400">
              <a:solidFill>
                <a:srgbClr val="CC4087"/>
              </a:solidFill>
              <a:prstDash val="solid"/>
            </a:ln>
          </c:spPr>
          <c:marker>
            <c:symbol val="none"/>
          </c:marker>
          <c:xVal>
            <c:numRef>
              <c:f>Samples!$B$6:$B$106</c:f>
              <c:numCache>
                <c:formatCode>0.0%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Samples!$E$6:$E$106</c:f>
              <c:numCache>
                <c:formatCode>0.0%</c:formatCode>
                <c:ptCount val="101"/>
                <c:pt idx="0">
                  <c:v>0</c:v>
                </c:pt>
                <c:pt idx="1">
                  <c:v>1.391976367936305E-2</c:v>
                </c:pt>
                <c:pt idx="2">
                  <c:v>2.7712236977093824E-2</c:v>
                </c:pt>
                <c:pt idx="3">
                  <c:v>4.1379903667644352E-2</c:v>
                </c:pt>
                <c:pt idx="4">
                  <c:v>5.4925175529730766E-2</c:v>
                </c:pt>
                <c:pt idx="5">
                  <c:v>6.835039510225821E-2</c:v>
                </c:pt>
                <c:pt idx="6">
                  <c:v>8.1657838309627112E-2</c:v>
                </c:pt>
                <c:pt idx="7">
                  <c:v>9.4849716963780112E-2</c:v>
                </c:pt>
                <c:pt idx="8">
                  <c:v>0.10792818114986957</c:v>
                </c:pt>
                <c:pt idx="9">
                  <c:v>0.12089532150198161</c:v>
                </c:pt>
                <c:pt idx="10">
                  <c:v>0.13375317137494153</c:v>
                </c:pt>
                <c:pt idx="11">
                  <c:v>0.14650370891784326</c:v>
                </c:pt>
                <c:pt idx="12">
                  <c:v>0.15914885905459161</c:v>
                </c:pt>
                <c:pt idx="13">
                  <c:v>0.17169049537641662</c:v>
                </c:pt>
                <c:pt idx="14">
                  <c:v>0.18413044195101544</c:v>
                </c:pt>
                <c:pt idx="15">
                  <c:v>0.19647047505268539</c:v>
                </c:pt>
                <c:pt idx="16">
                  <c:v>0.20871232481756263</c:v>
                </c:pt>
                <c:pt idx="17">
                  <c:v>0.22085767682781182</c:v>
                </c:pt>
                <c:pt idx="18">
                  <c:v>0.23290817362840482</c:v>
                </c:pt>
                <c:pt idx="19">
                  <c:v>0.24486541617989693</c:v>
                </c:pt>
                <c:pt idx="20">
                  <c:v>0.25673096525041444</c:v>
                </c:pt>
                <c:pt idx="21">
                  <c:v>0.26850634274988283</c:v>
                </c:pt>
                <c:pt idx="22">
                  <c:v>0.28019303300934545</c:v>
                </c:pt>
                <c:pt idx="23">
                  <c:v>0.29179248400806368</c:v>
                </c:pt>
                <c:pt idx="24">
                  <c:v>0.30330610855093548</c:v>
                </c:pt>
                <c:pt idx="25">
                  <c:v>0.31473528539862616</c:v>
                </c:pt>
                <c:pt idx="26">
                  <c:v>0.32608136035267266</c:v>
                </c:pt>
                <c:pt idx="27">
                  <c:v>0.33734564729769712</c:v>
                </c:pt>
                <c:pt idx="28">
                  <c:v>0.34852942920274782</c:v>
                </c:pt>
                <c:pt idx="29">
                  <c:v>0.35963395908367646</c:v>
                </c:pt>
                <c:pt idx="30">
                  <c:v>0.37066046092835692</c:v>
                </c:pt>
                <c:pt idx="31">
                  <c:v>0.3816101305864531</c:v>
                </c:pt>
                <c:pt idx="32">
                  <c:v>0.39248413662535597</c:v>
                </c:pt>
                <c:pt idx="33">
                  <c:v>0.40328362115381855</c:v>
                </c:pt>
                <c:pt idx="34">
                  <c:v>0.41400970061474307</c:v>
                </c:pt>
                <c:pt idx="35">
                  <c:v>0.42466346654849568</c:v>
                </c:pt>
                <c:pt idx="36">
                  <c:v>0.43524598632805317</c:v>
                </c:pt>
                <c:pt idx="37">
                  <c:v>0.44575830386722187</c:v>
                </c:pt>
                <c:pt idx="38">
                  <c:v>0.45620144030309984</c:v>
                </c:pt>
                <c:pt idx="39">
                  <c:v>0.46657639465390466</c:v>
                </c:pt>
                <c:pt idx="40">
                  <c:v>0.47688414445321758</c:v>
                </c:pt>
                <c:pt idx="41">
                  <c:v>0.48712564636166195</c:v>
                </c:pt>
                <c:pt idx="42">
                  <c:v>0.4973018367569616</c:v>
                </c:pt>
                <c:pt idx="43">
                  <c:v>0.50741363230329817</c:v>
                </c:pt>
                <c:pt idx="44">
                  <c:v>0.51746193050082889</c:v>
                </c:pt>
                <c:pt idx="45">
                  <c:v>0.5274476102161888</c:v>
                </c:pt>
                <c:pt idx="46">
                  <c:v>0.5373715321947633</c:v>
                </c:pt>
                <c:pt idx="47">
                  <c:v>0.54723453955547574</c:v>
                </c:pt>
                <c:pt idx="48">
                  <c:v>0.55703745826880269</c:v>
                </c:pt>
                <c:pt idx="49">
                  <c:v>0.56678109761869333</c:v>
                </c:pt>
                <c:pt idx="50">
                  <c:v>0.57646625064904067</c:v>
                </c:pt>
                <c:pt idx="51">
                  <c:v>0.5860936945953189</c:v>
                </c:pt>
                <c:pt idx="52">
                  <c:v>0.59566419130197479</c:v>
                </c:pt>
                <c:pt idx="53">
                  <c:v>0.60517848762613446</c:v>
                </c:pt>
                <c:pt idx="54">
                  <c:v>0.61463731582815906</c:v>
                </c:pt>
                <c:pt idx="55">
                  <c:v>0.62404139394956171</c:v>
                </c:pt>
                <c:pt idx="56">
                  <c:v>0.63339142617877142</c:v>
                </c:pt>
                <c:pt idx="57">
                  <c:v>0.64268810320521186</c:v>
                </c:pt>
                <c:pt idx="58">
                  <c:v>0.65193210256214051</c:v>
                </c:pt>
                <c:pt idx="59">
                  <c:v>0.66112408895866737</c:v>
                </c:pt>
                <c:pt idx="60">
                  <c:v>0.67026471460137405</c:v>
                </c:pt>
                <c:pt idx="61">
                  <c:v>0.67935461950590303</c:v>
                </c:pt>
                <c:pt idx="62">
                  <c:v>0.68839443179891013</c:v>
                </c:pt>
                <c:pt idx="63">
                  <c:v>0.69738476801071747</c:v>
                </c:pt>
                <c:pt idx="64">
                  <c:v>0.70632623335902323</c:v>
                </c:pt>
                <c:pt idx="65">
                  <c:v>0.71521942202398203</c:v>
                </c:pt>
                <c:pt idx="66">
                  <c:v>0.72406491741498025</c:v>
                </c:pt>
                <c:pt idx="67">
                  <c:v>0.73286329242939496</c:v>
                </c:pt>
                <c:pt idx="68">
                  <c:v>0.74161510970363209</c:v>
                </c:pt>
                <c:pt idx="69">
                  <c:v>0.75032092185671373</c:v>
                </c:pt>
                <c:pt idx="70">
                  <c:v>0.75898127172667929</c:v>
                </c:pt>
                <c:pt idx="71">
                  <c:v>0.76759669260005581</c:v>
                </c:pt>
                <c:pt idx="72">
                  <c:v>0.77616770843463589</c:v>
                </c:pt>
                <c:pt idx="73">
                  <c:v>0.78469483407579999</c:v>
                </c:pt>
                <c:pt idx="74">
                  <c:v>0.7931785754666032</c:v>
                </c:pt>
                <c:pt idx="75">
                  <c:v>0.80161942985184376</c:v>
                </c:pt>
                <c:pt idx="76">
                  <c:v>0.81001788597631541</c:v>
                </c:pt>
                <c:pt idx="77">
                  <c:v>0.81837442427744556</c:v>
                </c:pt>
                <c:pt idx="78">
                  <c:v>0.82668951707250571</c:v>
                </c:pt>
                <c:pt idx="79">
                  <c:v>0.83496362874057861</c:v>
                </c:pt>
                <c:pt idx="80">
                  <c:v>0.84319721589945518</c:v>
                </c:pt>
                <c:pt idx="81">
                  <c:v>0.85139072757763268</c:v>
                </c:pt>
                <c:pt idx="82">
                  <c:v>0.85954460538157429</c:v>
                </c:pt>
                <c:pt idx="83">
                  <c:v>0.86765928365838596</c:v>
                </c:pt>
                <c:pt idx="84">
                  <c:v>0.87573518965405928</c:v>
                </c:pt>
                <c:pt idx="85">
                  <c:v>0.88377274366742875</c:v>
                </c:pt>
                <c:pt idx="86">
                  <c:v>0.89177235919997588</c:v>
                </c:pt>
                <c:pt idx="87">
                  <c:v>0.89973444310162098</c:v>
                </c:pt>
                <c:pt idx="88">
                  <c:v>0.90765939571262133</c:v>
                </c:pt>
                <c:pt idx="89">
                  <c:v>0.91554761100171322</c:v>
                </c:pt>
                <c:pt idx="90">
                  <c:v>0.92339947670060074</c:v>
                </c:pt>
                <c:pt idx="91">
                  <c:v>0.93121537443492164</c:v>
                </c:pt>
                <c:pt idx="92">
                  <c:v>0.93899567985178833</c:v>
                </c:pt>
                <c:pt idx="93">
                  <c:v>0.9467407627440203</c:v>
                </c:pt>
                <c:pt idx="94">
                  <c:v>0.95445098717116272</c:v>
                </c:pt>
                <c:pt idx="95">
                  <c:v>0.96212671157739738</c:v>
                </c:pt>
                <c:pt idx="96">
                  <c:v>0.96976828890643507</c:v>
                </c:pt>
                <c:pt idx="97">
                  <c:v>0.97737606671348642</c:v>
                </c:pt>
                <c:pt idx="98">
                  <c:v>0.98495038727439643</c:v>
                </c:pt>
                <c:pt idx="99">
                  <c:v>0.99249158769203172</c:v>
                </c:pt>
                <c:pt idx="100">
                  <c:v>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2-B975-4EAE-9176-DBF0ADD4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Locale!$D$10</c:f>
              <c:strCache>
                <c:ptCount val="1"/>
                <c:pt idx="0">
                  <c:v>油门输出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0.2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strRef>
              <c:f>Locale!$D$9</c:f>
              <c:strCache>
                <c:ptCount val="1"/>
                <c:pt idx="0">
                  <c:v>油门输入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11246386" cy="5623193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6089-FBD2-467B-8F4B-31CF7045B0EC}">
  <sheetPr>
    <tabColor rgb="FF31475E"/>
  </sheetPr>
  <dimension ref="A1:O40"/>
  <sheetViews>
    <sheetView showGridLines="0" topLeftCell="A2" zoomScale="83" workbookViewId="0">
      <selection activeCell="C4" sqref="C4:E4"/>
    </sheetView>
  </sheetViews>
  <sheetFormatPr defaultRowHeight="14"/>
  <cols>
    <col min="1" max="1" width="2.5" customWidth="1"/>
    <col min="2" max="15" width="10.5" customWidth="1"/>
  </cols>
  <sheetData>
    <row r="1" spans="1:15" ht="22" customHeight="1">
      <c r="A1" s="1"/>
      <c r="B1" s="24" t="s">
        <v>18</v>
      </c>
      <c r="C1" s="24" t="s">
        <v>18</v>
      </c>
      <c r="D1" s="24" t="s">
        <v>18</v>
      </c>
      <c r="E1" s="25" t="s">
        <v>53</v>
      </c>
      <c r="F1" s="25" t="s">
        <v>19</v>
      </c>
      <c r="G1" s="25" t="s">
        <v>19</v>
      </c>
      <c r="H1" s="1"/>
      <c r="I1" s="1"/>
      <c r="J1" s="1"/>
      <c r="K1" s="1"/>
      <c r="L1" s="1"/>
      <c r="M1" s="1"/>
      <c r="N1" s="1"/>
      <c r="O1" s="1"/>
    </row>
    <row r="2" spans="1:15" ht="35.15" customHeight="1">
      <c r="A2" s="1"/>
      <c r="B2" s="20" t="str">
        <f>VLOOKUP("title.throttleCurves",Locale!$A$2:$D$14,4,FALSE)</f>
        <v>Astral · 油门曲线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</row>
    <row r="3" spans="1:15" ht="23.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.15" customHeight="1">
      <c r="A4" s="1"/>
      <c r="B4" s="2" t="str">
        <f>VLOOKUP("label.vehicleEcu",Locale!$A$2:$D$14,4,FALSE)</f>
        <v>车型 / ECU</v>
      </c>
      <c r="C4" s="22" t="s">
        <v>52</v>
      </c>
      <c r="D4" s="23"/>
      <c r="E4" s="23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3.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4">
    <mergeCell ref="B2:N2"/>
    <mergeCell ref="C4:E4"/>
    <mergeCell ref="B1:D1"/>
    <mergeCell ref="E1:G1"/>
  </mergeCells>
  <phoneticPr fontId="3" type="noConversion"/>
  <dataValidations count="1">
    <dataValidation type="list" sqref="E1:G1" xr:uid="{00000000-0002-0000-0000-000000000000}">
      <formula1>"English,简体中文"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Parameters!$B$7:$B$11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4258-7AC3-4B90-84C1-21E361C79A19}">
  <sheetPr>
    <tabColor rgb="FFC49A32"/>
  </sheetPr>
  <dimension ref="A1:N23"/>
  <sheetViews>
    <sheetView showGridLines="0" workbookViewId="0">
      <selection activeCell="E10" sqref="E10"/>
    </sheetView>
  </sheetViews>
  <sheetFormatPr defaultRowHeight="14"/>
  <cols>
    <col min="1" max="1" width="2.5" customWidth="1"/>
    <col min="2" max="2" width="23" customWidth="1"/>
    <col min="3" max="8" width="11" customWidth="1"/>
    <col min="9" max="9" width="3" customWidth="1"/>
    <col min="10" max="14" width="10.5" customWidth="1"/>
  </cols>
  <sheetData>
    <row r="1" spans="1:14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5.15" customHeight="1">
      <c r="A2" s="1"/>
      <c r="B2" s="20" t="str">
        <f>VLOOKUP("title.throttleParameters",Locale!$A$2:$D$14,4,FALSE)</f>
        <v>Astral · 油门参数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3.15" customHeight="1">
      <c r="A3" s="1"/>
    </row>
    <row r="4" spans="1:14" ht="23.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2.15" customHeight="1">
      <c r="A5" s="1"/>
      <c r="B5" s="1"/>
      <c r="C5" s="26" t="str">
        <f>VLOOKUP("label.progressiveMap",Locale!$A$2:$D$14,4,FALSE)</f>
        <v>1 · 渐进</v>
      </c>
      <c r="D5" s="26"/>
      <c r="E5" s="26" t="str">
        <f>VLOOKUP("label.subtleLinearMap",Locale!$A$2:$D$14,4,FALSE)</f>
        <v>2 · 轻度线性</v>
      </c>
      <c r="F5" s="26"/>
      <c r="G5" s="26" t="str">
        <f>VLOOKUP("label.aggressiveMap",Locale!$A$2:$D$14,4,FALSE)</f>
        <v>3 · 激进</v>
      </c>
      <c r="H5" s="26"/>
      <c r="I5" s="1"/>
      <c r="J5" s="1"/>
      <c r="K5" s="1"/>
      <c r="L5" s="1"/>
      <c r="M5" s="1"/>
      <c r="N5" s="1"/>
    </row>
    <row r="6" spans="1:14" ht="32.15" customHeight="1">
      <c r="A6" s="1"/>
      <c r="B6" s="3" t="str">
        <f>VLOOKUP("label.vehicleEcu",Locale!$A$2:$D$14,4,FALSE)</f>
        <v>车型 / ECU</v>
      </c>
      <c r="C6" s="4" t="s">
        <v>7</v>
      </c>
      <c r="D6" s="4" t="s">
        <v>8</v>
      </c>
      <c r="E6" s="4" t="s">
        <v>7</v>
      </c>
      <c r="F6" s="4" t="s">
        <v>8</v>
      </c>
      <c r="G6" s="4" t="s">
        <v>7</v>
      </c>
      <c r="H6" s="4" t="s">
        <v>8</v>
      </c>
      <c r="I6" s="1"/>
    </row>
    <row r="7" spans="1:14" ht="31" customHeight="1">
      <c r="A7" s="1"/>
      <c r="B7" s="5" t="s">
        <v>2</v>
      </c>
      <c r="C7" s="6">
        <v>0</v>
      </c>
      <c r="D7" s="6">
        <v>-0.92</v>
      </c>
      <c r="E7" s="6">
        <v>0.5</v>
      </c>
      <c r="F7" s="6">
        <v>-0.45</v>
      </c>
      <c r="G7" s="6">
        <v>0.35</v>
      </c>
      <c r="H7" s="6">
        <v>1.5</v>
      </c>
      <c r="I7" s="1"/>
    </row>
    <row r="8" spans="1:14" ht="31" customHeight="1">
      <c r="A8" s="1"/>
      <c r="B8" s="7" t="s">
        <v>9</v>
      </c>
      <c r="C8" s="6">
        <v>0</v>
      </c>
      <c r="D8" s="6">
        <v>-0.95</v>
      </c>
      <c r="E8" s="6">
        <v>0.25</v>
      </c>
      <c r="F8" s="6">
        <v>-0.55000000000000004</v>
      </c>
      <c r="G8" s="6">
        <v>0.1</v>
      </c>
      <c r="H8" s="6">
        <v>1</v>
      </c>
      <c r="I8" s="1"/>
    </row>
    <row r="9" spans="1:14" ht="31" customHeight="1">
      <c r="A9" s="1"/>
      <c r="B9" s="5" t="s">
        <v>10</v>
      </c>
      <c r="C9" s="6">
        <v>0</v>
      </c>
      <c r="D9" s="6">
        <v>-0.92</v>
      </c>
      <c r="E9" s="6">
        <v>0.4</v>
      </c>
      <c r="F9" s="6">
        <v>-0.45</v>
      </c>
      <c r="G9" s="6">
        <v>0.1</v>
      </c>
      <c r="H9" s="6">
        <v>1.5</v>
      </c>
      <c r="I9" s="1"/>
    </row>
    <row r="10" spans="1:14" ht="31" customHeight="1">
      <c r="A10" s="1"/>
      <c r="B10" s="7" t="s">
        <v>11</v>
      </c>
      <c r="C10" s="6">
        <v>0.15</v>
      </c>
      <c r="D10" s="6">
        <v>-0.88</v>
      </c>
      <c r="E10" s="6">
        <v>0.69</v>
      </c>
      <c r="F10" s="6">
        <v>-0.28000000000000003</v>
      </c>
      <c r="G10" s="6">
        <v>0.59</v>
      </c>
      <c r="H10" s="6">
        <v>9.8000000000000007</v>
      </c>
      <c r="I10" s="1"/>
    </row>
    <row r="11" spans="1:14" ht="31" customHeight="1">
      <c r="A11" s="1"/>
      <c r="B11" s="5" t="s">
        <v>12</v>
      </c>
      <c r="C11" s="6">
        <v>0.15</v>
      </c>
      <c r="D11" s="6">
        <v>-0.88</v>
      </c>
      <c r="E11" s="6">
        <v>0.69</v>
      </c>
      <c r="F11" s="6">
        <v>-0.28000000000000003</v>
      </c>
      <c r="G11" s="6">
        <v>0.59</v>
      </c>
      <c r="H11" s="6">
        <v>9.8000000000000007</v>
      </c>
      <c r="I11" s="1"/>
    </row>
    <row r="12" spans="1:14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3.15" customHeight="1">
      <c r="A14" s="1"/>
    </row>
    <row r="15" spans="1:14" ht="23.15" customHeight="1">
      <c r="A15" s="1"/>
    </row>
    <row r="16" spans="1:14" ht="23.15" customHeight="1">
      <c r="A16" s="1"/>
    </row>
    <row r="17" spans="1:14" ht="23.15" customHeight="1">
      <c r="A17" s="1"/>
    </row>
    <row r="18" spans="1:14" ht="23.15" customHeight="1">
      <c r="A18" s="1"/>
    </row>
    <row r="19" spans="1:14" ht="23.15" customHeight="1">
      <c r="A19" s="1"/>
    </row>
    <row r="20" spans="1:14" ht="23.15" customHeight="1">
      <c r="A20" s="1"/>
    </row>
    <row r="21" spans="1:14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</sheetData>
  <mergeCells count="4">
    <mergeCell ref="B2:N2"/>
    <mergeCell ref="C5:D5"/>
    <mergeCell ref="E5:F5"/>
    <mergeCell ref="G5:H5"/>
  </mergeCells>
  <phoneticPr fontId="3" type="noConversion"/>
  <dataValidations count="2">
    <dataValidation type="decimal" sqref="C7:C11 G7:G11 E7:E11" xr:uid="{00000000-0002-0000-0100-000000000000}">
      <formula1>0</formula1>
      <formula2>1</formula2>
    </dataValidation>
    <dataValidation type="decimal" operator="greaterThan" sqref="D7:D11 H7:H11 F7:F11" xr:uid="{00000000-0002-0000-0100-000003000000}">
      <formula1>-1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D8A-80FA-4CD3-9EF5-D92DD92FF1E9}">
  <dimension ref="A1:D14"/>
  <sheetViews>
    <sheetView workbookViewId="0"/>
  </sheetViews>
  <sheetFormatPr defaultRowHeight="14"/>
  <sheetData>
    <row r="1" spans="1:4">
      <c r="A1" s="19" t="s">
        <v>20</v>
      </c>
      <c r="B1" s="19" t="s">
        <v>21</v>
      </c>
      <c r="C1" s="19" t="s">
        <v>22</v>
      </c>
      <c r="D1" s="19" t="s">
        <v>23</v>
      </c>
    </row>
    <row r="2" spans="1:4">
      <c r="A2" s="18" t="s">
        <v>24</v>
      </c>
      <c r="B2" s="18" t="s">
        <v>25</v>
      </c>
      <c r="C2" s="18" t="s">
        <v>26</v>
      </c>
      <c r="D2" s="18" t="str">
        <f>IF('Throttle Curves'!$E$1="English",B2,C2)</f>
        <v>油门输入 / 输出</v>
      </c>
    </row>
    <row r="3" spans="1:4">
      <c r="A3" s="18" t="s">
        <v>27</v>
      </c>
      <c r="B3" s="18" t="s">
        <v>6</v>
      </c>
      <c r="C3" s="18" t="s">
        <v>28</v>
      </c>
      <c r="D3" s="18" t="str">
        <f>IF('Throttle Curves'!$E$1="English",B3,C3)</f>
        <v>3 · 激进</v>
      </c>
    </row>
    <row r="4" spans="1:4">
      <c r="A4" s="18" t="s">
        <v>29</v>
      </c>
      <c r="B4" s="18" t="s">
        <v>30</v>
      </c>
      <c r="C4" s="18" t="s">
        <v>17</v>
      </c>
      <c r="D4" s="18" t="str">
        <f>IF('Throttle Curves'!$E$1="English",B4,C4)</f>
        <v>档位</v>
      </c>
    </row>
    <row r="5" spans="1:4">
      <c r="A5" s="18" t="s">
        <v>31</v>
      </c>
      <c r="B5" s="18" t="s">
        <v>32</v>
      </c>
      <c r="C5" s="18" t="s">
        <v>16</v>
      </c>
      <c r="D5" s="18" t="str">
        <f>IF('Throttle Curves'!$E$1="English",B5,C5)</f>
        <v>参数行</v>
      </c>
    </row>
    <row r="6" spans="1:4">
      <c r="A6" s="18" t="s">
        <v>33</v>
      </c>
      <c r="B6" s="18" t="s">
        <v>4</v>
      </c>
      <c r="C6" s="18" t="s">
        <v>34</v>
      </c>
      <c r="D6" s="18" t="str">
        <f>IF('Throttle Curves'!$E$1="English",B6,C6)</f>
        <v>1 · 渐进</v>
      </c>
    </row>
    <row r="7" spans="1:4">
      <c r="A7" s="18" t="s">
        <v>35</v>
      </c>
      <c r="B7" s="18" t="s">
        <v>36</v>
      </c>
      <c r="C7" s="18" t="s">
        <v>14</v>
      </c>
      <c r="D7" s="18" t="str">
        <f>IF('Throttle Curves'!$E$1="English",B7,C7)</f>
        <v>所选 ECU</v>
      </c>
    </row>
    <row r="8" spans="1:4">
      <c r="A8" s="18" t="s">
        <v>37</v>
      </c>
      <c r="B8" s="18" t="s">
        <v>5</v>
      </c>
      <c r="C8" s="18" t="s">
        <v>38</v>
      </c>
      <c r="D8" s="18" t="str">
        <f>IF('Throttle Curves'!$E$1="English",B8,C8)</f>
        <v>2 · 轻度线性</v>
      </c>
    </row>
    <row r="9" spans="1:4">
      <c r="A9" s="18" t="s">
        <v>39</v>
      </c>
      <c r="B9" s="18" t="s">
        <v>15</v>
      </c>
      <c r="C9" s="18" t="s">
        <v>40</v>
      </c>
      <c r="D9" s="18" t="str">
        <f>IF('Throttle Curves'!$E$1="English",B9,C9)</f>
        <v>油门输入</v>
      </c>
    </row>
    <row r="10" spans="1:4">
      <c r="A10" s="18" t="s">
        <v>41</v>
      </c>
      <c r="B10" s="18" t="s">
        <v>42</v>
      </c>
      <c r="C10" s="18" t="s">
        <v>43</v>
      </c>
      <c r="D10" s="18" t="str">
        <f>IF('Throttle Curves'!$E$1="English",B10,C10)</f>
        <v>油门输出</v>
      </c>
    </row>
    <row r="11" spans="1:4">
      <c r="A11" s="18" t="s">
        <v>44</v>
      </c>
      <c r="B11" s="18" t="s">
        <v>45</v>
      </c>
      <c r="C11" s="18" t="s">
        <v>1</v>
      </c>
      <c r="D11" s="18" t="str">
        <f>IF('Throttle Curves'!$E$1="English",B11,C11)</f>
        <v>车型 / ECU</v>
      </c>
    </row>
    <row r="12" spans="1:4">
      <c r="A12" s="18" t="s">
        <v>46</v>
      </c>
      <c r="B12" s="18" t="s">
        <v>0</v>
      </c>
      <c r="C12" s="18" t="s">
        <v>47</v>
      </c>
      <c r="D12" s="18" t="str">
        <f>IF('Throttle Curves'!$E$1="English",B12,C12)</f>
        <v>Astral · 油门曲线</v>
      </c>
    </row>
    <row r="13" spans="1:4">
      <c r="A13" s="18" t="s">
        <v>48</v>
      </c>
      <c r="B13" s="18" t="s">
        <v>3</v>
      </c>
      <c r="C13" s="18" t="s">
        <v>49</v>
      </c>
      <c r="D13" s="18" t="str">
        <f>IF('Throttle Curves'!$E$1="English",B13,C13)</f>
        <v>Astral · 油门参数</v>
      </c>
    </row>
    <row r="14" spans="1:4">
      <c r="A14" s="18" t="s">
        <v>50</v>
      </c>
      <c r="B14" s="18" t="s">
        <v>13</v>
      </c>
      <c r="C14" s="18" t="s">
        <v>51</v>
      </c>
      <c r="D14" s="18" t="str">
        <f>IF('Throttle Curves'!$E$1="English",B14,C14)</f>
        <v>Astral · 油门采样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F7F4-3824-4480-BC2C-FC1B217FF633}">
  <sheetPr>
    <tabColor rgb="FF93A0AC"/>
  </sheetPr>
  <dimension ref="A1:K106"/>
  <sheetViews>
    <sheetView showGridLines="0" tabSelected="1" workbookViewId="0">
      <pane ySplit="5" topLeftCell="A6" activePane="bottomLeft" state="frozen"/>
      <selection pane="bottomLeft"/>
    </sheetView>
  </sheetViews>
  <sheetFormatPr defaultRowHeight="14"/>
  <cols>
    <col min="1" max="1" width="2.5" customWidth="1"/>
    <col min="2" max="5" width="20" customWidth="1"/>
    <col min="6" max="6" width="3" customWidth="1"/>
    <col min="7" max="7" width="20" customWidth="1"/>
    <col min="8" max="11" width="10.5" customWidth="1"/>
  </cols>
  <sheetData>
    <row r="1" spans="1:1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5.15" customHeight="1">
      <c r="A2" s="1"/>
      <c r="B2" s="20" t="str">
        <f>VLOOKUP("title.throttleSamples",Locale!$A$2:$D$14,4,FALSE)</f>
        <v>Astral · 油门采样</v>
      </c>
      <c r="C2" s="21"/>
      <c r="D2" s="21"/>
      <c r="E2" s="21"/>
      <c r="F2" s="21"/>
      <c r="G2" s="21"/>
      <c r="H2" s="21"/>
      <c r="I2" s="21"/>
      <c r="J2" s="21"/>
      <c r="K2" s="21"/>
    </row>
    <row r="3" spans="1:11" ht="23.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3.15" customHeight="1">
      <c r="A4" s="1"/>
      <c r="B4" s="1"/>
      <c r="C4" s="1"/>
      <c r="D4" s="1"/>
      <c r="E4" s="1"/>
      <c r="F4" s="1"/>
      <c r="G4" s="2" t="str">
        <f>VLOOKUP("label.selectedEcu",Locale!$A$2:$D$14,4,FALSE)</f>
        <v>所选 ECU</v>
      </c>
      <c r="H4" s="27" t="str">
        <f>'Throttle Curves'!C4</f>
        <v>WRC17 / Rally1</v>
      </c>
      <c r="I4" s="21"/>
      <c r="J4" s="21"/>
      <c r="K4" s="21"/>
    </row>
    <row r="5" spans="1:11" ht="32.15" customHeight="1">
      <c r="A5" s="1"/>
      <c r="B5" s="8" t="str">
        <f>VLOOKUP("label.throttleInput",Locale!$A$2:$D$14,4,FALSE)</f>
        <v>油门输入</v>
      </c>
      <c r="C5" s="8" t="str">
        <f>VLOOKUP("label.progressiveMap",Locale!$A$2:$D$14,4,FALSE)</f>
        <v>1 · 渐进</v>
      </c>
      <c r="D5" s="8" t="str">
        <f>VLOOKUP("label.subtleLinearMap",Locale!$A$2:$D$14,4,FALSE)</f>
        <v>2 · 轻度线性</v>
      </c>
      <c r="E5" s="8" t="str">
        <f>VLOOKUP("label.aggressiveMap",Locale!$A$2:$D$14,4,FALSE)</f>
        <v>3 · 激进</v>
      </c>
      <c r="F5" s="1"/>
      <c r="G5" s="1"/>
      <c r="H5" s="1"/>
      <c r="I5" s="1"/>
      <c r="J5" s="1"/>
      <c r="K5" s="1"/>
    </row>
    <row r="6" spans="1:11" ht="31" customHeight="1">
      <c r="A6" s="1"/>
      <c r="B6" s="9">
        <v>0</v>
      </c>
      <c r="C6" s="9">
        <f t="shared" ref="C6:C37" si="0">IF($I$9=0,$B6,(1-$H$9)*LN(1+$I$9*$B6)/LN(1+$I$9)+$H$9*$B6)</f>
        <v>0</v>
      </c>
      <c r="D6" s="9">
        <f t="shared" ref="D6:D37" si="1">IF($I$10=0,$B6,(1-$H$10)*LN(1+$I$10*$B6)/LN(1+$I$10)+$H$10*$B6)</f>
        <v>0</v>
      </c>
      <c r="E6" s="9">
        <f t="shared" ref="E6:E37" si="2">IF($I$11=0,$B6,(1-$H$11)*LN(1+$I$11*$B6)/LN(1+$I$11)+$H$11*$B6)</f>
        <v>0</v>
      </c>
      <c r="F6" s="1"/>
      <c r="G6" s="10" t="str">
        <f>VLOOKUP("label.parameterRow",Locale!$A$2:$D$14,4,FALSE)</f>
        <v>参数行</v>
      </c>
      <c r="H6" s="11">
        <f>MATCH('Throttle Curves'!C4,Parameters!B7:B11,0)</f>
        <v>2</v>
      </c>
      <c r="I6" s="1"/>
      <c r="J6" s="1"/>
      <c r="K6" s="1"/>
    </row>
    <row r="7" spans="1:11" ht="31" customHeight="1">
      <c r="A7" s="1"/>
      <c r="B7" s="12">
        <v>0.01</v>
      </c>
      <c r="C7" s="12">
        <f t="shared" si="0"/>
        <v>3.186337086193345E-3</v>
      </c>
      <c r="D7" s="12">
        <f t="shared" si="1"/>
        <v>7.6801448322603195E-3</v>
      </c>
      <c r="E7" s="12">
        <f t="shared" si="2"/>
        <v>1.391976367936305E-2</v>
      </c>
      <c r="F7" s="1"/>
      <c r="G7" s="1"/>
      <c r="H7" s="1"/>
      <c r="I7" s="1"/>
      <c r="J7" s="1"/>
      <c r="K7" s="1"/>
    </row>
    <row r="8" spans="1:11" ht="32.15" customHeight="1">
      <c r="A8" s="1"/>
      <c r="B8" s="9">
        <v>0.02</v>
      </c>
      <c r="C8" s="9">
        <f t="shared" si="0"/>
        <v>6.4033824337768443E-3</v>
      </c>
      <c r="D8" s="9">
        <f t="shared" si="1"/>
        <v>1.5389017612306488E-2</v>
      </c>
      <c r="E8" s="9">
        <f t="shared" si="2"/>
        <v>2.7712236977093824E-2</v>
      </c>
      <c r="F8" s="1"/>
      <c r="G8" s="13" t="str">
        <f>VLOOKUP("label.mapSetting",Locale!$A$2:$D$14,4,FALSE)</f>
        <v>档位</v>
      </c>
      <c r="H8" s="8" t="s">
        <v>7</v>
      </c>
      <c r="I8" s="8" t="s">
        <v>8</v>
      </c>
      <c r="J8" s="1"/>
      <c r="K8" s="1"/>
    </row>
    <row r="9" spans="1:11" ht="31" customHeight="1">
      <c r="A9" s="1"/>
      <c r="B9" s="12">
        <v>0.03</v>
      </c>
      <c r="C9" s="12">
        <f t="shared" si="0"/>
        <v>9.6517337079458313E-3</v>
      </c>
      <c r="D9" s="12">
        <f t="shared" si="1"/>
        <v>2.3126938755721561E-2</v>
      </c>
      <c r="E9" s="12">
        <f t="shared" si="2"/>
        <v>4.1379903667644352E-2</v>
      </c>
      <c r="F9" s="1"/>
      <c r="G9" s="14">
        <v>1</v>
      </c>
      <c r="H9" s="15">
        <f>INDEX(Parameters!$C$7:$H$11,$H$6,1)</f>
        <v>0</v>
      </c>
      <c r="I9" s="15">
        <f>INDEX(Parameters!$C$7:$H$11,$H$6,2)</f>
        <v>-0.95</v>
      </c>
      <c r="J9" s="1"/>
      <c r="K9" s="1"/>
    </row>
    <row r="10" spans="1:11" ht="31" customHeight="1">
      <c r="A10" s="1"/>
      <c r="B10" s="9">
        <v>0.04</v>
      </c>
      <c r="C10" s="9">
        <f t="shared" si="0"/>
        <v>1.2932006193754548E-2</v>
      </c>
      <c r="D10" s="9">
        <f t="shared" si="1"/>
        <v>3.0894234068771745E-2</v>
      </c>
      <c r="E10" s="9">
        <f t="shared" si="2"/>
        <v>5.4925175529730766E-2</v>
      </c>
      <c r="F10" s="1"/>
      <c r="G10" s="16">
        <v>2</v>
      </c>
      <c r="H10" s="17">
        <f>INDEX(Parameters!$C$7:$H$11,$H$6,3)</f>
        <v>0.25</v>
      </c>
      <c r="I10" s="17">
        <f>INDEX(Parameters!$C$7:$H$11,$H$6,4)</f>
        <v>-0.55000000000000004</v>
      </c>
      <c r="J10" s="1"/>
      <c r="K10" s="1"/>
    </row>
    <row r="11" spans="1:11" ht="31" customHeight="1">
      <c r="A11" s="1"/>
      <c r="B11" s="12">
        <v>0.05</v>
      </c>
      <c r="C11" s="12">
        <f t="shared" si="0"/>
        <v>1.6244833495600405E-2</v>
      </c>
      <c r="D11" s="12">
        <f t="shared" si="1"/>
        <v>3.8691234870011873E-2</v>
      </c>
      <c r="E11" s="12">
        <f t="shared" si="2"/>
        <v>6.835039510225821E-2</v>
      </c>
      <c r="F11" s="1"/>
      <c r="G11" s="14">
        <v>3</v>
      </c>
      <c r="H11" s="15">
        <f>INDEX(Parameters!$C$7:$H$11,$H$6,5)</f>
        <v>0.1</v>
      </c>
      <c r="I11" s="15">
        <f>INDEX(Parameters!$C$7:$H$11,$H$6,6)</f>
        <v>1</v>
      </c>
      <c r="J11" s="1"/>
      <c r="K11" s="1"/>
    </row>
    <row r="12" spans="1:11" ht="31" customHeight="1">
      <c r="A12" s="1"/>
      <c r="B12" s="9">
        <v>0.06</v>
      </c>
      <c r="C12" s="9">
        <f t="shared" si="0"/>
        <v>1.9590868271767738E-2</v>
      </c>
      <c r="D12" s="9">
        <f t="shared" si="1"/>
        <v>4.6518278115341136E-2</v>
      </c>
      <c r="E12" s="9">
        <f t="shared" si="2"/>
        <v>8.1657838309627112E-2</v>
      </c>
      <c r="F12" s="1"/>
      <c r="G12" s="1"/>
      <c r="H12" s="1"/>
      <c r="I12" s="1"/>
      <c r="J12" s="1"/>
      <c r="K12" s="1"/>
    </row>
    <row r="13" spans="1:11" ht="31" customHeight="1">
      <c r="A13" s="1"/>
      <c r="B13" s="12">
        <v>7.0000000000000007E-2</v>
      </c>
      <c r="C13" s="12">
        <f t="shared" si="0"/>
        <v>2.2970783006160234E-2</v>
      </c>
      <c r="D13" s="12">
        <f t="shared" si="1"/>
        <v>5.437570652662372E-2</v>
      </c>
      <c r="E13" s="12">
        <f t="shared" si="2"/>
        <v>9.4849716963780112E-2</v>
      </c>
      <c r="F13" s="1"/>
      <c r="G13" s="1"/>
      <c r="H13" s="1"/>
      <c r="I13" s="1"/>
      <c r="J13" s="1"/>
      <c r="K13" s="1"/>
    </row>
    <row r="14" spans="1:11" ht="31" customHeight="1">
      <c r="A14" s="1"/>
      <c r="B14" s="9">
        <v>0.08</v>
      </c>
      <c r="C14" s="9">
        <f t="shared" si="0"/>
        <v>2.6385270819504796E-2</v>
      </c>
      <c r="D14" s="9">
        <f t="shared" si="1"/>
        <v>6.2263868724000346E-2</v>
      </c>
      <c r="E14" s="9">
        <f t="shared" si="2"/>
        <v>0.10792818114986957</v>
      </c>
      <c r="F14" s="1"/>
      <c r="G14" s="1"/>
      <c r="H14" s="1"/>
      <c r="I14" s="1"/>
      <c r="J14" s="1"/>
      <c r="K14" s="1"/>
    </row>
    <row r="15" spans="1:11" ht="31" customHeight="1">
      <c r="A15" s="1"/>
      <c r="B15" s="12">
        <v>0.09</v>
      </c>
      <c r="C15" s="12">
        <f t="shared" si="0"/>
        <v>2.9835046322475019E-2</v>
      </c>
      <c r="D15" s="12">
        <f t="shared" si="1"/>
        <v>7.0183119362015323E-2</v>
      </c>
      <c r="E15" s="12">
        <f t="shared" si="2"/>
        <v>0.12089532150198161</v>
      </c>
      <c r="F15" s="1"/>
      <c r="G15" s="1"/>
      <c r="H15" s="1"/>
      <c r="I15" s="1"/>
      <c r="J15" s="1"/>
      <c r="K15" s="1"/>
    </row>
    <row r="16" spans="1:11" ht="31" customHeight="1">
      <c r="A16" s="1"/>
      <c r="B16" s="9">
        <v>0.1</v>
      </c>
      <c r="C16" s="9">
        <f t="shared" si="0"/>
        <v>3.33208465133598E-2</v>
      </c>
      <c r="D16" s="9">
        <f t="shared" si="1"/>
        <v>7.8133819269695204E-2</v>
      </c>
      <c r="E16" s="9">
        <f t="shared" si="2"/>
        <v>0.13375317137494153</v>
      </c>
      <c r="F16" s="1"/>
      <c r="G16" s="1"/>
      <c r="H16" s="1"/>
      <c r="I16" s="1"/>
      <c r="J16" s="1"/>
      <c r="K16" s="1"/>
    </row>
    <row r="17" spans="1:11" ht="31" customHeight="1">
      <c r="A17" s="1"/>
      <c r="B17" s="12">
        <v>0.11</v>
      </c>
      <c r="C17" s="12">
        <f t="shared" si="0"/>
        <v>3.6843431723099021E-2</v>
      </c>
      <c r="D17" s="12">
        <f t="shared" si="1"/>
        <v>8.6116335594713919E-2</v>
      </c>
      <c r="E17" s="12">
        <f t="shared" si="2"/>
        <v>0.14650370891784326</v>
      </c>
      <c r="F17" s="1"/>
      <c r="G17" s="1"/>
      <c r="H17" s="1"/>
      <c r="I17" s="1"/>
      <c r="J17" s="1"/>
      <c r="K17" s="1"/>
    </row>
    <row r="18" spans="1:11" ht="31" customHeight="1">
      <c r="A18" s="1"/>
      <c r="B18" s="9">
        <v>0.12</v>
      </c>
      <c r="C18" s="9">
        <f t="shared" si="0"/>
        <v>4.0403586610716101E-2</v>
      </c>
      <c r="D18" s="9">
        <f t="shared" si="1"/>
        <v>9.4131041951792213E-2</v>
      </c>
      <c r="E18" s="9">
        <f t="shared" si="2"/>
        <v>0.15914885905459161</v>
      </c>
      <c r="F18" s="1"/>
      <c r="G18" s="1"/>
      <c r="H18" s="1"/>
      <c r="I18" s="1"/>
      <c r="J18" s="1"/>
      <c r="K18" s="1"/>
    </row>
    <row r="19" spans="1:11" ht="31" customHeight="1">
      <c r="A19" s="1"/>
      <c r="B19" s="12">
        <v>0.13</v>
      </c>
      <c r="C19" s="12">
        <f t="shared" si="0"/>
        <v>4.4002121212408853E-2</v>
      </c>
      <c r="D19" s="12">
        <f t="shared" si="1"/>
        <v>0.10217831857547742</v>
      </c>
      <c r="E19" s="12">
        <f t="shared" si="2"/>
        <v>0.17169049537641662</v>
      </c>
      <c r="F19" s="1"/>
      <c r="G19" s="1"/>
      <c r="H19" s="1"/>
      <c r="I19" s="1"/>
      <c r="J19" s="1"/>
      <c r="K19" s="1"/>
    </row>
    <row r="20" spans="1:11" ht="31" customHeight="1">
      <c r="A20" s="1"/>
      <c r="B20" s="9">
        <v>0.14000000000000001</v>
      </c>
      <c r="C20" s="9">
        <f t="shared" si="0"/>
        <v>4.7639872047806051E-2</v>
      </c>
      <c r="D20" s="9">
        <f t="shared" si="1"/>
        <v>0.1102585524774635</v>
      </c>
      <c r="E20" s="9">
        <f t="shared" si="2"/>
        <v>0.18413044195101544</v>
      </c>
      <c r="F20" s="1"/>
      <c r="G20" s="1"/>
      <c r="H20" s="1"/>
      <c r="I20" s="1"/>
      <c r="J20" s="1"/>
      <c r="K20" s="1"/>
    </row>
    <row r="21" spans="1:11" ht="31" customHeight="1">
      <c r="A21" s="1"/>
      <c r="B21" s="12">
        <v>0.15</v>
      </c>
      <c r="C21" s="12">
        <f t="shared" si="0"/>
        <v>5.1317703287169718E-2</v>
      </c>
      <c r="D21" s="12">
        <f t="shared" si="1"/>
        <v>0.11837213760861129</v>
      </c>
      <c r="E21" s="12">
        <f t="shared" si="2"/>
        <v>0.19647047505268539</v>
      </c>
      <c r="F21" s="1"/>
      <c r="G21" s="1"/>
      <c r="H21" s="1"/>
      <c r="I21" s="1"/>
      <c r="J21" s="1"/>
      <c r="K21" s="1"/>
    </row>
    <row r="22" spans="1:11" ht="31" customHeight="1">
      <c r="A22" s="1"/>
      <c r="B22" s="9">
        <v>0.16</v>
      </c>
      <c r="C22" s="9">
        <f t="shared" si="0"/>
        <v>5.5036507983617249E-2</v>
      </c>
      <c r="D22" s="9">
        <f t="shared" si="1"/>
        <v>0.1265194750258396</v>
      </c>
      <c r="E22" s="9">
        <f t="shared" si="2"/>
        <v>0.20871232481756263</v>
      </c>
      <c r="F22" s="1"/>
      <c r="G22" s="1"/>
      <c r="H22" s="1"/>
      <c r="I22" s="1"/>
      <c r="J22" s="1"/>
      <c r="K22" s="1"/>
    </row>
    <row r="23" spans="1:11" ht="31" customHeight="1">
      <c r="A23" s="1"/>
      <c r="B23" s="12">
        <v>0.17</v>
      </c>
      <c r="C23" s="12">
        <f t="shared" si="0"/>
        <v>5.8797209374757908E-2</v>
      </c>
      <c r="D23" s="12">
        <f t="shared" si="1"/>
        <v>0.13470097306406517</v>
      </c>
      <c r="E23" s="12">
        <f t="shared" si="2"/>
        <v>0.22085767682781182</v>
      </c>
      <c r="F23" s="1"/>
      <c r="G23" s="1"/>
      <c r="H23" s="1"/>
      <c r="I23" s="1"/>
      <c r="J23" s="1"/>
      <c r="K23" s="1"/>
    </row>
    <row r="24" spans="1:11" ht="31" customHeight="1">
      <c r="A24" s="1"/>
      <c r="B24" s="9">
        <v>0.18</v>
      </c>
      <c r="C24" s="9">
        <f t="shared" si="0"/>
        <v>6.2600762258491024E-2</v>
      </c>
      <c r="D24" s="9">
        <f t="shared" si="1"/>
        <v>0.1429170475133727</v>
      </c>
      <c r="E24" s="9">
        <f t="shared" si="2"/>
        <v>0.23290817362840482</v>
      </c>
      <c r="F24" s="1"/>
      <c r="G24" s="1"/>
      <c r="H24" s="1"/>
      <c r="I24" s="1"/>
      <c r="J24" s="1"/>
      <c r="K24" s="1"/>
    </row>
    <row r="25" spans="1:11" ht="31" customHeight="1">
      <c r="A25" s="1"/>
      <c r="B25" s="12">
        <v>0.19</v>
      </c>
      <c r="C25" s="12">
        <f t="shared" si="0"/>
        <v>6.6448154448093127E-2</v>
      </c>
      <c r="D25" s="12">
        <f t="shared" si="1"/>
        <v>0.15116812180161127</v>
      </c>
      <c r="E25" s="12">
        <f t="shared" si="2"/>
        <v>0.24486541617989693</v>
      </c>
      <c r="F25" s="1"/>
      <c r="G25" s="1"/>
      <c r="H25" s="1"/>
      <c r="I25" s="1"/>
      <c r="J25" s="1"/>
      <c r="K25" s="1"/>
    </row>
    <row r="26" spans="1:11" ht="31" customHeight="1">
      <c r="A26" s="1"/>
      <c r="B26" s="9">
        <v>0.2</v>
      </c>
      <c r="C26" s="9">
        <f t="shared" si="0"/>
        <v>7.0340408312143138E-2</v>
      </c>
      <c r="D26" s="9">
        <f t="shared" si="1"/>
        <v>0.1594546271826133</v>
      </c>
      <c r="E26" s="9">
        <f t="shared" si="2"/>
        <v>0.25673096525041444</v>
      </c>
      <c r="F26" s="1"/>
      <c r="G26" s="1"/>
      <c r="H26" s="1"/>
      <c r="I26" s="1"/>
      <c r="J26" s="1"/>
      <c r="K26" s="1"/>
    </row>
    <row r="27" spans="1:11" ht="31" customHeight="1">
      <c r="A27" s="1"/>
      <c r="B27" s="12">
        <v>0.21</v>
      </c>
      <c r="C27" s="12">
        <f t="shared" si="0"/>
        <v>7.4278582405290297E-2</v>
      </c>
      <c r="D27" s="12">
        <f t="shared" si="1"/>
        <v>0.1677770029302495</v>
      </c>
      <c r="E27" s="12">
        <f t="shared" si="2"/>
        <v>0.26850634274988283</v>
      </c>
      <c r="F27" s="1"/>
      <c r="G27" s="1"/>
      <c r="H27" s="1"/>
      <c r="I27" s="1"/>
      <c r="J27" s="1"/>
      <c r="K27" s="1"/>
    </row>
    <row r="28" spans="1:11" ht="31" customHeight="1">
      <c r="A28" s="1"/>
      <c r="B28" s="9">
        <v>0.22</v>
      </c>
      <c r="C28" s="9">
        <f t="shared" si="0"/>
        <v>7.8263773196372607E-2</v>
      </c>
      <c r="D28" s="9">
        <f t="shared" si="1"/>
        <v>0.1761356965385342</v>
      </c>
      <c r="E28" s="9">
        <f t="shared" si="2"/>
        <v>0.28019303300934545</v>
      </c>
      <c r="F28" s="1"/>
      <c r="G28" s="1"/>
      <c r="H28" s="1"/>
      <c r="I28" s="1"/>
      <c r="J28" s="1"/>
      <c r="K28" s="1"/>
    </row>
    <row r="29" spans="1:11" ht="31" customHeight="1">
      <c r="A29" s="1"/>
      <c r="B29" s="12">
        <v>0.23</v>
      </c>
      <c r="C29" s="12">
        <f t="shared" si="0"/>
        <v>8.2297116900944781E-2</v>
      </c>
      <c r="D29" s="12">
        <f t="shared" si="1"/>
        <v>0.18453116392801255</v>
      </c>
      <c r="E29" s="12">
        <f t="shared" si="2"/>
        <v>0.29179248400806368</v>
      </c>
      <c r="F29" s="1"/>
      <c r="G29" s="1"/>
      <c r="H29" s="1"/>
      <c r="I29" s="1"/>
      <c r="J29" s="1"/>
      <c r="K29" s="1"/>
    </row>
    <row r="30" spans="1:11" ht="31" customHeight="1">
      <c r="A30" s="1"/>
      <c r="B30" s="9">
        <v>0.24</v>
      </c>
      <c r="C30" s="9">
        <f t="shared" si="0"/>
        <v>8.6379791425876637E-2</v>
      </c>
      <c r="D30" s="9">
        <f t="shared" si="1"/>
        <v>0.19296386965866436</v>
      </c>
      <c r="E30" s="9">
        <f t="shared" si="2"/>
        <v>0.30330610855093548</v>
      </c>
      <c r="F30" s="1"/>
      <c r="G30" s="1"/>
      <c r="H30" s="1"/>
      <c r="I30" s="1"/>
      <c r="J30" s="1"/>
      <c r="K30" s="1"/>
    </row>
    <row r="31" spans="1:11" ht="31" customHeight="1">
      <c r="A31" s="1"/>
      <c r="B31" s="12">
        <v>0.25</v>
      </c>
      <c r="C31" s="12">
        <f t="shared" si="0"/>
        <v>9.0513018434350292E-2</v>
      </c>
      <c r="D31" s="12">
        <f t="shared" si="1"/>
        <v>0.20143428714957642</v>
      </c>
      <c r="E31" s="12">
        <f t="shared" si="2"/>
        <v>0.31473528539862616</v>
      </c>
      <c r="F31" s="1"/>
      <c r="G31" s="1"/>
      <c r="H31" s="1"/>
      <c r="I31" s="1"/>
      <c r="J31" s="1"/>
      <c r="K31" s="1"/>
    </row>
    <row r="32" spans="1:11" ht="31" customHeight="1">
      <c r="A32" s="1"/>
      <c r="B32" s="9">
        <v>0.26</v>
      </c>
      <c r="C32" s="9">
        <f t="shared" si="0"/>
        <v>9.469806554031196E-2</v>
      </c>
      <c r="D32" s="9">
        <f t="shared" si="1"/>
        <v>0.20994289890563997</v>
      </c>
      <c r="E32" s="9">
        <f t="shared" si="2"/>
        <v>0.32608136035267266</v>
      </c>
      <c r="F32" s="1"/>
      <c r="G32" s="1"/>
      <c r="H32" s="1"/>
      <c r="I32" s="1"/>
      <c r="J32" s="1"/>
      <c r="K32" s="1"/>
    </row>
    <row r="33" spans="1:11" ht="31" customHeight="1">
      <c r="A33" s="1"/>
      <c r="B33" s="12">
        <v>0.27</v>
      </c>
      <c r="C33" s="12">
        <f t="shared" si="0"/>
        <v>9.8936248642242236E-2</v>
      </c>
      <c r="D33" s="12">
        <f t="shared" si="1"/>
        <v>0.21849019675154671</v>
      </c>
      <c r="E33" s="12">
        <f t="shared" si="2"/>
        <v>0.33734564729769712</v>
      </c>
      <c r="F33" s="1"/>
      <c r="G33" s="1"/>
      <c r="H33" s="1"/>
      <c r="I33" s="1"/>
      <c r="J33" s="1"/>
      <c r="K33" s="1"/>
    </row>
    <row r="34" spans="1:11" ht="31" customHeight="1">
      <c r="A34" s="1"/>
      <c r="B34" s="9">
        <v>0.28000000000000003</v>
      </c>
      <c r="C34" s="9">
        <f t="shared" si="0"/>
        <v>0.10322893440699456</v>
      </c>
      <c r="D34" s="9">
        <f t="shared" si="1"/>
        <v>0.22707668207336662</v>
      </c>
      <c r="E34" s="9">
        <f t="shared" si="2"/>
        <v>0.34852942920274782</v>
      </c>
      <c r="F34" s="1"/>
      <c r="G34" s="1"/>
      <c r="H34" s="1"/>
      <c r="I34" s="1"/>
      <c r="J34" s="1"/>
      <c r="K34" s="1"/>
    </row>
    <row r="35" spans="1:11" ht="31" customHeight="1">
      <c r="A35" s="1"/>
      <c r="B35" s="12">
        <v>0.28999999999999998</v>
      </c>
      <c r="C35" s="12">
        <f t="shared" si="0"/>
        <v>0.10757754291543231</v>
      </c>
      <c r="D35" s="12">
        <f t="shared" si="1"/>
        <v>0.23570286606800478</v>
      </c>
      <c r="E35" s="12">
        <f t="shared" si="2"/>
        <v>0.35963395908367646</v>
      </c>
      <c r="F35" s="1"/>
      <c r="G35" s="1"/>
      <c r="H35" s="1"/>
      <c r="I35" s="1"/>
      <c r="J35" s="1"/>
      <c r="K35" s="1"/>
    </row>
    <row r="36" spans="1:11" ht="31" customHeight="1">
      <c r="A36" s="1"/>
      <c r="B36" s="9">
        <v>0.3</v>
      </c>
      <c r="C36" s="9">
        <f t="shared" si="0"/>
        <v>0.11198355048268077</v>
      </c>
      <c r="D36" s="9">
        <f t="shared" si="1"/>
        <v>0.24436927000084591</v>
      </c>
      <c r="E36" s="9">
        <f t="shared" si="2"/>
        <v>0.37066046092835692</v>
      </c>
      <c r="F36" s="1"/>
      <c r="G36" s="1"/>
      <c r="H36" s="1"/>
      <c r="I36" s="1"/>
      <c r="J36" s="1"/>
      <c r="K36" s="1"/>
    </row>
    <row r="37" spans="1:11" ht="31" customHeight="1">
      <c r="A37" s="1"/>
      <c r="B37" s="12">
        <v>0.31</v>
      </c>
      <c r="C37" s="12">
        <f t="shared" si="0"/>
        <v>0.11644849266700712</v>
      </c>
      <c r="D37" s="12">
        <f t="shared" si="1"/>
        <v>0.25307642547191278</v>
      </c>
      <c r="E37" s="12">
        <f t="shared" si="2"/>
        <v>0.3816101305864531</v>
      </c>
      <c r="F37" s="1"/>
      <c r="G37" s="1"/>
      <c r="H37" s="1"/>
      <c r="I37" s="1"/>
      <c r="J37" s="1"/>
      <c r="K37" s="1"/>
    </row>
    <row r="38" spans="1:11" ht="31" customHeight="1">
      <c r="A38" s="1"/>
      <c r="B38" s="9">
        <v>0.32</v>
      </c>
      <c r="C38" s="9">
        <f t="shared" ref="C38:C69" si="3">IF($I$9=0,$B38,(1-$H$9)*LN(1+$I$9*$B38)/LN(1+$I$9)+$H$9*$B38)</f>
        <v>0.12097396748267401</v>
      </c>
      <c r="D38" s="9">
        <f t="shared" ref="D38:D69" si="4">IF($I$10=0,$B38,(1-$H$10)*LN(1+$I$10*$B38)/LN(1+$I$10)+$H$10*$B38)</f>
        <v>0.26182487469087928</v>
      </c>
      <c r="E38" s="9">
        <f t="shared" ref="E38:E69" si="5">IF($I$11=0,$B38,(1-$H$11)*LN(1+$I$11*$B38)/LN(1+$I$11)+$H$11*$B38)</f>
        <v>0.39248413662535597</v>
      </c>
      <c r="F38" s="1"/>
      <c r="G38" s="1"/>
      <c r="H38" s="1"/>
      <c r="I38" s="1"/>
      <c r="J38" s="1"/>
      <c r="K38" s="1"/>
    </row>
    <row r="39" spans="1:11" ht="31" customHeight="1">
      <c r="A39" s="1"/>
      <c r="B39" s="12">
        <v>0.33</v>
      </c>
      <c r="C39" s="12">
        <f t="shared" si="3"/>
        <v>0.12556163883358859</v>
      </c>
      <c r="D39" s="12">
        <f t="shared" si="4"/>
        <v>0.27061517076129021</v>
      </c>
      <c r="E39" s="12">
        <f t="shared" si="5"/>
        <v>0.40328362115381855</v>
      </c>
      <c r="F39" s="1"/>
      <c r="G39" s="1"/>
      <c r="H39" s="1"/>
      <c r="I39" s="1"/>
      <c r="J39" s="1"/>
      <c r="K39" s="1"/>
    </row>
    <row r="40" spans="1:11" ht="31" customHeight="1">
      <c r="A40" s="1"/>
      <c r="B40" s="9">
        <v>0.34</v>
      </c>
      <c r="C40" s="9">
        <f t="shared" si="3"/>
        <v>0.13021324018620845</v>
      </c>
      <c r="D40" s="9">
        <f t="shared" si="4"/>
        <v>0.27944787797436538</v>
      </c>
      <c r="E40" s="9">
        <f t="shared" si="5"/>
        <v>0.41400970061474307</v>
      </c>
      <c r="F40" s="1"/>
      <c r="G40" s="1"/>
      <c r="H40" s="1"/>
      <c r="I40" s="1"/>
      <c r="J40" s="1"/>
      <c r="K40" s="1"/>
    </row>
    <row r="41" spans="1:11" ht="31" customHeight="1">
      <c r="A41" s="1"/>
      <c r="B41" s="12">
        <v>0.35</v>
      </c>
      <c r="C41" s="12">
        <f t="shared" si="3"/>
        <v>0.13493057850199364</v>
      </c>
      <c r="D41" s="12">
        <f t="shared" si="4"/>
        <v>0.28832357211277315</v>
      </c>
      <c r="E41" s="12">
        <f t="shared" si="5"/>
        <v>0.42466346654849568</v>
      </c>
      <c r="F41" s="1"/>
      <c r="G41" s="1"/>
      <c r="H41" s="1"/>
      <c r="I41" s="1"/>
      <c r="J41" s="1"/>
      <c r="K41" s="1"/>
    </row>
    <row r="42" spans="1:11" ht="31" customHeight="1">
      <c r="A42" s="1"/>
      <c r="B42" s="9">
        <v>0.36</v>
      </c>
      <c r="C42" s="9">
        <f t="shared" si="3"/>
        <v>0.1397155384517296</v>
      </c>
      <c r="D42" s="9">
        <f t="shared" si="4"/>
        <v>0.29724284076478735</v>
      </c>
      <c r="E42" s="9">
        <f t="shared" si="5"/>
        <v>0.43524598632805317</v>
      </c>
      <c r="F42" s="1"/>
      <c r="G42" s="1"/>
      <c r="H42" s="1"/>
      <c r="I42" s="1"/>
      <c r="J42" s="1"/>
      <c r="K42" s="1"/>
    </row>
    <row r="43" spans="1:11" ht="31" customHeight="1">
      <c r="A43" s="1"/>
      <c r="B43" s="12">
        <v>0.37</v>
      </c>
      <c r="C43" s="12">
        <f t="shared" si="3"/>
        <v>0.14457008693631948</v>
      </c>
      <c r="D43" s="12">
        <f t="shared" si="4"/>
        <v>0.3062062836492514</v>
      </c>
      <c r="E43" s="12">
        <f t="shared" si="5"/>
        <v>0.44575830386722187</v>
      </c>
      <c r="F43" s="1"/>
      <c r="G43" s="1"/>
      <c r="H43" s="1"/>
      <c r="I43" s="1"/>
      <c r="J43" s="1"/>
      <c r="K43" s="1"/>
    </row>
    <row r="44" spans="1:11" ht="31" customHeight="1">
      <c r="A44" s="1"/>
      <c r="B44" s="9">
        <v>0.38</v>
      </c>
      <c r="C44" s="9">
        <f t="shared" si="3"/>
        <v>0.14949627794118397</v>
      </c>
      <c r="D44" s="9">
        <f t="shared" si="4"/>
        <v>0.31521451295180247</v>
      </c>
      <c r="E44" s="9">
        <f t="shared" si="5"/>
        <v>0.45620144030309984</v>
      </c>
      <c r="F44" s="1"/>
      <c r="G44" s="1"/>
      <c r="H44" s="1"/>
      <c r="I44" s="1"/>
      <c r="J44" s="1"/>
      <c r="K44" s="1"/>
    </row>
    <row r="45" spans="1:11" ht="31" customHeight="1">
      <c r="A45" s="1"/>
      <c r="B45" s="12">
        <v>0.39</v>
      </c>
      <c r="C45" s="12">
        <f t="shared" si="3"/>
        <v>0.15449625775425421</v>
      </c>
      <c r="D45" s="12">
        <f t="shared" si="4"/>
        <v>0.32426815367282602</v>
      </c>
      <c r="E45" s="12">
        <f t="shared" si="5"/>
        <v>0.46657639465390466</v>
      </c>
      <c r="F45" s="1"/>
      <c r="G45" s="1"/>
      <c r="H45" s="1"/>
      <c r="I45" s="1"/>
      <c r="J45" s="1"/>
      <c r="K45" s="1"/>
    </row>
    <row r="46" spans="1:11" ht="31" customHeight="1">
      <c r="A46" s="1"/>
      <c r="B46" s="9">
        <v>0.4</v>
      </c>
      <c r="C46" s="9">
        <f t="shared" si="3"/>
        <v>0.1595722705807357</v>
      </c>
      <c r="D46" s="9">
        <f t="shared" si="4"/>
        <v>0.33336784398763486</v>
      </c>
      <c r="E46" s="9">
        <f t="shared" si="5"/>
        <v>0.47688414445321758</v>
      </c>
      <c r="F46" s="1"/>
      <c r="G46" s="1"/>
      <c r="H46" s="1"/>
      <c r="I46" s="1"/>
      <c r="J46" s="1"/>
      <c r="K46" s="1"/>
    </row>
    <row r="47" spans="1:11" ht="31" customHeight="1">
      <c r="A47" s="1"/>
      <c r="B47" s="12">
        <v>0.41</v>
      </c>
      <c r="C47" s="12">
        <f t="shared" si="3"/>
        <v>0.16472666459140581</v>
      </c>
      <c r="D47" s="12">
        <f t="shared" si="4"/>
        <v>0.3425142356193922</v>
      </c>
      <c r="E47" s="12">
        <f t="shared" si="5"/>
        <v>0.48712564636166195</v>
      </c>
      <c r="F47" s="1"/>
      <c r="G47" s="1"/>
      <c r="H47" s="1"/>
      <c r="I47" s="1"/>
      <c r="J47" s="1"/>
      <c r="K47" s="1"/>
    </row>
    <row r="48" spans="1:11" ht="31" customHeight="1">
      <c r="A48" s="1"/>
      <c r="B48" s="9">
        <v>0.42</v>
      </c>
      <c r="C48" s="9">
        <f t="shared" si="3"/>
        <v>0.16996189844524612</v>
      </c>
      <c r="D48" s="9">
        <f t="shared" si="4"/>
        <v>0.35170799422532273</v>
      </c>
      <c r="E48" s="9">
        <f t="shared" si="5"/>
        <v>0.4973018367569616</v>
      </c>
      <c r="F48" s="1"/>
      <c r="G48" s="1"/>
      <c r="H48" s="1"/>
      <c r="I48" s="1"/>
      <c r="J48" s="1"/>
      <c r="K48" s="1"/>
    </row>
    <row r="49" spans="1:11" ht="31" customHeight="1">
      <c r="A49" s="1"/>
      <c r="B49" s="12">
        <v>0.43</v>
      </c>
      <c r="C49" s="12">
        <f t="shared" si="3"/>
        <v>0.17528054833176071</v>
      </c>
      <c r="D49" s="12">
        <f t="shared" si="4"/>
        <v>0.36094979979678654</v>
      </c>
      <c r="E49" s="12">
        <f t="shared" si="5"/>
        <v>0.50741363230329817</v>
      </c>
      <c r="F49" s="1"/>
      <c r="G49" s="1"/>
      <c r="H49" s="1"/>
      <c r="I49" s="1"/>
      <c r="J49" s="1"/>
      <c r="K49" s="1"/>
    </row>
    <row r="50" spans="1:11" ht="31" customHeight="1">
      <c r="A50" s="1"/>
      <c r="B50" s="9">
        <v>0.44</v>
      </c>
      <c r="C50" s="9">
        <f t="shared" si="3"/>
        <v>0.18068531558347348</v>
      </c>
      <c r="D50" s="9">
        <f t="shared" si="4"/>
        <v>0.37024034707381337</v>
      </c>
      <c r="E50" s="9">
        <f t="shared" si="5"/>
        <v>0.51746193050082889</v>
      </c>
      <c r="F50" s="1"/>
      <c r="G50" s="1"/>
      <c r="H50" s="1"/>
      <c r="I50" s="1"/>
      <c r="J50" s="1"/>
      <c r="K50" s="1"/>
    </row>
    <row r="51" spans="1:11" ht="31" customHeight="1">
      <c r="A51" s="1"/>
      <c r="B51" s="12">
        <v>0.45</v>
      </c>
      <c r="C51" s="12">
        <f t="shared" si="3"/>
        <v>0.18617903491491378</v>
      </c>
      <c r="D51" s="12">
        <f t="shared" si="4"/>
        <v>0.37958034597473334</v>
      </c>
      <c r="E51" s="12">
        <f t="shared" si="5"/>
        <v>0.5274476102161888</v>
      </c>
      <c r="F51" s="1"/>
      <c r="G51" s="1"/>
      <c r="H51" s="1"/>
      <c r="I51" s="1"/>
      <c r="J51" s="1"/>
      <c r="K51" s="1"/>
    </row>
    <row r="52" spans="1:11" ht="31" customHeight="1">
      <c r="A52" s="1"/>
      <c r="B52" s="9">
        <v>0.46</v>
      </c>
      <c r="C52" s="9">
        <f t="shared" si="3"/>
        <v>0.19176468335099819</v>
      </c>
      <c r="D52" s="9">
        <f t="shared" si="4"/>
        <v>0.38897052204156446</v>
      </c>
      <c r="E52" s="9">
        <f t="shared" si="5"/>
        <v>0.5373715321947633</v>
      </c>
      <c r="F52" s="1"/>
      <c r="G52" s="1"/>
      <c r="H52" s="1"/>
      <c r="I52" s="1"/>
      <c r="J52" s="1"/>
      <c r="K52" s="1"/>
    </row>
    <row r="53" spans="1:11" ht="31" customHeight="1">
      <c r="A53" s="1"/>
      <c r="B53" s="12">
        <v>0.47</v>
      </c>
      <c r="C53" s="12">
        <f t="shared" si="3"/>
        <v>0.19744538991520971</v>
      </c>
      <c r="D53" s="12">
        <f t="shared" si="4"/>
        <v>0.39841161690185894</v>
      </c>
      <c r="E53" s="12">
        <f t="shared" si="5"/>
        <v>0.54723453955547574</v>
      </c>
      <c r="F53" s="1"/>
      <c r="G53" s="1"/>
      <c r="H53" s="1"/>
      <c r="I53" s="1"/>
      <c r="J53" s="1"/>
      <c r="K53" s="1"/>
    </row>
    <row r="54" spans="1:11" ht="31" customHeight="1">
      <c r="A54" s="1"/>
      <c r="B54" s="9">
        <v>0.48</v>
      </c>
      <c r="C54" s="9">
        <f t="shared" si="3"/>
        <v>0.20322444615651072</v>
      </c>
      <c r="D54" s="9">
        <f t="shared" si="4"/>
        <v>0.40790438874774249</v>
      </c>
      <c r="E54" s="9">
        <f t="shared" si="5"/>
        <v>0.55703745826880269</v>
      </c>
      <c r="F54" s="1"/>
      <c r="G54" s="1"/>
      <c r="H54" s="1"/>
      <c r="I54" s="1"/>
      <c r="J54" s="1"/>
      <c r="K54" s="1"/>
    </row>
    <row r="55" spans="1:11" ht="31" customHeight="1">
      <c r="A55" s="1"/>
      <c r="B55" s="12">
        <v>0.49</v>
      </c>
      <c r="C55" s="12">
        <f t="shared" si="3"/>
        <v>0.20910531760365855</v>
      </c>
      <c r="D55" s="12">
        <f t="shared" si="4"/>
        <v>0.4174496128329182</v>
      </c>
      <c r="E55" s="12">
        <f t="shared" si="5"/>
        <v>0.56678109761869333</v>
      </c>
      <c r="F55" s="1"/>
      <c r="G55" s="1"/>
      <c r="H55" s="1"/>
      <c r="I55" s="1"/>
      <c r="J55" s="1"/>
      <c r="K55" s="1"/>
    </row>
    <row r="56" spans="1:11" ht="31" customHeight="1">
      <c r="A56" s="1"/>
      <c r="B56" s="9">
        <v>0.5</v>
      </c>
      <c r="C56" s="9">
        <f t="shared" si="3"/>
        <v>0.21509165624673118</v>
      </c>
      <c r="D56" s="9">
        <f t="shared" si="4"/>
        <v>0.42704808198845362</v>
      </c>
      <c r="E56" s="9">
        <f t="shared" si="5"/>
        <v>0.57646625064904067</v>
      </c>
      <c r="F56" s="1"/>
      <c r="G56" s="1"/>
      <c r="H56" s="1"/>
      <c r="I56" s="1"/>
      <c r="J56" s="1"/>
      <c r="K56" s="1"/>
    </row>
    <row r="57" spans="1:11" ht="31" customHeight="1">
      <c r="A57" s="1"/>
      <c r="B57" s="12">
        <v>0.51</v>
      </c>
      <c r="C57" s="12">
        <f t="shared" si="3"/>
        <v>0.22118731415842602</v>
      </c>
      <c r="D57" s="12">
        <f t="shared" si="4"/>
        <v>0.43670060715820669</v>
      </c>
      <c r="E57" s="12">
        <f t="shared" si="5"/>
        <v>0.5860936945953189</v>
      </c>
      <c r="F57" s="1"/>
      <c r="G57" s="1"/>
      <c r="H57" s="1"/>
      <c r="I57" s="1"/>
      <c r="J57" s="1"/>
      <c r="K57" s="1"/>
    </row>
    <row r="58" spans="1:11" ht="31" customHeight="1">
      <c r="A58" s="1"/>
      <c r="B58" s="9">
        <v>0.52</v>
      </c>
      <c r="C58" s="9">
        <f t="shared" si="3"/>
        <v>0.22739635838235542</v>
      </c>
      <c r="D58" s="9">
        <f t="shared" si="4"/>
        <v>0.44640801795479484</v>
      </c>
      <c r="E58" s="9">
        <f t="shared" si="5"/>
        <v>0.59566419130197479</v>
      </c>
      <c r="F58" s="1"/>
      <c r="G58" s="1"/>
      <c r="H58" s="1"/>
      <c r="I58" s="1"/>
      <c r="J58" s="1"/>
      <c r="K58" s="1"/>
    </row>
    <row r="59" spans="1:11" ht="31" customHeight="1">
      <c r="A59" s="1"/>
      <c r="B59" s="12">
        <v>0.53</v>
      </c>
      <c r="C59" s="12">
        <f t="shared" si="3"/>
        <v>0.23372308723244489</v>
      </c>
      <c r="D59" s="12">
        <f t="shared" si="4"/>
        <v>0.45617116323706058</v>
      </c>
      <c r="E59" s="12">
        <f t="shared" si="5"/>
        <v>0.60517848762613446</v>
      </c>
      <c r="F59" s="1"/>
      <c r="G59" s="1"/>
      <c r="H59" s="1"/>
      <c r="I59" s="1"/>
      <c r="J59" s="1"/>
      <c r="K59" s="1"/>
    </row>
    <row r="60" spans="1:11" ht="31" customHeight="1">
      <c r="A60" s="1"/>
      <c r="B60" s="9">
        <v>0.54</v>
      </c>
      <c r="C60" s="9">
        <f t="shared" si="3"/>
        <v>0.24017204816703402</v>
      </c>
      <c r="D60" s="9">
        <f t="shared" si="4"/>
        <v>0.46599091171004031</v>
      </c>
      <c r="E60" s="9">
        <f t="shared" si="5"/>
        <v>0.61463731582815906</v>
      </c>
      <c r="F60" s="1"/>
      <c r="G60" s="1"/>
      <c r="H60" s="1"/>
      <c r="I60" s="1"/>
      <c r="J60" s="1"/>
      <c r="K60" s="1"/>
    </row>
    <row r="61" spans="1:11" ht="31" customHeight="1">
      <c r="A61" s="1"/>
      <c r="B61" s="12">
        <v>0.55000000000000004</v>
      </c>
      <c r="C61" s="12">
        <f t="shared" si="3"/>
        <v>0.24674805742384046</v>
      </c>
      <c r="D61" s="12">
        <f t="shared" si="4"/>
        <v>0.47586815254849502</v>
      </c>
      <c r="E61" s="12">
        <f t="shared" si="5"/>
        <v>0.62404139394956171</v>
      </c>
      <c r="F61" s="1"/>
      <c r="G61" s="1"/>
      <c r="H61" s="1"/>
      <c r="I61" s="1"/>
      <c r="J61" s="1"/>
      <c r="K61" s="1"/>
    </row>
    <row r="62" spans="1:11" ht="31" customHeight="1">
      <c r="A62" s="1"/>
      <c r="B62" s="9">
        <v>0.56000000000000005</v>
      </c>
      <c r="C62" s="9">
        <f t="shared" si="3"/>
        <v>0.25345622162814618</v>
      </c>
      <c r="D62" s="9">
        <f t="shared" si="4"/>
        <v>0.48580379604512214</v>
      </c>
      <c r="E62" s="9">
        <f t="shared" si="5"/>
        <v>0.63339142617877142</v>
      </c>
      <c r="F62" s="1"/>
      <c r="G62" s="1"/>
      <c r="H62" s="1"/>
      <c r="I62" s="1"/>
      <c r="J62" s="1"/>
      <c r="K62" s="1"/>
    </row>
    <row r="63" spans="1:11" ht="31" customHeight="1">
      <c r="A63" s="1"/>
      <c r="B63" s="12">
        <v>0.56999999999999995</v>
      </c>
      <c r="C63" s="12">
        <f t="shared" si="3"/>
        <v>0.26030196161705293</v>
      </c>
      <c r="D63" s="12">
        <f t="shared" si="4"/>
        <v>0.49579877428463126</v>
      </c>
      <c r="E63" s="12">
        <f t="shared" si="5"/>
        <v>0.64268810320521186</v>
      </c>
      <c r="F63" s="1"/>
      <c r="G63" s="1"/>
      <c r="H63" s="1"/>
      <c r="I63" s="1"/>
      <c r="J63" s="1"/>
      <c r="K63" s="1"/>
    </row>
    <row r="64" spans="1:11" ht="31" customHeight="1">
      <c r="A64" s="1"/>
      <c r="B64" s="9">
        <v>0.57999999999999996</v>
      </c>
      <c r="C64" s="9">
        <f t="shared" si="3"/>
        <v>0.26729103875825755</v>
      </c>
      <c r="D64" s="9">
        <f t="shared" si="4"/>
        <v>0.50585404184493254</v>
      </c>
      <c r="E64" s="9">
        <f t="shared" si="5"/>
        <v>0.65193210256214051</v>
      </c>
      <c r="F64" s="1"/>
      <c r="G64" s="1"/>
      <c r="H64" s="1"/>
      <c r="I64" s="1"/>
      <c r="J64" s="1"/>
      <c r="K64" s="1"/>
    </row>
    <row r="65" spans="1:11" ht="31" customHeight="1">
      <c r="A65" s="1"/>
      <c r="B65" s="12">
        <v>0.59</v>
      </c>
      <c r="C65" s="12">
        <f t="shared" si="3"/>
        <v>0.27442958408348866</v>
      </c>
      <c r="D65" s="12">
        <f t="shared" si="4"/>
        <v>0.51597057652675415</v>
      </c>
      <c r="E65" s="12">
        <f t="shared" si="5"/>
        <v>0.66112408895866737</v>
      </c>
      <c r="F65" s="1"/>
      <c r="G65" s="1"/>
      <c r="H65" s="1"/>
      <c r="I65" s="1"/>
      <c r="J65" s="1"/>
      <c r="K65" s="1"/>
    </row>
    <row r="66" spans="1:11" ht="31" customHeight="1">
      <c r="A66" s="1"/>
      <c r="B66" s="9">
        <v>0.6</v>
      </c>
      <c r="C66" s="9">
        <f t="shared" si="3"/>
        <v>0.28172413060573137</v>
      </c>
      <c r="D66" s="9">
        <f t="shared" si="4"/>
        <v>0.5261493801130871</v>
      </c>
      <c r="E66" s="9">
        <f t="shared" si="5"/>
        <v>0.67026471460137405</v>
      </c>
      <c r="F66" s="1"/>
      <c r="G66" s="1"/>
      <c r="H66" s="1"/>
      <c r="I66" s="1"/>
      <c r="J66" s="1"/>
      <c r="K66" s="1"/>
    </row>
    <row r="67" spans="1:11" ht="31" customHeight="1">
      <c r="A67" s="1"/>
      <c r="B67" s="12">
        <v>0.61</v>
      </c>
      <c r="C67" s="12">
        <f t="shared" si="3"/>
        <v>0.28918164924710904</v>
      </c>
      <c r="D67" s="12">
        <f t="shared" si="4"/>
        <v>0.53639147915992924</v>
      </c>
      <c r="E67" s="12">
        <f t="shared" si="5"/>
        <v>0.67935461950590303</v>
      </c>
      <c r="F67" s="1"/>
      <c r="G67" s="1"/>
      <c r="H67" s="1"/>
      <c r="I67" s="1"/>
      <c r="J67" s="1"/>
      <c r="K67" s="1"/>
    </row>
    <row r="68" spans="1:11" ht="31" customHeight="1">
      <c r="A68" s="1"/>
      <c r="B68" s="9">
        <v>0.62</v>
      </c>
      <c r="C68" s="9">
        <f t="shared" si="3"/>
        <v>0.29680958887258779</v>
      </c>
      <c r="D68" s="9">
        <f t="shared" si="4"/>
        <v>0.54669792581989296</v>
      </c>
      <c r="E68" s="9">
        <f t="shared" si="5"/>
        <v>0.68839443179891013</v>
      </c>
      <c r="F68" s="1"/>
      <c r="G68" s="1"/>
      <c r="H68" s="1"/>
      <c r="I68" s="1"/>
      <c r="J68" s="1"/>
      <c r="K68" s="1"/>
    </row>
    <row r="69" spans="1:11" ht="31" customHeight="1">
      <c r="A69" s="1"/>
      <c r="B69" s="12">
        <v>0.63</v>
      </c>
      <c r="C69" s="12">
        <f t="shared" si="3"/>
        <v>0.30461592100575746</v>
      </c>
      <c r="D69" s="12">
        <f t="shared" si="4"/>
        <v>0.55706979870032503</v>
      </c>
      <c r="E69" s="12">
        <f t="shared" si="5"/>
        <v>0.69738476801071747</v>
      </c>
      <c r="F69" s="1"/>
      <c r="G69" s="1"/>
      <c r="H69" s="1"/>
      <c r="I69" s="1"/>
      <c r="J69" s="1"/>
      <c r="K69" s="1"/>
    </row>
    <row r="70" spans="1:11" ht="31" customHeight="1">
      <c r="A70" s="1"/>
      <c r="B70" s="9">
        <v>0.64</v>
      </c>
      <c r="C70" s="9">
        <f t="shared" ref="C70:C106" si="6">IF($I$9=0,$B70,(1-$H$9)*LN(1+$I$9*$B70)/LN(1+$I$9)+$H$9*$B70)</f>
        <v>0.31260918989955822</v>
      </c>
      <c r="D70" s="9">
        <f t="shared" ref="D70:D106" si="7">IF($I$10=0,$B70,(1-$H$10)*LN(1+$I$10*$B70)/LN(1+$I$10)+$H$10*$B70)</f>
        <v>0.56750820375769195</v>
      </c>
      <c r="E70" s="9">
        <f t="shared" ref="E70:E106" si="8">IF($I$11=0,$B70,(1-$H$11)*LN(1+$I$11*$B70)/LN(1+$I$11)+$H$11*$B70)</f>
        <v>0.70632623335902323</v>
      </c>
      <c r="F70" s="1"/>
      <c r="G70" s="1"/>
      <c r="H70" s="1"/>
      <c r="I70" s="1"/>
      <c r="J70" s="1"/>
      <c r="K70" s="1"/>
    </row>
    <row r="71" spans="1:11" ht="31" customHeight="1">
      <c r="A71" s="1"/>
      <c r="B71" s="12">
        <v>0.65</v>
      </c>
      <c r="C71" s="12">
        <f t="shared" si="6"/>
        <v>0.32079856875041485</v>
      </c>
      <c r="D71" s="12">
        <f t="shared" si="7"/>
        <v>0.5780142752300842</v>
      </c>
      <c r="E71" s="12">
        <f t="shared" si="8"/>
        <v>0.71521942202398203</v>
      </c>
      <c r="F71" s="1"/>
      <c r="G71" s="1"/>
      <c r="H71" s="1"/>
      <c r="I71" s="1"/>
      <c r="J71" s="1"/>
      <c r="K71" s="1"/>
    </row>
    <row r="72" spans="1:11" ht="31" customHeight="1">
      <c r="A72" s="1"/>
      <c r="B72" s="9">
        <v>0.66</v>
      </c>
      <c r="C72" s="9">
        <f t="shared" si="6"/>
        <v>0.3291939229831008</v>
      </c>
      <c r="D72" s="9">
        <f t="shared" si="7"/>
        <v>0.58858917660980759</v>
      </c>
      <c r="E72" s="9">
        <f t="shared" si="8"/>
        <v>0.72406491741498025</v>
      </c>
      <c r="F72" s="1"/>
      <c r="G72" s="1"/>
      <c r="H72" s="1"/>
      <c r="I72" s="1"/>
      <c r="J72" s="1"/>
      <c r="K72" s="1"/>
    </row>
    <row r="73" spans="1:11" ht="31" customHeight="1">
      <c r="A73" s="1"/>
      <c r="B73" s="12">
        <v>0.67</v>
      </c>
      <c r="C73" s="12">
        <f t="shared" si="6"/>
        <v>0.33780588170117226</v>
      </c>
      <c r="D73" s="12">
        <f t="shared" si="7"/>
        <v>0.59923410165814361</v>
      </c>
      <c r="E73" s="12">
        <f t="shared" si="8"/>
        <v>0.73286329242939496</v>
      </c>
      <c r="F73" s="1"/>
      <c r="G73" s="1"/>
      <c r="H73" s="1"/>
      <c r="I73" s="1"/>
      <c r="J73" s="1"/>
      <c r="K73" s="1"/>
    </row>
    <row r="74" spans="1:11" ht="31" customHeight="1">
      <c r="A74" s="1"/>
      <c r="B74" s="9">
        <v>0.68</v>
      </c>
      <c r="C74" s="9">
        <f t="shared" si="6"/>
        <v>0.34664591860085897</v>
      </c>
      <c r="D74" s="9">
        <f t="shared" si="7"/>
        <v>0.60995027546449632</v>
      </c>
      <c r="E74" s="9">
        <f t="shared" si="8"/>
        <v>0.74161510970363209</v>
      </c>
      <c r="F74" s="1"/>
      <c r="G74" s="1"/>
      <c r="H74" s="1"/>
      <c r="I74" s="1"/>
      <c r="J74" s="1"/>
      <c r="K74" s="1"/>
    </row>
    <row r="75" spans="1:11" ht="31" customHeight="1">
      <c r="A75" s="1"/>
      <c r="B75" s="12">
        <v>0.69</v>
      </c>
      <c r="C75" s="12">
        <f t="shared" si="6"/>
        <v>0.35572644389352442</v>
      </c>
      <c r="D75" s="12">
        <f t="shared" si="7"/>
        <v>0.62073895555227376</v>
      </c>
      <c r="E75" s="12">
        <f t="shared" si="8"/>
        <v>0.75032092185671373</v>
      </c>
      <c r="F75" s="1"/>
      <c r="G75" s="1"/>
      <c r="H75" s="1"/>
      <c r="I75" s="1"/>
      <c r="J75" s="1"/>
      <c r="K75" s="1"/>
    </row>
    <row r="76" spans="1:11" ht="31" customHeight="1">
      <c r="A76" s="1"/>
      <c r="B76" s="9">
        <v>0.7</v>
      </c>
      <c r="C76" s="9">
        <f t="shared" si="6"/>
        <v>0.36506090908439143</v>
      </c>
      <c r="D76" s="9">
        <f t="shared" si="7"/>
        <v>0.63160143303400229</v>
      </c>
      <c r="E76" s="9">
        <f t="shared" si="8"/>
        <v>0.75898127172667929</v>
      </c>
      <c r="F76" s="1"/>
      <c r="G76" s="1"/>
      <c r="H76" s="1"/>
      <c r="I76" s="1"/>
      <c r="J76" s="1"/>
      <c r="K76" s="1"/>
    </row>
    <row r="77" spans="1:11" ht="31" customHeight="1">
      <c r="A77" s="1"/>
      <c r="B77" s="12">
        <v>0.71</v>
      </c>
      <c r="C77" s="12">
        <f t="shared" si="6"/>
        <v>0.37466392682746691</v>
      </c>
      <c r="D77" s="12">
        <f t="shared" si="7"/>
        <v>0.64253903381832389</v>
      </c>
      <c r="E77" s="12">
        <f t="shared" si="8"/>
        <v>0.76759669260005581</v>
      </c>
      <c r="F77" s="1"/>
      <c r="G77" s="1"/>
      <c r="H77" s="1"/>
      <c r="I77" s="1"/>
      <c r="J77" s="1"/>
      <c r="K77" s="1"/>
    </row>
    <row r="78" spans="1:11" ht="31" customHeight="1">
      <c r="A78" s="1"/>
      <c r="B78" s="9">
        <v>0.72</v>
      </c>
      <c r="C78" s="9">
        <f t="shared" si="6"/>
        <v>0.3845514085370963</v>
      </c>
      <c r="D78" s="9">
        <f t="shared" si="7"/>
        <v>0.65355311987170273</v>
      </c>
      <c r="E78" s="9">
        <f t="shared" si="8"/>
        <v>0.77616770843463589</v>
      </c>
      <c r="F78" s="1"/>
      <c r="G78" s="1"/>
      <c r="H78" s="1"/>
      <c r="I78" s="1"/>
      <c r="J78" s="1"/>
      <c r="K78" s="1"/>
    </row>
    <row r="79" spans="1:11" ht="31" customHeight="1">
      <c r="A79" s="1"/>
      <c r="B79" s="12">
        <v>0.73</v>
      </c>
      <c r="C79" s="12">
        <f t="shared" si="6"/>
        <v>0.39474072300959206</v>
      </c>
      <c r="D79" s="12">
        <f t="shared" si="7"/>
        <v>0.66464509053784282</v>
      </c>
      <c r="E79" s="12">
        <f t="shared" si="8"/>
        <v>0.78469483407579999</v>
      </c>
      <c r="F79" s="1"/>
      <c r="G79" s="1"/>
      <c r="H79" s="1"/>
      <c r="I79" s="1"/>
      <c r="J79" s="1"/>
      <c r="K79" s="1"/>
    </row>
    <row r="80" spans="1:11" ht="31" customHeight="1">
      <c r="A80" s="1"/>
      <c r="B80" s="9">
        <v>0.74</v>
      </c>
      <c r="C80" s="9">
        <f t="shared" si="6"/>
        <v>0.4052508800257974</v>
      </c>
      <c r="D80" s="9">
        <f t="shared" si="7"/>
        <v>0.67581638391801158</v>
      </c>
      <c r="E80" s="9">
        <f t="shared" si="8"/>
        <v>0.7931785754666032</v>
      </c>
      <c r="F80" s="1"/>
      <c r="G80" s="1"/>
      <c r="H80" s="1"/>
      <c r="I80" s="1"/>
      <c r="J80" s="1"/>
      <c r="K80" s="1"/>
    </row>
    <row r="81" spans="1:11" ht="31" customHeight="1">
      <c r="A81" s="1"/>
      <c r="B81" s="12">
        <v>0.75</v>
      </c>
      <c r="C81" s="12">
        <f t="shared" si="6"/>
        <v>0.41610274380958168</v>
      </c>
      <c r="D81" s="12">
        <f t="shared" si="7"/>
        <v>0.68706847831567486</v>
      </c>
      <c r="E81" s="12">
        <f t="shared" si="8"/>
        <v>0.80161942985184376</v>
      </c>
      <c r="F81" s="1"/>
      <c r="G81" s="1"/>
      <c r="H81" s="1"/>
      <c r="I81" s="1"/>
      <c r="J81" s="1"/>
      <c r="K81" s="1"/>
    </row>
    <row r="82" spans="1:11" ht="31" customHeight="1">
      <c r="A82" s="1"/>
      <c r="B82" s="9">
        <v>0.76</v>
      </c>
      <c r="C82" s="9">
        <f t="shared" si="6"/>
        <v>0.42731928236457911</v>
      </c>
      <c r="D82" s="9">
        <f t="shared" si="7"/>
        <v>0.69840289374907738</v>
      </c>
      <c r="E82" s="9">
        <f t="shared" si="8"/>
        <v>0.81001788597631541</v>
      </c>
      <c r="F82" s="1"/>
      <c r="G82" s="1"/>
      <c r="H82" s="1"/>
      <c r="I82" s="1"/>
      <c r="J82" s="1"/>
      <c r="K82" s="1"/>
    </row>
    <row r="83" spans="1:11" ht="31" customHeight="1">
      <c r="A83" s="1"/>
      <c r="B83" s="12">
        <v>0.77</v>
      </c>
      <c r="C83" s="12">
        <f t="shared" si="6"/>
        <v>0.43892586017817919</v>
      </c>
      <c r="D83" s="12">
        <f t="shared" si="7"/>
        <v>0.70982119353563444</v>
      </c>
      <c r="E83" s="12">
        <f t="shared" si="8"/>
        <v>0.81837442427744556</v>
      </c>
      <c r="F83" s="1"/>
      <c r="G83" s="1"/>
      <c r="H83" s="1"/>
      <c r="I83" s="1"/>
      <c r="J83" s="1"/>
      <c r="K83" s="1"/>
    </row>
    <row r="84" spans="1:11" ht="31" customHeight="1">
      <c r="A84" s="1"/>
      <c r="B84" s="9">
        <v>0.78</v>
      </c>
      <c r="C84" s="9">
        <f t="shared" si="6"/>
        <v>0.45095058367145918</v>
      </c>
      <c r="D84" s="9">
        <f t="shared" si="7"/>
        <v>0.72132498595226613</v>
      </c>
      <c r="E84" s="9">
        <f t="shared" si="8"/>
        <v>0.82668951707250571</v>
      </c>
      <c r="F84" s="1"/>
      <c r="G84" s="1"/>
      <c r="H84" s="1"/>
      <c r="I84" s="1"/>
      <c r="J84" s="1"/>
      <c r="K84" s="1"/>
    </row>
    <row r="85" spans="1:11" ht="31" customHeight="1">
      <c r="A85" s="1"/>
      <c r="B85" s="12">
        <v>0.79</v>
      </c>
      <c r="C85" s="12">
        <f t="shared" si="6"/>
        <v>0.46342471122880308</v>
      </c>
      <c r="D85" s="12">
        <f t="shared" si="7"/>
        <v>0.73291592597608868</v>
      </c>
      <c r="E85" s="12">
        <f t="shared" si="8"/>
        <v>0.83496362874057861</v>
      </c>
      <c r="F85" s="1"/>
      <c r="G85" s="1"/>
      <c r="H85" s="1"/>
      <c r="I85" s="1"/>
      <c r="J85" s="1"/>
      <c r="K85" s="1"/>
    </row>
    <row r="86" spans="1:11" ht="31" customHeight="1">
      <c r="A86" s="1"/>
      <c r="B86" s="9">
        <v>0.8</v>
      </c>
      <c r="C86" s="9">
        <f t="shared" si="6"/>
        <v>0.4763831428591197</v>
      </c>
      <c r="D86" s="9">
        <f t="shared" si="7"/>
        <v>0.74459571711016936</v>
      </c>
      <c r="E86" s="9">
        <f t="shared" si="8"/>
        <v>0.84319721589945518</v>
      </c>
      <c r="F86" s="1"/>
      <c r="G86" s="1"/>
      <c r="H86" s="1"/>
      <c r="I86" s="1"/>
      <c r="J86" s="1"/>
      <c r="K86" s="1"/>
    </row>
    <row r="87" spans="1:11" ht="31" customHeight="1">
      <c r="A87" s="1"/>
      <c r="B87" s="12">
        <v>0.81</v>
      </c>
      <c r="C87" s="12">
        <f t="shared" si="6"/>
        <v>0.48986500879948736</v>
      </c>
      <c r="D87" s="12">
        <f t="shared" si="7"/>
        <v>0.75636611329938919</v>
      </c>
      <c r="E87" s="12">
        <f t="shared" si="8"/>
        <v>0.85139072757763268</v>
      </c>
      <c r="F87" s="1"/>
      <c r="G87" s="1"/>
      <c r="H87" s="1"/>
      <c r="I87" s="1"/>
      <c r="J87" s="1"/>
      <c r="K87" s="1"/>
    </row>
    <row r="88" spans="1:11" ht="31" customHeight="1">
      <c r="A88" s="1"/>
      <c r="B88" s="9">
        <v>0.82</v>
      </c>
      <c r="C88" s="9">
        <f t="shared" si="6"/>
        <v>0.50391438206641781</v>
      </c>
      <c r="D88" s="9">
        <f t="shared" si="7"/>
        <v>0.76822892094179585</v>
      </c>
      <c r="E88" s="9">
        <f t="shared" si="8"/>
        <v>0.85954460538157429</v>
      </c>
      <c r="F88" s="1"/>
      <c r="G88" s="1"/>
      <c r="H88" s="1"/>
      <c r="I88" s="1"/>
      <c r="J88" s="1"/>
      <c r="K88" s="1"/>
    </row>
    <row r="89" spans="1:11" ht="31" customHeight="1">
      <c r="A89" s="1"/>
      <c r="B89" s="12">
        <v>0.83</v>
      </c>
      <c r="C89" s="12">
        <f t="shared" si="6"/>
        <v>0.51858114765802221</v>
      </c>
      <c r="D89" s="12">
        <f t="shared" si="7"/>
        <v>0.7801860010012226</v>
      </c>
      <c r="E89" s="12">
        <f t="shared" si="8"/>
        <v>0.86765928365838596</v>
      </c>
      <c r="F89" s="1"/>
      <c r="G89" s="1"/>
      <c r="H89" s="1"/>
      <c r="I89" s="1"/>
      <c r="J89" s="1"/>
      <c r="K89" s="1"/>
    </row>
    <row r="90" spans="1:11" ht="31" customHeight="1">
      <c r="A90" s="1"/>
      <c r="B90" s="9">
        <v>0.84</v>
      </c>
      <c r="C90" s="9">
        <f t="shared" si="6"/>
        <v>0.5339220716420624</v>
      </c>
      <c r="D90" s="9">
        <f t="shared" si="7"/>
        <v>0.7922392712273485</v>
      </c>
      <c r="E90" s="9">
        <f t="shared" si="8"/>
        <v>0.87573518965405928</v>
      </c>
      <c r="F90" s="1"/>
      <c r="G90" s="1"/>
      <c r="H90" s="1"/>
      <c r="I90" s="1"/>
      <c r="J90" s="1"/>
      <c r="K90" s="1"/>
    </row>
    <row r="91" spans="1:11" ht="31" customHeight="1">
      <c r="A91" s="1"/>
      <c r="B91" s="12">
        <v>0.85</v>
      </c>
      <c r="C91" s="12">
        <f t="shared" si="6"/>
        <v>0.5500021279603855</v>
      </c>
      <c r="D91" s="12">
        <f t="shared" si="7"/>
        <v>0.80439070848982852</v>
      </c>
      <c r="E91" s="12">
        <f t="shared" si="8"/>
        <v>0.88377274366742875</v>
      </c>
      <c r="F91" s="1"/>
      <c r="G91" s="1"/>
      <c r="H91" s="1"/>
      <c r="I91" s="1"/>
      <c r="J91" s="1"/>
      <c r="K91" s="1"/>
    </row>
    <row r="92" spans="1:11" ht="31" customHeight="1">
      <c r="A92" s="1"/>
      <c r="B92" s="9">
        <v>0.86</v>
      </c>
      <c r="C92" s="9">
        <f t="shared" si="6"/>
        <v>0.56689616129346987</v>
      </c>
      <c r="D92" s="9">
        <f t="shared" si="7"/>
        <v>0.81664235123359474</v>
      </c>
      <c r="E92" s="9">
        <f t="shared" si="8"/>
        <v>0.89177235919997588</v>
      </c>
      <c r="F92" s="1"/>
      <c r="G92" s="1"/>
      <c r="H92" s="1"/>
      <c r="I92" s="1"/>
      <c r="J92" s="1"/>
      <c r="K92" s="1"/>
    </row>
    <row r="93" spans="1:11" ht="31" customHeight="1">
      <c r="A93" s="1"/>
      <c r="B93" s="12">
        <v>0.87</v>
      </c>
      <c r="C93" s="12">
        <f t="shared" si="6"/>
        <v>0.58469099360378995</v>
      </c>
      <c r="D93" s="12">
        <f t="shared" si="7"/>
        <v>0.82899630206296215</v>
      </c>
      <c r="E93" s="12">
        <f t="shared" si="8"/>
        <v>0.89973444310162098</v>
      </c>
      <c r="F93" s="1"/>
      <c r="G93" s="1"/>
      <c r="H93" s="1"/>
      <c r="I93" s="1"/>
      <c r="J93" s="1"/>
      <c r="K93" s="1"/>
    </row>
    <row r="94" spans="1:11" ht="31" customHeight="1">
      <c r="A94" s="1"/>
      <c r="B94" s="9">
        <v>0.88</v>
      </c>
      <c r="C94" s="9">
        <f t="shared" si="6"/>
        <v>0.60348812446218625</v>
      </c>
      <c r="D94" s="9">
        <f t="shared" si="7"/>
        <v>0.84145473046272989</v>
      </c>
      <c r="E94" s="9">
        <f t="shared" si="8"/>
        <v>0.90765939571262133</v>
      </c>
      <c r="F94" s="1"/>
      <c r="G94" s="1"/>
      <c r="H94" s="1"/>
      <c r="I94" s="1"/>
      <c r="J94" s="1"/>
      <c r="K94" s="1"/>
    </row>
    <row r="95" spans="1:11" ht="31" customHeight="1">
      <c r="A95" s="1"/>
      <c r="B95" s="12">
        <v>0.89</v>
      </c>
      <c r="C95" s="12">
        <f t="shared" si="6"/>
        <v>0.6234072380669563</v>
      </c>
      <c r="D95" s="12">
        <f t="shared" si="7"/>
        <v>0.85401987566508752</v>
      </c>
      <c r="E95" s="12">
        <f t="shared" si="8"/>
        <v>0.91554761100171322</v>
      </c>
      <c r="F95" s="1"/>
      <c r="G95" s="1"/>
      <c r="H95" s="1"/>
      <c r="I95" s="1"/>
      <c r="J95" s="1"/>
      <c r="K95" s="1"/>
    </row>
    <row r="96" spans="1:11" ht="31" customHeight="1">
      <c r="A96" s="1"/>
      <c r="B96" s="9">
        <v>0.9</v>
      </c>
      <c r="C96" s="9">
        <f t="shared" si="6"/>
        <v>0.64459082462355466</v>
      </c>
      <c r="D96" s="9">
        <f t="shared" si="7"/>
        <v>0.86669404967180197</v>
      </c>
      <c r="E96" s="9">
        <f t="shared" si="8"/>
        <v>0.92339947670060074</v>
      </c>
      <c r="F96" s="1"/>
      <c r="G96" s="1"/>
      <c r="H96" s="1"/>
      <c r="I96" s="1"/>
      <c r="J96" s="1"/>
      <c r="K96" s="1"/>
    </row>
    <row r="97" spans="1:11" ht="31" customHeight="1">
      <c r="A97" s="1"/>
      <c r="B97" s="12">
        <v>0.91</v>
      </c>
      <c r="C97" s="12">
        <f t="shared" si="6"/>
        <v>0.66721037000116235</v>
      </c>
      <c r="D97" s="12">
        <f t="shared" si="7"/>
        <v>0.87947964044189242</v>
      </c>
      <c r="E97" s="12">
        <f t="shared" si="8"/>
        <v>0.93121537443492164</v>
      </c>
      <c r="F97" s="1"/>
      <c r="G97" s="1"/>
      <c r="H97" s="1"/>
      <c r="I97" s="1"/>
      <c r="J97" s="1"/>
      <c r="K97" s="1"/>
    </row>
    <row r="98" spans="1:11" ht="31" customHeight="1">
      <c r="A98" s="1"/>
      <c r="B98" s="9">
        <v>0.92</v>
      </c>
      <c r="C98" s="9">
        <f t="shared" si="6"/>
        <v>0.69147479910585075</v>
      </c>
      <c r="D98" s="9">
        <f t="shared" si="7"/>
        <v>0.89237911525578284</v>
      </c>
      <c r="E98" s="9">
        <f t="shared" si="8"/>
        <v>0.93899567985178833</v>
      </c>
      <c r="F98" s="1"/>
      <c r="G98" s="1"/>
      <c r="H98" s="1"/>
      <c r="I98" s="1"/>
      <c r="J98" s="1"/>
      <c r="K98" s="1"/>
    </row>
    <row r="99" spans="1:11" ht="31" customHeight="1">
      <c r="A99" s="1"/>
      <c r="B99" s="12">
        <v>0.93</v>
      </c>
      <c r="C99" s="12">
        <f t="shared" si="6"/>
        <v>0.71764223557463891</v>
      </c>
      <c r="D99" s="12">
        <f t="shared" si="7"/>
        <v>0.90539502426779028</v>
      </c>
      <c r="E99" s="12">
        <f t="shared" si="8"/>
        <v>0.9467407627440203</v>
      </c>
      <c r="F99" s="1"/>
      <c r="G99" s="1"/>
      <c r="H99" s="1"/>
      <c r="I99" s="1"/>
      <c r="J99" s="1"/>
      <c r="K99" s="1"/>
    </row>
    <row r="100" spans="1:11" ht="31" customHeight="1">
      <c r="A100" s="1"/>
      <c r="B100" s="9">
        <v>0.94</v>
      </c>
      <c r="C100" s="9">
        <f t="shared" si="6"/>
        <v>0.74603677513171862</v>
      </c>
      <c r="D100" s="9">
        <f t="shared" si="7"/>
        <v>0.91853000425974562</v>
      </c>
      <c r="E100" s="9">
        <f t="shared" si="8"/>
        <v>0.95445098717116272</v>
      </c>
      <c r="F100" s="1"/>
      <c r="G100" s="1"/>
      <c r="H100" s="1"/>
      <c r="I100" s="1"/>
      <c r="J100" s="1"/>
      <c r="K100" s="1"/>
    </row>
    <row r="101" spans="1:11" ht="31" customHeight="1">
      <c r="A101" s="1"/>
      <c r="B101" s="12">
        <v>0.95</v>
      </c>
      <c r="C101" s="12">
        <f t="shared" si="6"/>
        <v>0.77707307876902676</v>
      </c>
      <c r="D101" s="12">
        <f t="shared" si="7"/>
        <v>0.93178678260956671</v>
      </c>
      <c r="E101" s="12">
        <f t="shared" si="8"/>
        <v>0.96212671157739738</v>
      </c>
      <c r="F101" s="1"/>
      <c r="G101" s="1"/>
      <c r="H101" s="1"/>
      <c r="I101" s="1"/>
      <c r="J101" s="1"/>
      <c r="K101" s="1"/>
    </row>
    <row r="102" spans="1:11" ht="31" customHeight="1">
      <c r="A102" s="1"/>
      <c r="B102" s="9">
        <v>0.96</v>
      </c>
      <c r="C102" s="9">
        <f t="shared" si="6"/>
        <v>0.8112936145727736</v>
      </c>
      <c r="D102" s="9">
        <f t="shared" si="7"/>
        <v>0.94516818148972548</v>
      </c>
      <c r="E102" s="9">
        <f t="shared" si="8"/>
        <v>0.96976828890643507</v>
      </c>
      <c r="F102" s="1"/>
      <c r="G102" s="1"/>
      <c r="H102" s="1"/>
      <c r="I102" s="1"/>
      <c r="J102" s="1"/>
      <c r="K102" s="1"/>
    </row>
    <row r="103" spans="1:11" ht="31" customHeight="1">
      <c r="A103" s="1"/>
      <c r="B103" s="12">
        <v>0.97</v>
      </c>
      <c r="C103" s="12">
        <f t="shared" si="6"/>
        <v>0.84942725912383288</v>
      </c>
      <c r="D103" s="12">
        <f t="shared" si="7"/>
        <v>0.95867712231178137</v>
      </c>
      <c r="E103" s="12">
        <f t="shared" si="8"/>
        <v>0.97737606671348642</v>
      </c>
      <c r="F103" s="1"/>
      <c r="G103" s="1"/>
      <c r="H103" s="1"/>
      <c r="I103" s="1"/>
      <c r="J103" s="1"/>
      <c r="K103" s="1"/>
    </row>
    <row r="104" spans="1:11" ht="31" customHeight="1">
      <c r="A104" s="1"/>
      <c r="B104" s="9">
        <v>0.98</v>
      </c>
      <c r="C104" s="9">
        <f t="shared" si="6"/>
        <v>0.8924858866687011</v>
      </c>
      <c r="D104" s="9">
        <f t="shared" si="7"/>
        <v>0.97231663043448913</v>
      </c>
      <c r="E104" s="9">
        <f t="shared" si="8"/>
        <v>0.98495038727439643</v>
      </c>
      <c r="F104" s="1"/>
      <c r="G104" s="1"/>
      <c r="H104" s="1"/>
      <c r="I104" s="1"/>
      <c r="J104" s="1"/>
      <c r="K104" s="1"/>
    </row>
    <row r="105" spans="1:11" ht="31" customHeight="1">
      <c r="A105" s="1"/>
      <c r="B105" s="12">
        <v>0.99</v>
      </c>
      <c r="C105" s="12">
        <f t="shared" si="6"/>
        <v>0.94193295954412271</v>
      </c>
      <c r="D105" s="12">
        <f t="shared" si="7"/>
        <v>0.98608984015446355</v>
      </c>
      <c r="E105" s="12">
        <f t="shared" si="8"/>
        <v>0.99249158769203172</v>
      </c>
      <c r="F105" s="1"/>
      <c r="G105" s="1"/>
      <c r="H105" s="1"/>
      <c r="I105" s="1"/>
      <c r="J105" s="1"/>
      <c r="K105" s="1"/>
    </row>
    <row r="106" spans="1:11" ht="31" customHeight="1">
      <c r="A106" s="1"/>
      <c r="B106" s="9">
        <v>1</v>
      </c>
      <c r="C106" s="9">
        <f t="shared" si="6"/>
        <v>1</v>
      </c>
      <c r="D106" s="9">
        <f t="shared" si="7"/>
        <v>1</v>
      </c>
      <c r="E106" s="9">
        <f t="shared" si="8"/>
        <v>1</v>
      </c>
      <c r="F106" s="1"/>
      <c r="G106" s="1"/>
      <c r="H106" s="1"/>
      <c r="I106" s="1"/>
      <c r="J106" s="1"/>
      <c r="K106" s="1"/>
    </row>
  </sheetData>
  <mergeCells count="2">
    <mergeCell ref="B2:K2"/>
    <mergeCell ref="H4:K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Throttle Curves</vt:lpstr>
      <vt:lpstr>Parameters</vt:lpstr>
      <vt:lpstr>Locale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cp:lastPrinted>2026-10-27T06:20:36Z</cp:lastPrinted>
  <dcterms:modified xsi:type="dcterms:W3CDTF">2026-10-27T06:20:40Z</dcterms:modified>
</cp:coreProperties>
</file>