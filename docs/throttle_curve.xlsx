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f1848c56a471a" /></Relationships>
</file>

<file path=xl/workbook.xml><?xml version="1.0" encoding="utf-8"?>
<m:workbook xmlns:m="http://schemas.openxmlformats.org/spreadsheetml/2006/main" xmlns:r="http://schemas.openxmlformats.org/officeDocument/2006/relationships">
  <m:sheets>
    <m:sheet name="Throttle Curves" sheetId="1" r:id="R314e2da9e32b4642"/>
    <m:sheet name="Parameters" sheetId="2" r:id="R91d21d14a95f4d0f"/>
    <m:sheet name="Samples" sheetId="3" r:id="R7dcbe6d85e604b9c"/>
  </m:sheets>
  <m:calcPr calcMode="auto" fullCalcOnLoad="1" forceFullCalc="1"/>
</m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%"/>
  </x:numFmts>
  <x:fonts count="8">
    <x:font>
      <x:sz val="11"/>
      <x:name val="Carlito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195DB1"/>
      <x:name val="Arial"/>
    </x:font>
    <x:font>
      <x:sz val="11"/>
      <x:color rgb="FF667B91"/>
      <x:name val="Arial"/>
    </x:font>
    <x:font>
      <x:b/>
      <x:sz val="11"/>
      <x:color rgb="FFFFFFFF"/>
      <x:name val="Arial"/>
    </x:font>
    <x:font>
      <x:sz val="10"/>
      <x:color rgb="FF283C50"/>
      <x:name val="Arial"/>
    </x:font>
    <x:font>
      <x:sz val="10"/>
      <x:color rgb="FF667B9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31475E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20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8782e3da34813" /><Relationship Type="http://schemas.openxmlformats.org/officeDocument/2006/relationships/theme" Target="/xl/theme/theme1.xml" Id="R4bee5e5b8393438a" /><Relationship Type="http://schemas.openxmlformats.org/officeDocument/2006/relationships/sharedStrings" Target="/xl/sharedStrings.xml" Id="R14fef21bcde9454d" /><Relationship Type="http://schemas.openxmlformats.org/officeDocument/2006/relationships/worksheet" Target="/xl/worksheets/sheet1.xml" Id="R314e2da9e32b4642" /><Relationship Type="http://schemas.openxmlformats.org/officeDocument/2006/relationships/worksheet" Target="/xl/worksheets/sheet2.xml" Id="R91d21d14a95f4d0f" /><Relationship Type="http://schemas.openxmlformats.org/officeDocument/2006/relationships/worksheet" Target="/xl/worksheets/sheet3.xml" Id="R7dcbe6d85e604b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67b8969846442c" /></Relationships>
</file>

<file path=xl/drawings/charts/chart1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Throttle input / output</a:t>
            </a:r>
          </a:p>
        </c:rich>
      </c:tx>
      <c:overlay val="0"/>
    </c:title>
    <c:autoTitleDeleted val="0"/>
    <c:plotArea>
      <c:layout/>
      <c:scatterChart>
        <c:scatterStyle val="smooth"/>
        <c:varyColors val="1"/>
        <c:ser>
          <c:idx val="0"/>
          <c:order val="0"/>
          <c:tx>
            <c:strRef>
              <c:f>'Samples'!$C$5</c:f>
              <c:strCache>
                <c:ptCount val="1"/>
                <c:pt idx="0">
                  <c:v>1 · Progressive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extLst>
            <c:ext uri="{C3380CC4-5D6E-409C-BE32-E72D297353CC}">
              <ns2:uniqueId val="{00000000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'Samples'!$C$6:$C$106</c:f>
              <c:numCache>
                <c:formatCode>0.0%</c:formatCode>
                <c:ptCount val="101"/>
                <c:pt idx="0">
                  <c:v>0</c:v>
                </c:pt>
                <c:pt idx="1">
                  <c:v>0.00504347760966952</c:v>
                </c:pt>
                <c:pt idx="2">
                  <c:v>0.0101185553555857</c:v>
                </c:pt>
                <c:pt idx="3">
                  <c:v>0.0152258019223656</c:v>
                </c:pt>
                <c:pt idx="4">
                  <c:v>0.020365801485424</c:v>
                </c:pt>
                <c:pt idx="5">
                  <c:v>0.0255391542787519</c:v>
                </c:pt>
                <c:pt idx="6">
                  <c:v>0.0307464771889494</c:v>
                </c:pt>
                <c:pt idx="7">
                  <c:v>0.0359884043769834</c:v>
                </c:pt>
                <c:pt idx="8">
                  <c:v>0.0412655879292361</c:v>
                </c:pt>
                <c:pt idx="9">
                  <c:v>0.0465786985395176</c:v>
                </c:pt>
                <c:pt idx="10">
                  <c:v>0.0519284262238266</c:v>
                </c:pt>
                <c:pt idx="11">
                  <c:v>0.0573154810697623</c:v>
                </c:pt>
                <c:pt idx="12">
                  <c:v>0.0627405940226266</c:v>
                </c:pt>
                <c:pt idx="13">
                  <c:v>0.068204517710391</c:v>
                </c:pt>
                <c:pt idx="14">
                  <c:v>0.0737080273098568</c:v>
                </c:pt>
                <c:pt idx="15">
                  <c:v>0.0792519214565049</c:v>
                </c:pt>
                <c:pt idx="16">
                  <c:v>0.0848370232007015</c:v>
                </c:pt>
                <c:pt idx="17">
                  <c:v>0.0904641810131287</c:v>
                </c:pt>
                <c:pt idx="18">
                  <c:v>0.0961342698425083</c:v>
                </c:pt>
                <c:pt idx="19">
                  <c:v>0.101848192228919</c:v>
                </c:pt>
                <c:pt idx="20">
                  <c:v>0.107606879476249</c:v>
                </c:pt>
                <c:pt idx="21">
                  <c:v>0.113411292887597</c:v>
                </c:pt>
                <c:pt idx="22">
                  <c:v>0.119262425067719</c:v>
                </c:pt>
                <c:pt idx="23">
                  <c:v>0.125161301296931</c:v>
                </c:pt>
                <c:pt idx="24">
                  <c:v>0.131108980981232</c:v>
                </c:pt>
                <c:pt idx="25">
                  <c:v>0.13710655918378</c:v>
                </c:pt>
                <c:pt idx="26">
                  <c:v>0.143155168243242</c:v>
                </c:pt>
                <c:pt idx="27">
                  <c:v>0.149255979485025</c:v>
                </c:pt>
                <c:pt idx="28">
                  <c:v>0.15541020503184</c:v>
                </c:pt>
                <c:pt idx="29">
                  <c:v>0.161619099720608</c:v>
                </c:pt>
                <c:pt idx="30">
                  <c:v>0.16788396313329</c:v>
                </c:pt>
                <c:pt idx="31">
                  <c:v>0.174206141749864</c:v>
                </c:pt>
                <c:pt idx="32">
                  <c:v>0.180587031232374</c:v>
                </c:pt>
                <c:pt idx="33">
                  <c:v>0.187028078849739</c:v>
                </c:pt>
                <c:pt idx="34">
                  <c:v>0.193530786053872</c:v>
                </c:pt>
                <c:pt idx="35">
                  <c:v>0.200096711218574</c:v>
                </c:pt>
                <c:pt idx="36">
                  <c:v>0.2067274725537</c:v>
                </c:pt>
                <c:pt idx="37">
                  <c:v>0.213424751208247</c:v>
                </c:pt>
                <c:pt idx="38">
                  <c:v>0.220190294577237</c:v>
                </c:pt>
                <c:pt idx="39">
                  <c:v>0.22702591982868</c:v>
                </c:pt>
                <c:pt idx="40">
                  <c:v>0.233933517668428</c:v>
                </c:pt>
                <c:pt idx="41">
                  <c:v>0.240915056362438</c:v>
                </c:pt>
                <c:pt idx="42">
                  <c:v>0.247972586037855</c:v>
                </c:pt>
                <c:pt idx="43">
                  <c:v>0.25510824328644</c:v>
                </c:pt>
                <c:pt idx="44">
                  <c:v>0.262324256096205</c:v>
                </c:pt>
                <c:pt idx="45">
                  <c:v>0.269622949139744</c:v>
                </c:pt>
                <c:pt idx="46">
                  <c:v>0.277006749450671</c:v>
                </c:pt>
                <c:pt idx="47">
                  <c:v>0.284478192522868</c:v>
                </c:pt>
                <c:pt idx="48">
                  <c:v>0.292039928870882</c:v>
                </c:pt>
                <c:pt idx="49">
                  <c:v>0.299694731093975</c:v>
                </c:pt>
                <c:pt idx="50">
                  <c:v>0.307445501490948</c:v>
                </c:pt>
                <c:pt idx="51">
                  <c:v>0.315295280278076</c:v>
                </c:pt>
                <c:pt idx="52">
                  <c:v>0.323247254468412</c:v>
                </c:pt>
                <c:pt idx="53">
                  <c:v>0.331304767477372</c:v>
                </c:pt>
                <c:pt idx="54">
                  <c:v>0.339471329527077</c:v>
                </c:pt>
                <c:pt idx="55">
                  <c:v>0.347750628930504</c:v>
                </c:pt>
                <c:pt idx="56">
                  <c:v>0.356146544346268</c:v>
                </c:pt>
                <c:pt idx="57">
                  <c:v>0.364663158105975</c:v>
                </c:pt>
                <c:pt idx="58">
                  <c:v>0.373304770728807</c:v>
                </c:pt>
                <c:pt idx="59">
                  <c:v>0.382075916752561</c:v>
                </c:pt>
                <c:pt idx="60">
                  <c:v>0.390981382027065</c:v>
                </c:pt>
                <c:pt idx="61">
                  <c:v>0.400026222635145</c:v>
                </c:pt>
                <c:pt idx="62">
                  <c:v>0.409215785628473</c:v>
                </c:pt>
                <c:pt idx="63">
                  <c:v>0.418555731791287</c:v>
                </c:pt>
                <c:pt idx="64">
                  <c:v>0.428052060674728</c:v>
                </c:pt>
                <c:pt idx="65">
                  <c:v>0.437711138179106</c:v>
                </c:pt>
                <c:pt idx="66">
                  <c:v>0.44753972700178</c:v>
                </c:pt>
                <c:pt idx="67">
                  <c:v>0.457545020315484</c:v>
                </c:pt>
                <c:pt idx="68">
                  <c:v>0.467734679097337</c:v>
                </c:pt>
                <c:pt idx="69">
                  <c:v>0.47811687359396</c:v>
                </c:pt>
                <c:pt idx="70">
                  <c:v>0.488700329485114</c:v>
                </c:pt>
                <c:pt idx="71">
                  <c:v>0.499494379399601</c:v>
                </c:pt>
                <c:pt idx="72">
                  <c:v>0.510509020545783</c:v>
                </c:pt>
                <c:pt idx="73">
                  <c:v>0.521754979348884</c:v>
                </c:pt>
                <c:pt idx="74">
                  <c:v>0.533243784142845</c:v>
                </c:pt>
                <c:pt idx="75">
                  <c:v>0.544987847152036</c:v>
                </c:pt>
                <c:pt idx="76">
                  <c:v>0.557000557224947</c:v>
                </c:pt>
                <c:pt idx="77">
                  <c:v>0.56929638505768</c:v>
                </c:pt>
                <c:pt idx="78">
                  <c:v>0.581891002981896</c:v>
                </c:pt>
                <c:pt idx="79">
                  <c:v>0.594801421805377</c:v>
                </c:pt>
                <c:pt idx="80">
                  <c:v>0.608046147703835</c:v>
                </c:pt>
                <c:pt idx="81">
                  <c:v>0.62164536279644</c:v>
                </c:pt>
                <c:pt idx="82">
                  <c:v>0.635621133829196</c:v>
                </c:pt>
                <c:pt idx="83">
                  <c:v>0.649997654385563</c:v>
                </c:pt>
                <c:pt idx="84">
                  <c:v>0.664801527303342</c:v>
                </c:pt>
                <c:pt idx="85">
                  <c:v>0.680062095582605</c:v>
                </c:pt>
                <c:pt idx="86">
                  <c:v>0.69581183213217</c:v>
                </c:pt>
                <c:pt idx="87">
                  <c:v>0.712086801373458</c:v>
                </c:pt>
                <c:pt idx="88">
                  <c:v>0.728927209210402</c:v>
                </c:pt>
                <c:pt idx="89">
                  <c:v>0.746378062475682</c:v>
                </c:pt>
                <c:pt idx="90">
                  <c:v>0.764489965092123</c:v>
                </c:pt>
                <c:pt idx="91">
                  <c:v>0.783320086438288</c:v>
                </c:pt>
                <c:pt idx="92">
                  <c:v>0.802933348642984</c:v>
                </c:pt>
                <c:pt idx="93">
                  <c:v>0.82340389502782</c:v>
                </c:pt>
                <c:pt idx="94">
                  <c:v>0.844816923576771</c:v>
                </c:pt>
                <c:pt idx="95">
                  <c:v>0.867271000041962</c:v>
                </c:pt>
                <c:pt idx="96">
                  <c:v>0.890881009606073</c:v>
                </c:pt>
                <c:pt idx="97">
                  <c:v>0.915781971062752</c:v>
                </c:pt>
                <c:pt idx="98">
                  <c:v>0.942134034838847</c:v>
                </c:pt>
                <c:pt idx="99">
                  <c:v>0.970129135139124</c:v>
                </c:pt>
                <c:pt idx="100">
                  <c:v>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'Samples'!$D$5</c:f>
              <c:strCache>
                <c:ptCount val="1"/>
                <c:pt idx="0">
                  <c:v>2 · Subtle Linear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extLst>
            <c:ext uri="{C3380CC4-5D6E-409C-BE32-E72D297353CC}">
              <ns2:uniqueId val="{00000001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'Samples'!$D$6:$D$106</c:f>
              <c:numCache>
                <c:formatCode>0.0%</c:formatCode>
                <c:ptCount val="101"/>
                <c:pt idx="0">
                  <c:v>0</c:v>
                </c:pt>
                <c:pt idx="1">
                  <c:v>0.00954598694670533</c:v>
                </c:pt>
                <c:pt idx="2">
                  <c:v>0.0190994139146998</c:v>
                </c:pt>
                <c:pt idx="3">
                  <c:v>0.0286603228618904</c:v>
                </c:pt>
                <c:pt idx="4">
                  <c:v>0.0382287561021202</c:v>
                </c:pt>
                <c:pt idx="5">
                  <c:v>0.0478047563092044</c:v>
                </c:pt>
                <c:pt idx="6">
                  <c:v>0.0573883665210264</c:v>
                </c:pt>
                <c:pt idx="7">
                  <c:v>0.0669796301436901</c:v>
                </c:pt>
                <c:pt idx="8">
                  <c:v>0.0765785909557331</c:v>
                </c:pt>
                <c:pt idx="9">
                  <c:v>0.0861852931123989</c:v>
                </c:pt>
                <c:pt idx="10">
                  <c:v>0.0957997811499722</c:v>
                </c:pt>
                <c:pt idx="11">
                  <c:v>0.105422099990175</c:v>
                </c:pt>
                <c:pt idx="12">
                  <c:v>0.115052294944628</c:v>
                </c:pt>
                <c:pt idx="13">
                  <c:v>0.124690411719374</c:v>
                </c:pt>
                <c:pt idx="14">
                  <c:v>0.134336496419473</c:v>
                </c:pt>
                <c:pt idx="15">
                  <c:v>0.143990595553656</c:v>
                </c:pt>
                <c:pt idx="16">
                  <c:v>0.153652756039052</c:v>
                </c:pt>
                <c:pt idx="17">
                  <c:v>0.163323025205986</c:v>
                </c:pt>
                <c:pt idx="18">
                  <c:v>0.173001450802845</c:v>
                </c:pt>
                <c:pt idx="19">
                  <c:v>0.182688081001013</c:v>
                </c:pt>
                <c:pt idx="20">
                  <c:v>0.192382964399884</c:v>
                </c:pt>
                <c:pt idx="21">
                  <c:v>0.202086150031949</c:v>
                </c:pt>
                <c:pt idx="22">
                  <c:v>0.211797687367955</c:v>
                </c:pt>
                <c:pt idx="23">
                  <c:v>0.221517626322147</c:v>
                </c:pt>
                <c:pt idx="24">
                  <c:v>0.231246017257581</c:v>
                </c:pt>
                <c:pt idx="25">
                  <c:v>0.240982910991522</c:v>
                </c:pt>
                <c:pt idx="26">
                  <c:v>0.250728358800925</c:v>
                </c:pt>
                <c:pt idx="27">
                  <c:v>0.260482412427993</c:v>
                </c:pt>
                <c:pt idx="28">
                  <c:v>0.270245124085824</c:v>
                </c:pt>
                <c:pt idx="29">
                  <c:v>0.280016546464141</c:v>
                </c:pt>
                <c:pt idx="30">
                  <c:v>0.289796732735115</c:v>
                </c:pt>
                <c:pt idx="31">
                  <c:v>0.299585736559268</c:v>
                </c:pt>
                <c:pt idx="32">
                  <c:v>0.309383612091472</c:v>
                </c:pt>
                <c:pt idx="33">
                  <c:v>0.319190413987045</c:v>
                </c:pt>
                <c:pt idx="34">
                  <c:v>0.329006197407931</c:v>
                </c:pt>
                <c:pt idx="35">
                  <c:v>0.338831018028982</c:v>
                </c:pt>
                <c:pt idx="36">
                  <c:v>0.348664932044339</c:v>
                </c:pt>
                <c:pt idx="37">
                  <c:v>0.358507996173908</c:v>
                </c:pt>
                <c:pt idx="38">
                  <c:v>0.36836026766994</c:v>
                </c:pt>
                <c:pt idx="39">
                  <c:v>0.378221804323713</c:v>
                </c:pt>
                <c:pt idx="40">
                  <c:v>0.388092664472322</c:v>
                </c:pt>
                <c:pt idx="41">
                  <c:v>0.397972907005572</c:v>
                </c:pt>
                <c:pt idx="42">
                  <c:v>0.407862591372981</c:v>
                </c:pt>
                <c:pt idx="43">
                  <c:v>0.4177617775909</c:v>
                </c:pt>
                <c:pt idx="44">
                  <c:v>0.427670526249738</c:v>
                </c:pt>
                <c:pt idx="45">
                  <c:v>0.437588898521309</c:v>
                </c:pt>
                <c:pt idx="46">
                  <c:v>0.447516956166294</c:v>
                </c:pt>
                <c:pt idx="47">
                  <c:v>0.457454761541822</c:v>
                </c:pt>
                <c:pt idx="48">
                  <c:v>0.467402377609176</c:v>
                </c:pt>
                <c:pt idx="49">
                  <c:v>0.477359867941624</c:v>
                </c:pt>
                <c:pt idx="50">
                  <c:v>0.487327296732375</c:v>
                </c:pt>
                <c:pt idx="51">
                  <c:v>0.497304728802666</c:v>
                </c:pt>
                <c:pt idx="52">
                  <c:v>0.507292229609981</c:v>
                </c:pt>
                <c:pt idx="53">
                  <c:v>0.517289865256405</c:v>
                </c:pt>
                <c:pt idx="54">
                  <c:v>0.527297702497116</c:v>
                </c:pt>
                <c:pt idx="55">
                  <c:v>0.537315808749018</c:v>
                </c:pt>
                <c:pt idx="56">
                  <c:v>0.547344252099512</c:v>
                </c:pt>
                <c:pt idx="57">
                  <c:v>0.557383101315421</c:v>
                </c:pt>
                <c:pt idx="58">
                  <c:v>0.56743242585206</c:v>
                </c:pt>
                <c:pt idx="59">
                  <c:v>0.577492295862453</c:v>
                </c:pt>
                <c:pt idx="60">
                  <c:v>0.587562782206716</c:v>
                </c:pt>
                <c:pt idx="61">
                  <c:v>0.597643956461584</c:v>
                </c:pt>
                <c:pt idx="62">
                  <c:v>0.607735890930115</c:v>
                </c:pt>
                <c:pt idx="63">
                  <c:v>0.617838658651545</c:v>
                </c:pt>
                <c:pt idx="64">
                  <c:v>0.627952333411315</c:v>
                </c:pt>
                <c:pt idx="65">
                  <c:v>0.638076989751278</c:v>
                </c:pt>
                <c:pt idx="66">
                  <c:v>0.648212702980066</c:v>
                </c:pt>
                <c:pt idx="67">
                  <c:v>0.658359549183645</c:v>
                </c:pt>
                <c:pt idx="68">
                  <c:v>0.668517605236053</c:v>
                </c:pt>
                <c:pt idx="69">
                  <c:v>0.678686948810317</c:v>
                </c:pt>
                <c:pt idx="70">
                  <c:v>0.688867658389568</c:v>
                </c:pt>
                <c:pt idx="71">
                  <c:v>0.699059813278342</c:v>
                </c:pt>
                <c:pt idx="72">
                  <c:v>0.709263493614084</c:v>
                </c:pt>
                <c:pt idx="73">
                  <c:v>0.719478780378854</c:v>
                </c:pt>
                <c:pt idx="74">
                  <c:v>0.729705755411236</c:v>
                </c:pt>
                <c:pt idx="75">
                  <c:v>0.739944501418462</c:v>
                </c:pt>
                <c:pt idx="76">
                  <c:v>0.750195101988747</c:v>
                </c:pt>
                <c:pt idx="77">
                  <c:v>0.760457641603845</c:v>
                </c:pt>
                <c:pt idx="78">
                  <c:v>0.770732205651833</c:v>
                </c:pt>
                <c:pt idx="79">
                  <c:v>0.781018880440119</c:v>
                </c:pt>
                <c:pt idx="80">
                  <c:v>0.79131775320869</c:v>
                </c:pt>
                <c:pt idx="81">
                  <c:v>0.801628912143592</c:v>
                </c:pt>
                <c:pt idx="82">
                  <c:v>0.811952446390662</c:v>
                </c:pt>
                <c:pt idx="83">
                  <c:v>0.822288446069506</c:v>
                </c:pt>
                <c:pt idx="84">
                  <c:v>0.832637002287734</c:v>
                </c:pt>
                <c:pt idx="85">
                  <c:v>0.842998207155453</c:v>
                </c:pt>
                <c:pt idx="86">
                  <c:v>0.853372153800031</c:v>
                </c:pt>
                <c:pt idx="87">
                  <c:v>0.863758936381132</c:v>
                </c:pt>
                <c:pt idx="88">
                  <c:v>0.874158650106028</c:v>
                </c:pt>
                <c:pt idx="89">
                  <c:v>0.8845713912452</c:v>
                </c:pt>
                <c:pt idx="90">
                  <c:v>0.894997257148225</c:v>
                </c:pt>
                <c:pt idx="91">
                  <c:v>0.905436346259966</c:v>
                </c:pt>
                <c:pt idx="92">
                  <c:v>0.915888758137066</c:v>
                </c:pt>
                <c:pt idx="93">
                  <c:v>0.92635459346475</c:v>
                </c:pt>
                <c:pt idx="94">
                  <c:v>0.936833954073946</c:v>
                </c:pt>
                <c:pt idx="95">
                  <c:v>0.947326942958741</c:v>
                </c:pt>
                <c:pt idx="96">
                  <c:v>0.957833664294155</c:v>
                </c:pt>
                <c:pt idx="97">
                  <c:v>0.968354223454271</c:v>
                </c:pt>
                <c:pt idx="98">
                  <c:v>0.978888727030705</c:v>
                </c:pt>
                <c:pt idx="99">
                  <c:v>0.989437282851436</c:v>
                </c:pt>
                <c:pt idx="100">
                  <c:v>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'Samples'!$E$5</c:f>
              <c:strCache>
                <c:ptCount val="1"/>
                <c:pt idx="0">
                  <c:v>3 · Aggressive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extLst>
            <c:ext uri="{C3380CC4-5D6E-409C-BE32-E72D297353CC}">
              <ns2:uniqueId val="{00000002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'Samples'!$E$6:$E$106</c:f>
              <c:numCache>
                <c:formatCode>0.0%</c:formatCode>
                <c:ptCount val="101"/>
                <c:pt idx="0">
                  <c:v>0</c:v>
                </c:pt>
                <c:pt idx="1">
                  <c:v>0.0220085511711756</c:v>
                </c:pt>
                <c:pt idx="2">
                  <c:v>0.042639027541479</c:v>
                </c:pt>
                <c:pt idx="3">
                  <c:v>0.0621087462212194</c:v>
                </c:pt>
                <c:pt idx="4">
                  <c:v>0.0805873550417977</c:v>
                </c:pt>
                <c:pt idx="5">
                  <c:v>0.0982098295080067</c:v>
                </c:pt>
                <c:pt idx="6">
                  <c:v>0.115085321515121</c:v>
                </c:pt>
                <c:pt idx="7">
                  <c:v>0.13130335373029</c:v>
                </c:pt>
                <c:pt idx="8">
                  <c:v>0.146938261259415</c:v>
                </c:pt>
                <c:pt idx="9">
                  <c:v>0.162052443980111</c:v>
                </c:pt>
                <c:pt idx="10">
                  <c:v>0.176698792350592</c:v>
                </c:pt>
                <c:pt idx="11">
                  <c:v>0.190922526605563</c:v>
                </c:pt>
                <c:pt idx="12">
                  <c:v>0.204762611741478</c:v>
                </c:pt>
                <c:pt idx="13">
                  <c:v>0.218252860544873</c:v>
                </c:pt>
                <c:pt idx="14">
                  <c:v>0.231422803721348</c:v>
                </c:pt>
                <c:pt idx="15">
                  <c:v>0.244298383752652</c:v>
                </c:pt>
                <c:pt idx="16">
                  <c:v>0.256902513669781</c:v>
                </c:pt>
                <c:pt idx="17">
                  <c:v>0.26925553112154</c:v>
                </c:pt>
                <c:pt idx="18">
                  <c:v>0.2813755704344</c:v>
                </c:pt>
                <c:pt idx="19">
                  <c:v>0.293278869819492</c:v>
                </c:pt>
                <c:pt idx="20">
                  <c:v>0.304980026836247</c:v>
                </c:pt>
                <c:pt idx="21">
                  <c:v>0.316492212230984</c:v>
                </c:pt>
                <c:pt idx="22">
                  <c:v>0.327827350033092</c:v>
                </c:pt>
                <c:pt idx="23">
                  <c:v>0.338996270103012</c:v>
                </c:pt>
                <c:pt idx="24">
                  <c:v>0.350008838038945</c:v>
                </c:pt>
                <c:pt idx="25">
                  <c:v>0.360874066358809</c:v>
                </c:pt>
                <c:pt idx="26">
                  <c:v>0.371600210105699</c:v>
                </c:pt>
                <c:pt idx="27">
                  <c:v>0.382194849424314</c:v>
                </c:pt>
                <c:pt idx="28">
                  <c:v>0.39266496118267</c:v>
                </c:pt>
                <c:pt idx="29">
                  <c:v>0.403016981338013</c:v>
                </c:pt>
                <c:pt idx="30">
                  <c:v>0.41325685944624</c:v>
                </c:pt>
                <c:pt idx="31">
                  <c:v>0.423390106473329</c:v>
                </c:pt>
                <c:pt idx="32">
                  <c:v>0.433421836872808</c:v>
                </c:pt>
                <c:pt idx="33">
                  <c:v>0.443356805735134</c:v>
                </c:pt>
                <c:pt idx="34">
                  <c:v>0.4531994416858</c:v>
                </c:pt>
                <c:pt idx="35">
                  <c:v>0.462953876102914</c:v>
                </c:pt>
                <c:pt idx="36">
                  <c:v>0.47262396913759</c:v>
                </c:pt>
                <c:pt idx="37">
                  <c:v>0.482213332947987</c:v>
                </c:pt>
                <c:pt idx="38">
                  <c:v>0.491725352497567</c:v>
                </c:pt>
                <c:pt idx="39">
                  <c:v>0.501163204217707</c:v>
                </c:pt>
                <c:pt idx="40">
                  <c:v>0.510529872792537</c:v>
                </c:pt>
                <c:pt idx="41">
                  <c:v>0.519828166288267</c:v>
                </c:pt>
                <c:pt idx="42">
                  <c:v>0.529060729819156</c:v>
                </c:pt>
                <c:pt idx="43">
                  <c:v>0.53823005791675</c:v>
                </c:pt>
                <c:pt idx="44">
                  <c:v>0.547338505747306</c:v>
                </c:pt>
                <c:pt idx="45">
                  <c:v>0.55638829930375</c:v>
                </c:pt>
                <c:pt idx="46">
                  <c:v>0.565381544682654</c:v>
                </c:pt>
                <c:pt idx="47">
                  <c:v>0.574320236543058</c:v>
                </c:pt>
                <c:pt idx="48">
                  <c:v>0.583206265832232</c:v>
                </c:pt>
                <c:pt idx="49">
                  <c:v>0.592041426853312</c:v>
                </c:pt>
                <c:pt idx="50">
                  <c:v>0.600827423740958</c:v>
                </c:pt>
                <c:pt idx="51">
                  <c:v>0.609565876403561</c:v>
                </c:pt>
                <c:pt idx="52">
                  <c:v>0.618258325983873</c:v>
                </c:pt>
                <c:pt idx="53">
                  <c:v>0.626906239884153</c:v>
                </c:pt>
                <c:pt idx="54">
                  <c:v>0.635511016396843</c:v>
                </c:pt>
                <c:pt idx="55">
                  <c:v>0.644073988977375</c:v>
                </c:pt>
                <c:pt idx="56">
                  <c:v>0.652596430191773</c:v>
                </c:pt>
                <c:pt idx="57">
                  <c:v>0.661079555368323</c:v>
                </c:pt>
                <c:pt idx="58">
                  <c:v>0.669524525979533</c:v>
                </c:pt>
                <c:pt idx="59">
                  <c:v>0.677932452777937</c:v>
                </c:pt>
                <c:pt idx="60">
                  <c:v>0.686304398706941</c:v>
                </c:pt>
                <c:pt idx="61">
                  <c:v>0.694641381605802</c:v>
                </c:pt>
                <c:pt idx="62">
                  <c:v>0.702944376725962</c:v>
                </c:pt>
                <c:pt idx="63">
                  <c:v>0.71121431907432</c:v>
                </c:pt>
                <c:pt idx="64">
                  <c:v>0.719452105597513</c:v>
                </c:pt>
                <c:pt idx="65">
                  <c:v>0.727658597219998</c:v>
                </c:pt>
                <c:pt idx="66">
                  <c:v>0.735834620747508</c:v>
                </c:pt>
                <c:pt idx="67">
                  <c:v>0.743980970646419</c:v>
                </c:pt>
                <c:pt idx="68">
                  <c:v>0.752098410708616</c:v>
                </c:pt>
                <c:pt idx="69">
                  <c:v>0.760187675610575</c:v>
                </c:pt>
                <c:pt idx="70">
                  <c:v>0.768249472374639</c:v>
                </c:pt>
                <c:pt idx="71">
                  <c:v>0.776284481739752</c:v>
                </c:pt>
                <c:pt idx="72">
                  <c:v>0.784293359448298</c:v>
                </c:pt>
                <c:pt idx="73">
                  <c:v>0.792276737455147</c:v>
                </c:pt>
                <c:pt idx="74">
                  <c:v>0.80023522506446</c:v>
                </c:pt>
                <c:pt idx="75">
                  <c:v>0.8081694099994</c:v>
                </c:pt>
                <c:pt idx="76">
                  <c:v>0.816079859409416</c:v>
                </c:pt>
                <c:pt idx="77">
                  <c:v>0.823967120819449</c:v>
                </c:pt>
                <c:pt idx="78">
                  <c:v>0.831831723025012</c:v>
                </c:pt>
                <c:pt idx="79">
                  <c:v>0.839674176936815</c:v>
                </c:pt>
                <c:pt idx="80">
                  <c:v>0.847494976378313</c:v>
                </c:pt>
                <c:pt idx="81">
                  <c:v>0.85529459883928</c:v>
                </c:pt>
                <c:pt idx="82">
                  <c:v>0.863073506188298</c:v>
                </c:pt>
                <c:pt idx="83">
                  <c:v>0.870832145346814</c:v>
                </c:pt>
                <c:pt idx="84">
                  <c:v>0.87857094892723</c:v>
                </c:pt>
                <c:pt idx="85">
                  <c:v>0.886290335837298</c:v>
                </c:pt>
                <c:pt idx="86">
                  <c:v>0.893990711852939</c:v>
                </c:pt>
                <c:pt idx="87">
                  <c:v>0.901672470161446</c:v>
                </c:pt>
                <c:pt idx="88">
                  <c:v>0.909335991876882</c:v>
                </c:pt>
                <c:pt idx="89">
                  <c:v>0.916981646529374</c:v>
                </c:pt>
                <c:pt idx="90">
                  <c:v>0.924609792529862</c:v>
                </c:pt>
                <c:pt idx="91">
                  <c:v>0.93222077761178</c:v>
                </c:pt>
                <c:pt idx="92">
                  <c:v>0.939814939251013</c:v>
                </c:pt>
                <c:pt idx="93">
                  <c:v>0.947392605065414</c:v>
                </c:pt>
                <c:pt idx="94">
                  <c:v>0.954954093195056</c:v>
                </c:pt>
                <c:pt idx="95">
                  <c:v>0.962499712664325</c:v>
                </c:pt>
                <c:pt idx="96">
                  <c:v>0.970029763726884</c:v>
                </c:pt>
                <c:pt idx="97">
                  <c:v>0.977544538194473</c:v>
                </c:pt>
                <c:pt idx="98">
                  <c:v>0.98504431975044</c:v>
                </c:pt>
                <c:pt idx="99">
                  <c:v>0.992529384248858</c:v>
                </c:pt>
                <c:pt idx="100">
                  <c:v>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  <c:max val="1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output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input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drawing1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1</xdr:col>
      <xdr:colOff>0</xdr:colOff>
      <xdr:row>5</xdr:row>
      <xdr:rowOff>0</xdr:rowOff>
    </xdr:from>
    <xdr:ext cx="5200650" cy="9639300"/>
    <xdr:graphicFrame macro="">
      <xdr:nvGraphicFramePr>
        <xdr:cNvPr id="1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2c67b8969846442c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124e7af2794ab1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/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Throttle curves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车型 / ECU</x:v>
      </x:c>
      <x:c r="C4" s="5" t="str">
        <x:v>Rally2</x:v>
      </x:c>
      <x:c r="D4" s="5"/>
      <x:c r="E4" s="5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</x:sheetData>
  <x:mergeCells>
    <x:mergeCell ref="B2:N2"/>
    <x:mergeCell ref="C4:E4"/>
  </x:mergeCells>
  <x:dataValidations count="1">
    <x:dataValidation type="list" sqref="C4">
      <x:formula1>'Parameters'!$B$7:$B$11</x:formula1>
    </x:dataValidation>
  </x:dataValidations>
  <x:pageMargins left="0.7" right="0.7" top="0.75" bottom="0.75" header="0.3" footer="0.3"/>
  <x:drawing xmlns:r="http://schemas.openxmlformats.org/officeDocument/2006/relationships" r:id="R52124e7af2794ab1"/>
</x:worksheet>
</file>

<file path=xl/worksheets/sheet2.xml><?xml version="1.0" encoding="utf-8"?>
<x:worksheet xmlns:x="http://schemas.openxmlformats.org/spreadsheetml/2006/main">
  <x:sheetPr>
    <x:tabColor rgb="FFC49A32"/>
  </x:sheetPr>
  <x:sheetViews>
    <x:sheetView showGridLines="0" workbookViewId="0"/>
  </x:sheetViews>
  <x:sheetFormatPr defaultRowHeight="15"/>
  <x:cols>
    <x:col min="1" max="1" width="2.5" hidden="0" customWidth="1"/>
    <x:col min="2" max="2" width="23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3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3" customHeight="1">
      <x:c r="A2" s="2"/>
      <x:c r="B2" s="3" t="str">
        <x:v>Astral · Throttle parameters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3" customHeight="1">
      <x:c r="A3" s="2"/>
      <x:c r="B3" s="6" t="str">
        <x:v>黄色单元格为各 ECU 独立的 a / k；初始值与当前 JBeam 一致。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3" customHeight="1">
      <x:c r="A5" s="2"/>
      <x:c r="B5" s="2"/>
      <x:c r="C5" s="9" t="str">
        <x:v>1 · Progressive</x:v>
      </x:c>
      <x:c r="D5" s="9"/>
      <x:c r="E5" s="9" t="str">
        <x:v>2 · Subtle Linear</x:v>
      </x:c>
      <x:c r="F5" s="9"/>
      <x:c r="G5" s="9" t="str">
        <x:v>3 · Aggressive</x:v>
      </x:c>
      <x:c r="H5" s="9"/>
      <x:c r="I5" s="2"/>
      <x:c r="J5" s="2"/>
      <x:c r="K5" s="2"/>
      <x:c r="L5" s="2"/>
      <x:c r="M5" s="2"/>
      <x:c r="N5" s="2"/>
    </x:row>
    <x:row r="6" ht="23" customHeight="1">
      <x:c r="A6" s="2"/>
      <x:c r="B6" s="9" t="str">
        <x:v>车型 / ECU</x:v>
      </x:c>
      <x:c r="C6" s="9" t="str">
        <x:v>a</x:v>
      </x:c>
      <x:c r="D6" s="9" t="str">
        <x:v>k</x:v>
      </x:c>
      <x:c r="E6" s="9" t="str">
        <x:v>a</x:v>
      </x:c>
      <x:c r="F6" s="9" t="str">
        <x:v>k</x:v>
      </x:c>
      <x:c r="G6" s="9" t="str">
        <x:v>a</x:v>
      </x:c>
      <x:c r="H6" s="9" t="str">
        <x:v>k</x:v>
      </x:c>
      <x:c r="I6" s="2"/>
      <x:c r="J6" s="8" t="str">
        <x:v>ECU part</x:v>
      </x:c>
      <x:c r="K6" s="8"/>
      <x:c r="L6" s="8"/>
      <x:c r="M6" s="8"/>
      <x:c r="N6" s="8"/>
    </x:row>
    <x:row r="7" ht="23" customHeight="1">
      <x:c r="A7" s="2"/>
      <x:c r="B7" s="2" t="str">
        <x:v>Rally2</x:v>
      </x:c>
      <x:c r="C7" s="10" t="n">
        <x:v>0.15</x:v>
      </x:c>
      <x:c r="D7" s="10" t="n">
        <x:v>-0.88</x:v>
      </x:c>
      <x:c r="E7" s="10" t="n">
        <x:v>0.69</x:v>
      </x:c>
      <x:c r="F7" s="10" t="n">
        <x:v>-0.28</x:v>
      </x:c>
      <x:c r="G7" s="10" t="n">
        <x:v>0.59</x:v>
      </x:c>
      <x:c r="H7" s="10" t="n">
        <x:v>9.8</x:v>
      </x:c>
      <x:c r="I7" s="2"/>
      <x:c r="J7" s="11" t="str">
        <x:v>Astral_enginemanagement_rally2</x:v>
      </x:c>
      <x:c r="K7" s="11"/>
      <x:c r="L7" s="11"/>
      <x:c r="M7" s="11"/>
      <x:c r="N7" s="11"/>
    </x:row>
    <x:row r="8" ht="23" customHeight="1">
      <x:c r="A8" s="2"/>
      <x:c r="B8" s="2" t="str">
        <x:v>WRC17 / Rally1</x:v>
      </x:c>
      <x:c r="C8" s="10" t="n">
        <x:v>0.15</x:v>
      </x:c>
      <x:c r="D8" s="10" t="n">
        <x:v>-0.88</x:v>
      </x:c>
      <x:c r="E8" s="10" t="n">
        <x:v>0.69</x:v>
      </x:c>
      <x:c r="F8" s="10" t="n">
        <x:v>-0.28</x:v>
      </x:c>
      <x:c r="G8" s="10" t="n">
        <x:v>0.59</x:v>
      </x:c>
      <x:c r="H8" s="10" t="n">
        <x:v>9.8</x:v>
      </x:c>
      <x:c r="I8" s="2"/>
      <x:c r="J8" s="11" t="str">
        <x:v>Astral_enginemanagement_wrc17</x:v>
      </x:c>
      <x:c r="K8" s="11"/>
      <x:c r="L8" s="11"/>
      <x:c r="M8" s="11"/>
      <x:c r="N8" s="11"/>
    </x:row>
    <x:row r="9" ht="23" customHeight="1">
      <x:c r="A9" s="2"/>
      <x:c r="B9" s="2" t="str">
        <x:v>WRC (11–16)</x:v>
      </x:c>
      <x:c r="C9" s="10" t="n">
        <x:v>0.15</x:v>
      </x:c>
      <x:c r="D9" s="10" t="n">
        <x:v>-0.88</x:v>
      </x:c>
      <x:c r="E9" s="10" t="n">
        <x:v>0.69</x:v>
      </x:c>
      <x:c r="F9" s="10" t="n">
        <x:v>-0.28</x:v>
      </x:c>
      <x:c r="G9" s="10" t="n">
        <x:v>0.59</x:v>
      </x:c>
      <x:c r="H9" s="10" t="n">
        <x:v>9.8</x:v>
      </x:c>
      <x:c r="I9" s="2"/>
      <x:c r="J9" s="11" t="str">
        <x:v>Astral_enginemanagement_tribute</x:v>
      </x:c>
      <x:c r="K9" s="11"/>
      <x:c r="L9" s="11"/>
      <x:c r="M9" s="11"/>
      <x:c r="N9" s="11"/>
    </x:row>
    <x:row r="10" ht="23" customHeight="1">
      <x:c r="A10" s="2"/>
      <x:c r="B10" s="2" t="str">
        <x:v>RX1</x:v>
      </x:c>
      <x:c r="C10" s="10" t="n">
        <x:v>0.15</x:v>
      </x:c>
      <x:c r="D10" s="10" t="n">
        <x:v>-0.88</x:v>
      </x:c>
      <x:c r="E10" s="10" t="n">
        <x:v>0.69</x:v>
      </x:c>
      <x:c r="F10" s="10" t="n">
        <x:v>-0.28</x:v>
      </x:c>
      <x:c r="G10" s="10" t="n">
        <x:v>0.59</x:v>
      </x:c>
      <x:c r="H10" s="10" t="n">
        <x:v>9.8</x:v>
      </x:c>
      <x:c r="I10" s="2"/>
      <x:c r="J10" s="11" t="str">
        <x:v>Astral_enginemanagement_rx</x:v>
      </x:c>
      <x:c r="K10" s="11"/>
      <x:c r="L10" s="11"/>
      <x:c r="M10" s="11"/>
      <x:c r="N10" s="11"/>
    </x:row>
    <x:row r="11" ht="23" customHeight="1">
      <x:c r="A11" s="2"/>
      <x:c r="B11" s="2" t="str">
        <x:v>RX3</x:v>
      </x:c>
      <x:c r="C11" s="10" t="n">
        <x:v>0.15</x:v>
      </x:c>
      <x:c r="D11" s="10" t="n">
        <x:v>-0.88</x:v>
      </x:c>
      <x:c r="E11" s="10" t="n">
        <x:v>0.69</x:v>
      </x:c>
      <x:c r="F11" s="10" t="n">
        <x:v>-0.28</x:v>
      </x:c>
      <x:c r="G11" s="10" t="n">
        <x:v>0.59</x:v>
      </x:c>
      <x:c r="H11" s="10" t="n">
        <x:v>9.8</x:v>
      </x:c>
      <x:c r="I11" s="2"/>
      <x:c r="J11" s="11" t="str">
        <x:v>Astral_enginemanagement_rx3</x:v>
      </x:c>
      <x:c r="K11" s="11"/>
      <x:c r="L11" s="11"/>
      <x:c r="M11" s="11"/>
      <x:c r="N11" s="11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3" customHeight="1">
      <x:c r="A14" s="2"/>
      <x:c r="B14" s="11" t="str">
        <x:v>y = (1 − a) × ln(1 + k × x) / ln(1 + k) + a × x；k = 0 时，y = x。</x:v>
      </x:c>
      <x:c r="C14" s="11"/>
      <x:c r="D14" s="11"/>
      <x:c r="E14" s="11"/>
      <x:c r="F14" s="11"/>
      <x:c r="G14" s="11"/>
      <x:c r="H14" s="11"/>
      <x:c r="I14" s="11"/>
      <x:c r="J14" s="11"/>
      <x:c r="K14" s="11"/>
      <x:c r="L14" s="11"/>
      <x:c r="M14" s="11"/>
      <x:c r="N14" s="11"/>
    </x:row>
    <x:row r="15" ht="23" customHeight="1">
      <x:c r="A15" s="2"/>
      <x:c r="B15" s="11" t="str">
        <x:v>x 为油门输入，y 为映射输出，均为 0～1；图中用百分比显示。</x:v>
      </x:c>
      <x:c r="C15" s="11"/>
      <x:c r="D15" s="11"/>
      <x:c r="E15" s="11"/>
      <x:c r="F15" s="11"/>
      <x:c r="G15" s="11"/>
      <x:c r="H15" s="11"/>
      <x:c r="I15" s="11"/>
      <x:c r="J15" s="11"/>
      <x:c r="K15" s="11"/>
      <x:c r="L15" s="11"/>
      <x:c r="M15" s="11"/>
      <x:c r="N15" s="11"/>
    </x:row>
    <x:row r="16" ht="23" customHeight="1">
      <x:c r="A16" s="2"/>
      <x:c r="B16" s="11" t="str">
        <x:v>a：线性部分权重（0～1）；k：对数曲线系数（大于 −1）。</x:v>
      </x:c>
      <x:c r="C16" s="11"/>
      <x:c r="D16" s="11"/>
      <x:c r="E16" s="11"/>
      <x:c r="F16" s="11"/>
      <x:c r="G16" s="11"/>
      <x:c r="H16" s="11"/>
      <x:c r="I16" s="11"/>
      <x:c r="J16" s="11"/>
      <x:c r="K16" s="11"/>
      <x:c r="L16" s="11"/>
      <x:c r="M16" s="11"/>
      <x:c r="N16" s="11"/>
    </x:row>
    <x:row r="17" ht="23" customHeight="1">
      <x:c r="A17" s="2"/>
      <x:c r="B17" s="11" t="str">
        <x:v>WRC17 与 Rally1 当前共用同一个 ECU，调整这一行会对应这套共用标定。</x:v>
      </x:c>
      <x:c r="C17" s="11"/>
      <x:c r="D17" s="11"/>
      <x:c r="E17" s="11"/>
      <x:c r="F17" s="11"/>
      <x:c r="G17" s="11"/>
      <x:c r="H17" s="11"/>
      <x:c r="I17" s="11"/>
      <x:c r="J17" s="11"/>
      <x:c r="K17" s="11"/>
      <x:c r="L17" s="11"/>
      <x:c r="M17" s="11"/>
      <x:c r="N17" s="11"/>
    </x:row>
    <x:row r="18" ht="23" customHeight="1">
      <x:c r="A18" s="2"/>
      <x:c r="B18" s="12" t="str">
        <x:v>本表是参数设计表；Excel 参数不会自动写回 JBeam。</x:v>
      </x:c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</x:row>
    <x:row r="19" ht="23" customHeight="1">
      <x:c r="A19" s="2"/>
      <x:c r="B19" s="12" t="str">
        <x:v>数据来源：Astral_ecu.jbeam 的 throttleMap.maps；计算公式：throttleMap.lua。</x:v>
      </x:c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</x:row>
    <x:row r="20" ht="23" customHeight="1">
      <x:c r="A20" s="2"/>
      <x:c r="B20" s="12" t="str">
        <x:v>绘图点由公式自动计算，步长 1%；曲线平滑已开启。</x:v>
      </x:c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</x:sheetData>
  <x:mergeCells>
    <x:mergeCell ref="B2:N2"/>
    <x:mergeCell ref="B3:N3"/>
    <x:mergeCell ref="C5:D5"/>
    <x:mergeCell ref="E5:F5"/>
    <x:mergeCell ref="G5:H5"/>
    <x:mergeCell ref="J6:N6"/>
    <x:mergeCell ref="J7:N7"/>
    <x:mergeCell ref="J8:N8"/>
    <x:mergeCell ref="J9:N9"/>
    <x:mergeCell ref="J10:N10"/>
    <x:mergeCell ref="J11:N11"/>
    <x:mergeCell ref="B14:N14"/>
    <x:mergeCell ref="B15:N15"/>
    <x:mergeCell ref="B16:N16"/>
    <x:mergeCell ref="B17:N17"/>
    <x:mergeCell ref="B18:N18"/>
    <x:mergeCell ref="B19:N19"/>
    <x:mergeCell ref="B20:N20"/>
  </x:mergeCells>
  <x:dataValidations count="6">
    <x:dataValidation type="decimal" operator="between" sqref="C7:C11">
      <x:formula1>0</x:formula1>
      <x:formula2>1</x:formula2>
    </x:dataValidation>
    <x:dataValidation type="decimal" operator="between" sqref="E7:E11">
      <x:formula1>0</x:formula1>
      <x:formula2>1</x:formula2>
    </x:dataValidation>
    <x:dataValidation type="decimal" operator="between" sqref="G7:G11">
      <x:formula1>0</x:formula1>
      <x:formula2>1</x:formula2>
    </x:dataValidation>
    <x:dataValidation type="decimal" operator="greaterThan" sqref="D7:D11">
      <x:formula1>-1</x:formula1>
    </x:dataValidation>
    <x:dataValidation type="decimal" operator="greaterThan" sqref="F7:F11">
      <x:formula1>-1</x:formula1>
    </x:dataValidation>
    <x:dataValidation type="decimal" operator="greaterThan" sqref="H7:H11">
      <x:formula1>-1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93A0A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" hidden="0" customWidth="1"/>
    <x:col min="7" max="7" width="20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3" customHeight="1">
      <x:c r="A2" s="2"/>
      <x:c r="B2" s="3" t="str">
        <x:v>Astral · Throttle samples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3" customHeight="1">
      <x:c r="A4" s="2"/>
      <x:c r="B4" s="2"/>
      <x:c r="C4" s="2"/>
      <x:c r="D4" s="2"/>
      <x:c r="E4" s="2"/>
      <x:c r="F4" s="2"/>
      <x:c r="G4" s="2" t="str">
        <x:v>所选 ECU</x:v>
      </x:c>
      <x:c r="H4" s="2" t="str">
        <x:f>'Throttle Curves'!C4</x:f>
        <x:v>Rally2</x:v>
      </x:c>
      <x:c r="I4" s="2"/>
      <x:c r="J4" s="2"/>
      <x:c r="K4" s="2"/>
    </x:row>
    <x:row r="5" ht="23" customHeight="1">
      <x:c r="A5" s="2"/>
      <x:c r="B5" s="8" t="str">
        <x:v>Throttle input</x:v>
      </x:c>
      <x:c r="C5" s="8" t="str">
        <x:v>1 · Progressive</x:v>
      </x:c>
      <x:c r="D5" s="8" t="str">
        <x:v>2 · Subtle Linear</x:v>
      </x:c>
      <x:c r="E5" s="8" t="str">
        <x:v>3 · Aggressive</x:v>
      </x:c>
      <x:c r="F5" s="2"/>
      <x:c r="G5" s="2"/>
      <x:c r="H5" s="2"/>
      <x:c r="I5" s="2"/>
      <x:c r="J5" s="2"/>
      <x:c r="K5" s="2"/>
    </x:row>
    <x:row r="6" ht="23" customHeight="1">
      <x:c r="A6" s="2"/>
      <x:c r="B6" s="13" t="n">
        <x:v>0</x:v>
      </x:c>
      <x:c r="C6" s="13" t="n">
        <x:f>IF($I$9=0,$B6,(1-$H$9)*LN(1+$I$9*$B6)/LN(1+$I$9)+$H$9*$B6)</x:f>
        <x:v>0</x:v>
      </x:c>
      <x:c r="D6" s="13" t="n">
        <x:f>IF($I$10=0,$B6,(1-$H$10)*LN(1+$I$10*$B6)/LN(1+$I$10)+$H$10*$B6)</x:f>
        <x:v>0</x:v>
      </x:c>
      <x:c r="E6" s="13" t="n">
        <x:f>IF($I$11=0,$B6,(1-$H$11)*LN(1+$I$11*$B6)/LN(1+$I$11)+$H$11*$B6)</x:f>
        <x:v>0</x:v>
      </x:c>
      <x:c r="F6" s="2"/>
      <x:c r="G6" s="2" t="str">
        <x:v>参数行</x:v>
      </x:c>
      <x:c r="H6" s="2" t="n">
        <x:f>MATCH('Throttle Curves'!C4,Parameters!B7:B11,0)</x:f>
        <x:v>1</x:v>
      </x:c>
      <x:c r="I6" s="2"/>
      <x:c r="J6" s="2"/>
      <x:c r="K6" s="2"/>
    </x:row>
    <x:row r="7" ht="23" customHeight="1">
      <x:c r="A7" s="2"/>
      <x:c r="B7" s="13" t="n">
        <x:v>0.01</x:v>
      </x:c>
      <x:c r="C7" s="13" t="n">
        <x:f>IF($I$9=0,$B7,(1-$H$9)*LN(1+$I$9*$B7)/LN(1+$I$9)+$H$9*$B7)</x:f>
        <x:v>0.005043477609669516</x:v>
      </x:c>
      <x:c r="D7" s="13" t="n">
        <x:f>IF($I$10=0,$B7,(1-$H$10)*LN(1+$I$10*$B7)/LN(1+$I$10)+$H$10*$B7)</x:f>
        <x:v>0.009545986946705328</x:v>
      </x:c>
      <x:c r="E7" s="13" t="n">
        <x:f>IF($I$11=0,$B7,(1-$H$11)*LN(1+$I$11*$B7)/LN(1+$I$11)+$H$11*$B7)</x:f>
        <x:v>0.022008551171175596</x:v>
      </x:c>
      <x:c r="F7" s="2"/>
      <x:c r="G7" s="2"/>
      <x:c r="H7" s="2"/>
      <x:c r="I7" s="2"/>
      <x:c r="J7" s="2"/>
      <x:c r="K7" s="2"/>
    </x:row>
    <x:row r="8" ht="23" customHeight="1">
      <x:c r="A8" s="2"/>
      <x:c r="B8" s="13" t="n">
        <x:v>0.02</x:v>
      </x:c>
      <x:c r="C8" s="13" t="n">
        <x:f>IF($I$9=0,$B8,(1-$H$9)*LN(1+$I$9*$B8)/LN(1+$I$9)+$H$9*$B8)</x:f>
        <x:v>0.010118555355585654</x:v>
      </x:c>
      <x:c r="D8" s="13" t="n">
        <x:f>IF($I$10=0,$B8,(1-$H$10)*LN(1+$I$10*$B8)/LN(1+$I$10)+$H$10*$B8)</x:f>
        <x:v>0.019099413914699794</x:v>
      </x:c>
      <x:c r="E8" s="13" t="n">
        <x:f>IF($I$11=0,$B8,(1-$H$11)*LN(1+$I$11*$B8)/LN(1+$I$11)+$H$11*$B8)</x:f>
        <x:v>0.042639027541479024</x:v>
      </x:c>
      <x:c r="F8" s="2"/>
      <x:c r="G8" s="8" t="str">
        <x:v>档位</x:v>
      </x:c>
      <x:c r="H8" s="8" t="str">
        <x:v>a</x:v>
      </x:c>
      <x:c r="I8" s="8" t="str">
        <x:v>k</x:v>
      </x:c>
      <x:c r="J8" s="2"/>
      <x:c r="K8" s="2"/>
    </x:row>
    <x:row r="9" ht="23" customHeight="1">
      <x:c r="A9" s="2"/>
      <x:c r="B9" s="13" t="n">
        <x:v>0.03</x:v>
      </x:c>
      <x:c r="C9" s="13" t="n">
        <x:f>IF($I$9=0,$B9,(1-$H$9)*LN(1+$I$9*$B9)/LN(1+$I$9)+$H$9*$B9)</x:f>
        <x:v>0.015225801922365622</x:v>
      </x:c>
      <x:c r="D9" s="13" t="n">
        <x:f>IF($I$10=0,$B9,(1-$H$10)*LN(1+$I$10*$B9)/LN(1+$I$10)+$H$10*$B9)</x:f>
        <x:v>0.028660322861890443</x:v>
      </x:c>
      <x:c r="E9" s="13" t="n">
        <x:f>IF($I$11=0,$B9,(1-$H$11)*LN(1+$I$11*$B9)/LN(1+$I$11)+$H$11*$B9)</x:f>
        <x:v>0.06210874622121941</x:v>
      </x:c>
      <x:c r="F9" s="2"/>
      <x:c r="G9" s="2" t="n">
        <x:v>1</x:v>
      </x:c>
      <x:c r="H9" s="14" t="n">
        <x:f>INDEX(Parameters!$C$7:$H$11,$H$6,1)</x:f>
        <x:v>0.15</x:v>
      </x:c>
      <x:c r="I9" s="14" t="n">
        <x:f>INDEX(Parameters!$C$7:$H$11,$H$6,2)</x:f>
        <x:v>-0.88</x:v>
      </x:c>
      <x:c r="J9" s="2"/>
      <x:c r="K9" s="2"/>
    </x:row>
    <x:row r="10" ht="23" customHeight="1">
      <x:c r="A10" s="2"/>
      <x:c r="B10" s="13" t="n">
        <x:v>0.04</x:v>
      </x:c>
      <x:c r="C10" s="13" t="n">
        <x:f>IF($I$9=0,$B10,(1-$H$9)*LN(1+$I$9*$B10)/LN(1+$I$9)+$H$9*$B10)</x:f>
        <x:v>0.020365801485424023</x:v>
      </x:c>
      <x:c r="D10" s="13" t="n">
        <x:f>IF($I$10=0,$B10,(1-$H$10)*LN(1+$I$10*$B10)/LN(1+$I$10)+$H$10*$B10)</x:f>
        <x:v>0.03822875610212017</x:v>
      </x:c>
      <x:c r="E10" s="13" t="n">
        <x:f>IF($I$11=0,$B10,(1-$H$11)*LN(1+$I$11*$B10)/LN(1+$I$11)+$H$11*$B10)</x:f>
        <x:v>0.0805873550417977</x:v>
      </x:c>
      <x:c r="F10" s="2"/>
      <x:c r="G10" s="2" t="n">
        <x:v>2</x:v>
      </x:c>
      <x:c r="H10" s="14" t="n">
        <x:f>INDEX(Parameters!$C$7:$H$11,$H$6,3)</x:f>
        <x:v>0.69</x:v>
      </x:c>
      <x:c r="I10" s="14" t="n">
        <x:f>INDEX(Parameters!$C$7:$H$11,$H$6,4)</x:f>
        <x:v>-0.28</x:v>
      </x:c>
      <x:c r="J10" s="2"/>
      <x:c r="K10" s="2"/>
    </x:row>
    <x:row r="11" ht="23" customHeight="1">
      <x:c r="A11" s="2"/>
      <x:c r="B11" s="13" t="n">
        <x:v>0.05</x:v>
      </x:c>
      <x:c r="C11" s="13" t="n">
        <x:f>IF($I$9=0,$B11,(1-$H$9)*LN(1+$I$9*$B11)/LN(1+$I$9)+$H$9*$B11)</x:f>
        <x:v>0.025539154278751867</x:v>
      </x:c>
      <x:c r="D11" s="13" t="n">
        <x:f>IF($I$10=0,$B11,(1-$H$10)*LN(1+$I$10*$B11)/LN(1+$I$10)+$H$10*$B11)</x:f>
        <x:v>0.04780475630920443</x:v>
      </x:c>
      <x:c r="E11" s="13" t="n">
        <x:f>IF($I$11=0,$B11,(1-$H$11)*LN(1+$I$11*$B11)/LN(1+$I$11)+$H$11*$B11)</x:f>
        <x:v>0.09820982950800675</x:v>
      </x:c>
      <x:c r="F11" s="2"/>
      <x:c r="G11" s="2" t="n">
        <x:v>3</x:v>
      </x:c>
      <x:c r="H11" s="14" t="n">
        <x:f>INDEX(Parameters!$C$7:$H$11,$H$6,5)</x:f>
        <x:v>0.59</x:v>
      </x:c>
      <x:c r="I11" s="14" t="n">
        <x:f>INDEX(Parameters!$C$7:$H$11,$H$6,6)</x:f>
        <x:v>9.8</x:v>
      </x:c>
      <x:c r="J11" s="2"/>
      <x:c r="K11" s="2"/>
    </x:row>
    <x:row r="12" ht="23" customHeight="1">
      <x:c r="A12" s="2"/>
      <x:c r="B12" s="13" t="n">
        <x:v>0.06</x:v>
      </x:c>
      <x:c r="C12" s="13" t="n">
        <x:f>IF($I$9=0,$B12,(1-$H$9)*LN(1+$I$9*$B12)/LN(1+$I$9)+$H$9*$B12)</x:f>
        <x:v>0.03074647718894937</x:v>
      </x:c>
      <x:c r="D12" s="13" t="n">
        <x:f>IF($I$10=0,$B12,(1-$H$10)*LN(1+$I$10*$B12)/LN(1+$I$10)+$H$10*$B12)</x:f>
        <x:v>0.05738836652102643</x:v>
      </x:c>
      <x:c r="E12" s="13" t="n">
        <x:f>IF($I$11=0,$B12,(1-$H$11)*LN(1+$I$11*$B12)/LN(1+$I$11)+$H$11*$B12)</x:f>
        <x:v>0.11508532151512138</x:v>
      </x:c>
      <x:c r="F12" s="2"/>
      <x:c r="G12" s="2"/>
      <x:c r="H12" s="2"/>
      <x:c r="I12" s="2"/>
      <x:c r="J12" s="2"/>
      <x:c r="K12" s="2"/>
    </x:row>
    <x:row r="13" ht="23" customHeight="1">
      <x:c r="A13" s="2"/>
      <x:c r="B13" s="13" t="n">
        <x:v>0.07</x:v>
      </x:c>
      <x:c r="C13" s="13" t="n">
        <x:f>IF($I$9=0,$B13,(1-$H$9)*LN(1+$I$9*$B13)/LN(1+$I$9)+$H$9*$B13)</x:f>
        <x:v>0.03598840437698337</x:v>
      </x:c>
      <x:c r="D13" s="13" t="n">
        <x:f>IF($I$10=0,$B13,(1-$H$10)*LN(1+$I$10*$B13)/LN(1+$I$10)+$H$10*$B13)</x:f>
        <x:v>0.06697963014369013</x:v>
      </x:c>
      <x:c r="E13" s="13" t="n">
        <x:f>IF($I$11=0,$B13,(1-$H$11)*LN(1+$I$11*$B13)/LN(1+$I$11)+$H$11*$B13)</x:f>
        <x:v>0.13130335373029</x:v>
      </x:c>
      <x:c r="F13" s="2"/>
      <x:c r="G13" s="2"/>
      <x:c r="H13" s="2"/>
      <x:c r="I13" s="2"/>
      <x:c r="J13" s="2"/>
      <x:c r="K13" s="2"/>
    </x:row>
    <x:row r="14" ht="23" customHeight="1">
      <x:c r="A14" s="2"/>
      <x:c r="B14" s="13" t="n">
        <x:v>0.08</x:v>
      </x:c>
      <x:c r="C14" s="13" t="n">
        <x:f>IF($I$9=0,$B14,(1-$H$9)*LN(1+$I$9*$B14)/LN(1+$I$9)+$H$9*$B14)</x:f>
        <x:v>0.041265587929236056</x:v>
      </x:c>
      <x:c r="D14" s="13" t="n">
        <x:f>IF($I$10=0,$B14,(1-$H$10)*LN(1+$I$10*$B14)/LN(1+$I$10)+$H$10*$B14)</x:f>
        <x:v>0.07657859095573309</x:v>
      </x:c>
      <x:c r="E14" s="13" t="n">
        <x:f>IF($I$11=0,$B14,(1-$H$11)*LN(1+$I$11*$B14)/LN(1+$I$11)+$H$11*$B14)</x:f>
        <x:v>0.14693826125941456</x:v>
      </x:c>
      <x:c r="F14" s="2"/>
      <x:c r="G14" s="2"/>
      <x:c r="H14" s="2"/>
      <x:c r="I14" s="2"/>
      <x:c r="J14" s="2"/>
      <x:c r="K14" s="2"/>
    </x:row>
    <x:row r="15" ht="23" customHeight="1">
      <x:c r="A15" s="2"/>
      <x:c r="B15" s="13" t="n">
        <x:v>0.09</x:v>
      </x:c>
      <x:c r="C15" s="13" t="n">
        <x:f>IF($I$9=0,$B15,(1-$H$9)*LN(1+$I$9*$B15)/LN(1+$I$9)+$H$9*$B15)</x:f>
        <x:v>0.04657869853951765</x:v>
      </x:c>
      <x:c r="D15" s="13" t="n">
        <x:f>IF($I$10=0,$B15,(1-$H$10)*LN(1+$I$10*$B15)/LN(1+$I$10)+$H$10*$B15)</x:f>
        <x:v>0.08618529311239895</x:v>
      </x:c>
      <x:c r="E15" s="13" t="n">
        <x:f>IF($I$11=0,$B15,(1-$H$11)*LN(1+$I$11*$B15)/LN(1+$I$11)+$H$11*$B15)</x:f>
        <x:v>0.16205244398011082</x:v>
      </x:c>
      <x:c r="F15" s="2"/>
      <x:c r="G15" s="2"/>
      <x:c r="H15" s="2"/>
      <x:c r="I15" s="2"/>
      <x:c r="J15" s="2"/>
      <x:c r="K15" s="2"/>
    </x:row>
    <x:row r="16" ht="23" customHeight="1">
      <x:c r="A16" s="2"/>
      <x:c r="B16" s="13" t="n">
        <x:v>0.1</x:v>
      </x:c>
      <x:c r="C16" s="13" t="n">
        <x:f>IF($I$9=0,$B16,(1-$H$9)*LN(1+$I$9*$B16)/LN(1+$I$9)+$H$9*$B16)</x:f>
        <x:v>0.05192842622382661</x:v>
      </x:c>
      <x:c r="D16" s="13" t="n">
        <x:f>IF($I$10=0,$B16,(1-$H$10)*LN(1+$I$10*$B16)/LN(1+$I$10)+$H$10*$B16)</x:f>
        <x:v>0.0957997811499722</x:v>
      </x:c>
      <x:c r="E16" s="13" t="n">
        <x:f>IF($I$11=0,$B16,(1-$H$11)*LN(1+$I$11*$B16)/LN(1+$I$11)+$H$11*$B16)</x:f>
        <x:v>0.1766987923505923</x:v>
      </x:c>
      <x:c r="F16" s="2"/>
      <x:c r="G16" s="2"/>
      <x:c r="H16" s="2"/>
      <x:c r="I16" s="2"/>
      <x:c r="J16" s="2"/>
      <x:c r="K16" s="2"/>
    </x:row>
    <x:row r="17" ht="23" customHeight="1">
      <x:c r="A17" s="2"/>
      <x:c r="B17" s="13" t="n">
        <x:v>0.11</x:v>
      </x:c>
      <x:c r="C17" s="13" t="n">
        <x:f>IF($I$9=0,$B17,(1-$H$9)*LN(1+$I$9*$B17)/LN(1+$I$9)+$H$9*$B17)</x:f>
        <x:v>0.057315481069762295</x:v>
      </x:c>
      <x:c r="D17" s="13" t="n">
        <x:f>IF($I$10=0,$B17,(1-$H$10)*LN(1+$I$10*$B17)/LN(1+$I$10)+$H$10*$B17)</x:f>
        <x:v>0.105422099990175</x:v>
      </x:c>
      <x:c r="E17" s="13" t="n">
        <x:f>IF($I$11=0,$B17,(1-$H$11)*LN(1+$I$11*$B17)/LN(1+$I$11)+$H$11*$B17)</x:f>
        <x:v>0.19092252660556308</x:v>
      </x:c>
      <x:c r="F17" s="2"/>
      <x:c r="G17" s="2"/>
      <x:c r="H17" s="2"/>
      <x:c r="I17" s="2"/>
      <x:c r="J17" s="2"/>
      <x:c r="K17" s="2"/>
    </x:row>
    <x:row r="18" ht="23" customHeight="1">
      <x:c r="A18" s="2"/>
      <x:c r="B18" s="13" t="n">
        <x:v>0.12</x:v>
      </x:c>
      <x:c r="C18" s="13" t="n">
        <x:f>IF($I$9=0,$B18,(1-$H$9)*LN(1+$I$9*$B18)/LN(1+$I$9)+$H$9*$B18)</x:f>
        <x:v>0.06274059402262663</x:v>
      </x:c>
      <x:c r="D18" s="13" t="n">
        <x:f>IF($I$10=0,$B18,(1-$H$10)*LN(1+$I$10*$B18)/LN(1+$I$10)+$H$10*$B18)</x:f>
        <x:v>0.11505229494462763</x:v>
      </x:c>
      <x:c r="E18" s="13" t="n">
        <x:f>IF($I$11=0,$B18,(1-$H$11)*LN(1+$I$11*$B18)/LN(1+$I$11)+$H$11*$B18)</x:f>
        <x:v>0.20476261174147803</x:v>
      </x:c>
      <x:c r="F18" s="2"/>
      <x:c r="G18" s="2"/>
      <x:c r="H18" s="2"/>
      <x:c r="I18" s="2"/>
      <x:c r="J18" s="2"/>
      <x:c r="K18" s="2"/>
    </x:row>
    <x:row r="19" ht="23" customHeight="1">
      <x:c r="A19" s="2"/>
      <x:c r="B19" s="13" t="n">
        <x:v>0.13</x:v>
      </x:c>
      <x:c r="C19" s="13" t="n">
        <x:f>IF($I$9=0,$B19,(1-$H$9)*LN(1+$I$9*$B19)/LN(1+$I$9)+$H$9*$B19)</x:f>
        <x:v>0.06820451771039096</x:v>
      </x:c>
      <x:c r="D19" s="13" t="n">
        <x:f>IF($I$10=0,$B19,(1-$H$10)*LN(1+$I$10*$B19)/LN(1+$I$10)+$H$10*$B19)</x:f>
        <x:v>0.12469041171937424</x:v>
      </x:c>
      <x:c r="E19" s="13" t="n">
        <x:f>IF($I$11=0,$B19,(1-$H$11)*LN(1+$I$11*$B19)/LN(1+$I$11)+$H$11*$B19)</x:f>
        <x:v>0.21825286054487342</x:v>
      </x:c>
      <x:c r="F19" s="2"/>
      <x:c r="G19" s="2"/>
      <x:c r="H19" s="2"/>
      <x:c r="I19" s="2"/>
      <x:c r="J19" s="2"/>
      <x:c r="K19" s="2"/>
    </x:row>
    <x:row r="20" ht="23" customHeight="1">
      <x:c r="A20" s="2"/>
      <x:c r="B20" s="13" t="n">
        <x:v>0.14</x:v>
      </x:c>
      <x:c r="C20" s="13" t="n">
        <x:f>IF($I$9=0,$B20,(1-$H$9)*LN(1+$I$9*$B20)/LN(1+$I$9)+$H$9*$B20)</x:f>
        <x:v>0.07370802730985684</x:v>
      </x:c>
      <x:c r="D20" s="13" t="n">
        <x:f>IF($I$10=0,$B20,(1-$H$10)*LN(1+$I$10*$B20)/LN(1+$I$10)+$H$10*$B20)</x:f>
        <x:v>0.1343364964194732</x:v>
      </x:c>
      <x:c r="E20" s="13" t="n">
        <x:f>IF($I$11=0,$B20,(1-$H$11)*LN(1+$I$11*$B20)/LN(1+$I$11)+$H$11*$B20)</x:f>
        <x:v>0.23142280372134766</x:v>
      </x:c>
      <x:c r="F20" s="2"/>
      <x:c r="G20" s="2"/>
      <x:c r="H20" s="2"/>
      <x:c r="I20" s="2"/>
      <x:c r="J20" s="2"/>
      <x:c r="K20" s="2"/>
    </x:row>
    <x:row r="21" ht="23" customHeight="1">
      <x:c r="A21" s="2"/>
      <x:c r="B21" s="13" t="n">
        <x:v>0.15</x:v>
      </x:c>
      <x:c r="C21" s="13" t="n">
        <x:f>IF($I$9=0,$B21,(1-$H$9)*LN(1+$I$9*$B21)/LN(1+$I$9)+$H$9*$B21)</x:f>
        <x:v>0.07925192145650486</x:v>
      </x:c>
      <x:c r="D21" s="13" t="n">
        <x:f>IF($I$10=0,$B21,(1-$H$10)*LN(1+$I$10*$B21)/LN(1+$I$10)+$H$10*$B21)</x:f>
        <x:v>0.14399059555365568</x:v>
      </x:c>
      <x:c r="E21" s="13" t="n">
        <x:f>IF($I$11=0,$B21,(1-$H$11)*LN(1+$I$11*$B21)/LN(1+$I$11)+$H$11*$B21)</x:f>
        <x:v>0.24429838375265234</x:v>
      </x:c>
      <x:c r="F21" s="2"/>
      <x:c r="G21" s="2"/>
      <x:c r="H21" s="2"/>
      <x:c r="I21" s="2"/>
      <x:c r="J21" s="2"/>
      <x:c r="K21" s="2"/>
    </x:row>
    <x:row r="22" ht="23" customHeight="1">
      <x:c r="A22" s="2"/>
      <x:c r="B22" s="13" t="n">
        <x:v>0.16</x:v>
      </x:c>
      <x:c r="C22" s="13" t="n">
        <x:f>IF($I$9=0,$B22,(1-$H$9)*LN(1+$I$9*$B22)/LN(1+$I$9)+$H$9*$B22)</x:f>
        <x:v>0.0848370232007015</x:v>
      </x:c>
      <x:c r="D22" s="13" t="n">
        <x:f>IF($I$10=0,$B22,(1-$H$10)*LN(1+$I$10*$B22)/LN(1+$I$10)+$H$10*$B22)</x:f>
        <x:v>0.15365275603905176</x:v>
      </x:c>
      <x:c r="E22" s="13" t="n">
        <x:f>IF($I$11=0,$B22,(1-$H$11)*LN(1+$I$11*$B22)/LN(1+$I$11)+$H$11*$B22)</x:f>
        <x:v>0.25690251366978095</x:v>
      </x:c>
      <x:c r="F22" s="2"/>
      <x:c r="G22" s="2"/>
      <x:c r="H22" s="2"/>
      <x:c r="I22" s="2"/>
      <x:c r="J22" s="2"/>
      <x:c r="K22" s="2"/>
    </x:row>
    <x:row r="23" ht="23" customHeight="1">
      <x:c r="A23" s="2"/>
      <x:c r="B23" s="13" t="n">
        <x:v>0.17</x:v>
      </x:c>
      <x:c r="C23" s="13" t="n">
        <x:f>IF($I$9=0,$B23,(1-$H$9)*LN(1+$I$9*$B23)/LN(1+$I$9)+$H$9*$B23)</x:f>
        <x:v>0.09046418101312867</x:v>
      </x:c>
      <x:c r="D23" s="13" t="n">
        <x:f>IF($I$10=0,$B23,(1-$H$10)*LN(1+$I$10*$B23)/LN(1+$I$10)+$H$10*$B23)</x:f>
        <x:v>0.1633230252059865</x:v>
      </x:c>
      <x:c r="E23" s="13" t="n">
        <x:f>IF($I$11=0,$B23,(1-$H$11)*LN(1+$I$11*$B23)/LN(1+$I$11)+$H$11*$B23)</x:f>
        <x:v>0.2692555311215405</x:v>
      </x:c>
      <x:c r="F23" s="2"/>
      <x:c r="G23" s="2"/>
      <x:c r="H23" s="2"/>
      <x:c r="I23" s="2"/>
      <x:c r="J23" s="2"/>
      <x:c r="K23" s="2"/>
    </x:row>
    <x:row r="24" ht="23" customHeight="1">
      <x:c r="A24" s="2"/>
      <x:c r="B24" s="13" t="n">
        <x:v>0.18</x:v>
      </x:c>
      <x:c r="C24" s="13" t="n">
        <x:f>IF($I$9=0,$B24,(1-$H$9)*LN(1+$I$9*$B24)/LN(1+$I$9)+$H$9*$B24)</x:f>
        <x:v>0.09613426984250825</x:v>
      </x:c>
      <x:c r="D24" s="13" t="n">
        <x:f>IF($I$10=0,$B24,(1-$H$10)*LN(1+$I$10*$B24)/LN(1+$I$10)+$H$10*$B24)</x:f>
        <x:v>0.1730014508028453</x:v>
      </x:c>
      <x:c r="E24" s="13" t="n">
        <x:f>IF($I$11=0,$B24,(1-$H$11)*LN(1+$I$11*$B24)/LN(1+$I$11)+$H$11*$B24)</x:f>
        <x:v>0.28137557043439965</x:v>
      </x:c>
      <x:c r="F24" s="2"/>
      <x:c r="G24" s="2"/>
      <x:c r="H24" s="2"/>
      <x:c r="I24" s="2"/>
      <x:c r="J24" s="2"/>
      <x:c r="K24" s="2"/>
    </x:row>
    <x:row r="25" ht="23" customHeight="1">
      <x:c r="A25" s="2"/>
      <x:c r="B25" s="13" t="n">
        <x:v>0.19</x:v>
      </x:c>
      <x:c r="C25" s="13" t="n">
        <x:f>IF($I$9=0,$B25,(1-$H$9)*LN(1+$I$9*$B25)/LN(1+$I$9)+$H$9*$B25)</x:f>
        <x:v>0.10184819222891872</x:v>
      </x:c>
      <x:c r="D25" s="13" t="n">
        <x:f>IF($I$10=0,$B25,(1-$H$10)*LN(1+$I$10*$B25)/LN(1+$I$10)+$H$10*$B25)</x:f>
        <x:v>0.18268808100101283</x:v>
      </x:c>
      <x:c r="E25" s="13" t="n">
        <x:f>IF($I$11=0,$B25,(1-$H$11)*LN(1+$I$11*$B25)/LN(1+$I$11)+$H$11*$B25)</x:f>
        <x:v>0.293278869819492</x:v>
      </x:c>
      <x:c r="F25" s="2"/>
      <x:c r="G25" s="2"/>
      <x:c r="H25" s="2"/>
      <x:c r="I25" s="2"/>
      <x:c r="J25" s="2"/>
      <x:c r="K25" s="2"/>
    </x:row>
    <x:row r="26" ht="23" customHeight="1">
      <x:c r="A26" s="2"/>
      <x:c r="B26" s="13" t="n">
        <x:v>0.2</x:v>
      </x:c>
      <x:c r="C26" s="13" t="n">
        <x:f>IF($I$9=0,$B26,(1-$H$9)*LN(1+$I$9*$B26)/LN(1+$I$9)+$H$9*$B26)</x:f>
        <x:v>0.10760687947624882</x:v>
      </x:c>
      <x:c r="D26" s="13" t="n">
        <x:f>IF($I$10=0,$B26,(1-$H$10)*LN(1+$I$10*$B26)/LN(1+$I$10)+$H$10*$B26)</x:f>
        <x:v>0.1923829643998838</x:v>
      </x:c>
      <x:c r="E26" s="13" t="n">
        <x:f>IF($I$11=0,$B26,(1-$H$11)*LN(1+$I$11*$B26)/LN(1+$I$11)+$H$11*$B26)</x:f>
        <x:v>0.3049800268362468</x:v>
      </x:c>
      <x:c r="F26" s="2"/>
      <x:c r="G26" s="2"/>
      <x:c r="H26" s="2"/>
      <x:c r="I26" s="2"/>
      <x:c r="J26" s="2"/>
      <x:c r="K26" s="2"/>
    </x:row>
    <x:row r="27" ht="23" customHeight="1">
      <x:c r="A27" s="2"/>
      <x:c r="B27" s="13" t="n">
        <x:v>0.21</x:v>
      </x:c>
      <x:c r="C27" s="13" t="n">
        <x:f>IF($I$9=0,$B27,(1-$H$9)*LN(1+$I$9*$B27)/LN(1+$I$9)+$H$9*$B27)</x:f>
        <x:v>0.11341129288759741</x:v>
      </x:c>
      <x:c r="D27" s="13" t="n">
        <x:f>IF($I$10=0,$B27,(1-$H$10)*LN(1+$I$10*$B27)/LN(1+$I$10)+$H$10*$B27)</x:f>
        <x:v>0.20208615003194866</x:v>
      </x:c>
      <x:c r="E27" s="13" t="n">
        <x:f>IF($I$11=0,$B27,(1-$H$11)*LN(1+$I$11*$B27)/LN(1+$I$11)+$H$11*$B27)</x:f>
        <x:v>0.31649221223098445</x:v>
      </x:c>
      <x:c r="F27" s="2"/>
      <x:c r="G27" s="2"/>
      <x:c r="H27" s="2"/>
      <x:c r="I27" s="2"/>
      <x:c r="J27" s="2"/>
      <x:c r="K27" s="2"/>
    </x:row>
    <x:row r="28" ht="23" customHeight="1">
      <x:c r="A28" s="2"/>
      <x:c r="B28" s="13" t="n">
        <x:v>0.22</x:v>
      </x:c>
      <x:c r="C28" s="13" t="n">
        <x:f>IF($I$9=0,$B28,(1-$H$9)*LN(1+$I$9*$B28)/LN(1+$I$9)+$H$9*$B28)</x:f>
        <x:v>0.11926242506771931</x:v>
      </x:c>
      <x:c r="D28" s="13" t="n">
        <x:f>IF($I$10=0,$B28,(1-$H$10)*LN(1+$I$10*$B28)/LN(1+$I$10)+$H$10*$B28)</x:f>
        <x:v>0.21179768736795543</x:v>
      </x:c>
      <x:c r="E28" s="13" t="n">
        <x:f>IF($I$11=0,$B28,(1-$H$11)*LN(1+$I$11*$B28)/LN(1+$I$11)+$H$11*$B28)</x:f>
        <x:v>0.32782735003309227</x:v>
      </x:c>
      <x:c r="F28" s="2"/>
      <x:c r="G28" s="2"/>
      <x:c r="H28" s="2"/>
      <x:c r="I28" s="2"/>
      <x:c r="J28" s="2"/>
      <x:c r="K28" s="2"/>
    </x:row>
    <x:row r="29" ht="23" customHeight="1">
      <x:c r="A29" s="2"/>
      <x:c r="B29" s="13" t="n">
        <x:v>0.23</x:v>
      </x:c>
      <x:c r="C29" s="13" t="n">
        <x:f>IF($I$9=0,$B29,(1-$H$9)*LN(1+$I$9*$B29)/LN(1+$I$9)+$H$9*$B29)</x:f>
        <x:v>0.1251613012969307</x:v>
      </x:c>
      <x:c r="D29" s="13" t="n">
        <x:f>IF($I$10=0,$B29,(1-$H$10)*LN(1+$I$10*$B29)/LN(1+$I$10)+$H$10*$B29)</x:f>
        <x:v>0.22151762632214744</x:v>
      </x:c>
      <x:c r="E29" s="13" t="n">
        <x:f>IF($I$11=0,$B29,(1-$H$11)*LN(1+$I$11*$B29)/LN(1+$I$11)+$H$11*$B29)</x:f>
        <x:v>0.3389962701030125</x:v>
      </x:c>
      <x:c r="F29" s="2"/>
      <x:c r="G29" s="2"/>
      <x:c r="H29" s="2"/>
      <x:c r="I29" s="2"/>
      <x:c r="J29" s="2"/>
      <x:c r="K29" s="2"/>
    </x:row>
    <x:row r="30" ht="23" customHeight="1">
      <x:c r="A30" s="2"/>
      <x:c r="B30" s="13" t="n">
        <x:v>0.24</x:v>
      </x:c>
      <x:c r="C30" s="13" t="n">
        <x:f>IF($I$9=0,$B30,(1-$H$9)*LN(1+$I$9*$B30)/LN(1+$I$9)+$H$9*$B30)</x:f>
        <x:v>0.13110898098123228</x:v>
      </x:c>
      <x:c r="D30" s="13" t="n">
        <x:f>IF($I$10=0,$B30,(1-$H$10)*LN(1+$I$10*$B30)/LN(1+$I$10)+$H$10*$B30)</x:f>
        <x:v>0.23124601725758104</x:v>
      </x:c>
      <x:c r="E30" s="13" t="n">
        <x:f>IF($I$11=0,$B30,(1-$H$11)*LN(1+$I$11*$B30)/LN(1+$I$11)+$H$11*$B30)</x:f>
        <x:v>0.35000883803894495</x:v>
      </x:c>
      <x:c r="F30" s="2"/>
      <x:c r="G30" s="2"/>
      <x:c r="H30" s="2"/>
      <x:c r="I30" s="2"/>
      <x:c r="J30" s="2"/>
      <x:c r="K30" s="2"/>
    </x:row>
    <x:row r="31" ht="23" customHeight="1">
      <x:c r="A31" s="2"/>
      <x:c r="B31" s="13" t="n">
        <x:v>0.25</x:v>
      </x:c>
      <x:c r="C31" s="13" t="n">
        <x:f>IF($I$9=0,$B31,(1-$H$9)*LN(1+$I$9*$B31)/LN(1+$I$9)+$H$9*$B31)</x:f>
        <x:v>0.1371065591837798</x:v>
      </x:c>
      <x:c r="D31" s="13" t="n">
        <x:f>IF($I$10=0,$B31,(1-$H$10)*LN(1+$I$10*$B31)/LN(1+$I$10)+$H$10*$B31)</x:f>
        <x:v>0.24098291099152222</x:v>
      </x:c>
      <x:c r="E31" s="13" t="n">
        <x:f>IF($I$11=0,$B31,(1-$H$11)*LN(1+$I$11*$B31)/LN(1+$I$11)+$H$11*$B31)</x:f>
        <x:v>0.36087406635880936</x:v>
      </x:c>
      <x:c r="F31" s="2"/>
      <x:c r="G31" s="2"/>
      <x:c r="H31" s="2"/>
      <x:c r="I31" s="2"/>
      <x:c r="J31" s="2"/>
      <x:c r="K31" s="2"/>
    </x:row>
    <x:row r="32" ht="23" customHeight="1">
      <x:c r="A32" s="2"/>
      <x:c r="B32" s="13" t="n">
        <x:v>0.26</x:v>
      </x:c>
      <x:c r="C32" s="13" t="n">
        <x:f>IF($I$9=0,$B32,(1-$H$9)*LN(1+$I$9*$B32)/LN(1+$I$9)+$H$9*$B32)</x:f>
        <x:v>0.14315516824324168</x:v>
      </x:c>
      <x:c r="D32" s="13" t="n">
        <x:f>IF($I$10=0,$B32,(1-$H$10)*LN(1+$I$10*$B32)/LN(1+$I$10)+$H$10*$B32)</x:f>
        <x:v>0.250728358800925</x:v>
      </x:c>
      <x:c r="E32" s="13" t="n">
        <x:f>IF($I$11=0,$B32,(1-$H$11)*LN(1+$I$11*$B32)/LN(1+$I$11)+$H$11*$B32)</x:f>
        <x:v>0.37160021010569855</x:v>
      </x:c>
      <x:c r="F32" s="2"/>
      <x:c r="G32" s="2"/>
      <x:c r="H32" s="2"/>
      <x:c r="I32" s="2"/>
      <x:c r="J32" s="2"/>
      <x:c r="K32" s="2"/>
    </x:row>
    <x:row r="33" ht="23" customHeight="1">
      <x:c r="A33" s="2"/>
      <x:c r="B33" s="13" t="n">
        <x:v>0.27</x:v>
      </x:c>
      <x:c r="C33" s="13" t="n">
        <x:f>IF($I$9=0,$B33,(1-$H$9)*LN(1+$I$9*$B33)/LN(1+$I$9)+$H$9*$B33)</x:f>
        <x:v>0.1492559794850247</x:v>
      </x:c>
      <x:c r="D33" s="13" t="n">
        <x:f>IF($I$10=0,$B33,(1-$H$10)*LN(1+$I$10*$B33)/LN(1+$I$10)+$H$10*$B33)</x:f>
        <x:v>0.26048241242799275</x:v>
      </x:c>
      <x:c r="E33" s="13" t="n">
        <x:f>IF($I$11=0,$B33,(1-$H$11)*LN(1+$I$11*$B33)/LN(1+$I$11)+$H$11*$B33)</x:f>
        <x:v>0.38219484942431386</x:v>
      </x:c>
      <x:c r="F33" s="2"/>
      <x:c r="G33" s="2"/>
      <x:c r="H33" s="2"/>
      <x:c r="I33" s="2"/>
      <x:c r="J33" s="2"/>
      <x:c r="K33" s="2"/>
    </x:row>
    <x:row r="34" ht="23" customHeight="1">
      <x:c r="A34" s="2"/>
      <x:c r="B34" s="13" t="n">
        <x:v>0.28</x:v>
      </x:c>
      <x:c r="C34" s="13" t="n">
        <x:f>IF($I$9=0,$B34,(1-$H$9)*LN(1+$I$9*$B34)/LN(1+$I$9)+$H$9*$B34)</x:f>
        <x:v>0.15541020503183992</x:v>
      </x:c>
      <x:c r="D34" s="13" t="n">
        <x:f>IF($I$10=0,$B34,(1-$H$10)*LN(1+$I$10*$B34)/LN(1+$I$10)+$H$10*$B34)</x:f>
        <x:v>0.2702451240858235</x:v>
      </x:c>
      <x:c r="E34" s="13" t="n">
        <x:f>IF($I$11=0,$B34,(1-$H$11)*LN(1+$I$11*$B34)/LN(1+$I$11)+$H$11*$B34)</x:f>
        <x:v>0.3926649611826697</x:v>
      </x:c>
      <x:c r="F34" s="2"/>
      <x:c r="G34" s="2"/>
      <x:c r="H34" s="2"/>
      <x:c r="I34" s="2"/>
      <x:c r="J34" s="2"/>
      <x:c r="K34" s="2"/>
    </x:row>
    <x:row r="35" ht="23" customHeight="1">
      <x:c r="A35" s="2"/>
      <x:c r="B35" s="13" t="n">
        <x:v>0.29</x:v>
      </x:c>
      <x:c r="C35" s="13" t="n">
        <x:f>IF($I$9=0,$B35,(1-$H$9)*LN(1+$I$9*$B35)/LN(1+$I$9)+$H$9*$B35)</x:f>
        <x:v>0.1616190997206081</x:v>
      </x:c>
      <x:c r="D35" s="13" t="n">
        <x:f>IF($I$10=0,$B35,(1-$H$10)*LN(1+$I$10*$B35)/LN(1+$I$10)+$H$10*$B35)</x:f>
        <x:v>0.2800165464641413</x:v>
      </x:c>
      <x:c r="E35" s="13" t="n">
        <x:f>IF($I$11=0,$B35,(1-$H$11)*LN(1+$I$11*$B35)/LN(1+$I$11)+$H$11*$B35)</x:f>
        <x:v>0.40301698133801345</x:v>
      </x:c>
      <x:c r="F35" s="2"/>
      <x:c r="G35" s="2"/>
      <x:c r="H35" s="2"/>
      <x:c r="I35" s="2"/>
      <x:c r="J35" s="2"/>
      <x:c r="K35" s="2"/>
    </x:row>
    <x:row r="36" ht="23" customHeight="1">
      <x:c r="A36" s="2"/>
      <x:c r="B36" s="13" t="n">
        <x:v>0.3</x:v>
      </x:c>
      <x:c r="C36" s="13" t="n">
        <x:f>IF($I$9=0,$B36,(1-$H$9)*LN(1+$I$9*$B36)/LN(1+$I$9)+$H$9*$B36)</x:f>
        <x:v>0.1678839631332903</x:v>
      </x:c>
      <x:c r="D36" s="13" t="n">
        <x:f>IF($I$10=0,$B36,(1-$H$10)*LN(1+$I$10*$B36)/LN(1+$I$10)+$H$10*$B36)</x:f>
        <x:v>0.2897967327351153</x:v>
      </x:c>
      <x:c r="E36" s="13" t="n">
        <x:f>IF($I$11=0,$B36,(1-$H$11)*LN(1+$I$11*$B36)/LN(1+$I$11)+$H$11*$B36)</x:f>
        <x:v>0.4132568594462397</x:v>
      </x:c>
      <x:c r="F36" s="2"/>
      <x:c r="G36" s="2"/>
      <x:c r="H36" s="2"/>
      <x:c r="I36" s="2"/>
      <x:c r="J36" s="2"/>
      <x:c r="K36" s="2"/>
    </x:row>
    <x:row r="37" ht="23" customHeight="1">
      <x:c r="A37" s="2"/>
      <x:c r="B37" s="13" t="n">
        <x:v>0.31</x:v>
      </x:c>
      <x:c r="C37" s="13" t="n">
        <x:f>IF($I$9=0,$B37,(1-$H$9)*LN(1+$I$9*$B37)/LN(1+$I$9)+$H$9*$B37)</x:f>
        <x:v>0.17420614174986443</x:v>
      </x:c>
      <x:c r="D37" s="13" t="n">
        <x:f>IF($I$10=0,$B37,(1-$H$10)*LN(1+$I$10*$B37)/LN(1+$I$10)+$H$10*$B37)</x:f>
        <x:v>0.29958573655926773</x:v>
      </x:c>
      <x:c r="E37" s="13" t="n">
        <x:f>IF($I$11=0,$B37,(1-$H$11)*LN(1+$I$11*$B37)/LN(1+$I$11)+$H$11*$B37)</x:f>
        <x:v>0.4233901064733293</x:v>
      </x:c>
      <x:c r="F37" s="2"/>
      <x:c r="G37" s="2"/>
      <x:c r="H37" s="2"/>
      <x:c r="I37" s="2"/>
      <x:c r="J37" s="2"/>
      <x:c r="K37" s="2"/>
    </x:row>
    <x:row r="38" ht="23" customHeight="1">
      <x:c r="A38" s="2"/>
      <x:c r="B38" s="13" t="n">
        <x:v>0.32</x:v>
      </x:c>
      <x:c r="C38" s="13" t="n">
        <x:f>IF($I$9=0,$B38,(1-$H$9)*LN(1+$I$9*$B38)/LN(1+$I$9)+$H$9*$B38)</x:f>
        <x:v>0.18058703123237402</x:v>
      </x:c>
      <x:c r="D38" s="13" t="n">
        <x:f>IF($I$10=0,$B38,(1-$H$10)*LN(1+$I$10*$B38)/LN(1+$I$10)+$H$10*$B38)</x:f>
        <x:v>0.3093836120914723</x:v>
      </x:c>
      <x:c r="E38" s="13" t="n">
        <x:f>IF($I$11=0,$B38,(1-$H$11)*LN(1+$I$11*$B38)/LN(1+$I$11)+$H$11*$B38)</x:f>
        <x:v>0.4334218368728081</x:v>
      </x:c>
      <x:c r="F38" s="2"/>
      <x:c r="G38" s="2"/>
      <x:c r="H38" s="2"/>
      <x:c r="I38" s="2"/>
      <x:c r="J38" s="2"/>
      <x:c r="K38" s="2"/>
    </x:row>
    <x:row r="39" ht="23" customHeight="1">
      <x:c r="A39" s="2"/>
      <x:c r="B39" s="13" t="n">
        <x:v>0.33</x:v>
      </x:c>
      <x:c r="C39" s="13" t="n">
        <x:f>IF($I$9=0,$B39,(1-$H$9)*LN(1+$I$9*$B39)/LN(1+$I$9)+$H$9*$B39)</x:f>
        <x:v>0.18702807884973882</x:v>
      </x:c>
      <x:c r="D39" s="13" t="n">
        <x:f>IF($I$10=0,$B39,(1-$H$10)*LN(1+$I$10*$B39)/LN(1+$I$10)+$H$10*$B39)</x:f>
        <x:v>0.3191904139870453</x:v>
      </x:c>
      <x:c r="E39" s="13" t="n">
        <x:f>IF($I$11=0,$B39,(1-$H$11)*LN(1+$I$11*$B39)/LN(1+$I$11)+$H$11*$B39)</x:f>
        <x:v>0.44335680573513414</x:v>
      </x:c>
      <x:c r="F39" s="2"/>
      <x:c r="G39" s="2"/>
      <x:c r="H39" s="2"/>
      <x:c r="I39" s="2"/>
      <x:c r="J39" s="2"/>
      <x:c r="K39" s="2"/>
    </x:row>
    <x:row r="40" ht="23" customHeight="1">
      <x:c r="A40" s="2"/>
      <x:c r="B40" s="13" t="n">
        <x:v>0.34</x:v>
      </x:c>
      <x:c r="C40" s="13" t="n">
        <x:f>IF($I$9=0,$B40,(1-$H$9)*LN(1+$I$9*$B40)/LN(1+$I$9)+$H$9*$B40)</x:f>
        <x:v>0.19353078605387242</x:v>
      </x:c>
      <x:c r="D40" s="13" t="n">
        <x:f>IF($I$10=0,$B40,(1-$H$10)*LN(1+$I$10*$B40)/LN(1+$I$10)+$H$10*$B40)</x:f>
        <x:v>0.3290061974079309</x:v>
      </x:c>
      <x:c r="E40" s="13" t="n">
        <x:f>IF($I$11=0,$B40,(1-$H$11)*LN(1+$I$11*$B40)/LN(1+$I$11)+$H$11*$B40)</x:f>
        <x:v>0.4531994416857998</x:v>
      </x:c>
      <x:c r="F40" s="2"/>
      <x:c r="G40" s="2"/>
      <x:c r="H40" s="2"/>
      <x:c r="I40" s="2"/>
      <x:c r="J40" s="2"/>
      <x:c r="K40" s="2"/>
    </x:row>
    <x:row r="41" ht="23" customHeight="1">
      <x:c r="A41" s="2"/>
      <x:c r="B41" s="13" t="n">
        <x:v>0.35</x:v>
      </x:c>
      <x:c r="C41" s="13" t="n">
        <x:f>IF($I$9=0,$B41,(1-$H$9)*LN(1+$I$9*$B41)/LN(1+$I$9)+$H$9*$B41)</x:f>
        <x:v>0.20009671121857403</x:v>
      </x:c>
      <x:c r="D41" s="13" t="n">
        <x:f>IF($I$10=0,$B41,(1-$H$10)*LN(1+$I$10*$B41)/LN(1+$I$10)+$H$10*$B41)</x:f>
        <x:v>0.33883101802898197</x:v>
      </x:c>
      <x:c r="E41" s="13" t="n">
        <x:f>IF($I$11=0,$B41,(1-$H$11)*LN(1+$I$11*$B41)/LN(1+$I$11)+$H$11*$B41)</x:f>
        <x:v>0.4629538761029143</x:v>
      </x:c>
      <x:c r="F41" s="2"/>
      <x:c r="G41" s="2"/>
      <x:c r="H41" s="2"/>
      <x:c r="I41" s="2"/>
      <x:c r="J41" s="2"/>
      <x:c r="K41" s="2"/>
    </x:row>
    <x:row r="42" ht="23" customHeight="1">
      <x:c r="A42" s="2"/>
      <x:c r="B42" s="13" t="n">
        <x:v>0.36</x:v>
      </x:c>
      <x:c r="C42" s="13" t="n">
        <x:f>IF($I$9=0,$B42,(1-$H$9)*LN(1+$I$9*$B42)/LN(1+$I$9)+$H$9*$B42)</x:f>
        <x:v>0.2067274725537</x:v>
      </x:c>
      <x:c r="D42" s="13" t="n">
        <x:f>IF($I$10=0,$B42,(1-$H$10)*LN(1+$I$10*$B42)/LN(1+$I$10)+$H$10*$B42)</x:f>
        <x:v>0.3486649320443391</x:v>
      </x:c>
      <x:c r="E42" s="13" t="n">
        <x:f>IF($I$11=0,$B42,(1-$H$11)*LN(1+$I$11*$B42)/LN(1+$I$11)+$H$11*$B42)</x:f>
        <x:v>0.4726239691375898</x:v>
      </x:c>
      <x:c r="F42" s="2"/>
      <x:c r="G42" s="2"/>
      <x:c r="H42" s="2"/>
      <x:c r="I42" s="2"/>
      <x:c r="J42" s="2"/>
      <x:c r="K42" s="2"/>
    </x:row>
    <x:row r="43" ht="23" customHeight="1">
      <x:c r="A43" s="2"/>
      <x:c r="B43" s="13" t="n">
        <x:v>0.37</x:v>
      </x:c>
      <x:c r="C43" s="13" t="n">
        <x:f>IF($I$9=0,$B43,(1-$H$9)*LN(1+$I$9*$B43)/LN(1+$I$9)+$H$9*$B43)</x:f>
        <x:v>0.2134247512082471</x:v>
      </x:c>
      <x:c r="D43" s="13" t="n">
        <x:f>IF($I$10=0,$B43,(1-$H$10)*LN(1+$I$10*$B43)/LN(1+$I$10)+$H$10*$B43)</x:f>
        <x:v>0.3585079961739082</x:v>
      </x:c>
      <x:c r="E43" s="13" t="n">
        <x:f>IF($I$11=0,$B43,(1-$H$11)*LN(1+$I$11*$B43)/LN(1+$I$11)+$H$11*$B43)</x:f>
        <x:v>0.48221333294798685</x:v>
      </x:c>
      <x:c r="F43" s="2"/>
      <x:c r="G43" s="2"/>
      <x:c r="H43" s="2"/>
      <x:c r="I43" s="2"/>
      <x:c r="J43" s="2"/>
      <x:c r="K43" s="2"/>
    </x:row>
    <x:row r="44" ht="23" customHeight="1">
      <x:c r="A44" s="2"/>
      <x:c r="B44" s="13" t="n">
        <x:v>0.38</x:v>
      </x:c>
      <x:c r="C44" s="13" t="n">
        <x:f>IF($I$9=0,$B44,(1-$H$9)*LN(1+$I$9*$B44)/LN(1+$I$9)+$H$9*$B44)</x:f>
        <x:v>0.22019029457723718</x:v>
      </x:c>
      <x:c r="D44" s="13" t="n">
        <x:f>IF($I$10=0,$B44,(1-$H$10)*LN(1+$I$10*$B44)/LN(1+$I$10)+$H$10*$B44)</x:f>
        <x:v>0.3683602676699402</x:v>
      </x:c>
      <x:c r="E44" s="13" t="n">
        <x:f>IF($I$11=0,$B44,(1-$H$11)*LN(1+$I$11*$B44)/LN(1+$I$11)+$H$11*$B44)</x:f>
        <x:v>0.491725352497567</x:v>
      </x:c>
      <x:c r="F44" s="2"/>
      <x:c r="G44" s="2"/>
      <x:c r="H44" s="2"/>
      <x:c r="I44" s="2"/>
      <x:c r="J44" s="2"/>
      <x:c r="K44" s="2"/>
    </x:row>
    <x:row r="45" ht="23" customHeight="1">
      <x:c r="A45" s="2"/>
      <x:c r="B45" s="13" t="n">
        <x:v>0.39</x:v>
      </x:c>
      <x:c r="C45" s="13" t="n">
        <x:f>IF($I$9=0,$B45,(1-$H$9)*LN(1+$I$9*$B45)/LN(1+$I$9)+$H$9*$B45)</x:f>
        <x:v>0.22702591982868028</x:v>
      </x:c>
      <x:c r="D45" s="13" t="n">
        <x:f>IF($I$10=0,$B45,(1-$H$10)*LN(1+$I$10*$B45)/LN(1+$I$10)+$H$10*$B45)</x:f>
        <x:v>0.37822180432371344</x:v>
      </x:c>
      <x:c r="E45" s="13" t="n">
        <x:f>IF($I$11=0,$B45,(1-$H$11)*LN(1+$I$11*$B45)/LN(1+$I$11)+$H$11*$B45)</x:f>
        <x:v>0.5011632042177065</x:v>
      </x:c>
      <x:c r="F45" s="2"/>
      <x:c r="G45" s="2"/>
      <x:c r="H45" s="2"/>
      <x:c r="I45" s="2"/>
      <x:c r="J45" s="2"/>
      <x:c r="K45" s="2"/>
    </x:row>
    <x:row r="46" ht="23" customHeight="1">
      <x:c r="A46" s="2"/>
      <x:c r="B46" s="13" t="n">
        <x:v>0.4</x:v>
      </x:c>
      <x:c r="C46" s="13" t="n">
        <x:f>IF($I$9=0,$B46,(1-$H$9)*LN(1+$I$9*$B46)/LN(1+$I$9)+$H$9*$B46)</x:f>
        <x:v>0.23393351766842843</x:v>
      </x:c>
      <x:c r="D46" s="13" t="n">
        <x:f>IF($I$10=0,$B46,(1-$H$10)*LN(1+$I$10*$B46)/LN(1+$I$10)+$H$10*$B46)</x:f>
        <x:v>0.3880926644723224</x:v>
      </x:c>
      <x:c r="E46" s="13" t="n">
        <x:f>IF($I$11=0,$B46,(1-$H$11)*LN(1+$I$11*$B46)/LN(1+$I$11)+$H$11*$B46)</x:f>
        <x:v>0.5105298727925366</x:v>
      </x:c>
      <x:c r="F46" s="2"/>
      <x:c r="G46" s="2"/>
      <x:c r="H46" s="2"/>
      <x:c r="I46" s="2"/>
      <x:c r="J46" s="2"/>
      <x:c r="K46" s="2"/>
    </x:row>
    <x:row r="47" ht="23" customHeight="1">
      <x:c r="A47" s="2"/>
      <x:c r="B47" s="13" t="n">
        <x:v>0.41</x:v>
      </x:c>
      <x:c r="C47" s="13" t="n">
        <x:f>IF($I$9=0,$B47,(1-$H$9)*LN(1+$I$9*$B47)/LN(1+$I$9)+$H$9*$B47)</x:f>
        <x:v>0.24091505636243796</x:v>
      </x:c>
      <x:c r="D47" s="13" t="n">
        <x:f>IF($I$10=0,$B47,(1-$H$10)*LN(1+$I$10*$B47)/LN(1+$I$10)+$H$10*$B47)</x:f>
        <x:v>0.3979729070055716</x:v>
      </x:c>
      <x:c r="E47" s="13" t="n">
        <x:f>IF($I$11=0,$B47,(1-$H$11)*LN(1+$I$11*$B47)/LN(1+$I$11)+$H$11*$B47)</x:f>
        <x:v>0.5198281662882672</x:v>
      </x:c>
      <x:c r="F47" s="2"/>
      <x:c r="G47" s="2"/>
      <x:c r="H47" s="2"/>
      <x:c r="I47" s="2"/>
      <x:c r="J47" s="2"/>
      <x:c r="K47" s="2"/>
    </x:row>
    <x:row r="48" ht="23" customHeight="1">
      <x:c r="A48" s="2"/>
      <x:c r="B48" s="13" t="n">
        <x:v>0.42</x:v>
      </x:c>
      <x:c r="C48" s="13" t="n">
        <x:f>IF($I$9=0,$B48,(1-$H$9)*LN(1+$I$9*$B48)/LN(1+$I$9)+$H$9*$B48)</x:f>
        <x:v>0.24797258603785471</x:v>
      </x:c>
      <x:c r="D48" s="13" t="n">
        <x:f>IF($I$10=0,$B48,(1-$H$10)*LN(1+$I$10*$B48)/LN(1+$I$10)+$H$10*$B48)</x:f>
        <x:v>0.4078625913729806</x:v>
      </x:c>
      <x:c r="E48" s="13" t="n">
        <x:f>IF($I$11=0,$B48,(1-$H$11)*LN(1+$I$11*$B48)/LN(1+$I$11)+$H$11*$B48)</x:f>
        <x:v>0.5290607298191562</x:v>
      </x:c>
      <x:c r="F48" s="2"/>
      <x:c r="G48" s="2"/>
      <x:c r="H48" s="2"/>
      <x:c r="I48" s="2"/>
      <x:c r="J48" s="2"/>
      <x:c r="K48" s="2"/>
    </x:row>
    <x:row r="49" ht="23" customHeight="1">
      <x:c r="A49" s="2"/>
      <x:c r="B49" s="13" t="n">
        <x:v>0.43</x:v>
      </x:c>
      <x:c r="C49" s="13" t="n">
        <x:f>IF($I$9=0,$B49,(1-$H$9)*LN(1+$I$9*$B49)/LN(1+$I$9)+$H$9*$B49)</x:f>
        <x:v>0.25510824328644</x:v>
      </x:c>
      <x:c r="D49" s="13" t="n">
        <x:f>IF($I$10=0,$B49,(1-$H$10)*LN(1+$I$10*$B49)/LN(1+$I$10)+$H$10*$B49)</x:f>
        <x:v>0.41776177759089955</x:v>
      </x:c>
      <x:c r="E49" s="13" t="n">
        <x:f>IF($I$11=0,$B49,(1-$H$11)*LN(1+$I$11*$B49)/LN(1+$I$11)+$H$11*$B49)</x:f>
        <x:v>0.53823005791675</x:v>
      </x:c>
      <x:c r="F49" s="2"/>
      <x:c r="G49" s="2"/>
      <x:c r="H49" s="2"/>
      <x:c r="I49" s="2"/>
      <x:c r="J49" s="2"/>
      <x:c r="K49" s="2"/>
    </x:row>
    <x:row r="50" ht="23" customHeight="1">
      <x:c r="A50" s="2"/>
      <x:c r="B50" s="13" t="n">
        <x:v>0.44</x:v>
      </x:c>
      <x:c r="C50" s="13" t="n">
        <x:f>IF($I$9=0,$B50,(1-$H$9)*LN(1+$I$9*$B50)/LN(1+$I$9)+$H$9*$B50)</x:f>
        <x:v>0.26232425609620513</x:v>
      </x:c>
      <x:c r="D50" s="13" t="n">
        <x:f>IF($I$10=0,$B50,(1-$H$10)*LN(1+$I$10*$B50)/LN(1+$I$10)+$H$10*$B50)</x:f>
        <x:v>0.42767052624973784</x:v>
      </x:c>
      <x:c r="E50" s="13" t="n">
        <x:f>IF($I$11=0,$B50,(1-$H$11)*LN(1+$I$11*$B50)/LN(1+$I$11)+$H$11*$B50)</x:f>
        <x:v>0.5473385057473058</x:v>
      </x:c>
      <x:c r="F50" s="2"/>
      <x:c r="G50" s="2"/>
      <x:c r="H50" s="2"/>
      <x:c r="I50" s="2"/>
      <x:c r="J50" s="2"/>
      <x:c r="K50" s="2"/>
    </x:row>
    <x:row r="51" ht="23" customHeight="1">
      <x:c r="A51" s="2"/>
      <x:c r="B51" s="13" t="n">
        <x:v>0.45</x:v>
      </x:c>
      <x:c r="C51" s="13" t="n">
        <x:f>IF($I$9=0,$B51,(1-$H$9)*LN(1+$I$9*$B51)/LN(1+$I$9)+$H$9*$B51)</x:f>
        <x:v>0.26962294913974355</x:v>
      </x:c>
      <x:c r="D51" s="13" t="n">
        <x:f>IF($I$10=0,$B51,(1-$H$10)*LN(1+$I$10*$B51)/LN(1+$I$10)+$H$10*$B51)</x:f>
        <x:v>0.43758889852130933</x:v>
      </x:c>
      <x:c r="E51" s="13" t="n">
        <x:f>IF($I$11=0,$B51,(1-$H$11)*LN(1+$I$11*$B51)/LN(1+$I$11)+$H$11*$B51)</x:f>
        <x:v>0.5563882993037503</x:v>
      </x:c>
      <x:c r="F51" s="2"/>
      <x:c r="G51" s="2"/>
      <x:c r="H51" s="2"/>
      <x:c r="I51" s="2"/>
      <x:c r="J51" s="2"/>
      <x:c r="K51" s="2"/>
    </x:row>
    <x:row r="52" ht="23" customHeight="1">
      <x:c r="A52" s="2"/>
      <x:c r="B52" s="13" t="n">
        <x:v>0.46</x:v>
      </x:c>
      <x:c r="C52" s="13" t="n">
        <x:f>IF($I$9=0,$B52,(1-$H$9)*LN(1+$I$9*$B52)/LN(1+$I$9)+$H$9*$B52)</x:f>
        <x:v>0.2770067494506714</x:v>
      </x:c>
      <x:c r="D52" s="13" t="n">
        <x:f>IF($I$10=0,$B52,(1-$H$10)*LN(1+$I$10*$B52)/LN(1+$I$10)+$H$10*$B52)</x:f>
        <x:v>0.44751695616629417</x:v>
      </x:c>
      <x:c r="E52" s="13" t="n">
        <x:f>IF($I$11=0,$B52,(1-$H$11)*LN(1+$I$11*$B52)/LN(1+$I$11)+$H$11*$B52)</x:f>
        <x:v>0.5653815446826544</x:v>
      </x:c>
      <x:c r="F52" s="2"/>
      <x:c r="G52" s="2"/>
      <x:c r="H52" s="2"/>
      <x:c r="I52" s="2"/>
      <x:c r="J52" s="2"/>
      <x:c r="K52" s="2"/>
    </x:row>
    <x:row r="53" ht="23" customHeight="1">
      <x:c r="A53" s="2"/>
      <x:c r="B53" s="13" t="n">
        <x:v>0.47</x:v>
      </x:c>
      <x:c r="C53" s="13" t="n">
        <x:f>IF($I$9=0,$B53,(1-$H$9)*LN(1+$I$9*$B53)/LN(1+$I$9)+$H$9*$B53)</x:f>
        <x:v>0.28447819252286843</x:v>
      </x:c>
      <x:c r="D53" s="13" t="n">
        <x:f>IF($I$10=0,$B53,(1-$H$10)*LN(1+$I$10*$B53)/LN(1+$I$10)+$H$10*$B53)</x:f>
        <x:v>0.45745476154182163</x:v>
      </x:c>
      <x:c r="E53" s="13" t="n">
        <x:f>IF($I$11=0,$B53,(1-$H$11)*LN(1+$I$11*$B53)/LN(1+$I$11)+$H$11*$B53)</x:f>
        <x:v>0.5743202365430584</x:v>
      </x:c>
      <x:c r="F53" s="2"/>
      <x:c r="G53" s="2"/>
      <x:c r="H53" s="2"/>
      <x:c r="I53" s="2"/>
      <x:c r="J53" s="2"/>
      <x:c r="K53" s="2"/>
    </x:row>
    <x:row r="54" ht="23" customHeight="1">
      <x:c r="A54" s="2"/>
      <x:c r="B54" s="13" t="n">
        <x:v>0.48</x:v>
      </x:c>
      <x:c r="C54" s="13" t="n">
        <x:f>IF($I$9=0,$B54,(1-$H$9)*LN(1+$I$9*$B54)/LN(1+$I$9)+$H$9*$B54)</x:f>
        <x:v>0.29203992887088187</x:v>
      </x:c>
      <x:c r="D54" s="13" t="n">
        <x:f>IF($I$10=0,$B54,(1-$H$10)*LN(1+$I$10*$B54)/LN(1+$I$10)+$H$10*$B54)</x:f>
        <x:v>0.4674023776091757</x:v>
      </x:c>
      <x:c r="E54" s="13" t="n">
        <x:f>IF($I$11=0,$B54,(1-$H$11)*LN(1+$I$11*$B54)/LN(1+$I$11)+$H$11*$B54)</x:f>
        <x:v>0.5832062658322323</x:v>
      </x:c>
      <x:c r="F54" s="2"/>
      <x:c r="G54" s="2"/>
      <x:c r="H54" s="2"/>
      <x:c r="I54" s="2"/>
      <x:c r="J54" s="2"/>
      <x:c r="K54" s="2"/>
    </x:row>
    <x:row r="55" ht="23" customHeight="1">
      <x:c r="A55" s="2"/>
      <x:c r="B55" s="13" t="n">
        <x:v>0.49</x:v>
      </x:c>
      <x:c r="C55" s="13" t="n">
        <x:f>IF($I$9=0,$B55,(1-$H$9)*LN(1+$I$9*$B55)/LN(1+$I$9)+$H$9*$B55)</x:f>
        <x:v>0.299694731093975</x:v>
      </x:c>
      <x:c r="D55" s="13" t="n">
        <x:f>IF($I$10=0,$B55,(1-$H$10)*LN(1+$I$10*$B55)/LN(1+$I$10)+$H$10*$B55)</x:f>
        <x:v>0.47735986794162377</x:v>
      </x:c>
      <x:c r="E55" s="13" t="n">
        <x:f>IF($I$11=0,$B55,(1-$H$11)*LN(1+$I$11*$B55)/LN(1+$I$11)+$H$11*$B55)</x:f>
        <x:v>0.5920414268533118</x:v>
      </x:c>
      <x:c r="F55" s="2"/>
      <x:c r="G55" s="2"/>
      <x:c r="H55" s="2"/>
      <x:c r="I55" s="2"/>
      <x:c r="J55" s="2"/>
      <x:c r="K55" s="2"/>
    </x:row>
    <x:row r="56" ht="23" customHeight="1">
      <x:c r="A56" s="2"/>
      <x:c r="B56" s="13" t="n">
        <x:v>0.5</x:v>
      </x:c>
      <x:c r="C56" s="13" t="n">
        <x:f>IF($I$9=0,$B56,(1-$H$9)*LN(1+$I$9*$B56)/LN(1+$I$9)+$H$9*$B56)</x:f>
        <x:v>0.3074455014909479</x:v>
      </x:c>
      <x:c r="D56" s="13" t="n">
        <x:f>IF($I$10=0,$B56,(1-$H$10)*LN(1+$I$10*$B56)/LN(1+$I$10)+$H$10*$B56)</x:f>
        <x:v>0.48732729673237485</x:v>
      </x:c>
      <x:c r="E56" s="13" t="n">
        <x:f>IF($I$11=0,$B56,(1-$H$11)*LN(1+$I$11*$B56)/LN(1+$I$11)+$H$11*$B56)</x:f>
        <x:v>0.6008274237409577</x:v>
      </x:c>
      <x:c r="F56" s="2"/>
      <x:c r="G56" s="2"/>
      <x:c r="H56" s="2"/>
      <x:c r="I56" s="2"/>
      <x:c r="J56" s="2"/>
      <x:c r="K56" s="2"/>
    </x:row>
    <x:row r="57" ht="23" customHeight="1">
      <x:c r="A57" s="2"/>
      <x:c r="B57" s="13" t="n">
        <x:v>0.51</x:v>
      </x:c>
      <x:c r="C57" s="13" t="n">
        <x:f>IF($I$9=0,$B57,(1-$H$9)*LN(1+$I$9*$B57)/LN(1+$I$9)+$H$9*$B57)</x:f>
        <x:v>0.31529528027807596</x:v>
      </x:c>
      <x:c r="D57" s="13" t="n">
        <x:f>IF($I$10=0,$B57,(1-$H$10)*LN(1+$I$10*$B57)/LN(1+$I$10)+$H$10*$B57)</x:f>
        <x:v>0.49730472880266585</x:v>
      </x:c>
      <x:c r="E57" s="13" t="n">
        <x:f>IF($I$11=0,$B57,(1-$H$11)*LN(1+$I$11*$B57)/LN(1+$I$11)+$H$11*$B57)</x:f>
        <x:v>0.6095658764035607</x:v>
      </x:c>
      <x:c r="F57" s="2"/>
      <x:c r="G57" s="2"/>
      <x:c r="H57" s="2"/>
      <x:c r="I57" s="2"/>
      <x:c r="J57" s="2"/>
      <x:c r="K57" s="2"/>
    </x:row>
    <x:row r="58" ht="23" customHeight="1">
      <x:c r="A58" s="2"/>
      <x:c r="B58" s="13" t="n">
        <x:v>0.52</x:v>
      </x:c>
      <x:c r="C58" s="13" t="n">
        <x:f>IF($I$9=0,$B58,(1-$H$9)*LN(1+$I$9*$B58)/LN(1+$I$9)+$H$9*$B58)</x:f>
        <x:v>0.32324725446841185</x:v>
      </x:c>
      <x:c r="D58" s="13" t="n">
        <x:f>IF($I$10=0,$B58,(1-$H$10)*LN(1+$I$10*$B58)/LN(1+$I$10)+$H$10*$B58)</x:f>
        <x:v>0.5072922296099807</x:v>
      </x:c>
      <x:c r="E58" s="13" t="n">
        <x:f>IF($I$11=0,$B58,(1-$H$11)*LN(1+$I$11*$B58)/LN(1+$I$11)+$H$11*$B58)</x:f>
        <x:v>0.6182583259838734</x:v>
      </x:c>
      <x:c r="F58" s="2"/>
      <x:c r="G58" s="2"/>
      <x:c r="H58" s="2"/>
      <x:c r="I58" s="2"/>
      <x:c r="J58" s="2"/>
      <x:c r="K58" s="2"/>
    </x:row>
    <x:row r="59" ht="23" customHeight="1">
      <x:c r="A59" s="2"/>
      <x:c r="B59" s="13" t="n">
        <x:v>0.53</x:v>
      </x:c>
      <x:c r="C59" s="13" t="n">
        <x:f>IF($I$9=0,$B59,(1-$H$9)*LN(1+$I$9*$B59)/LN(1+$I$9)+$H$9*$B59)</x:f>
        <x:v>0.33130476747737214</x:v>
      </x:c>
      <x:c r="D59" s="13" t="n">
        <x:f>IF($I$10=0,$B59,(1-$H$10)*LN(1+$I$10*$B59)/LN(1+$I$10)+$H$10*$B59)</x:f>
        <x:v>0.5172898652564049</x:v>
      </x:c>
      <x:c r="E59" s="13" t="n">
        <x:f>IF($I$11=0,$B59,(1-$H$11)*LN(1+$I$11*$B59)/LN(1+$I$11)+$H$11*$B59)</x:f>
        <x:v>0.6269062398841532</x:v>
      </x:c>
      <x:c r="F59" s="2"/>
      <x:c r="G59" s="2"/>
      <x:c r="H59" s="2"/>
      <x:c r="I59" s="2"/>
      <x:c r="J59" s="2"/>
      <x:c r="K59" s="2"/>
    </x:row>
    <x:row r="60" ht="23" customHeight="1">
      <x:c r="A60" s="2"/>
      <x:c r="B60" s="13" t="n">
        <x:v>0.54</x:v>
      </x:c>
      <x:c r="C60" s="13" t="n">
        <x:f>IF($I$9=0,$B60,(1-$H$9)*LN(1+$I$9*$B60)/LN(1+$I$9)+$H$9*$B60)</x:f>
        <x:v>0.339471329527077</x:v>
      </x:c>
      <x:c r="D60" s="13" t="n">
        <x:f>IF($I$10=0,$B60,(1-$H$10)*LN(1+$I$10*$B60)/LN(1+$I$10)+$H$10*$B60)</x:f>
        <x:v>0.5272977024971162</x:v>
      </x:c>
      <x:c r="E60" s="13" t="n">
        <x:f>IF($I$11=0,$B60,(1-$H$11)*LN(1+$I$11*$B60)/LN(1+$I$11)+$H$11*$B60)</x:f>
        <x:v>0.6355110163968434</x:v>
      </x:c>
      <x:c r="F60" s="2"/>
      <x:c r="G60" s="2"/>
      <x:c r="H60" s="2"/>
      <x:c r="I60" s="2"/>
      <x:c r="J60" s="2"/>
      <x:c r="K60" s="2"/>
    </x:row>
    <x:row r="61" ht="23" customHeight="1">
      <x:c r="A61" s="2"/>
      <x:c r="B61" s="13" t="n">
        <x:v>0.55</x:v>
      </x:c>
      <x:c r="C61" s="13" t="n">
        <x:f>IF($I$9=0,$B61,(1-$H$9)*LN(1+$I$9*$B61)/LN(1+$I$9)+$H$9*$B61)</x:f>
        <x:v>0.3477506289305038</x:v>
      </x:c>
      <x:c r="D61" s="13" t="n">
        <x:f>IF($I$10=0,$B61,(1-$H$10)*LN(1+$I$10*$B61)/LN(1+$I$10)+$H$10*$B61)</x:f>
        <x:v>0.5373158087490175</x:v>
      </x:c>
      <x:c r="E61" s="13" t="n">
        <x:f>IF($I$11=0,$B61,(1-$H$11)*LN(1+$I$11*$B61)/LN(1+$I$11)+$H$11*$B61)</x:f>
        <x:v>0.6440739889773752</x:v>
      </x:c>
      <x:c r="F61" s="2"/>
      <x:c r="G61" s="2"/>
      <x:c r="H61" s="2"/>
      <x:c r="I61" s="2"/>
      <x:c r="J61" s="2"/>
      <x:c r="K61" s="2"/>
    </x:row>
    <x:row r="62" ht="23" customHeight="1">
      <x:c r="A62" s="2"/>
      <x:c r="B62" s="13" t="n">
        <x:v>0.56</x:v>
      </x:c>
      <x:c r="C62" s="13" t="n">
        <x:f>IF($I$9=0,$B62,(1-$H$9)*LN(1+$I$9*$B62)/LN(1+$I$9)+$H$9*$B62)</x:f>
        <x:v>0.35614654434626797</x:v>
      </x:c>
      <x:c r="D62" s="13" t="n">
        <x:f>IF($I$10=0,$B62,(1-$H$10)*LN(1+$I$10*$B62)/LN(1+$I$10)+$H$10*$B62)</x:f>
        <x:v>0.5473442520995115</x:v>
      </x:c>
      <x:c r="E62" s="13" t="n">
        <x:f>IF($I$11=0,$B62,(1-$H$11)*LN(1+$I$11*$B62)/LN(1+$I$11)+$H$11*$B62)</x:f>
        <x:v>0.652596430191773</x:v>
      </x:c>
      <x:c r="F62" s="2"/>
      <x:c r="G62" s="2"/>
      <x:c r="H62" s="2"/>
      <x:c r="I62" s="2"/>
      <x:c r="J62" s="2"/>
      <x:c r="K62" s="2"/>
    </x:row>
    <x:row r="63" ht="23" customHeight="1">
      <x:c r="A63" s="2"/>
      <x:c r="B63" s="13" t="n">
        <x:v>0.57</x:v>
      </x:c>
      <x:c r="C63" s="13" t="n">
        <x:f>IF($I$9=0,$B63,(1-$H$9)*LN(1+$I$9*$B63)/LN(1+$I$9)+$H$9*$B63)</x:f>
        <x:v>0.36466315810597494</x:v>
      </x:c>
      <x:c r="D63" s="13" t="n">
        <x:f>IF($I$10=0,$B63,(1-$H$10)*LN(1+$I$10*$B63)/LN(1+$I$10)+$H$10*$B63)</x:f>
        <x:v>0.5573831013154209</x:v>
      </x:c>
      <x:c r="E63" s="13" t="n">
        <x:f>IF($I$11=0,$B63,(1-$H$11)*LN(1+$I$11*$B63)/LN(1+$I$11)+$H$11*$B63)</x:f>
        <x:v>0.6610795553683233</x:v>
      </x:c>
      <x:c r="F63" s="2"/>
      <x:c r="G63" s="2"/>
      <x:c r="H63" s="2"/>
      <x:c r="I63" s="2"/>
      <x:c r="J63" s="2"/>
      <x:c r="K63" s="2"/>
    </x:row>
    <x:row r="64" ht="23" customHeight="1">
      <x:c r="A64" s="2"/>
      <x:c r="B64" s="13" t="n">
        <x:v>0.58</x:v>
      </x:c>
      <x:c r="C64" s="13" t="n">
        <x:f>IF($I$9=0,$B64,(1-$H$9)*LN(1+$I$9*$B64)/LN(1+$I$9)+$H$9*$B64)</x:f>
        <x:v>0.3733047707288074</x:v>
      </x:c>
      <x:c r="D64" s="13" t="n">
        <x:f>IF($I$10=0,$B64,(1-$H$10)*LN(1+$I$10*$B64)/LN(1+$I$10)+$H$10*$B64)</x:f>
        <x:v>0.5674324258520597</x:v>
      </x:c>
      <x:c r="E64" s="13" t="n">
        <x:f>IF($I$11=0,$B64,(1-$H$11)*LN(1+$I$11*$B64)/LN(1+$I$11)+$H$11*$B64)</x:f>
        <x:v>0.6695245259795334</x:v>
      </x:c>
      <x:c r="F64" s="2"/>
      <x:c r="G64" s="2"/>
      <x:c r="H64" s="2"/>
      <x:c r="I64" s="2"/>
      <x:c r="J64" s="2"/>
      <x:c r="K64" s="2"/>
    </x:row>
    <x:row r="65" ht="23" customHeight="1">
      <x:c r="A65" s="2"/>
      <x:c r="B65" s="13" t="n">
        <x:v>0.59</x:v>
      </x:c>
      <x:c r="C65" s="13" t="n">
        <x:f>IF($I$9=0,$B65,(1-$H$9)*LN(1+$I$9*$B65)/LN(1+$I$9)+$H$9*$B65)</x:f>
        <x:v>0.3820759167525609</x:v>
      </x:c>
      <x:c r="D65" s="13" t="n">
        <x:f>IF($I$10=0,$B65,(1-$H$10)*LN(1+$I$10*$B65)/LN(1+$I$10)+$H$10*$B65)</x:f>
        <x:v>0.5774922958624532</x:v>
      </x:c>
      <x:c r="E65" s="13" t="n">
        <x:f>IF($I$11=0,$B65,(1-$H$11)*LN(1+$I$11*$B65)/LN(1+$I$11)+$H$11*$B65)</x:f>
        <x:v>0.677932452777937</x:v>
      </x:c>
      <x:c r="F65" s="2"/>
      <x:c r="G65" s="2"/>
      <x:c r="H65" s="2"/>
      <x:c r="I65" s="2"/>
      <x:c r="J65" s="2"/>
      <x:c r="K65" s="2"/>
    </x:row>
    <x:row r="66" ht="23" customHeight="1">
      <x:c r="A66" s="2"/>
      <x:c r="B66" s="13" t="n">
        <x:v>0.6</x:v>
      </x:c>
      <x:c r="C66" s="13" t="n">
        <x:f>IF($I$9=0,$B66,(1-$H$9)*LN(1+$I$9*$B66)/LN(1+$I$9)+$H$9*$B66)</x:f>
        <x:v>0.39098138202706456</x:v>
      </x:c>
      <x:c r="D66" s="13" t="n">
        <x:f>IF($I$10=0,$B66,(1-$H$10)*LN(1+$I$10*$B66)/LN(1+$I$10)+$H$10*$B66)</x:f>
        <x:v>0.5875627822067157</x:v>
      </x:c>
      <x:c r="E66" s="13" t="n">
        <x:f>IF($I$11=0,$B66,(1-$H$11)*LN(1+$I$11*$B66)/LN(1+$I$11)+$H$11*$B66)</x:f>
        <x:v>0.686304398706941</x:v>
      </x:c>
      <x:c r="F66" s="2"/>
      <x:c r="G66" s="2"/>
      <x:c r="H66" s="2"/>
      <x:c r="I66" s="2"/>
      <x:c r="J66" s="2"/>
      <x:c r="K66" s="2"/>
    </x:row>
    <x:row r="67" ht="23" customHeight="1">
      <x:c r="A67" s="2"/>
      <x:c r="B67" s="13" t="n">
        <x:v>0.61</x:v>
      </x:c>
      <x:c r="C67" s="13" t="n">
        <x:f>IF($I$9=0,$B67,(1-$H$9)*LN(1+$I$9*$B67)/LN(1+$I$9)+$H$9*$B67)</x:f>
        <x:v>0.40002622263514476</x:v>
      </x:c>
      <x:c r="D67" s="13" t="n">
        <x:f>IF($I$10=0,$B67,(1-$H$10)*LN(1+$I$10*$B67)/LN(1+$I$10)+$H$10*$B67)</x:f>
        <x:v>0.5976439564615843</x:v>
      </x:c>
      <x:c r="E67" s="13" t="n">
        <x:f>IF($I$11=0,$B67,(1-$H$11)*LN(1+$I$11*$B67)/LN(1+$I$11)+$H$11*$B67)</x:f>
        <x:v>0.6946413816058017</x:v>
      </x:c>
      <x:c r="F67" s="2"/>
      <x:c r="G67" s="2"/>
      <x:c r="H67" s="2"/>
      <x:c r="I67" s="2"/>
      <x:c r="J67" s="2"/>
      <x:c r="K67" s="2"/>
    </x:row>
    <x:row r="68" ht="23" customHeight="1">
      <x:c r="A68" s="2"/>
      <x:c r="B68" s="13" t="n">
        <x:v>0.62</x:v>
      </x:c>
      <x:c r="C68" s="13" t="n">
        <x:f>IF($I$9=0,$B68,(1-$H$9)*LN(1+$I$9*$B68)/LN(1+$I$9)+$H$9*$B68)</x:f>
        <x:v>0.40921578562847294</x:v>
      </x:c>
      <x:c r="D68" s="13" t="n">
        <x:f>IF($I$10=0,$B68,(1-$H$10)*LN(1+$I$10*$B68)/LN(1+$I$10)+$H$10*$B68)</x:f>
        <x:v>0.6077358909301152</x:v>
      </x:c>
      <x:c r="E68" s="13" t="n">
        <x:f>IF($I$11=0,$B68,(1-$H$11)*LN(1+$I$11*$B68)/LN(1+$I$11)+$H$11*$B68)</x:f>
        <x:v>0.7029443767259624</x:v>
      </x:c>
      <x:c r="F68" s="2"/>
      <x:c r="G68" s="2"/>
      <x:c r="H68" s="2"/>
      <x:c r="I68" s="2"/>
      <x:c r="J68" s="2"/>
      <x:c r="K68" s="2"/>
    </x:row>
    <x:row r="69" ht="23" customHeight="1">
      <x:c r="A69" s="2"/>
      <x:c r="B69" s="13" t="n">
        <x:v>0.63</x:v>
      </x:c>
      <x:c r="C69" s="13" t="n">
        <x:f>IF($I$9=0,$B69,(1-$H$9)*LN(1+$I$9*$B69)/LN(1+$I$9)+$H$9*$B69)</x:f>
        <x:v>0.41855573179128747</x:v>
      </x:c>
      <x:c r="D69" s="13" t="n">
        <x:f>IF($I$10=0,$B69,(1-$H$10)*LN(1+$I$10*$B69)/LN(1+$I$10)+$H$10*$B69)</x:f>
        <x:v>0.6178386586515445</x:v>
      </x:c>
      <x:c r="E69" s="13" t="n">
        <x:f>IF($I$11=0,$B69,(1-$H$11)*LN(1+$I$11*$B69)/LN(1+$I$11)+$H$11*$B69)</x:f>
        <x:v>0.7112143190743203</x:v>
      </x:c>
      <x:c r="F69" s="2"/>
      <x:c r="G69" s="2"/>
      <x:c r="H69" s="2"/>
      <x:c r="I69" s="2"/>
      <x:c r="J69" s="2"/>
      <x:c r="K69" s="2"/>
    </x:row>
    <x:row r="70" ht="23" customHeight="1">
      <x:c r="A70" s="2"/>
      <x:c r="B70" s="13" t="n">
        <x:v>0.64</x:v>
      </x:c>
      <x:c r="C70" s="13" t="n">
        <x:f>IF($I$9=0,$B70,(1-$H$9)*LN(1+$I$9*$B70)/LN(1+$I$9)+$H$9*$B70)</x:f>
        <x:v>0.4280520606747278</x:v>
      </x:c>
      <x:c r="D70" s="13" t="n">
        <x:f>IF($I$10=0,$B70,(1-$H$10)*LN(1+$I$10*$B70)/LN(1+$I$10)+$H$10*$B70)</x:f>
        <x:v>0.6279523334113153</x:v>
      </x:c>
      <x:c r="E70" s="13" t="n">
        <x:f>IF($I$11=0,$B70,(1-$H$11)*LN(1+$I$11*$B70)/LN(1+$I$11)+$H$11*$B70)</x:f>
        <x:v>0.7194521055975134</x:v>
      </x:c>
      <x:c r="F70" s="2"/>
      <x:c r="G70" s="2"/>
      <x:c r="H70" s="2"/>
      <x:c r="I70" s="2"/>
      <x:c r="J70" s="2"/>
      <x:c r="K70" s="2"/>
    </x:row>
    <x:row r="71" ht="23" customHeight="1">
      <x:c r="A71" s="2"/>
      <x:c r="B71" s="13" t="n">
        <x:v>0.65</x:v>
      </x:c>
      <x:c r="C71" s="13" t="n">
        <x:f>IF($I$9=0,$B71,(1-$H$9)*LN(1+$I$9*$B71)/LN(1+$I$9)+$H$9*$B71)</x:f>
        <x:v>0.4377111381791061</x:v>
      </x:c>
      <x:c r="D71" s="13" t="n">
        <x:f>IF($I$10=0,$B71,(1-$H$10)*LN(1+$I$10*$B71)/LN(1+$I$10)+$H$10*$B71)</x:f>
        <x:v>0.6380769897512782</x:v>
      </x:c>
      <x:c r="E71" s="13" t="n">
        <x:f>IF($I$11=0,$B71,(1-$H$11)*LN(1+$I$11*$B71)/LN(1+$I$11)+$H$11*$B71)</x:f>
        <x:v>0.7276585972199984</x:v>
      </x:c>
      <x:c r="F71" s="2"/>
      <x:c r="G71" s="2"/>
      <x:c r="H71" s="2"/>
      <x:c r="I71" s="2"/>
      <x:c r="J71" s="2"/>
      <x:c r="K71" s="2"/>
    </x:row>
    <x:row r="72" ht="23" customHeight="1">
      <x:c r="A72" s="2"/>
      <x:c r="B72" s="13" t="n">
        <x:v>0.66</x:v>
      </x:c>
      <x:c r="C72" s="13" t="n">
        <x:f>IF($I$9=0,$B72,(1-$H$9)*LN(1+$I$9*$B72)/LN(1+$I$9)+$H$9*$B72)</x:f>
        <x:v>0.44753972700178024</x:v>
      </x:c>
      <x:c r="D72" s="13" t="n">
        <x:f>IF($I$10=0,$B72,(1-$H$10)*LN(1+$I$10*$B72)/LN(1+$I$10)+$H$10*$B72)</x:f>
        <x:v>0.6482127029800658</x:v>
      </x:c>
      <x:c r="E72" s="13" t="n">
        <x:f>IF($I$11=0,$B72,(1-$H$11)*LN(1+$I$11*$B72)/LN(1+$I$11)+$H$11*$B72)</x:f>
        <x:v>0.7358346207475079</x:v>
      </x:c>
      <x:c r="F72" s="2"/>
      <x:c r="G72" s="2"/>
      <x:c r="H72" s="2"/>
      <x:c r="I72" s="2"/>
      <x:c r="J72" s="2"/>
      <x:c r="K72" s="2"/>
    </x:row>
    <x:row r="73" ht="23" customHeight="1">
      <x:c r="A73" s="2"/>
      <x:c r="B73" s="13" t="n">
        <x:v>0.67</x:v>
      </x:c>
      <x:c r="C73" s="13" t="n">
        <x:f>IF($I$9=0,$B73,(1-$H$9)*LN(1+$I$9*$B73)/LN(1+$I$9)+$H$9*$B73)</x:f>
        <x:v>0.4575450203154837</x:v>
      </x:c>
      <x:c r="D73" s="13" t="n">
        <x:f>IF($I$10=0,$B73,(1-$H$10)*LN(1+$I$10*$B73)/LN(1+$I$10)+$H$10*$B73)</x:f>
        <x:v>0.6583595491836449</x:v>
      </x:c>
      <x:c r="E73" s="13" t="n">
        <x:f>IF($I$11=0,$B73,(1-$H$11)*LN(1+$I$11*$B73)/LN(1+$I$11)+$H$11*$B73)</x:f>
        <x:v>0.7439809706464192</x:v>
      </x:c>
      <x:c r="F73" s="2"/>
      <x:c r="G73" s="2"/>
      <x:c r="H73" s="2"/>
      <x:c r="I73" s="2"/>
      <x:c r="J73" s="2"/>
      <x:c r="K73" s="2"/>
    </x:row>
    <x:row r="74" ht="23" customHeight="1">
      <x:c r="A74" s="2"/>
      <x:c r="B74" s="13" t="n">
        <x:v>0.68</x:v>
      </x:c>
      <x:c r="C74" s="13" t="n">
        <x:f>IF($I$9=0,$B74,(1-$H$9)*LN(1+$I$9*$B74)/LN(1+$I$9)+$H$9*$B74)</x:f>
        <x:v>0.4677346790973369</x:v>
      </x:c>
      <x:c r="D74" s="13" t="n">
        <x:f>IF($I$10=0,$B74,(1-$H$10)*LN(1+$I$10*$B74)/LN(1+$I$10)+$H$10*$B74)</x:f>
        <x:v>0.6685176052360529</x:v>
      </x:c>
      <x:c r="E74" s="13" t="n">
        <x:f>IF($I$11=0,$B74,(1-$H$11)*LN(1+$I$11*$B74)/LN(1+$I$11)+$H$11*$B74)</x:f>
        <x:v>0.7520984107086162</x:v>
      </x:c>
      <x:c r="F74" s="2"/>
      <x:c r="G74" s="2"/>
      <x:c r="H74" s="2"/>
      <x:c r="I74" s="2"/>
      <x:c r="J74" s="2"/>
      <x:c r="K74" s="2"/>
    </x:row>
    <x:row r="75" ht="23" customHeight="1">
      <x:c r="A75" s="2"/>
      <x:c r="B75" s="13" t="n">
        <x:v>0.69</x:v>
      </x:c>
      <x:c r="C75" s="13" t="n">
        <x:f>IF($I$9=0,$B75,(1-$H$9)*LN(1+$I$9*$B75)/LN(1+$I$9)+$H$9*$B75)</x:f>
        <x:v>0.47811687359396</x:v>
      </x:c>
      <x:c r="D75" s="13" t="n">
        <x:f>IF($I$10=0,$B75,(1-$H$10)*LN(1+$I$10*$B75)/LN(1+$I$10)+$H$10*$B75)</x:f>
        <x:v>0.6786869488103172</x:v>
      </x:c>
      <x:c r="E75" s="13" t="n">
        <x:f>IF($I$11=0,$B75,(1-$H$11)*LN(1+$I$11*$B75)/LN(1+$I$11)+$H$11*$B75)</x:f>
        <x:v>0.7601876756105751</x:v>
      </x:c>
      <x:c r="F75" s="2"/>
      <x:c r="G75" s="2"/>
      <x:c r="H75" s="2"/>
      <x:c r="I75" s="2"/>
      <x:c r="J75" s="2"/>
      <x:c r="K75" s="2"/>
    </x:row>
    <x:row r="76" ht="23" customHeight="1">
      <x:c r="A76" s="2"/>
      <x:c r="B76" s="13" t="n">
        <x:v>0.7</x:v>
      </x:c>
      <x:c r="C76" s="13" t="n">
        <x:f>IF($I$9=0,$B76,(1-$H$9)*LN(1+$I$9*$B76)/LN(1+$I$9)+$H$9*$B76)</x:f>
        <x:v>0.4887003294851143</x:v>
      </x:c>
      <x:c r="D76" s="13" t="n">
        <x:f>IF($I$10=0,$B76,(1-$H$10)*LN(1+$I$10*$B76)/LN(1+$I$10)+$H$10*$B76)</x:f>
        <x:v>0.688867658389568</x:v>
      </x:c>
      <x:c r="E76" s="13" t="n">
        <x:f>IF($I$11=0,$B76,(1-$H$11)*LN(1+$I$11*$B76)/LN(1+$I$11)+$H$11*$B76)</x:f>
        <x:v>0.7682494723746394</x:v>
      </x:c>
      <x:c r="F76" s="2"/>
      <x:c r="G76" s="2"/>
      <x:c r="H76" s="2"/>
      <x:c r="I76" s="2"/>
      <x:c r="J76" s="2"/>
      <x:c r="K76" s="2"/>
    </x:row>
    <x:row r="77" ht="23" customHeight="1">
      <x:c r="A77" s="2"/>
      <x:c r="B77" s="13" t="n">
        <x:v>0.71</x:v>
      </x:c>
      <x:c r="C77" s="13" t="n">
        <x:f>IF($I$9=0,$B77,(1-$H$9)*LN(1+$I$9*$B77)/LN(1+$I$9)+$H$9*$B77)</x:f>
        <x:v>0.4994943793996006</x:v>
      </x:c>
      <x:c r="D77" s="13" t="n">
        <x:f>IF($I$10=0,$B77,(1-$H$10)*LN(1+$I$10*$B77)/LN(1+$I$10)+$H$10*$B77)</x:f>
        <x:v>0.6990598132783415</x:v>
      </x:c>
      <x:c r="E77" s="13" t="n">
        <x:f>IF($I$11=0,$B77,(1-$H$11)*LN(1+$I$11*$B77)/LN(1+$I$11)+$H$11*$B77)</x:f>
        <x:v>0.7762844817397518</x:v>
      </x:c>
      <x:c r="F77" s="2"/>
      <x:c r="G77" s="2"/>
      <x:c r="H77" s="2"/>
      <x:c r="I77" s="2"/>
      <x:c r="J77" s="2"/>
      <x:c r="K77" s="2"/>
    </x:row>
    <x:row r="78" ht="23" customHeight="1">
      <x:c r="A78" s="2"/>
      <x:c r="B78" s="13" t="n">
        <x:v>0.72</x:v>
      </x:c>
      <x:c r="C78" s="13" t="n">
        <x:f>IF($I$9=0,$B78,(1-$H$9)*LN(1+$I$9*$B78)/LN(1+$I$9)+$H$9*$B78)</x:f>
        <x:v>0.5105090205457832</x:v>
      </x:c>
      <x:c r="D78" s="13" t="n">
        <x:f>IF($I$10=0,$B78,(1-$H$10)*LN(1+$I$10*$B78)/LN(1+$I$10)+$H$10*$B78)</x:f>
        <x:v>0.7092634936140836</x:v>
      </x:c>
      <x:c r="E78" s="13" t="n">
        <x:f>IF($I$11=0,$B78,(1-$H$11)*LN(1+$I$11*$B78)/LN(1+$I$11)+$H$11*$B78)</x:f>
        <x:v>0.7842933594482981</x:v>
      </x:c>
      <x:c r="F78" s="2"/>
      <x:c r="G78" s="2"/>
      <x:c r="H78" s="2"/>
      <x:c r="I78" s="2"/>
      <x:c r="J78" s="2"/>
      <x:c r="K78" s="2"/>
    </x:row>
    <x:row r="79" ht="23" customHeight="1">
      <x:c r="A79" s="2"/>
      <x:c r="B79" s="13" t="n">
        <x:v>0.73</x:v>
      </x:c>
      <x:c r="C79" s="13" t="n">
        <x:f>IF($I$9=0,$B79,(1-$H$9)*LN(1+$I$9*$B79)/LN(1+$I$9)+$H$9*$B79)</x:f>
        <x:v>0.5217549793488844</x:v>
      </x:c>
      <x:c r="D79" s="13" t="n">
        <x:f>IF($I$10=0,$B79,(1-$H$10)*LN(1+$I$10*$B79)/LN(1+$I$10)+$H$10*$B79)</x:f>
        <x:v>0.7194787803788536</x:v>
      </x:c>
      <x:c r="E79" s="13" t="n">
        <x:f>IF($I$11=0,$B79,(1-$H$11)*LN(1+$I$11*$B79)/LN(1+$I$11)+$H$11*$B79)</x:f>
        <x:v>0.7922767374551467</x:v>
      </x:c>
      <x:c r="F79" s="2"/>
      <x:c r="G79" s="2"/>
      <x:c r="H79" s="2"/>
      <x:c r="I79" s="2"/>
      <x:c r="J79" s="2"/>
      <x:c r="K79" s="2"/>
    </x:row>
    <x:row r="80" ht="23" customHeight="1">
      <x:c r="A80" s="2"/>
      <x:c r="B80" s="13" t="n">
        <x:v>0.74</x:v>
      </x:c>
      <x:c r="C80" s="13" t="n">
        <x:f>IF($I$9=0,$B80,(1-$H$9)*LN(1+$I$9*$B80)/LN(1+$I$9)+$H$9*$B80)</x:f>
        <x:v>0.5332437841428447</x:v>
      </x:c>
      <x:c r="D80" s="13" t="n">
        <x:f>IF($I$10=0,$B80,(1-$H$10)*LN(1+$I$10*$B80)/LN(1+$I$10)+$H$10*$B80)</x:f>
        <x:v>0.7297057554112361</x:v>
      </x:c>
      <x:c r="E80" s="13" t="n">
        <x:f>IF($I$11=0,$B80,(1-$H$11)*LN(1+$I$11*$B80)/LN(1+$I$11)+$H$11*$B80)</x:f>
        <x:v>0.8002352250644604</x:v>
      </x:c>
      <x:c r="F80" s="2"/>
      <x:c r="G80" s="2"/>
      <x:c r="H80" s="2"/>
      <x:c r="I80" s="2"/>
      <x:c r="J80" s="2"/>
      <x:c r="K80" s="2"/>
    </x:row>
    <x:row r="81" ht="23" customHeight="1">
      <x:c r="A81" s="2"/>
      <x:c r="B81" s="13" t="n">
        <x:v>0.75</x:v>
      </x:c>
      <x:c r="C81" s="13" t="n">
        <x:f>IF($I$9=0,$B81,(1-$H$9)*LN(1+$I$9*$B81)/LN(1+$I$9)+$H$9*$B81)</x:f>
        <x:v>0.5449878471520361</x:v>
      </x:c>
      <x:c r="D81" s="13" t="n">
        <x:f>IF($I$10=0,$B81,(1-$H$10)*LN(1+$I$10*$B81)/LN(1+$I$10)+$H$10*$B81)</x:f>
        <x:v>0.7399445014184621</x:v>
      </x:c>
      <x:c r="E81" s="13" t="n">
        <x:f>IF($I$11=0,$B81,(1-$H$11)*LN(1+$I$11*$B81)/LN(1+$I$11)+$H$11*$B81)</x:f>
        <x:v>0.8081694099993998</x:v>
      </x:c>
      <x:c r="F81" s="2"/>
      <x:c r="G81" s="2"/>
      <x:c r="H81" s="2"/>
      <x:c r="I81" s="2"/>
      <x:c r="J81" s="2"/>
      <x:c r="K81" s="2"/>
    </x:row>
    <x:row r="82" ht="23" customHeight="1">
      <x:c r="A82" s="2"/>
      <x:c r="B82" s="13" t="n">
        <x:v>0.76</x:v>
      </x:c>
      <x:c r="C82" s="13" t="n">
        <x:f>IF($I$9=0,$B82,(1-$H$9)*LN(1+$I$9*$B82)/LN(1+$I$9)+$H$9*$B82)</x:f>
        <x:v>0.5570005572249473</x:v>
      </x:c>
      <x:c r="D82" s="13" t="n">
        <x:f>IF($I$10=0,$B82,(1-$H$10)*LN(1+$I$10*$B82)/LN(1+$I$10)+$H$10*$B82)</x:f>
        <x:v>0.7501951019887467</x:v>
      </x:c>
      <x:c r="E82" s="13" t="n">
        <x:f>IF($I$11=0,$B82,(1-$H$11)*LN(1+$I$11*$B82)/LN(1+$I$11)+$H$11*$B82)</x:f>
        <x:v>0.8160798594094159</x:v>
      </x:c>
      <x:c r="F82" s="2"/>
      <x:c r="G82" s="2"/>
      <x:c r="H82" s="2"/>
      <x:c r="I82" s="2"/>
      <x:c r="J82" s="2"/>
      <x:c r="K82" s="2"/>
    </x:row>
    <x:row r="83" ht="23" customHeight="1">
      <x:c r="A83" s="2"/>
      <x:c r="B83" s="13" t="n">
        <x:v>0.77</x:v>
      </x:c>
      <x:c r="C83" s="13" t="n">
        <x:f>IF($I$9=0,$B83,(1-$H$9)*LN(1+$I$9*$B83)/LN(1+$I$9)+$H$9*$B83)</x:f>
        <x:v>0.5692963850576798</x:v>
      </x:c>
      <x:c r="D83" s="13" t="n">
        <x:f>IF($I$10=0,$B83,(1-$H$10)*LN(1+$I$10*$B83)/LN(1+$I$10)+$H$10*$B83)</x:f>
        <x:v>0.7604576416038447</x:v>
      </x:c>
      <x:c r="E83" s="13" t="n">
        <x:f>IF($I$11=0,$B83,(1-$H$11)*LN(1+$I$11*$B83)/LN(1+$I$11)+$H$11*$B83)</x:f>
        <x:v>0.823967120819449</x:v>
      </x:c>
      <x:c r="F83" s="2"/>
      <x:c r="G83" s="2"/>
      <x:c r="H83" s="2"/>
      <x:c r="I83" s="2"/>
      <x:c r="J83" s="2"/>
      <x:c r="K83" s="2"/>
    </x:row>
    <x:row r="84" ht="23" customHeight="1">
      <x:c r="A84" s="2"/>
      <x:c r="B84" s="13" t="n">
        <x:v>0.78</x:v>
      </x:c>
      <x:c r="C84" s="13" t="n">
        <x:f>IF($I$9=0,$B84,(1-$H$9)*LN(1+$I$9*$B84)/LN(1+$I$9)+$H$9*$B84)</x:f>
        <x:v>0.5818910029818959</x:v>
      </x:c>
      <x:c r="D84" s="13" t="n">
        <x:f>IF($I$10=0,$B84,(1-$H$10)*LN(1+$I$10*$B84)/LN(1+$I$10)+$H$10*$B84)</x:f>
        <x:v>0.7707322056518326</x:v>
      </x:c>
      <x:c r="E84" s="13" t="n">
        <x:f>IF($I$11=0,$B84,(1-$H$11)*LN(1+$I$11*$B84)/LN(1+$I$11)+$H$11*$B84)</x:f>
        <x:v>0.8318317230250118</x:v>
      </x:c>
      <x:c r="F84" s="2"/>
      <x:c r="G84" s="2"/>
      <x:c r="H84" s="2"/>
      <x:c r="I84" s="2"/>
      <x:c r="J84" s="2"/>
      <x:c r="K84" s="2"/>
    </x:row>
    <x:row r="85" ht="23" customHeight="1">
      <x:c r="A85" s="2"/>
      <x:c r="B85" s="13" t="n">
        <x:v>0.79</x:v>
      </x:c>
      <x:c r="C85" s="13" t="n">
        <x:f>IF($I$9=0,$B85,(1-$H$9)*LN(1+$I$9*$B85)/LN(1+$I$9)+$H$9*$B85)</x:f>
        <x:v>0.5948014218053768</x:v>
      </x:c>
      <x:c r="D85" s="13" t="n">
        <x:f>IF($I$10=0,$B85,(1-$H$10)*LN(1+$I$10*$B85)/LN(1+$I$10)+$H$10*$B85)</x:f>
        <x:v>0.7810188804401192</x:v>
      </x:c>
      <x:c r="E85" s="13" t="n">
        <x:f>IF($I$11=0,$B85,(1-$H$11)*LN(1+$I$11*$B85)/LN(1+$I$11)+$H$11*$B85)</x:f>
        <x:v>0.8396741769368152</x:v>
      </x:c>
      <x:c r="F85" s="2"/>
      <x:c r="G85" s="2"/>
      <x:c r="H85" s="2"/>
      <x:c r="I85" s="2"/>
      <x:c r="J85" s="2"/>
      <x:c r="K85" s="2"/>
    </x:row>
    <x:row r="86" ht="23" customHeight="1">
      <x:c r="A86" s="2"/>
      <x:c r="B86" s="13" t="n">
        <x:v>0.8</x:v>
      </x:c>
      <x:c r="C86" s="13" t="n">
        <x:f>IF($I$9=0,$B86,(1-$H$9)*LN(1+$I$9*$B86)/LN(1+$I$9)+$H$9*$B86)</x:f>
        <x:v>0.6080461477038351</x:v>
      </x:c>
      <x:c r="D86" s="13" t="n">
        <x:f>IF($I$10=0,$B86,(1-$H$10)*LN(1+$I$10*$B86)/LN(1+$I$10)+$H$10*$B86)</x:f>
        <x:v>0.7913177532086898</x:v>
      </x:c>
      <x:c r="E86" s="13" t="n">
        <x:f>IF($I$11=0,$B86,(1-$H$11)*LN(1+$I$11*$B86)/LN(1+$I$11)+$H$11*$B86)</x:f>
        <x:v>0.8474949763783133</x:v>
      </x:c>
      <x:c r="F86" s="2"/>
      <x:c r="G86" s="2"/>
      <x:c r="H86" s="2"/>
      <x:c r="I86" s="2"/>
      <x:c r="J86" s="2"/>
      <x:c r="K86" s="2"/>
    </x:row>
    <x:row r="87" ht="23" customHeight="1">
      <x:c r="A87" s="2"/>
      <x:c r="B87" s="13" t="n">
        <x:v>0.81</x:v>
      </x:c>
      <x:c r="C87" s="13" t="n">
        <x:f>IF($I$9=0,$B87,(1-$H$9)*LN(1+$I$9*$B87)/LN(1+$I$9)+$H$9*$B87)</x:f>
        <x:v>0.6216453627964404</x:v>
      </x:c>
      <x:c r="D87" s="13" t="n">
        <x:f>IF($I$10=0,$B87,(1-$H$10)*LN(1+$I$10*$B87)/LN(1+$I$10)+$H$10*$B87)</x:f>
        <x:v>0.8016289121435919</x:v>
      </x:c>
      <x:c r="E87" s="13" t="n">
        <x:f>IF($I$11=0,$B87,(1-$H$11)*LN(1+$I$11*$B87)/LN(1+$I$11)+$H$11*$B87)</x:f>
        <x:v>0.8552945988392799</x:v>
      </x:c>
      <x:c r="F87" s="2"/>
      <x:c r="G87" s="2"/>
      <x:c r="H87" s="2"/>
      <x:c r="I87" s="2"/>
      <x:c r="J87" s="2"/>
      <x:c r="K87" s="2"/>
    </x:row>
    <x:row r="88" ht="23" customHeight="1">
      <x:c r="A88" s="2"/>
      <x:c r="B88" s="13" t="n">
        <x:v>0.82</x:v>
      </x:c>
      <x:c r="C88" s="13" t="n">
        <x:f>IF($I$9=0,$B88,(1-$H$9)*LN(1+$I$9*$B88)/LN(1+$I$9)+$H$9*$B88)</x:f>
        <x:v>0.6356211338291959</x:v>
      </x:c>
      <x:c r="D88" s="13" t="n">
        <x:f>IF($I$10=0,$B88,(1-$H$10)*LN(1+$I$10*$B88)/LN(1+$I$10)+$H$10*$B88)</x:f>
        <x:v>0.8119524463906622</x:v>
      </x:c>
      <x:c r="E88" s="13" t="n">
        <x:f>IF($I$11=0,$B88,(1-$H$11)*LN(1+$I$11*$B88)/LN(1+$I$11)+$H$11*$B88)</x:f>
        <x:v>0.8630735061882976</x:v>
      </x:c>
      <x:c r="F88" s="2"/>
      <x:c r="G88" s="2"/>
      <x:c r="H88" s="2"/>
      <x:c r="I88" s="2"/>
      <x:c r="J88" s="2"/>
      <x:c r="K88" s="2"/>
    </x:row>
    <x:row r="89" ht="23" customHeight="1">
      <x:c r="A89" s="2"/>
      <x:c r="B89" s="13" t="n">
        <x:v>0.83</x:v>
      </x:c>
      <x:c r="C89" s="13" t="n">
        <x:f>IF($I$9=0,$B89,(1-$H$9)*LN(1+$I$9*$B89)/LN(1+$I$9)+$H$9*$B89)</x:f>
        <x:v>0.649997654385563</x:v>
      </x:c>
      <x:c r="D89" s="13" t="n">
        <x:f>IF($I$10=0,$B89,(1-$H$10)*LN(1+$I$10*$B89)/LN(1+$I$10)+$H$10*$B89)</x:f>
        <x:v>0.8222884460695065</x:v>
      </x:c>
      <x:c r="E89" s="13" t="n">
        <x:f>IF($I$11=0,$B89,(1-$H$11)*LN(1+$I$11*$B89)/LN(1+$I$11)+$H$11*$B89)</x:f>
        <x:v>0.8708321453468141</x:v>
      </x:c>
      <x:c r="F89" s="2"/>
      <x:c r="G89" s="2"/>
      <x:c r="H89" s="2"/>
      <x:c r="I89" s="2"/>
      <x:c r="J89" s="2"/>
      <x:c r="K89" s="2"/>
    </x:row>
    <x:row r="90" ht="23" customHeight="1">
      <x:c r="A90" s="2"/>
      <x:c r="B90" s="13" t="n">
        <x:v>0.84</x:v>
      </x:c>
      <x:c r="C90" s="13" t="n">
        <x:f>IF($I$9=0,$B90,(1-$H$9)*LN(1+$I$9*$B90)/LN(1+$I$9)+$H$9*$B90)</x:f>
        <x:v>0.6648015273033417</x:v>
      </x:c>
      <x:c r="D90" s="13" t="n">
        <x:f>IF($I$10=0,$B90,(1-$H$10)*LN(1+$I$10*$B90)/LN(1+$I$10)+$H$10*$B90)</x:f>
        <x:v>0.8326370022877343</x:v>
      </x:c>
      <x:c r="E90" s="13" t="n">
        <x:f>IF($I$11=0,$B90,(1-$H$11)*LN(1+$I$11*$B90)/LN(1+$I$11)+$H$11*$B90)</x:f>
        <x:v>0.8785709489272302</x:v>
      </x:c>
      <x:c r="F90" s="2"/>
      <x:c r="G90" s="2"/>
      <x:c r="H90" s="2"/>
      <x:c r="I90" s="2"/>
      <x:c r="J90" s="2"/>
      <x:c r="K90" s="2"/>
    </x:row>
    <x:row r="91" ht="23" customHeight="1">
      <x:c r="A91" s="2"/>
      <x:c r="B91" s="13" t="n">
        <x:v>0.85</x:v>
      </x:c>
      <x:c r="C91" s="13" t="n">
        <x:f>IF($I$9=0,$B91,(1-$H$9)*LN(1+$I$9*$B91)/LN(1+$I$9)+$H$9*$B91)</x:f>
        <x:v>0.6800620955826049</x:v>
      </x:c>
      <x:c r="D91" s="13" t="n">
        <x:f>IF($I$10=0,$B91,(1-$H$10)*LN(1+$I$10*$B91)/LN(1+$I$10)+$H$10*$B91)</x:f>
        <x:v>0.842998207155453</x:v>
      </x:c>
      <x:c r="E91" s="13" t="n">
        <x:f>IF($I$11=0,$B91,(1-$H$11)*LN(1+$I$11*$B91)/LN(1+$I$11)+$H$11*$B91)</x:f>
        <x:v>0.8862903358372978</x:v>
      </x:c>
      <x:c r="F91" s="2"/>
      <x:c r="G91" s="2"/>
      <x:c r="H91" s="2"/>
      <x:c r="I91" s="2"/>
      <x:c r="J91" s="2"/>
      <x:c r="K91" s="2"/>
    </x:row>
    <x:row r="92" ht="23" customHeight="1">
      <x:c r="A92" s="2"/>
      <x:c r="B92" s="13" t="n">
        <x:v>0.86</x:v>
      </x:c>
      <x:c r="C92" s="13" t="n">
        <x:f>IF($I$9=0,$B92,(1-$H$9)*LN(1+$I$9*$B92)/LN(1+$I$9)+$H$9*$B92)</x:f>
        <x:v>0.6958118321321696</x:v>
      </x:c>
      <x:c r="D92" s="13" t="n">
        <x:f>IF($I$10=0,$B92,(1-$H$10)*LN(1+$I$10*$B92)/LN(1+$I$10)+$H$10*$B92)</x:f>
        <x:v>0.8533721538000311</x:v>
      </x:c>
      <x:c r="E92" s="13" t="n">
        <x:f>IF($I$11=0,$B92,(1-$H$11)*LN(1+$I$11*$B92)/LN(1+$I$11)+$H$11*$B92)</x:f>
        <x:v>0.8939907118529389</x:v>
      </x:c>
      <x:c r="F92" s="2"/>
      <x:c r="G92" s="2"/>
      <x:c r="H92" s="2"/>
      <x:c r="I92" s="2"/>
      <x:c r="J92" s="2"/>
      <x:c r="K92" s="2"/>
    </x:row>
    <x:row r="93" ht="23" customHeight="1">
      <x:c r="A93" s="2"/>
      <x:c r="B93" s="13" t="n">
        <x:v>0.87</x:v>
      </x:c>
      <x:c r="C93" s="13" t="n">
        <x:f>IF($I$9=0,$B93,(1-$H$9)*LN(1+$I$9*$B93)/LN(1+$I$9)+$H$9*$B93)</x:f>
        <x:v>0.7120868013734576</x:v>
      </x:c>
      <x:c r="D93" s="13" t="n">
        <x:f>IF($I$10=0,$B93,(1-$H$10)*LN(1+$I$10*$B93)/LN(1+$I$10)+$H$10*$B93)</x:f>
        <x:v>0.8637589363811319</x:v>
      </x:c>
      <x:c r="E93" s="13" t="n">
        <x:f>IF($I$11=0,$B93,(1-$H$11)*LN(1+$I$11*$B93)/LN(1+$I$11)+$H$11*$B93)</x:f>
        <x:v>0.9016724701614456</x:v>
      </x:c>
      <x:c r="F93" s="2"/>
      <x:c r="G93" s="2"/>
      <x:c r="H93" s="2"/>
      <x:c r="I93" s="2"/>
      <x:c r="J93" s="2"/>
      <x:c r="K93" s="2"/>
    </x:row>
    <x:row r="94" ht="23" customHeight="1">
      <x:c r="A94" s="2"/>
      <x:c r="B94" s="13" t="n">
        <x:v>0.88</x:v>
      </x:c>
      <x:c r="C94" s="13" t="n">
        <x:f>IF($I$9=0,$B94,(1-$H$9)*LN(1+$I$9*$B94)/LN(1+$I$9)+$H$9*$B94)</x:f>
        <x:v>0.7289272092104019</x:v>
      </x:c>
      <x:c r="D94" s="13" t="n">
        <x:f>IF($I$10=0,$B94,(1-$H$10)*LN(1+$I$10*$B94)/LN(1+$I$10)+$H$10*$B94)</x:f>
        <x:v>0.874158650106028</x:v>
      </x:c>
      <x:c r="E94" s="13" t="n">
        <x:f>IF($I$11=0,$B94,(1-$H$11)*LN(1+$I$11*$B94)/LN(1+$I$11)+$H$11*$B94)</x:f>
        <x:v>0.9093359918768817</x:v>
      </x:c>
      <x:c r="F94" s="2"/>
      <x:c r="G94" s="2"/>
      <x:c r="H94" s="2"/>
      <x:c r="I94" s="2"/>
      <x:c r="J94" s="2"/>
      <x:c r="K94" s="2"/>
    </x:row>
    <x:row r="95" ht="23" customHeight="1">
      <x:c r="A95" s="2"/>
      <x:c r="B95" s="13" t="n">
        <x:v>0.89</x:v>
      </x:c>
      <x:c r="C95" s="13" t="n">
        <x:f>IF($I$9=0,$B95,(1-$H$9)*LN(1+$I$9*$B95)/LN(1+$I$9)+$H$9*$B95)</x:f>
        <x:v>0.7463780624756815</x:v>
      </x:c>
      <x:c r="D95" s="13" t="n">
        <x:f>IF($I$10=0,$B95,(1-$H$10)*LN(1+$I$10*$B95)/LN(1+$I$10)+$H$10*$B95)</x:f>
        <x:v>0.8845713912451998</x:v>
      </x:c>
      <x:c r="E95" s="13" t="n">
        <x:f>IF($I$11=0,$B95,(1-$H$11)*LN(1+$I$11*$B95)/LN(1+$I$11)+$H$11*$B95)</x:f>
        <x:v>0.9169816465293736</x:v>
      </x:c>
      <x:c r="F95" s="2"/>
      <x:c r="G95" s="2"/>
      <x:c r="H95" s="2"/>
      <x:c r="I95" s="2"/>
      <x:c r="J95" s="2"/>
      <x:c r="K95" s="2"/>
    </x:row>
    <x:row r="96" ht="23" customHeight="1">
      <x:c r="A96" s="2"/>
      <x:c r="B96" s="13" t="n">
        <x:v>0.9</x:v>
      </x:c>
      <x:c r="C96" s="13" t="n">
        <x:f>IF($I$9=0,$B96,(1-$H$9)*LN(1+$I$9*$B96)/LN(1+$I$9)+$H$9*$B96)</x:f>
        <x:v>0.764489965092123</x:v>
      </x:c>
      <x:c r="D96" s="13" t="n">
        <x:f>IF($I$10=0,$B96,(1-$H$10)*LN(1+$I$10*$B96)/LN(1+$I$10)+$H$10*$B96)</x:f>
        <x:v>0.8949972571482245</x:v>
      </x:c>
      <x:c r="E96" s="13" t="n">
        <x:f>IF($I$11=0,$B96,(1-$H$11)*LN(1+$I$11*$B96)/LN(1+$I$11)+$H$11*$B96)</x:f>
        <x:v>0.9246097925298623</x:v>
      </x:c>
      <x:c r="F96" s="2"/>
      <x:c r="G96" s="2"/>
      <x:c r="H96" s="2"/>
      <x:c r="I96" s="2"/>
      <x:c r="J96" s="2"/>
      <x:c r="K96" s="2"/>
    </x:row>
    <x:row r="97" ht="23" customHeight="1">
      <x:c r="A97" s="2"/>
      <x:c r="B97" s="13" t="n">
        <x:v>0.91</x:v>
      </x:c>
      <x:c r="C97" s="13" t="n">
        <x:f>IF($I$9=0,$B97,(1-$H$9)*LN(1+$I$9*$B97)/LN(1+$I$9)+$H$9*$B97)</x:f>
        <x:v>0.7833200864382883</x:v>
      </x:c>
      <x:c r="D97" s="13" t="n">
        <x:f>IF($I$10=0,$B97,(1-$H$10)*LN(1+$I$10*$B97)/LN(1+$I$10)+$H$10*$B97)</x:f>
        <x:v>0.9054363462599663</x:v>
      </x:c>
      <x:c r="E97" s="13" t="n">
        <x:f>IF($I$11=0,$B97,(1-$H$11)*LN(1+$I$11*$B97)/LN(1+$I$11)+$H$11*$B97)</x:f>
        <x:v>0.9322207776117805</x:v>
      </x:c>
      <x:c r="F97" s="2"/>
      <x:c r="G97" s="2"/>
      <x:c r="H97" s="2"/>
      <x:c r="I97" s="2"/>
      <x:c r="J97" s="2"/>
      <x:c r="K97" s="2"/>
    </x:row>
    <x:row r="98" ht="23" customHeight="1">
      <x:c r="A98" s="2"/>
      <x:c r="B98" s="13" t="n">
        <x:v>0.92</x:v>
      </x:c>
      <x:c r="C98" s="13" t="n">
        <x:f>IF($I$9=0,$B98,(1-$H$9)*LN(1+$I$9*$B98)/LN(1+$I$9)+$H$9*$B98)</x:f>
        <x:v>0.8029333486429839</x:v>
      </x:c>
      <x:c r="D98" s="13" t="n">
        <x:f>IF($I$10=0,$B98,(1-$H$10)*LN(1+$I$10*$B98)/LN(1+$I$10)+$H$10*$B98)</x:f>
        <x:v>0.9158887581370665</x:v>
      </x:c>
      <x:c r="E98" s="13" t="n">
        <x:f>IF($I$11=0,$B98,(1-$H$11)*LN(1+$I$11*$B98)/LN(1+$I$11)+$H$11*$B98)</x:f>
        <x:v>0.9398149392510133</x:v>
      </x:c>
      <x:c r="F98" s="2"/>
      <x:c r="G98" s="2"/>
      <x:c r="H98" s="2"/>
      <x:c r="I98" s="2"/>
      <x:c r="J98" s="2"/>
      <x:c r="K98" s="2"/>
    </x:row>
    <x:row r="99" ht="23" customHeight="1">
      <x:c r="A99" s="2"/>
      <x:c r="B99" s="13" t="n">
        <x:v>0.93</x:v>
      </x:c>
      <x:c r="C99" s="13" t="n">
        <x:f>IF($I$9=0,$B99,(1-$H$9)*LN(1+$I$9*$B99)/LN(1+$I$9)+$H$9*$B99)</x:f>
        <x:v>0.8234038950278204</x:v>
      </x:c>
      <x:c r="D99" s="13" t="n">
        <x:f>IF($I$10=0,$B99,(1-$H$10)*LN(1+$I$10*$B99)/LN(1+$I$10)+$H$10*$B99)</x:f>
        <x:v>0.9263545934647497</x:v>
      </x:c>
      <x:c r="E99" s="13" t="n">
        <x:f>IF($I$11=0,$B99,(1-$H$11)*LN(1+$I$11*$B99)/LN(1+$I$11)+$H$11*$B99)</x:f>
        <x:v>0.9473926050654141</x:v>
      </x:c>
      <x:c r="F99" s="2"/>
      <x:c r="G99" s="2"/>
      <x:c r="H99" s="2"/>
      <x:c r="I99" s="2"/>
      <x:c r="J99" s="2"/>
      <x:c r="K99" s="2"/>
    </x:row>
    <x:row r="100" ht="23" customHeight="1">
      <x:c r="A100" s="2"/>
      <x:c r="B100" s="13" t="n">
        <x:v>0.94</x:v>
      </x:c>
      <x:c r="C100" s="13" t="n">
        <x:f>IF($I$9=0,$B100,(1-$H$9)*LN(1+$I$9*$B100)/LN(1+$I$9)+$H$9*$B100)</x:f>
        <x:v>0.8448169235767713</x:v>
      </x:c>
      <x:c r="D100" s="13" t="n">
        <x:f>IF($I$10=0,$B100,(1-$H$10)*LN(1+$I$10*$B100)/LN(1+$I$10)+$H$10*$B100)</x:f>
        <x:v>0.9368339540739462</x:v>
      </x:c>
      <x:c r="E100" s="13" t="n">
        <x:f>IF($I$11=0,$B100,(1-$H$11)*LN(1+$I$11*$B100)/LN(1+$I$11)+$H$11*$B100)</x:f>
        <x:v>0.9549540931950562</x:v>
      </x:c>
      <x:c r="F100" s="2"/>
      <x:c r="G100" s="2"/>
      <x:c r="H100" s="2"/>
      <x:c r="I100" s="2"/>
      <x:c r="J100" s="2"/>
      <x:c r="K100" s="2"/>
    </x:row>
    <x:row r="101" ht="23" customHeight="1">
      <x:c r="A101" s="2"/>
      <x:c r="B101" s="13" t="n">
        <x:v>0.95</x:v>
      </x:c>
      <x:c r="C101" s="13" t="n">
        <x:f>IF($I$9=0,$B101,(1-$H$9)*LN(1+$I$9*$B101)/LN(1+$I$9)+$H$9*$B101)</x:f>
        <x:v>0.8672710000419624</x:v>
      </x:c>
      <x:c r="D101" s="13" t="n">
        <x:f>IF($I$10=0,$B101,(1-$H$10)*LN(1+$I$10*$B101)/LN(1+$I$10)+$H$10*$B101)</x:f>
        <x:v>0.9473269429587405</x:v>
      </x:c>
      <x:c r="E101" s="13" t="n">
        <x:f>IF($I$11=0,$B101,(1-$H$11)*LN(1+$I$11*$B101)/LN(1+$I$11)+$H$11*$B101)</x:f>
        <x:v>0.9624997126643253</x:v>
      </x:c>
      <x:c r="F101" s="2"/>
      <x:c r="G101" s="2"/>
      <x:c r="H101" s="2"/>
      <x:c r="I101" s="2"/>
      <x:c r="J101" s="2"/>
      <x:c r="K101" s="2"/>
    </x:row>
    <x:row r="102" ht="23" customHeight="1">
      <x:c r="A102" s="2"/>
      <x:c r="B102" s="13" t="n">
        <x:v>0.96</x:v>
      </x:c>
      <x:c r="C102" s="13" t="n">
        <x:f>IF($I$9=0,$B102,(1-$H$9)*LN(1+$I$9*$B102)/LN(1+$I$9)+$H$9*$B102)</x:f>
        <x:v>0.8908810096060727</x:v>
      </x:c>
      <x:c r="D102" s="13" t="n">
        <x:f>IF($I$10=0,$B102,(1-$H$10)*LN(1+$I$10*$B102)/LN(1+$I$10)+$H$10*$B102)</x:f>
        <x:v>0.9578336642941546</x:v>
      </x:c>
      <x:c r="E102" s="13" t="n">
        <x:f>IF($I$11=0,$B102,(1-$H$11)*LN(1+$I$11*$B102)/LN(1+$I$11)+$H$11*$B102)</x:f>
        <x:v>0.9700297637268844</x:v>
      </x:c>
      <x:c r="F102" s="2"/>
      <x:c r="G102" s="2"/>
      <x:c r="H102" s="2"/>
      <x:c r="I102" s="2"/>
      <x:c r="J102" s="2"/>
      <x:c r="K102" s="2"/>
    </x:row>
    <x:row r="103" ht="23" customHeight="1">
      <x:c r="A103" s="2"/>
      <x:c r="B103" s="13" t="n">
        <x:v>0.97</x:v>
      </x:c>
      <x:c r="C103" s="13" t="n">
        <x:f>IF($I$9=0,$B103,(1-$H$9)*LN(1+$I$9*$B103)/LN(1+$I$9)+$H$9*$B103)</x:f>
        <x:v>0.9157819710627522</x:v>
      </x:c>
      <x:c r="D103" s="13" t="n">
        <x:f>IF($I$10=0,$B103,(1-$H$10)*LN(1+$I$10*$B103)/LN(1+$I$10)+$H$10*$B103)</x:f>
        <x:v>0.968354223454271</x:v>
      </x:c>
      <x:c r="E103" s="13" t="n">
        <x:f>IF($I$11=0,$B103,(1-$H$11)*LN(1+$I$11*$B103)/LN(1+$I$11)+$H$11*$B103)</x:f>
        <x:v>0.9775445381944727</x:v>
      </x:c>
      <x:c r="F103" s="2"/>
      <x:c r="G103" s="2"/>
      <x:c r="H103" s="2"/>
      <x:c r="I103" s="2"/>
      <x:c r="J103" s="2"/>
      <x:c r="K103" s="2"/>
    </x:row>
    <x:row r="104" ht="23" customHeight="1">
      <x:c r="A104" s="2"/>
      <x:c r="B104" s="13" t="n">
        <x:v>0.98</x:v>
      </x:c>
      <x:c r="C104" s="13" t="n">
        <x:f>IF($I$9=0,$B104,(1-$H$9)*LN(1+$I$9*$B104)/LN(1+$I$9)+$H$9*$B104)</x:f>
        <x:v>0.9421340348388466</x:v>
      </x:c>
      <x:c r="D104" s="13" t="n">
        <x:f>IF($I$10=0,$B104,(1-$H$10)*LN(1+$I$10*$B104)/LN(1+$I$10)+$H$10*$B104)</x:f>
        <x:v>0.9788887270307052</x:v>
      </x:c>
      <x:c r="E104" s="13" t="n">
        <x:f>IF($I$11=0,$B104,(1-$H$11)*LN(1+$I$11*$B104)/LN(1+$I$11)+$H$11*$B104)</x:f>
        <x:v>0.9850443197504398</x:v>
      </x:c>
      <x:c r="F104" s="2"/>
      <x:c r="G104" s="2"/>
      <x:c r="H104" s="2"/>
      <x:c r="I104" s="2"/>
      <x:c r="J104" s="2"/>
      <x:c r="K104" s="2"/>
    </x:row>
    <x:row r="105" ht="23" customHeight="1">
      <x:c r="A105" s="2"/>
      <x:c r="B105" s="13" t="n">
        <x:v>0.99</x:v>
      </x:c>
      <x:c r="C105" s="13" t="n">
        <x:f>IF($I$9=0,$B105,(1-$H$9)*LN(1+$I$9*$B105)/LN(1+$I$9)+$H$9*$B105)</x:f>
        <x:v>0.9701291351391237</x:v>
      </x:c>
      <x:c r="D105" s="13" t="n">
        <x:f>IF($I$10=0,$B105,(1-$H$10)*LN(1+$I$10*$B105)/LN(1+$I$10)+$H$10*$B105)</x:f>
        <x:v>0.9894372828514361</x:v>
      </x:c>
      <x:c r="E105" s="13" t="n">
        <x:f>IF($I$11=0,$B105,(1-$H$11)*LN(1+$I$11*$B105)/LN(1+$I$11)+$H$11*$B105)</x:f>
        <x:v>0.9925293842488576</x:v>
      </x:c>
      <x:c r="F105" s="2"/>
      <x:c r="G105" s="2"/>
      <x:c r="H105" s="2"/>
      <x:c r="I105" s="2"/>
      <x:c r="J105" s="2"/>
      <x:c r="K105" s="2"/>
    </x:row>
    <x:row r="106" ht="23" customHeight="1">
      <x:c r="A106" s="2"/>
      <x:c r="B106" s="13" t="n">
        <x:v>1</x:v>
      </x:c>
      <x:c r="C106" s="13" t="n">
        <x:f>IF($I$9=0,$B106,(1-$H$9)*LN(1+$I$9*$B106)/LN(1+$I$9)+$H$9*$B106)</x:f>
        <x:v>1</x:v>
      </x:c>
      <x:c r="D106" s="13" t="n">
        <x:f>IF($I$10=0,$B106,(1-$H$10)*LN(1+$I$10*$B106)/LN(1+$I$10)+$H$10*$B106)</x:f>
        <x:v>1</x:v>
      </x:c>
      <x:c r="E106" s="13" t="n">
        <x:f>IF($I$11=0,$B106,(1-$H$11)*LN(1+$I$11*$B106)/LN(1+$I$11)+$H$11*$B106)</x:f>
        <x:v>1</x:v>
      </x:c>
      <x:c r="F106" s="2"/>
      <x:c r="G106" s="2"/>
      <x:c r="H106" s="2"/>
      <x:c r="I106" s="2"/>
      <x:c r="J106" s="2"/>
      <x:c r="K106" s="2"/>
    </x:row>
  </x:sheetData>
  <x:mergeCells>
    <x:mergeCell ref="B2:K2"/>
    <x:mergeCell ref="H4:K4"/>
  </x:mergeCells>
  <x:pageMargins left="0.7" right="0.7" top="0.75" bottom="0.75" header="0.3" footer="0.3"/>
</x:worksheet>
</file>