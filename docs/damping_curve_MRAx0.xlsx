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ods\unpacked\un1corn_qlourie_astral_r\docs\"/>
    </mc:Choice>
  </mc:AlternateContent>
  <xr:revisionPtr revIDLastSave="0" documentId="13_ncr:1_{87C68EC0-C45A-40FC-B563-259B7187135E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Calculator" sheetId="6" r:id="rId1"/>
    <sheet name="LSC Sweep" sheetId="1" r:id="rId2"/>
    <sheet name="HSC Sweep" sheetId="2" r:id="rId3"/>
    <sheet name="LSR Sweep" sheetId="3" r:id="rId4"/>
    <sheet name="Full Sweep" sheetId="4" r:id="rId5"/>
    <sheet name="Parameters" sheetId="5" r:id="rId6"/>
    <sheet name="Samples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5" l="1"/>
  <c r="K14" i="5"/>
  <c r="M19" i="5"/>
  <c r="E12" i="5"/>
  <c r="E165" i="7"/>
  <c r="D165" i="7"/>
  <c r="C165" i="7"/>
  <c r="C49" i="7"/>
  <c r="C48" i="7"/>
  <c r="C47" i="7"/>
  <c r="C46" i="7"/>
  <c r="C45" i="7"/>
  <c r="Q45" i="7" s="1"/>
  <c r="D9" i="7"/>
  <c r="D8" i="7"/>
  <c r="D7" i="7"/>
  <c r="D6" i="7"/>
  <c r="D5" i="7"/>
  <c r="C15" i="6"/>
  <c r="C14" i="6"/>
  <c r="C13" i="6"/>
  <c r="K19" i="5"/>
  <c r="G19" i="5"/>
  <c r="E19" i="5"/>
  <c r="M18" i="5"/>
  <c r="K18" i="5"/>
  <c r="G18" i="5"/>
  <c r="E18" i="5"/>
  <c r="M17" i="5"/>
  <c r="K17" i="5"/>
  <c r="G17" i="5"/>
  <c r="E17" i="5"/>
  <c r="H16" i="5"/>
  <c r="E49" i="7" s="1"/>
  <c r="G16" i="5"/>
  <c r="E48" i="7" s="1"/>
  <c r="F16" i="5"/>
  <c r="E47" i="7" s="1"/>
  <c r="E16" i="5"/>
  <c r="E46" i="7" s="1"/>
  <c r="D16" i="5"/>
  <c r="N14" i="5"/>
  <c r="M14" i="5"/>
  <c r="G13" i="5"/>
  <c r="E13" i="5"/>
  <c r="M12" i="5"/>
  <c r="K12" i="5"/>
  <c r="G12" i="5"/>
  <c r="M11" i="5"/>
  <c r="K11" i="5"/>
  <c r="G11" i="5"/>
  <c r="E11" i="5"/>
  <c r="M10" i="5"/>
  <c r="K10" i="5"/>
  <c r="G10" i="5"/>
  <c r="E10" i="5"/>
  <c r="H8" i="5"/>
  <c r="D49" i="7" s="1"/>
  <c r="B49" i="7" s="1"/>
  <c r="G53" i="7" s="1"/>
  <c r="G8" i="5"/>
  <c r="D48" i="7" s="1"/>
  <c r="B48" i="7" s="1"/>
  <c r="F53" i="7" s="1"/>
  <c r="F8" i="5"/>
  <c r="D47" i="7" s="1"/>
  <c r="B47" i="7" s="1"/>
  <c r="E53" i="7" s="1"/>
  <c r="E8" i="5"/>
  <c r="D46" i="7" s="1"/>
  <c r="D8" i="5"/>
  <c r="H7" i="5"/>
  <c r="G7" i="5"/>
  <c r="F7" i="5"/>
  <c r="E7" i="5"/>
  <c r="D7" i="5"/>
  <c r="N6" i="5"/>
  <c r="M6" i="5"/>
  <c r="L6" i="5"/>
  <c r="K6" i="5"/>
  <c r="J6" i="5"/>
  <c r="C18" i="6" l="1"/>
  <c r="S165" i="7"/>
  <c r="V165" i="7" s="1"/>
  <c r="R165" i="7"/>
  <c r="U165" i="7" s="1"/>
  <c r="Q165" i="7"/>
  <c r="T165" i="7" s="1"/>
  <c r="S49" i="7"/>
  <c r="V49" i="7" s="1"/>
  <c r="R49" i="7"/>
  <c r="Q49" i="7"/>
  <c r="T49" i="7" s="1"/>
  <c r="S48" i="7"/>
  <c r="V48" i="7" s="1"/>
  <c r="R48" i="7"/>
  <c r="Q48" i="7"/>
  <c r="T48" i="7" s="1"/>
  <c r="S47" i="7"/>
  <c r="V47" i="7" s="1"/>
  <c r="R47" i="7"/>
  <c r="Q47" i="7"/>
  <c r="T47" i="7" s="1"/>
  <c r="S46" i="7"/>
  <c r="V46" i="7" s="1"/>
  <c r="R46" i="7"/>
  <c r="B46" i="7"/>
  <c r="D53" i="7" s="1"/>
  <c r="Q46" i="7"/>
  <c r="T46" i="7" s="1"/>
  <c r="T45" i="7"/>
  <c r="R9" i="7"/>
  <c r="U9" i="7" s="1"/>
  <c r="R8" i="7"/>
  <c r="U8" i="7" s="1"/>
  <c r="R7" i="7"/>
  <c r="U7" i="7" s="1"/>
  <c r="R6" i="7"/>
  <c r="U6" i="7" s="1"/>
  <c r="R5" i="7"/>
  <c r="U5" i="7" s="1"/>
  <c r="E129" i="7"/>
  <c r="E9" i="7"/>
  <c r="E89" i="7"/>
  <c r="E88" i="7"/>
  <c r="E128" i="7"/>
  <c r="E8" i="7"/>
  <c r="E7" i="7"/>
  <c r="E127" i="7"/>
  <c r="E87" i="7"/>
  <c r="E126" i="7"/>
  <c r="E6" i="7"/>
  <c r="E86" i="7"/>
  <c r="E85" i="7"/>
  <c r="E45" i="7"/>
  <c r="E5" i="7"/>
  <c r="E125" i="7"/>
  <c r="D129" i="7"/>
  <c r="D89" i="7"/>
  <c r="D88" i="7"/>
  <c r="D128" i="7"/>
  <c r="D127" i="7"/>
  <c r="D87" i="7"/>
  <c r="D126" i="7"/>
  <c r="D86" i="7"/>
  <c r="D85" i="7"/>
  <c r="D125" i="7"/>
  <c r="D45" i="7"/>
  <c r="C9" i="7"/>
  <c r="C129" i="7"/>
  <c r="C89" i="7"/>
  <c r="C8" i="7"/>
  <c r="C88" i="7"/>
  <c r="C128" i="7"/>
  <c r="C87" i="7"/>
  <c r="C127" i="7"/>
  <c r="C7" i="7"/>
  <c r="C6" i="7"/>
  <c r="C86" i="7"/>
  <c r="C126" i="7"/>
  <c r="C85" i="7"/>
  <c r="C125" i="7"/>
  <c r="C5" i="7"/>
  <c r="N16" i="5"/>
  <c r="N8" i="5"/>
  <c r="N7" i="5"/>
  <c r="M16" i="5"/>
  <c r="M8" i="5"/>
  <c r="M7" i="5"/>
  <c r="L8" i="5"/>
  <c r="L16" i="5"/>
  <c r="L7" i="5"/>
  <c r="K8" i="5"/>
  <c r="K7" i="5"/>
  <c r="K16" i="5"/>
  <c r="J8" i="5"/>
  <c r="J7" i="5"/>
  <c r="J16" i="5"/>
  <c r="U49" i="7" l="1"/>
  <c r="G49" i="7" s="1"/>
  <c r="U48" i="7"/>
  <c r="G48" i="7" s="1"/>
  <c r="U47" i="7"/>
  <c r="G47" i="7" s="1"/>
  <c r="U46" i="7"/>
  <c r="G46" i="7" s="1"/>
  <c r="F45" i="7"/>
  <c r="H45" i="7"/>
  <c r="M165" i="7"/>
  <c r="N165" i="7"/>
  <c r="I24" i="6" s="1"/>
  <c r="O165" i="7"/>
  <c r="J165" i="7"/>
  <c r="I16" i="6" s="1"/>
  <c r="K165" i="7"/>
  <c r="I23" i="6" s="1"/>
  <c r="F165" i="7"/>
  <c r="G165" i="7"/>
  <c r="I22" i="6" s="1"/>
  <c r="H165" i="7"/>
  <c r="N49" i="7"/>
  <c r="M49" i="7"/>
  <c r="O49" i="7"/>
  <c r="F49" i="7"/>
  <c r="H49" i="7"/>
  <c r="M48" i="7"/>
  <c r="N48" i="7"/>
  <c r="O48" i="7"/>
  <c r="F48" i="7"/>
  <c r="H48" i="7"/>
  <c r="N47" i="7"/>
  <c r="O47" i="7"/>
  <c r="M47" i="7"/>
  <c r="F47" i="7"/>
  <c r="H47" i="7"/>
  <c r="M46" i="7"/>
  <c r="O46" i="7"/>
  <c r="N46" i="7"/>
  <c r="H46" i="7"/>
  <c r="F46" i="7"/>
  <c r="J9" i="7"/>
  <c r="K9" i="7"/>
  <c r="J8" i="7"/>
  <c r="K8" i="7"/>
  <c r="J7" i="7"/>
  <c r="K7" i="7"/>
  <c r="K6" i="7"/>
  <c r="J6" i="7"/>
  <c r="J5" i="7"/>
  <c r="K5" i="7"/>
  <c r="S129" i="7"/>
  <c r="V129" i="7" s="1"/>
  <c r="L133" i="7"/>
  <c r="S9" i="7"/>
  <c r="V9" i="7" s="1"/>
  <c r="S89" i="7"/>
  <c r="V89" i="7" s="1"/>
  <c r="B89" i="7"/>
  <c r="G93" i="7" s="1"/>
  <c r="S88" i="7"/>
  <c r="V88" i="7" s="1"/>
  <c r="B88" i="7"/>
  <c r="F93" i="7" s="1"/>
  <c r="S128" i="7"/>
  <c r="V128" i="7" s="1"/>
  <c r="K133" i="7"/>
  <c r="S8" i="7"/>
  <c r="V8" i="7" s="1"/>
  <c r="S7" i="7"/>
  <c r="V7" i="7" s="1"/>
  <c r="S127" i="7"/>
  <c r="V127" i="7" s="1"/>
  <c r="J133" i="7"/>
  <c r="B87" i="7"/>
  <c r="E93" i="7" s="1"/>
  <c r="S87" i="7"/>
  <c r="V87" i="7" s="1"/>
  <c r="S126" i="7"/>
  <c r="V126" i="7" s="1"/>
  <c r="I133" i="7"/>
  <c r="S6" i="7"/>
  <c r="V6" i="7" s="1"/>
  <c r="S86" i="7"/>
  <c r="V86" i="7" s="1"/>
  <c r="B86" i="7"/>
  <c r="D93" i="7" s="1"/>
  <c r="S85" i="7"/>
  <c r="V85" i="7" s="1"/>
  <c r="B85" i="7"/>
  <c r="C93" i="7" s="1"/>
  <c r="S45" i="7"/>
  <c r="V45" i="7" s="1"/>
  <c r="S5" i="7"/>
  <c r="V5" i="7" s="1"/>
  <c r="S125" i="7"/>
  <c r="V125" i="7" s="1"/>
  <c r="H133" i="7"/>
  <c r="R129" i="7"/>
  <c r="U129" i="7" s="1"/>
  <c r="R89" i="7"/>
  <c r="U89" i="7" s="1"/>
  <c r="R88" i="7"/>
  <c r="U88" i="7" s="1"/>
  <c r="R128" i="7"/>
  <c r="U128" i="7" s="1"/>
  <c r="R127" i="7"/>
  <c r="U127" i="7" s="1"/>
  <c r="R87" i="7"/>
  <c r="U87" i="7" s="1"/>
  <c r="R126" i="7"/>
  <c r="U126" i="7" s="1"/>
  <c r="R86" i="7"/>
  <c r="U86" i="7" s="1"/>
  <c r="R85" i="7"/>
  <c r="U85" i="7" s="1"/>
  <c r="R125" i="7"/>
  <c r="U125" i="7" s="1"/>
  <c r="R45" i="7"/>
  <c r="B45" i="7"/>
  <c r="C53" i="7" s="1"/>
  <c r="Q9" i="7"/>
  <c r="T9" i="7" s="1"/>
  <c r="B9" i="7"/>
  <c r="G13" i="7" s="1"/>
  <c r="B129" i="7"/>
  <c r="G133" i="7" s="1"/>
  <c r="Q129" i="7"/>
  <c r="T129" i="7" s="1"/>
  <c r="Q89" i="7"/>
  <c r="T89" i="7" s="1"/>
  <c r="Q8" i="7"/>
  <c r="T8" i="7" s="1"/>
  <c r="B8" i="7"/>
  <c r="F13" i="7" s="1"/>
  <c r="Q88" i="7"/>
  <c r="T88" i="7" s="1"/>
  <c r="B128" i="7"/>
  <c r="F133" i="7" s="1"/>
  <c r="Q128" i="7"/>
  <c r="T128" i="7" s="1"/>
  <c r="Q87" i="7"/>
  <c r="T87" i="7" s="1"/>
  <c r="B127" i="7"/>
  <c r="E133" i="7" s="1"/>
  <c r="Q127" i="7"/>
  <c r="T127" i="7" s="1"/>
  <c r="Q7" i="7"/>
  <c r="T7" i="7" s="1"/>
  <c r="B7" i="7"/>
  <c r="E13" i="7" s="1"/>
  <c r="Q6" i="7"/>
  <c r="T6" i="7" s="1"/>
  <c r="B6" i="7"/>
  <c r="D13" i="7" s="1"/>
  <c r="Q86" i="7"/>
  <c r="T86" i="7" s="1"/>
  <c r="Q126" i="7"/>
  <c r="T126" i="7" s="1"/>
  <c r="B126" i="7"/>
  <c r="D133" i="7" s="1"/>
  <c r="Q85" i="7"/>
  <c r="T85" i="7" s="1"/>
  <c r="B125" i="7"/>
  <c r="C133" i="7" s="1"/>
  <c r="Q125" i="7"/>
  <c r="T125" i="7" s="1"/>
  <c r="B5" i="7"/>
  <c r="C13" i="7" s="1"/>
  <c r="Q5" i="7"/>
  <c r="T5" i="7" s="1"/>
  <c r="J48" i="7" l="1"/>
  <c r="K48" i="7"/>
  <c r="K46" i="7"/>
  <c r="J46" i="7"/>
  <c r="K49" i="7"/>
  <c r="J49" i="7"/>
  <c r="K47" i="7"/>
  <c r="J47" i="7"/>
  <c r="U45" i="7"/>
  <c r="K45" i="7" s="1"/>
  <c r="I45" i="7"/>
  <c r="P47" i="7"/>
  <c r="P165" i="7"/>
  <c r="I19" i="6"/>
  <c r="I165" i="7"/>
  <c r="I8" i="6" s="1"/>
  <c r="I14" i="6"/>
  <c r="I49" i="7"/>
  <c r="I48" i="7"/>
  <c r="I47" i="7"/>
  <c r="I46" i="7"/>
  <c r="O129" i="7"/>
  <c r="M129" i="7"/>
  <c r="N129" i="7"/>
  <c r="M9" i="7"/>
  <c r="N9" i="7"/>
  <c r="O9" i="7"/>
  <c r="M89" i="7"/>
  <c r="N89" i="7"/>
  <c r="O89" i="7"/>
  <c r="M88" i="7"/>
  <c r="N88" i="7"/>
  <c r="O88" i="7"/>
  <c r="O128" i="7"/>
  <c r="N128" i="7"/>
  <c r="M128" i="7"/>
  <c r="M8" i="7"/>
  <c r="N8" i="7"/>
  <c r="O8" i="7"/>
  <c r="N7" i="7"/>
  <c r="M7" i="7"/>
  <c r="O7" i="7"/>
  <c r="N127" i="7"/>
  <c r="M127" i="7"/>
  <c r="O127" i="7"/>
  <c r="M87" i="7"/>
  <c r="O87" i="7"/>
  <c r="N87" i="7"/>
  <c r="O126" i="7"/>
  <c r="N126" i="7"/>
  <c r="M126" i="7"/>
  <c r="O6" i="7"/>
  <c r="M6" i="7"/>
  <c r="N6" i="7"/>
  <c r="O86" i="7"/>
  <c r="M86" i="7"/>
  <c r="N86" i="7"/>
  <c r="O85" i="7"/>
  <c r="M85" i="7"/>
  <c r="N85" i="7"/>
  <c r="N45" i="7"/>
  <c r="M45" i="7"/>
  <c r="O45" i="7"/>
  <c r="N5" i="7"/>
  <c r="M5" i="7"/>
  <c r="O5" i="7"/>
  <c r="M125" i="7"/>
  <c r="N125" i="7"/>
  <c r="O125" i="7"/>
  <c r="J129" i="7"/>
  <c r="K129" i="7"/>
  <c r="J89" i="7"/>
  <c r="K89" i="7"/>
  <c r="J88" i="7"/>
  <c r="K88" i="7"/>
  <c r="K128" i="7"/>
  <c r="J128" i="7"/>
  <c r="J127" i="7"/>
  <c r="K127" i="7"/>
  <c r="K87" i="7"/>
  <c r="J87" i="7"/>
  <c r="K126" i="7"/>
  <c r="J126" i="7"/>
  <c r="J86" i="7"/>
  <c r="K86" i="7"/>
  <c r="K85" i="7"/>
  <c r="J85" i="7"/>
  <c r="J125" i="7"/>
  <c r="K125" i="7"/>
  <c r="F9" i="7"/>
  <c r="G9" i="7"/>
  <c r="H9" i="7"/>
  <c r="G129" i="7"/>
  <c r="H129" i="7"/>
  <c r="F129" i="7"/>
  <c r="F89" i="7"/>
  <c r="G89" i="7"/>
  <c r="H89" i="7"/>
  <c r="G8" i="7"/>
  <c r="F8" i="7"/>
  <c r="H8" i="7"/>
  <c r="F88" i="7"/>
  <c r="G88" i="7"/>
  <c r="H88" i="7"/>
  <c r="F128" i="7"/>
  <c r="G128" i="7"/>
  <c r="H128" i="7"/>
  <c r="F87" i="7"/>
  <c r="H87" i="7"/>
  <c r="G87" i="7"/>
  <c r="F127" i="7"/>
  <c r="H127" i="7"/>
  <c r="G127" i="7"/>
  <c r="F7" i="7"/>
  <c r="H7" i="7"/>
  <c r="G7" i="7"/>
  <c r="F6" i="7"/>
  <c r="H6" i="7"/>
  <c r="G6" i="7"/>
  <c r="H86" i="7"/>
  <c r="F86" i="7"/>
  <c r="G86" i="7"/>
  <c r="H126" i="7"/>
  <c r="F126" i="7"/>
  <c r="G126" i="7"/>
  <c r="H85" i="7"/>
  <c r="G85" i="7"/>
  <c r="F85" i="7"/>
  <c r="G125" i="7"/>
  <c r="H125" i="7"/>
  <c r="F125" i="7"/>
  <c r="F5" i="7"/>
  <c r="H5" i="7"/>
  <c r="G5" i="7"/>
  <c r="P49" i="7"/>
  <c r="P48" i="7"/>
  <c r="P46" i="7"/>
  <c r="D56" i="7" l="1"/>
  <c r="J45" i="7"/>
  <c r="L45" i="7" s="1"/>
  <c r="G45" i="7"/>
  <c r="F60" i="7"/>
  <c r="F61" i="7"/>
  <c r="F74" i="7"/>
  <c r="F54" i="7"/>
  <c r="F59" i="7"/>
  <c r="F68" i="7"/>
  <c r="D65" i="7"/>
  <c r="D69" i="7"/>
  <c r="G66" i="7"/>
  <c r="G61" i="7"/>
  <c r="E54" i="7"/>
  <c r="E56" i="7"/>
  <c r="E59" i="7"/>
  <c r="E68" i="7"/>
  <c r="E69" i="7"/>
  <c r="E73" i="7"/>
  <c r="E55" i="7"/>
  <c r="G69" i="7"/>
  <c r="G65" i="7"/>
  <c r="I85" i="7"/>
  <c r="L85" i="7" s="1"/>
  <c r="D55" i="7"/>
  <c r="D59" i="7"/>
  <c r="D60" i="7"/>
  <c r="D62" i="7"/>
  <c r="D64" i="7"/>
  <c r="D66" i="7"/>
  <c r="D67" i="7"/>
  <c r="D68" i="7"/>
  <c r="D72" i="7"/>
  <c r="D74" i="7"/>
  <c r="G73" i="7"/>
  <c r="G58" i="7"/>
  <c r="G59" i="7"/>
  <c r="G64" i="7"/>
  <c r="G72" i="7"/>
  <c r="G54" i="7"/>
  <c r="E58" i="7"/>
  <c r="E67" i="7"/>
  <c r="P7" i="7"/>
  <c r="P6" i="7"/>
  <c r="G62" i="7"/>
  <c r="G74" i="7"/>
  <c r="F65" i="7"/>
  <c r="F66" i="7"/>
  <c r="I86" i="7"/>
  <c r="L86" i="7" s="1"/>
  <c r="L49" i="7"/>
  <c r="G55" i="7"/>
  <c r="G56" i="7"/>
  <c r="G63" i="7"/>
  <c r="G67" i="7"/>
  <c r="G68" i="7"/>
  <c r="G70" i="7"/>
  <c r="G71" i="7"/>
  <c r="G57" i="7"/>
  <c r="G60" i="7"/>
  <c r="F55" i="7"/>
  <c r="F69" i="7"/>
  <c r="L47" i="7"/>
  <c r="E72" i="7"/>
  <c r="E61" i="7"/>
  <c r="E64" i="7"/>
  <c r="E70" i="7"/>
  <c r="E71" i="7"/>
  <c r="E57" i="7"/>
  <c r="E63" i="7"/>
  <c r="E60" i="7"/>
  <c r="E62" i="7"/>
  <c r="E65" i="7"/>
  <c r="E66" i="7"/>
  <c r="E74" i="7"/>
  <c r="L165" i="7"/>
  <c r="I17" i="6" s="1"/>
  <c r="I15" i="6"/>
  <c r="P129" i="7"/>
  <c r="L134" i="7" s="1"/>
  <c r="P89" i="7"/>
  <c r="G95" i="7" s="1"/>
  <c r="P88" i="7"/>
  <c r="P128" i="7"/>
  <c r="P127" i="7"/>
  <c r="P87" i="7"/>
  <c r="P126" i="7"/>
  <c r="P86" i="7"/>
  <c r="P85" i="7"/>
  <c r="P125" i="7"/>
  <c r="I9" i="7"/>
  <c r="I129" i="7"/>
  <c r="I8" i="7"/>
  <c r="F14" i="7" s="1"/>
  <c r="I128" i="7"/>
  <c r="I127" i="7"/>
  <c r="E134" i="7" s="1"/>
  <c r="I7" i="7"/>
  <c r="I6" i="7"/>
  <c r="I126" i="7"/>
  <c r="D136" i="7" s="1"/>
  <c r="I125" i="7"/>
  <c r="C134" i="7" s="1"/>
  <c r="I5" i="7"/>
  <c r="P45" i="7"/>
  <c r="I89" i="7"/>
  <c r="L89" i="7" s="1"/>
  <c r="I88" i="7"/>
  <c r="L88" i="7" s="1"/>
  <c r="P8" i="7"/>
  <c r="P5" i="7"/>
  <c r="I87" i="7"/>
  <c r="L87" i="7" s="1"/>
  <c r="P9" i="7"/>
  <c r="I20" i="6"/>
  <c r="I10" i="6"/>
  <c r="L48" i="7"/>
  <c r="F57" i="7"/>
  <c r="F70" i="7"/>
  <c r="F73" i="7"/>
  <c r="F62" i="7"/>
  <c r="F71" i="7"/>
  <c r="F64" i="7"/>
  <c r="F56" i="7"/>
  <c r="F58" i="7"/>
  <c r="F72" i="7"/>
  <c r="F63" i="7"/>
  <c r="F67" i="7"/>
  <c r="L46" i="7"/>
  <c r="D63" i="7"/>
  <c r="D58" i="7"/>
  <c r="D71" i="7"/>
  <c r="D70" i="7"/>
  <c r="D73" i="7"/>
  <c r="D54" i="7"/>
  <c r="D57" i="7"/>
  <c r="D61" i="7"/>
  <c r="C66" i="7" l="1"/>
  <c r="C57" i="7"/>
  <c r="C54" i="7"/>
  <c r="C71" i="7"/>
  <c r="C70" i="7"/>
  <c r="C73" i="7"/>
  <c r="C58" i="7"/>
  <c r="C65" i="7"/>
  <c r="C67" i="7"/>
  <c r="C55" i="7"/>
  <c r="C74" i="7"/>
  <c r="C59" i="7"/>
  <c r="C69" i="7"/>
  <c r="C63" i="7"/>
  <c r="C56" i="7"/>
  <c r="C60" i="7"/>
  <c r="C72" i="7"/>
  <c r="C64" i="7"/>
  <c r="C62" i="7"/>
  <c r="C61" i="7"/>
  <c r="C68" i="7"/>
  <c r="C14" i="7"/>
  <c r="C15" i="7"/>
  <c r="C105" i="7"/>
  <c r="C109" i="7"/>
  <c r="C108" i="7"/>
  <c r="C99" i="7"/>
  <c r="C97" i="7"/>
  <c r="D29" i="7"/>
  <c r="D30" i="7"/>
  <c r="H136" i="7"/>
  <c r="H134" i="7"/>
  <c r="H139" i="7"/>
  <c r="G94" i="7"/>
  <c r="G96" i="7"/>
  <c r="E101" i="7"/>
  <c r="E103" i="7"/>
  <c r="E104" i="7"/>
  <c r="J135" i="7"/>
  <c r="J134" i="7"/>
  <c r="C98" i="7"/>
  <c r="C100" i="7"/>
  <c r="C104" i="7"/>
  <c r="C107" i="7"/>
  <c r="G135" i="7"/>
  <c r="G137" i="7"/>
  <c r="D103" i="7"/>
  <c r="D112" i="7"/>
  <c r="D114" i="7"/>
  <c r="D99" i="7"/>
  <c r="D100" i="7"/>
  <c r="F15" i="7"/>
  <c r="F16" i="7"/>
  <c r="F17" i="7"/>
  <c r="F18" i="7"/>
  <c r="F19" i="7"/>
  <c r="F134" i="7"/>
  <c r="F135" i="7"/>
  <c r="I136" i="7"/>
  <c r="I137" i="7"/>
  <c r="I140" i="7"/>
  <c r="F154" i="7"/>
  <c r="F137" i="7"/>
  <c r="F138" i="7"/>
  <c r="F139" i="7"/>
  <c r="C135" i="7"/>
  <c r="C140" i="7"/>
  <c r="C16" i="7"/>
  <c r="C17" i="7"/>
  <c r="C18" i="7"/>
  <c r="C19" i="7"/>
  <c r="C33" i="7"/>
  <c r="C34" i="7"/>
  <c r="D137" i="7"/>
  <c r="D138" i="7"/>
  <c r="D139" i="7"/>
  <c r="D141" i="7"/>
  <c r="D151" i="7"/>
  <c r="D152" i="7"/>
  <c r="D153" i="7"/>
  <c r="D154" i="7"/>
  <c r="E98" i="7"/>
  <c r="E105" i="7"/>
  <c r="E113" i="7"/>
  <c r="E106" i="7"/>
  <c r="E107" i="7"/>
  <c r="E114" i="7"/>
  <c r="E97" i="7"/>
  <c r="D105" i="7"/>
  <c r="D108" i="7"/>
  <c r="D109" i="7"/>
  <c r="D101" i="7"/>
  <c r="D102" i="7"/>
  <c r="D106" i="7"/>
  <c r="G138" i="7"/>
  <c r="G139" i="7"/>
  <c r="G141" i="7"/>
  <c r="D142" i="7"/>
  <c r="D143" i="7"/>
  <c r="D144" i="7"/>
  <c r="D145" i="7"/>
  <c r="D146" i="7"/>
  <c r="D147" i="7"/>
  <c r="D148" i="7"/>
  <c r="D150" i="7"/>
  <c r="D149" i="7"/>
  <c r="L135" i="7"/>
  <c r="L136" i="7"/>
  <c r="L138" i="7"/>
  <c r="L141" i="7"/>
  <c r="L142" i="7"/>
  <c r="L143" i="7"/>
  <c r="L144" i="7"/>
  <c r="L145" i="7"/>
  <c r="L146" i="7"/>
  <c r="L151" i="7"/>
  <c r="L152" i="7"/>
  <c r="L154" i="7"/>
  <c r="L153" i="7"/>
  <c r="L137" i="7"/>
  <c r="L139" i="7"/>
  <c r="L140" i="7"/>
  <c r="K140" i="7"/>
  <c r="K137" i="7"/>
  <c r="K139" i="7"/>
  <c r="H140" i="7"/>
  <c r="H141" i="7"/>
  <c r="H142" i="7"/>
  <c r="H143" i="7"/>
  <c r="H153" i="7"/>
  <c r="H154" i="7"/>
  <c r="H135" i="7"/>
  <c r="H137" i="7"/>
  <c r="H138" i="7"/>
  <c r="C103" i="7"/>
  <c r="C111" i="7"/>
  <c r="C114" i="7"/>
  <c r="C94" i="7"/>
  <c r="C95" i="7"/>
  <c r="C96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G142" i="7"/>
  <c r="G143" i="7"/>
  <c r="G144" i="7"/>
  <c r="C141" i="7"/>
  <c r="C142" i="7"/>
  <c r="C143" i="7"/>
  <c r="C144" i="7"/>
  <c r="C146" i="7"/>
  <c r="C147" i="7"/>
  <c r="C148" i="7"/>
  <c r="C149" i="7"/>
  <c r="C150" i="7"/>
  <c r="C151" i="7"/>
  <c r="C152" i="7"/>
  <c r="C153" i="7"/>
  <c r="C154" i="7"/>
  <c r="C136" i="7"/>
  <c r="D110" i="7"/>
  <c r="D113" i="7"/>
  <c r="D94" i="7"/>
  <c r="D95" i="7"/>
  <c r="D96" i="7"/>
  <c r="H144" i="7"/>
  <c r="H145" i="7"/>
  <c r="H146" i="7"/>
  <c r="H147" i="7"/>
  <c r="H148" i="7"/>
  <c r="H149" i="7"/>
  <c r="H150" i="7"/>
  <c r="H151" i="7"/>
  <c r="H152" i="7"/>
  <c r="L147" i="7"/>
  <c r="L148" i="7"/>
  <c r="L149" i="7"/>
  <c r="L150" i="7"/>
  <c r="G145" i="7"/>
  <c r="G146" i="7"/>
  <c r="G147" i="7"/>
  <c r="G148" i="7"/>
  <c r="G149" i="7"/>
  <c r="G150" i="7"/>
  <c r="G151" i="7"/>
  <c r="G152" i="7"/>
  <c r="G153" i="7"/>
  <c r="G154" i="7"/>
  <c r="G14" i="7"/>
  <c r="G15" i="7"/>
  <c r="G97" i="7"/>
  <c r="G98" i="7"/>
  <c r="J138" i="7"/>
  <c r="J139" i="7"/>
  <c r="J140" i="7"/>
  <c r="J141" i="7"/>
  <c r="J142" i="7"/>
  <c r="J153" i="7"/>
  <c r="D27" i="7"/>
  <c r="D31" i="7"/>
  <c r="D32" i="7"/>
  <c r="D33" i="7"/>
  <c r="D34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J143" i="7"/>
  <c r="J144" i="7"/>
  <c r="J145" i="7"/>
  <c r="J146" i="7"/>
  <c r="J147" i="7"/>
  <c r="J148" i="7"/>
  <c r="J149" i="7"/>
  <c r="J150" i="7"/>
  <c r="J151" i="7"/>
  <c r="J152" i="7"/>
  <c r="J154" i="7"/>
  <c r="G16" i="7"/>
  <c r="G17" i="7"/>
  <c r="G18" i="7"/>
  <c r="G19" i="7"/>
  <c r="G20" i="7"/>
  <c r="G21" i="7"/>
  <c r="G32" i="7"/>
  <c r="G33" i="7"/>
  <c r="G34" i="7"/>
  <c r="G103" i="7"/>
  <c r="G108" i="7"/>
  <c r="G113" i="7"/>
  <c r="G105" i="7"/>
  <c r="G106" i="7"/>
  <c r="G110" i="7"/>
  <c r="G111" i="7"/>
  <c r="G112" i="7"/>
  <c r="G99" i="7"/>
  <c r="G100" i="7"/>
  <c r="G107" i="7"/>
  <c r="G114" i="7"/>
  <c r="G101" i="7"/>
  <c r="G104" i="7"/>
  <c r="G109" i="7"/>
  <c r="G102" i="7"/>
  <c r="E135" i="7"/>
  <c r="E138" i="7"/>
  <c r="L125" i="7"/>
  <c r="C138" i="7"/>
  <c r="C139" i="7"/>
  <c r="C145" i="7"/>
  <c r="C137" i="7"/>
  <c r="L5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F97" i="7"/>
  <c r="F94" i="7"/>
  <c r="F95" i="7"/>
  <c r="F96" i="7"/>
  <c r="F106" i="7"/>
  <c r="F112" i="7"/>
  <c r="F113" i="7"/>
  <c r="F99" i="7"/>
  <c r="F102" i="7"/>
  <c r="F109" i="7"/>
  <c r="F101" i="7"/>
  <c r="F108" i="7"/>
  <c r="F98" i="7"/>
  <c r="F100" i="7"/>
  <c r="F103" i="7"/>
  <c r="F104" i="7"/>
  <c r="F105" i="7"/>
  <c r="F107" i="7"/>
  <c r="F110" i="7"/>
  <c r="F111" i="7"/>
  <c r="F114" i="7"/>
  <c r="G136" i="7"/>
  <c r="G140" i="7"/>
  <c r="L8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20" i="7"/>
  <c r="E34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K134" i="7"/>
  <c r="K135" i="7"/>
  <c r="K136" i="7"/>
  <c r="K138" i="7"/>
  <c r="L127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36" i="7"/>
  <c r="E137" i="7"/>
  <c r="J137" i="7"/>
  <c r="J136" i="7"/>
  <c r="E99" i="7"/>
  <c r="E100" i="7"/>
  <c r="E102" i="7"/>
  <c r="E110" i="7"/>
  <c r="E111" i="7"/>
  <c r="E108" i="7"/>
  <c r="E109" i="7"/>
  <c r="E112" i="7"/>
  <c r="E96" i="7"/>
  <c r="E94" i="7"/>
  <c r="E95" i="7"/>
  <c r="I134" i="7"/>
  <c r="I135" i="7"/>
  <c r="I138" i="7"/>
  <c r="I139" i="7"/>
  <c r="D97" i="7"/>
  <c r="D107" i="7"/>
  <c r="D111" i="7"/>
  <c r="D98" i="7"/>
  <c r="D104" i="7"/>
  <c r="C113" i="7"/>
  <c r="C101" i="7"/>
  <c r="C102" i="7"/>
  <c r="C106" i="7"/>
  <c r="C110" i="7"/>
  <c r="C112" i="7"/>
  <c r="L9" i="7"/>
  <c r="G29" i="7"/>
  <c r="G25" i="7"/>
  <c r="G28" i="7"/>
  <c r="G27" i="7"/>
  <c r="G26" i="7"/>
  <c r="G22" i="7"/>
  <c r="G31" i="7"/>
  <c r="G23" i="7"/>
  <c r="G24" i="7"/>
  <c r="G30" i="7"/>
  <c r="L129" i="7"/>
  <c r="G134" i="7"/>
  <c r="L128" i="7"/>
  <c r="F141" i="7"/>
  <c r="F136" i="7"/>
  <c r="F142" i="7"/>
  <c r="F148" i="7"/>
  <c r="F151" i="7"/>
  <c r="F146" i="7"/>
  <c r="F149" i="7"/>
  <c r="F152" i="7"/>
  <c r="F144" i="7"/>
  <c r="F140" i="7"/>
  <c r="F143" i="7"/>
  <c r="F145" i="7"/>
  <c r="F147" i="7"/>
  <c r="F150" i="7"/>
  <c r="F153" i="7"/>
  <c r="L7" i="7"/>
  <c r="E31" i="7"/>
  <c r="E30" i="7"/>
  <c r="E33" i="7"/>
  <c r="E29" i="7"/>
  <c r="E32" i="7"/>
  <c r="L6" i="7"/>
  <c r="D21" i="7"/>
  <c r="D24" i="7"/>
  <c r="D28" i="7"/>
  <c r="D26" i="7"/>
  <c r="D23" i="7"/>
  <c r="D20" i="7"/>
  <c r="D18" i="7"/>
  <c r="D14" i="7"/>
  <c r="D16" i="7"/>
  <c r="D15" i="7"/>
  <c r="D17" i="7"/>
  <c r="D19" i="7"/>
  <c r="D22" i="7"/>
  <c r="D25" i="7"/>
  <c r="L126" i="7"/>
  <c r="D134" i="7"/>
  <c r="D140" i="7"/>
  <c r="D135" i="7"/>
</calcChain>
</file>

<file path=xl/sharedStrings.xml><?xml version="1.0" encoding="utf-8"?>
<sst xmlns="http://schemas.openxmlformats.org/spreadsheetml/2006/main" count="220" uniqueCount="90">
  <si>
    <t>Valving</t>
  </si>
  <si>
    <t>Type-A</t>
  </si>
  <si>
    <t>固定 HSC</t>
  </si>
  <si>
    <t>LSC：最软 / 25% / 默认 / 75% / 最硬</t>
  </si>
  <si>
    <t>轴速 0～1 m/s · 每 0.05 m/s 一点 · 直线连接 · 详细计算与采样位于 Samples</t>
  </si>
  <si>
    <t>固定 LSC</t>
  </si>
  <si>
    <t>HSC：最软 / 25% / 默认 / 75% / 最硬</t>
  </si>
  <si>
    <t>LSR：−40 / −30 / −20 / −10 / 0 R；图中显示回弹力大小。</t>
  </si>
  <si>
    <t>压缩与回弹各五条：最软 / 25% / 默认 / 75% / 最硬。</t>
  </si>
  <si>
    <t>Type-B</t>
  </si>
  <si>
    <t>调节位置</t>
  </si>
  <si>
    <t>比例</t>
  </si>
  <si>
    <t>LSC · c</t>
  </si>
  <si>
    <t>格</t>
  </si>
  <si>
    <t>HSC · C</t>
  </si>
  <si>
    <t>bump1</t>
  </si>
  <si>
    <t>N·s/m</t>
  </si>
  <si>
    <t>m/s</t>
  </si>
  <si>
    <t>bump2 / bump1</t>
  </si>
  <si>
    <t>倍率</t>
  </si>
  <si>
    <t>rebound</t>
  </si>
  <si>
    <t>Rebound knee</t>
  </si>
  <si>
    <t>HSrebound / rebound</t>
  </si>
  <si>
    <t>0 为最硬；负数为从全关退出的格数。</t>
  </si>
  <si>
    <t>bump2 = bump1 × 中间段倍率；总高速系数 = bump2 + HSbump。</t>
  </si>
  <si>
    <t>回弹力 = rebound × MIN(v, Rebound knee) + HSrebound × MAX(0, v − Rebound knee)。</t>
  </si>
  <si>
    <t>LSC 只调斜率；Type-A 的 HSC 调第二 knee，Type-B 的 HSC 调第一 knee。</t>
  </si>
  <si>
    <t>研究来源：chatgpt-conversation://6a9ed043-7848-83e8-9d36-6e63c8202898</t>
  </si>
  <si>
    <t>当前输入 · 阻尼力大小</t>
  </si>
  <si>
    <t>压缩力 (N)</t>
  </si>
  <si>
    <t>LSR · R</t>
  </si>
  <si>
    <t>轴速 (m/s)</t>
  </si>
  <si>
    <t>回弹力 (N)</t>
  </si>
  <si>
    <t>c 总格数</t>
  </si>
  <si>
    <t>C 总格数</t>
  </si>
  <si>
    <t>R 总格数</t>
  </si>
  <si>
    <t>bump2</t>
  </si>
  <si>
    <t>总高速系数</t>
  </si>
  <si>
    <t>输入检查</t>
  </si>
  <si>
    <t>HSrebound</t>
  </si>
  <si>
    <t>曲线</t>
  </si>
  <si>
    <t>c</t>
  </si>
  <si>
    <t>C</t>
  </si>
  <si>
    <t>R</t>
  </si>
  <si>
    <t>bump2 倍率</t>
  </si>
  <si>
    <t>HSbump</t>
  </si>
  <si>
    <t>总 HS 系数</t>
  </si>
  <si>
    <t>HSR 倍率</t>
  </si>
  <si>
    <t>LSC 区间</t>
  </si>
  <si>
    <t>HSC 区间</t>
  </si>
  <si>
    <t>LSR 区间</t>
  </si>
  <si>
    <t>LSC 区间位置</t>
  </si>
  <si>
    <t>HSC 区间位置</t>
  </si>
  <si>
    <t>LSR 区间位置</t>
  </si>
  <si>
    <t>Calculator · 插值参数</t>
  </si>
  <si>
    <t>第一 knee</t>
  </si>
  <si>
    <t>第二 knee</t>
  </si>
  <si>
    <t>压缩力 = bump1 × MIN(v, 第一 knee) + bump2 × MAX(0, v − 第一 knee) + HSbump × MAX(0, v − 第二 knee)。</t>
  </si>
  <si>
    <t>CTM Racing · MRAx0 · Damping Calculator</t>
  </si>
  <si>
    <t>MRA60 / MRA80 · 柏油拉力 · c / C / R 调节与阻尼力计算</t>
  </si>
  <si>
    <t>当前曲线参数</t>
  </si>
  <si>
    <t>HSbump · 高速增量</t>
  </si>
  <si>
    <t>CTM Racing · MRAx0 · Valving Parameters</t>
  </si>
  <si>
    <t>HSbump · 高速增量</t>
  </si>
  <si>
    <t>LSR · R（MRA60）</t>
  </si>
  <si>
    <t>Adjusters · 调节格数</t>
  </si>
  <si>
    <t>LSC · 全系列</t>
  </si>
  <si>
    <t>HSC · 全系列</t>
  </si>
  <si>
    <t>LSR · MRA80</t>
  </si>
  <si>
    <t>Model · 基础阻尼模型</t>
  </si>
  <si>
    <t>理论曲线采用连续分段接续假设；仅计算基础阻尼，不包含气体支撑、弹簧、HBS/HRS 或 LRS/DSV。</t>
  </si>
  <si>
    <t>CTM Racing · MRAx0 · LSC Sweep · 读取对应 Sweep 页的阀系选择</t>
  </si>
  <si>
    <t>CTM Racing · MRAx0 · HSC Sweep · 读取对应 Sweep 页的阀系选择</t>
  </si>
  <si>
    <t>CTM Racing · MRAx0 · LSR Sweep · 读取对应 Sweep 页的阀系选择</t>
  </si>
  <si>
    <t>CTM Racing · MRAx0 · Full Sweep · 读取对应 Sweep 页的阀系选择</t>
  </si>
  <si>
    <t>CTM Racing · MRAx0 · LSC Sweep</t>
  </si>
  <si>
    <t>柏油拉力 · Type-A / Type-B 阀系；各页独立选择。</t>
  </si>
  <si>
    <t>CTM Racing · MRAx0 · HSC Sweep</t>
  </si>
  <si>
    <t>柏油拉力 · Type-A / Type-B 阀系；各页独立选择。</t>
  </si>
  <si>
    <t>CTM Racing · MRAx0 · LSR Sweep</t>
  </si>
  <si>
    <t>柏油拉力 · Type-A / Type-B 阀系；各页独立选择。</t>
  </si>
  <si>
    <t>CTM Racing · MRAx0 · Full Sweep</t>
  </si>
  <si>
    <t>柏油拉力 · Type-A / Type-B 阀系；各页独立选择。</t>
  </si>
  <si>
    <t>避震器型号</t>
  </si>
  <si>
    <t>计算器支持任意非负轴速；Sweep 图显示 0–0.6 m/s。斜率和膝点由所选阀系插值得到。</t>
  </si>
  <si>
    <t>MRA60 / MRA80 / MRA80 (Mod) · 柏油拉力系列；黄色单元格为可编辑标定。</t>
  </si>
  <si>
    <t>MRA60 与 MRA80 (Mod)：40 格回弹；MRA80：60 格。Sweep 采用 40 格标尺，型号在计算器选择。</t>
  </si>
  <si>
    <t>LSR · MRA60 / 8系改型</t>
  </si>
  <si>
    <t>Type-B：HSC 控制第一 knee，无 HS 附加阻尼。Type-A：HSC 控制高速增量和第二 knee。</t>
  </si>
  <si>
    <t>MRA60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</si>
</sst>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4">
    <font>
      <sz val="11"/>
      <name val="Carlito"/>
    </font>
    <font>
      <sz val="11"/>
      <color rgb="FF283C50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Arial"/>
      <family val="2"/>
    </font>
    <font>
      <b/>
      <sz val="11"/>
      <color rgb="FFFFFFFF"/>
      <name val="Arial"/>
      <family val="2"/>
    </font>
    <font>
      <sz val="11"/>
      <color rgb="FF195DB1"/>
      <name val="Arial"/>
      <family val="2"/>
    </font>
    <font>
      <sz val="10"/>
      <color rgb="FF283C50"/>
      <name val="Arial"/>
      <family val="2"/>
    </font>
    <font>
      <sz val="10"/>
      <color rgb="FF667B91"/>
      <name val="Arial"/>
      <family val="2"/>
    </font>
    <font>
      <b/>
      <sz val="10"/>
      <color rgb="FFFFFFFF"/>
      <name val="Arial"/>
      <family val="2"/>
    </font>
    <font>
      <b/>
      <sz val="10"/>
      <color rgb="FF283C50"/>
      <name val="Arial"/>
      <family val="2"/>
    </font>
    <font>
      <b/>
      <sz val="11"/>
      <color rgb="FFFFFFFF"/>
      <name val="Carlito"/>
    </font>
    <font>
      <b/>
      <sz val="18"/>
      <color rgb="FF283C5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31475E"/>
      </patternFill>
    </fill>
    <fill>
      <patternFill patternType="solid">
        <fgColor rgb="FFFFF2CC"/>
      </patternFill>
    </fill>
    <fill>
      <patternFill patternType="solid">
        <fgColor rgb="FFF0F4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31">
    <xf numFmtId="0" fontId="0" fillId="0" borderId="0" xfId="0"/>
    <xf numFmtId="0" fontId="1" fillId="0" borderId="0" xfId="1" applyFont="1" applyAlignment="1">
      <alignment vertical="center"/>
    </xf>
    <xf numFmtId="9" fontId="1" fillId="0" borderId="0" xfId="1" applyNumberFormat="1" applyFont="1" applyAlignment="1">
      <alignment vertical="center"/>
    </xf>
    <xf numFmtId="1" fontId="5" fillId="3" borderId="0" xfId="1" applyNumberFormat="1" applyFont="1" applyFill="1" applyAlignment="1">
      <alignment vertical="center"/>
    </xf>
    <xf numFmtId="176" fontId="5" fillId="3" borderId="0" xfId="1" applyNumberFormat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/>
    <xf numFmtId="49" fontId="5" fillId="3" borderId="0" xfId="1" applyNumberFormat="1" applyFont="1" applyFill="1" applyAlignment="1">
      <alignment vertical="center"/>
    </xf>
    <xf numFmtId="0" fontId="8" fillId="2" borderId="0" xfId="1" applyFont="1" applyFill="1" applyAlignment="1">
      <alignment vertical="center"/>
    </xf>
    <xf numFmtId="0" fontId="8" fillId="2" borderId="0" xfId="1" applyFont="1" applyFill="1"/>
    <xf numFmtId="0" fontId="9" fillId="4" borderId="0" xfId="1" applyFont="1" applyFill="1" applyAlignment="1">
      <alignment vertical="center" wrapText="1"/>
    </xf>
    <xf numFmtId="0" fontId="9" fillId="4" borderId="0" xfId="1" applyFont="1" applyFill="1" applyAlignment="1">
      <alignment wrapText="1"/>
    </xf>
    <xf numFmtId="2" fontId="6" fillId="0" borderId="0" xfId="1" applyNumberFormat="1" applyFont="1" applyAlignment="1">
      <alignment vertical="center"/>
    </xf>
    <xf numFmtId="2" fontId="6" fillId="0" borderId="0" xfId="1" applyNumberFormat="1" applyFont="1"/>
    <xf numFmtId="2" fontId="5" fillId="3" borderId="0" xfId="1" applyNumberFormat="1" applyFont="1" applyFill="1" applyAlignment="1">
      <alignment vertical="center"/>
    </xf>
    <xf numFmtId="2" fontId="11" fillId="0" borderId="0" xfId="1" applyNumberFormat="1" applyFont="1" applyAlignment="1">
      <alignment vertical="center"/>
    </xf>
    <xf numFmtId="2" fontId="1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2" fontId="11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8" fillId="2" borderId="0" xfId="1" applyFont="1" applyFill="1" applyAlignment="1">
      <alignment vertical="center"/>
    </xf>
    <xf numFmtId="0" fontId="8" fillId="2" borderId="0" xfId="1" applyFont="1" applyFill="1"/>
    <xf numFmtId="0" fontId="10" fillId="2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MRAx0 · LSC Sweep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048319697382301E-2"/>
          <c:y val="7.3917036182427995E-2"/>
          <c:w val="0.910220497500702"/>
          <c:h val="0.8712959822553098"/>
        </c:manualLayout>
      </c:layout>
      <c:scatterChart>
        <c:scatterStyle val="lineMarker"/>
        <c:varyColors val="1"/>
        <c:ser>
          <c:idx val="0"/>
          <c:order val="0"/>
          <c:tx>
            <c:strRef>
              <c:f>Samples!$C$13</c:f>
              <c:strCache>
                <c:ptCount val="1"/>
                <c:pt idx="0">
                  <c:v>c -24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Samples!$B$14:$B$26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Samples!$C$14:$C$26</c:f>
              <c:numCache>
                <c:formatCode>0.00</c:formatCode>
                <c:ptCount val="13"/>
                <c:pt idx="0">
                  <c:v>0</c:v>
                </c:pt>
                <c:pt idx="1">
                  <c:v>92.5</c:v>
                </c:pt>
                <c:pt idx="2">
                  <c:v>185</c:v>
                </c:pt>
                <c:pt idx="3">
                  <c:v>277.5</c:v>
                </c:pt>
                <c:pt idx="4">
                  <c:v>370</c:v>
                </c:pt>
                <c:pt idx="5">
                  <c:v>462.49999999999994</c:v>
                </c:pt>
                <c:pt idx="6">
                  <c:v>555</c:v>
                </c:pt>
                <c:pt idx="7">
                  <c:v>647.5</c:v>
                </c:pt>
                <c:pt idx="8">
                  <c:v>827.50000000000011</c:v>
                </c:pt>
                <c:pt idx="9">
                  <c:v>1007.5</c:v>
                </c:pt>
                <c:pt idx="10">
                  <c:v>1187.5</c:v>
                </c:pt>
                <c:pt idx="11">
                  <c:v>1367.5</c:v>
                </c:pt>
                <c:pt idx="12">
                  <c:v>1547.5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B975-4EAE-9176-DBF0ADD42898}"/>
            </c:ext>
          </c:extLst>
        </c:ser>
        <c:ser>
          <c:idx val="1"/>
          <c:order val="1"/>
          <c:tx>
            <c:strRef>
              <c:f>Samples!$D$13</c:f>
              <c:strCache>
                <c:ptCount val="1"/>
                <c:pt idx="0">
                  <c:v>c -18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Samples!$B$14:$B$26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Samples!$D$14:$D$26</c:f>
              <c:numCache>
                <c:formatCode>0.00</c:formatCode>
                <c:ptCount val="13"/>
                <c:pt idx="0">
                  <c:v>0</c:v>
                </c:pt>
                <c:pt idx="1">
                  <c:v>137.5</c:v>
                </c:pt>
                <c:pt idx="2">
                  <c:v>273.35000000000002</c:v>
                </c:pt>
                <c:pt idx="3">
                  <c:v>406.72500000000002</c:v>
                </c:pt>
                <c:pt idx="4">
                  <c:v>540.1</c:v>
                </c:pt>
                <c:pt idx="5">
                  <c:v>673.47499999999991</c:v>
                </c:pt>
                <c:pt idx="6">
                  <c:v>806.84999999999991</c:v>
                </c:pt>
                <c:pt idx="7">
                  <c:v>940.22499999999991</c:v>
                </c:pt>
                <c:pt idx="8">
                  <c:v>1161.0999999999999</c:v>
                </c:pt>
                <c:pt idx="9">
                  <c:v>1381.9749999999999</c:v>
                </c:pt>
                <c:pt idx="10">
                  <c:v>1602.85</c:v>
                </c:pt>
                <c:pt idx="11">
                  <c:v>1823.7250000000004</c:v>
                </c:pt>
                <c:pt idx="12">
                  <c:v>2044.6000000000001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B975-4EAE-9176-DBF0ADD42898}"/>
            </c:ext>
          </c:extLst>
        </c:ser>
        <c:ser>
          <c:idx val="2"/>
          <c:order val="2"/>
          <c:tx>
            <c:strRef>
              <c:f>Samples!$E$13</c:f>
              <c:strCache>
                <c:ptCount val="1"/>
                <c:pt idx="0">
                  <c:v>c -12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Samples!$B$14:$B$26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Samples!$E$14:$E$26</c:f>
              <c:numCache>
                <c:formatCode>0.00</c:formatCode>
                <c:ptCount val="13"/>
                <c:pt idx="0">
                  <c:v>0</c:v>
                </c:pt>
                <c:pt idx="1">
                  <c:v>182.5</c:v>
                </c:pt>
                <c:pt idx="2">
                  <c:v>360.62</c:v>
                </c:pt>
                <c:pt idx="3">
                  <c:v>532.16999999999996</c:v>
                </c:pt>
                <c:pt idx="4">
                  <c:v>703.72</c:v>
                </c:pt>
                <c:pt idx="5">
                  <c:v>875.27</c:v>
                </c:pt>
                <c:pt idx="6">
                  <c:v>1046.82</c:v>
                </c:pt>
                <c:pt idx="7">
                  <c:v>1218.3699999999999</c:v>
                </c:pt>
                <c:pt idx="8">
                  <c:v>1477.42</c:v>
                </c:pt>
                <c:pt idx="9">
                  <c:v>1736.47</c:v>
                </c:pt>
                <c:pt idx="10">
                  <c:v>1995.52</c:v>
                </c:pt>
                <c:pt idx="11">
                  <c:v>2254.5700000000002</c:v>
                </c:pt>
                <c:pt idx="12">
                  <c:v>2513.62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B975-4EAE-9176-DBF0ADD42898}"/>
            </c:ext>
          </c:extLst>
        </c:ser>
        <c:ser>
          <c:idx val="3"/>
          <c:order val="3"/>
          <c:tx>
            <c:strRef>
              <c:f>Samples!$F$13</c:f>
              <c:strCache>
                <c:ptCount val="1"/>
                <c:pt idx="0">
                  <c:v>c -6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Samples!$B$14:$B$26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Samples!$F$14:$F$26</c:f>
              <c:numCache>
                <c:formatCode>0.00</c:formatCode>
                <c:ptCount val="13"/>
                <c:pt idx="0">
                  <c:v>0</c:v>
                </c:pt>
                <c:pt idx="1">
                  <c:v>227.5</c:v>
                </c:pt>
                <c:pt idx="2">
                  <c:v>446.81</c:v>
                </c:pt>
                <c:pt idx="3">
                  <c:v>653.83500000000004</c:v>
                </c:pt>
                <c:pt idx="4">
                  <c:v>860.86</c:v>
                </c:pt>
                <c:pt idx="5">
                  <c:v>1067.885</c:v>
                </c:pt>
                <c:pt idx="6">
                  <c:v>1274.9099999999999</c:v>
                </c:pt>
                <c:pt idx="7">
                  <c:v>1481.9349999999999</c:v>
                </c:pt>
                <c:pt idx="8">
                  <c:v>1776.46</c:v>
                </c:pt>
                <c:pt idx="9">
                  <c:v>2070.9850000000001</c:v>
                </c:pt>
                <c:pt idx="10">
                  <c:v>2365.5100000000002</c:v>
                </c:pt>
                <c:pt idx="11">
                  <c:v>2660.0349999999999</c:v>
                </c:pt>
                <c:pt idx="12">
                  <c:v>2954.56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B975-4EAE-9176-DBF0ADD42898}"/>
            </c:ext>
          </c:extLst>
        </c:ser>
        <c:ser>
          <c:idx val="4"/>
          <c:order val="4"/>
          <c:tx>
            <c:strRef>
              <c:f>Samples!$G$13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Samples!$B$14:$B$26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Samples!$G$14:$G$26</c:f>
              <c:numCache>
                <c:formatCode>0.00</c:formatCode>
                <c:ptCount val="13"/>
                <c:pt idx="0">
                  <c:v>0</c:v>
                </c:pt>
                <c:pt idx="1">
                  <c:v>272.5</c:v>
                </c:pt>
                <c:pt idx="2">
                  <c:v>531.92000000000007</c:v>
                </c:pt>
                <c:pt idx="3">
                  <c:v>771.72</c:v>
                </c:pt>
                <c:pt idx="4">
                  <c:v>1011.5200000000001</c:v>
                </c:pt>
                <c:pt idx="5">
                  <c:v>1251.32</c:v>
                </c:pt>
                <c:pt idx="6">
                  <c:v>1491.12</c:v>
                </c:pt>
                <c:pt idx="7">
                  <c:v>1730.9199999999998</c:v>
                </c:pt>
                <c:pt idx="8">
                  <c:v>2058.2200000000003</c:v>
                </c:pt>
                <c:pt idx="9">
                  <c:v>2385.52</c:v>
                </c:pt>
                <c:pt idx="10">
                  <c:v>2712.8199999999997</c:v>
                </c:pt>
                <c:pt idx="11">
                  <c:v>3040.1200000000003</c:v>
                </c:pt>
                <c:pt idx="12">
                  <c:v>3367.42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B975-4EAE-9176-DBF0ADD42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Bump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0.6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Shaft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MRAx0 · HSC Sweep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Samples!$C$53</c:f>
              <c:strCache>
                <c:ptCount val="1"/>
                <c:pt idx="0">
                  <c:v>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Samples!$B$54:$B$66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Samples!$C$54:$C$66</c:f>
              <c:numCache>
                <c:formatCode>0.00</c:formatCode>
                <c:ptCount val="13"/>
                <c:pt idx="0">
                  <c:v>0</c:v>
                </c:pt>
                <c:pt idx="1">
                  <c:v>210</c:v>
                </c:pt>
                <c:pt idx="2">
                  <c:v>420</c:v>
                </c:pt>
                <c:pt idx="3">
                  <c:v>630</c:v>
                </c:pt>
                <c:pt idx="4">
                  <c:v>840</c:v>
                </c:pt>
                <c:pt idx="5">
                  <c:v>984.9</c:v>
                </c:pt>
                <c:pt idx="6">
                  <c:v>1129.8</c:v>
                </c:pt>
                <c:pt idx="7">
                  <c:v>1274.6999999999998</c:v>
                </c:pt>
                <c:pt idx="8">
                  <c:v>1419.6</c:v>
                </c:pt>
                <c:pt idx="9">
                  <c:v>1564.5</c:v>
                </c:pt>
                <c:pt idx="10">
                  <c:v>1709.4</c:v>
                </c:pt>
                <c:pt idx="11">
                  <c:v>1854.3000000000002</c:v>
                </c:pt>
                <c:pt idx="12">
                  <c:v>1999.1999999999998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3DE3-4A9C-9A72-046886D36836}"/>
            </c:ext>
          </c:extLst>
        </c:ser>
        <c:ser>
          <c:idx val="1"/>
          <c:order val="1"/>
          <c:tx>
            <c:strRef>
              <c:f>Samples!$D$53</c:f>
              <c:strCache>
                <c:ptCount val="1"/>
                <c:pt idx="0">
                  <c:v>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Samples!$B$54:$B$66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Samples!$D$54:$D$66</c:f>
              <c:numCache>
                <c:formatCode>0.00</c:formatCode>
                <c:ptCount val="13"/>
                <c:pt idx="0">
                  <c:v>0</c:v>
                </c:pt>
                <c:pt idx="1">
                  <c:v>210</c:v>
                </c:pt>
                <c:pt idx="2">
                  <c:v>420</c:v>
                </c:pt>
                <c:pt idx="3">
                  <c:v>630</c:v>
                </c:pt>
                <c:pt idx="4">
                  <c:v>840</c:v>
                </c:pt>
                <c:pt idx="5">
                  <c:v>1050</c:v>
                </c:pt>
                <c:pt idx="6">
                  <c:v>1194.9000000000001</c:v>
                </c:pt>
                <c:pt idx="7">
                  <c:v>1339.8</c:v>
                </c:pt>
                <c:pt idx="8">
                  <c:v>1484.7</c:v>
                </c:pt>
                <c:pt idx="9">
                  <c:v>1629.6</c:v>
                </c:pt>
                <c:pt idx="10">
                  <c:v>1774.5</c:v>
                </c:pt>
                <c:pt idx="11">
                  <c:v>1919.4</c:v>
                </c:pt>
                <c:pt idx="12">
                  <c:v>2064.3000000000002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3DE3-4A9C-9A72-046886D36836}"/>
            </c:ext>
          </c:extLst>
        </c:ser>
        <c:ser>
          <c:idx val="2"/>
          <c:order val="2"/>
          <c:tx>
            <c:strRef>
              <c:f>Samples!$E$53</c:f>
              <c:strCache>
                <c:ptCount val="1"/>
                <c:pt idx="0">
                  <c:v>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Samples!$B$54:$B$66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Samples!$E$54:$E$66</c:f>
              <c:numCache>
                <c:formatCode>0.00</c:formatCode>
                <c:ptCount val="13"/>
                <c:pt idx="0">
                  <c:v>0</c:v>
                </c:pt>
                <c:pt idx="1">
                  <c:v>210</c:v>
                </c:pt>
                <c:pt idx="2">
                  <c:v>420</c:v>
                </c:pt>
                <c:pt idx="3">
                  <c:v>630</c:v>
                </c:pt>
                <c:pt idx="4">
                  <c:v>840</c:v>
                </c:pt>
                <c:pt idx="5">
                  <c:v>1050</c:v>
                </c:pt>
                <c:pt idx="6">
                  <c:v>1260</c:v>
                </c:pt>
                <c:pt idx="7">
                  <c:v>1404.9</c:v>
                </c:pt>
                <c:pt idx="8">
                  <c:v>1549.8000000000002</c:v>
                </c:pt>
                <c:pt idx="9">
                  <c:v>1694.7</c:v>
                </c:pt>
                <c:pt idx="10">
                  <c:v>1839.6</c:v>
                </c:pt>
                <c:pt idx="11">
                  <c:v>1984.5</c:v>
                </c:pt>
                <c:pt idx="12">
                  <c:v>2129.4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3DE3-4A9C-9A72-046886D36836}"/>
            </c:ext>
          </c:extLst>
        </c:ser>
        <c:ser>
          <c:idx val="3"/>
          <c:order val="3"/>
          <c:tx>
            <c:strRef>
              <c:f>Samples!$F$53</c:f>
              <c:strCache>
                <c:ptCount val="1"/>
                <c:pt idx="0">
                  <c:v>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Samples!$B$54:$B$66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Samples!$F$54:$F$66</c:f>
              <c:numCache>
                <c:formatCode>0.00</c:formatCode>
                <c:ptCount val="13"/>
                <c:pt idx="0">
                  <c:v>0</c:v>
                </c:pt>
                <c:pt idx="1">
                  <c:v>210</c:v>
                </c:pt>
                <c:pt idx="2">
                  <c:v>420</c:v>
                </c:pt>
                <c:pt idx="3">
                  <c:v>630</c:v>
                </c:pt>
                <c:pt idx="4">
                  <c:v>840</c:v>
                </c:pt>
                <c:pt idx="5">
                  <c:v>1050</c:v>
                </c:pt>
                <c:pt idx="6">
                  <c:v>1260</c:v>
                </c:pt>
                <c:pt idx="7">
                  <c:v>1470</c:v>
                </c:pt>
                <c:pt idx="8">
                  <c:v>1614.9</c:v>
                </c:pt>
                <c:pt idx="9">
                  <c:v>1759.8000000000002</c:v>
                </c:pt>
                <c:pt idx="10">
                  <c:v>1904.7</c:v>
                </c:pt>
                <c:pt idx="11">
                  <c:v>2049.6000000000004</c:v>
                </c:pt>
                <c:pt idx="12">
                  <c:v>2194.5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3DE3-4A9C-9A72-046886D36836}"/>
            </c:ext>
          </c:extLst>
        </c:ser>
        <c:ser>
          <c:idx val="4"/>
          <c:order val="4"/>
          <c:tx>
            <c:strRef>
              <c:f>Samples!$G$53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Samples!$B$54:$B$66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Samples!$G$54:$G$66</c:f>
              <c:numCache>
                <c:formatCode>0.00</c:formatCode>
                <c:ptCount val="13"/>
                <c:pt idx="0">
                  <c:v>0</c:v>
                </c:pt>
                <c:pt idx="1">
                  <c:v>210</c:v>
                </c:pt>
                <c:pt idx="2">
                  <c:v>420</c:v>
                </c:pt>
                <c:pt idx="3">
                  <c:v>630</c:v>
                </c:pt>
                <c:pt idx="4">
                  <c:v>840</c:v>
                </c:pt>
                <c:pt idx="5">
                  <c:v>1050</c:v>
                </c:pt>
                <c:pt idx="6">
                  <c:v>1260</c:v>
                </c:pt>
                <c:pt idx="7">
                  <c:v>1470</c:v>
                </c:pt>
                <c:pt idx="8">
                  <c:v>1680</c:v>
                </c:pt>
                <c:pt idx="9">
                  <c:v>1824.9</c:v>
                </c:pt>
                <c:pt idx="10">
                  <c:v>1969.8</c:v>
                </c:pt>
                <c:pt idx="11">
                  <c:v>2114.6999999999998</c:v>
                </c:pt>
                <c:pt idx="12">
                  <c:v>2259.6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3DE3-4A9C-9A72-046886D3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Bump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0.6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Shaft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MRAx0 · LSR Sweep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Samples!$C$93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Samples!$B$94:$B$106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Samples!$C$94:$C$106</c:f>
              <c:numCache>
                <c:formatCode>0.00</c:formatCode>
                <c:ptCount val="13"/>
                <c:pt idx="0">
                  <c:v>0</c:v>
                </c:pt>
                <c:pt idx="1">
                  <c:v>105</c:v>
                </c:pt>
                <c:pt idx="2">
                  <c:v>210</c:v>
                </c:pt>
                <c:pt idx="3">
                  <c:v>315</c:v>
                </c:pt>
                <c:pt idx="4">
                  <c:v>420</c:v>
                </c:pt>
                <c:pt idx="5">
                  <c:v>521.64</c:v>
                </c:pt>
                <c:pt idx="6">
                  <c:v>618.24</c:v>
                </c:pt>
                <c:pt idx="7">
                  <c:v>714.83999999999992</c:v>
                </c:pt>
                <c:pt idx="8">
                  <c:v>811.44</c:v>
                </c:pt>
                <c:pt idx="9">
                  <c:v>908.04</c:v>
                </c:pt>
                <c:pt idx="10">
                  <c:v>1004.64</c:v>
                </c:pt>
                <c:pt idx="11">
                  <c:v>1101.2400000000002</c:v>
                </c:pt>
                <c:pt idx="12">
                  <c:v>1197.8400000000001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050F-42F4-B30D-15FBBF3D7859}"/>
            </c:ext>
          </c:extLst>
        </c:ser>
        <c:ser>
          <c:idx val="1"/>
          <c:order val="1"/>
          <c:tx>
            <c:strRef>
              <c:f>Samples!$D$93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Samples!$B$94:$B$106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Samples!$D$94:$D$106</c:f>
              <c:numCache>
                <c:formatCode>0.00</c:formatCode>
                <c:ptCount val="13"/>
                <c:pt idx="0">
                  <c:v>0</c:v>
                </c:pt>
                <c:pt idx="1">
                  <c:v>142.5</c:v>
                </c:pt>
                <c:pt idx="2">
                  <c:v>285</c:v>
                </c:pt>
                <c:pt idx="3">
                  <c:v>427.5</c:v>
                </c:pt>
                <c:pt idx="4">
                  <c:v>570</c:v>
                </c:pt>
                <c:pt idx="5">
                  <c:v>709.36500000000001</c:v>
                </c:pt>
                <c:pt idx="6">
                  <c:v>836.19</c:v>
                </c:pt>
                <c:pt idx="7">
                  <c:v>963.01499999999999</c:v>
                </c:pt>
                <c:pt idx="8">
                  <c:v>1089.8400000000001</c:v>
                </c:pt>
                <c:pt idx="9">
                  <c:v>1216.665</c:v>
                </c:pt>
                <c:pt idx="10">
                  <c:v>1343.49</c:v>
                </c:pt>
                <c:pt idx="11">
                  <c:v>1470.3150000000001</c:v>
                </c:pt>
                <c:pt idx="12">
                  <c:v>1597.1399999999999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050F-42F4-B30D-15FBBF3D7859}"/>
            </c:ext>
          </c:extLst>
        </c:ser>
        <c:ser>
          <c:idx val="2"/>
          <c:order val="2"/>
          <c:tx>
            <c:strRef>
              <c:f>Samples!$E$93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Samples!$B$94:$B$106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Samples!$E$94:$E$106</c:f>
              <c:numCache>
                <c:formatCode>0.00</c:formatCode>
                <c:ptCount val="13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1054.8</c:v>
                </c:pt>
                <c:pt idx="7">
                  <c:v>1209.5999999999999</c:v>
                </c:pt>
                <c:pt idx="8">
                  <c:v>1364.4</c:v>
                </c:pt>
                <c:pt idx="9">
                  <c:v>1519.2</c:v>
                </c:pt>
                <c:pt idx="10">
                  <c:v>1674</c:v>
                </c:pt>
                <c:pt idx="11">
                  <c:v>1828.8000000000002</c:v>
                </c:pt>
                <c:pt idx="12">
                  <c:v>1983.6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050F-42F4-B30D-15FBBF3D7859}"/>
            </c:ext>
          </c:extLst>
        </c:ser>
        <c:ser>
          <c:idx val="3"/>
          <c:order val="3"/>
          <c:tx>
            <c:strRef>
              <c:f>Samples!$F$93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Samples!$B$94:$B$106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Samples!$F$94:$F$106</c:f>
              <c:numCache>
                <c:formatCode>0.00</c:formatCode>
                <c:ptCount val="13"/>
                <c:pt idx="0">
                  <c:v>0</c:v>
                </c:pt>
                <c:pt idx="1">
                  <c:v>217.5</c:v>
                </c:pt>
                <c:pt idx="2">
                  <c:v>435</c:v>
                </c:pt>
                <c:pt idx="3">
                  <c:v>652.5</c:v>
                </c:pt>
                <c:pt idx="4">
                  <c:v>870</c:v>
                </c:pt>
                <c:pt idx="5">
                  <c:v>1087.5</c:v>
                </c:pt>
                <c:pt idx="6">
                  <c:v>1275.42</c:v>
                </c:pt>
                <c:pt idx="7">
                  <c:v>1455.9449999999999</c:v>
                </c:pt>
                <c:pt idx="8">
                  <c:v>1636.47</c:v>
                </c:pt>
                <c:pt idx="9">
                  <c:v>1816.9950000000001</c:v>
                </c:pt>
                <c:pt idx="10">
                  <c:v>1997.52</c:v>
                </c:pt>
                <c:pt idx="11">
                  <c:v>2178.0450000000001</c:v>
                </c:pt>
                <c:pt idx="12">
                  <c:v>2358.5699999999997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050F-42F4-B30D-15FBBF3D7859}"/>
            </c:ext>
          </c:extLst>
        </c:ser>
        <c:ser>
          <c:idx val="4"/>
          <c:order val="4"/>
          <c:tx>
            <c:strRef>
              <c:f>Samples!$G$93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Samples!$B$94:$B$106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Samples!$G$94:$G$106</c:f>
              <c:numCache>
                <c:formatCode>0.00</c:formatCode>
                <c:ptCount val="13"/>
                <c:pt idx="0">
                  <c:v>0</c:v>
                </c:pt>
                <c:pt idx="1">
                  <c:v>255</c:v>
                </c:pt>
                <c:pt idx="2">
                  <c:v>510</c:v>
                </c:pt>
                <c:pt idx="3">
                  <c:v>765</c:v>
                </c:pt>
                <c:pt idx="4">
                  <c:v>1020</c:v>
                </c:pt>
                <c:pt idx="5">
                  <c:v>1275</c:v>
                </c:pt>
                <c:pt idx="6">
                  <c:v>1499.3999999999999</c:v>
                </c:pt>
                <c:pt idx="7">
                  <c:v>1703.3999999999999</c:v>
                </c:pt>
                <c:pt idx="8">
                  <c:v>1907.4</c:v>
                </c:pt>
                <c:pt idx="9">
                  <c:v>2111.4</c:v>
                </c:pt>
                <c:pt idx="10">
                  <c:v>2315.4</c:v>
                </c:pt>
                <c:pt idx="11">
                  <c:v>2519.4</c:v>
                </c:pt>
                <c:pt idx="12">
                  <c:v>2723.3999999999996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050F-42F4-B30D-15FBBF3D7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Rebound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0"/>
      </c:valAx>
      <c:valAx>
        <c:axId val="48650112"/>
        <c:scaling>
          <c:orientation val="minMax"/>
          <c:max val="0.6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Extension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MRAx0 · Compression (+) / Rebound (−)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Samples!$C$133</c:f>
              <c:strCache>
                <c:ptCount val="1"/>
                <c:pt idx="0">
                  <c:v>c -24 / 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Samples!$C$134:$C$146</c:f>
              <c:numCache>
                <c:formatCode>0.00</c:formatCode>
                <c:ptCount val="13"/>
                <c:pt idx="0">
                  <c:v>0</c:v>
                </c:pt>
                <c:pt idx="1">
                  <c:v>92.5</c:v>
                </c:pt>
                <c:pt idx="2">
                  <c:v>185</c:v>
                </c:pt>
                <c:pt idx="3">
                  <c:v>277.5</c:v>
                </c:pt>
                <c:pt idx="4">
                  <c:v>370</c:v>
                </c:pt>
                <c:pt idx="5">
                  <c:v>462.49999999999994</c:v>
                </c:pt>
                <c:pt idx="6">
                  <c:v>555</c:v>
                </c:pt>
                <c:pt idx="7">
                  <c:v>650</c:v>
                </c:pt>
                <c:pt idx="8">
                  <c:v>755</c:v>
                </c:pt>
                <c:pt idx="9">
                  <c:v>860</c:v>
                </c:pt>
                <c:pt idx="10">
                  <c:v>965</c:v>
                </c:pt>
                <c:pt idx="11">
                  <c:v>1070</c:v>
                </c:pt>
                <c:pt idx="12">
                  <c:v>1175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4E88-40AE-8203-698A1E1AB78F}"/>
            </c:ext>
          </c:extLst>
        </c:ser>
        <c:ser>
          <c:idx val="1"/>
          <c:order val="1"/>
          <c:tx>
            <c:strRef>
              <c:f>Samples!$D$133</c:f>
              <c:strCache>
                <c:ptCount val="1"/>
                <c:pt idx="0">
                  <c:v>c -18 / 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Samples!$D$134:$D$146</c:f>
              <c:numCache>
                <c:formatCode>0.00</c:formatCode>
                <c:ptCount val="13"/>
                <c:pt idx="0">
                  <c:v>0</c:v>
                </c:pt>
                <c:pt idx="1">
                  <c:v>137.5</c:v>
                </c:pt>
                <c:pt idx="2">
                  <c:v>273.35000000000002</c:v>
                </c:pt>
                <c:pt idx="3">
                  <c:v>406.72500000000002</c:v>
                </c:pt>
                <c:pt idx="4">
                  <c:v>540.1</c:v>
                </c:pt>
                <c:pt idx="5">
                  <c:v>673.47499999999991</c:v>
                </c:pt>
                <c:pt idx="6">
                  <c:v>806.84999999999991</c:v>
                </c:pt>
                <c:pt idx="7">
                  <c:v>945.22499999999991</c:v>
                </c:pt>
                <c:pt idx="8">
                  <c:v>1128.5999999999999</c:v>
                </c:pt>
                <c:pt idx="9">
                  <c:v>1311.9749999999999</c:v>
                </c:pt>
                <c:pt idx="10">
                  <c:v>1495.35</c:v>
                </c:pt>
                <c:pt idx="11">
                  <c:v>1678.7250000000001</c:v>
                </c:pt>
                <c:pt idx="12">
                  <c:v>1862.1000000000001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4E88-40AE-8203-698A1E1AB78F}"/>
            </c:ext>
          </c:extLst>
        </c:ser>
        <c:ser>
          <c:idx val="2"/>
          <c:order val="2"/>
          <c:tx>
            <c:strRef>
              <c:f>Samples!$E$133</c:f>
              <c:strCache>
                <c:ptCount val="1"/>
                <c:pt idx="0">
                  <c:v>c -12 / 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Samples!$E$134:$E$146</c:f>
              <c:numCache>
                <c:formatCode>0.00</c:formatCode>
                <c:ptCount val="13"/>
                <c:pt idx="0">
                  <c:v>0</c:v>
                </c:pt>
                <c:pt idx="1">
                  <c:v>182.5</c:v>
                </c:pt>
                <c:pt idx="2">
                  <c:v>360.62</c:v>
                </c:pt>
                <c:pt idx="3">
                  <c:v>532.16999999999996</c:v>
                </c:pt>
                <c:pt idx="4">
                  <c:v>703.72</c:v>
                </c:pt>
                <c:pt idx="5">
                  <c:v>875.27</c:v>
                </c:pt>
                <c:pt idx="6">
                  <c:v>1046.82</c:v>
                </c:pt>
                <c:pt idx="7">
                  <c:v>1218.3699999999999</c:v>
                </c:pt>
                <c:pt idx="8">
                  <c:v>1477.42</c:v>
                </c:pt>
                <c:pt idx="9">
                  <c:v>1736.47</c:v>
                </c:pt>
                <c:pt idx="10">
                  <c:v>1995.52</c:v>
                </c:pt>
                <c:pt idx="11">
                  <c:v>2254.5700000000002</c:v>
                </c:pt>
                <c:pt idx="12">
                  <c:v>2513.62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4E88-40AE-8203-698A1E1AB78F}"/>
            </c:ext>
          </c:extLst>
        </c:ser>
        <c:ser>
          <c:idx val="3"/>
          <c:order val="3"/>
          <c:tx>
            <c:strRef>
              <c:f>Samples!$F$133</c:f>
              <c:strCache>
                <c:ptCount val="1"/>
                <c:pt idx="0">
                  <c:v>c -6 / 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Samples!$F$134:$F$146</c:f>
              <c:numCache>
                <c:formatCode>0.00</c:formatCode>
                <c:ptCount val="13"/>
                <c:pt idx="0">
                  <c:v>0</c:v>
                </c:pt>
                <c:pt idx="1">
                  <c:v>227.5</c:v>
                </c:pt>
                <c:pt idx="2">
                  <c:v>446.81</c:v>
                </c:pt>
                <c:pt idx="3">
                  <c:v>653.83500000000004</c:v>
                </c:pt>
                <c:pt idx="4">
                  <c:v>860.86</c:v>
                </c:pt>
                <c:pt idx="5">
                  <c:v>1067.885</c:v>
                </c:pt>
                <c:pt idx="6">
                  <c:v>1274.9099999999999</c:v>
                </c:pt>
                <c:pt idx="7">
                  <c:v>1481.9349999999999</c:v>
                </c:pt>
                <c:pt idx="8">
                  <c:v>1801.46</c:v>
                </c:pt>
                <c:pt idx="9">
                  <c:v>2133.4850000000001</c:v>
                </c:pt>
                <c:pt idx="10">
                  <c:v>2465.5100000000002</c:v>
                </c:pt>
                <c:pt idx="11">
                  <c:v>2797.5349999999999</c:v>
                </c:pt>
                <c:pt idx="12">
                  <c:v>3129.56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4E88-40AE-8203-698A1E1AB78F}"/>
            </c:ext>
          </c:extLst>
        </c:ser>
        <c:ser>
          <c:idx val="4"/>
          <c:order val="4"/>
          <c:tx>
            <c:strRef>
              <c:f>Samples!$G$133</c:f>
              <c:strCache>
                <c:ptCount val="1"/>
                <c:pt idx="0">
                  <c:v>c 0 / 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Samples!$G$134:$G$146</c:f>
              <c:numCache>
                <c:formatCode>0.00</c:formatCode>
                <c:ptCount val="13"/>
                <c:pt idx="0">
                  <c:v>0</c:v>
                </c:pt>
                <c:pt idx="1">
                  <c:v>272.5</c:v>
                </c:pt>
                <c:pt idx="2">
                  <c:v>531.92000000000007</c:v>
                </c:pt>
                <c:pt idx="3">
                  <c:v>771.72</c:v>
                </c:pt>
                <c:pt idx="4">
                  <c:v>1011.5200000000001</c:v>
                </c:pt>
                <c:pt idx="5">
                  <c:v>1251.32</c:v>
                </c:pt>
                <c:pt idx="6">
                  <c:v>1491.12</c:v>
                </c:pt>
                <c:pt idx="7">
                  <c:v>1730.9199999999998</c:v>
                </c:pt>
                <c:pt idx="8">
                  <c:v>2100.7200000000003</c:v>
                </c:pt>
                <c:pt idx="9">
                  <c:v>2503.02</c:v>
                </c:pt>
                <c:pt idx="10">
                  <c:v>2905.3199999999997</c:v>
                </c:pt>
                <c:pt idx="11">
                  <c:v>3307.6200000000008</c:v>
                </c:pt>
                <c:pt idx="12">
                  <c:v>3709.92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4E88-40AE-8203-698A1E1AB78F}"/>
            </c:ext>
          </c:extLst>
        </c:ser>
        <c:ser>
          <c:idx val="5"/>
          <c:order val="5"/>
          <c:tx>
            <c:strRef>
              <c:f>Samples!$H$133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Samples!$H$134:$H$146</c:f>
              <c:numCache>
                <c:formatCode>0.00</c:formatCode>
                <c:ptCount val="13"/>
                <c:pt idx="0">
                  <c:v>0</c:v>
                </c:pt>
                <c:pt idx="1">
                  <c:v>-105</c:v>
                </c:pt>
                <c:pt idx="2">
                  <c:v>-210</c:v>
                </c:pt>
                <c:pt idx="3">
                  <c:v>-315</c:v>
                </c:pt>
                <c:pt idx="4">
                  <c:v>-420</c:v>
                </c:pt>
                <c:pt idx="5">
                  <c:v>-521.64</c:v>
                </c:pt>
                <c:pt idx="6">
                  <c:v>-618.24</c:v>
                </c:pt>
                <c:pt idx="7">
                  <c:v>-714.83999999999992</c:v>
                </c:pt>
                <c:pt idx="8">
                  <c:v>-811.44</c:v>
                </c:pt>
                <c:pt idx="9">
                  <c:v>-908.04</c:v>
                </c:pt>
                <c:pt idx="10">
                  <c:v>-1004.64</c:v>
                </c:pt>
                <c:pt idx="11">
                  <c:v>-1101.2400000000002</c:v>
                </c:pt>
                <c:pt idx="12">
                  <c:v>-1197.8400000000001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5-4E88-40AE-8203-698A1E1AB78F}"/>
            </c:ext>
          </c:extLst>
        </c:ser>
        <c:ser>
          <c:idx val="6"/>
          <c:order val="6"/>
          <c:tx>
            <c:strRef>
              <c:f>Samples!$I$133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Samples!$I$134:$I$146</c:f>
              <c:numCache>
                <c:formatCode>0.00</c:formatCode>
                <c:ptCount val="13"/>
                <c:pt idx="0">
                  <c:v>0</c:v>
                </c:pt>
                <c:pt idx="1">
                  <c:v>-142.5</c:v>
                </c:pt>
                <c:pt idx="2">
                  <c:v>-285</c:v>
                </c:pt>
                <c:pt idx="3">
                  <c:v>-427.5</c:v>
                </c:pt>
                <c:pt idx="4">
                  <c:v>-570</c:v>
                </c:pt>
                <c:pt idx="5">
                  <c:v>-709.36500000000001</c:v>
                </c:pt>
                <c:pt idx="6">
                  <c:v>-836.19</c:v>
                </c:pt>
                <c:pt idx="7">
                  <c:v>-963.01499999999999</c:v>
                </c:pt>
                <c:pt idx="8">
                  <c:v>-1089.8400000000001</c:v>
                </c:pt>
                <c:pt idx="9">
                  <c:v>-1216.665</c:v>
                </c:pt>
                <c:pt idx="10">
                  <c:v>-1343.49</c:v>
                </c:pt>
                <c:pt idx="11">
                  <c:v>-1470.3150000000001</c:v>
                </c:pt>
                <c:pt idx="12">
                  <c:v>-1597.1399999999999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6-4E88-40AE-8203-698A1E1AB78F}"/>
            </c:ext>
          </c:extLst>
        </c:ser>
        <c:ser>
          <c:idx val="7"/>
          <c:order val="7"/>
          <c:tx>
            <c:strRef>
              <c:f>Samples!$J$133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Samples!$J$134:$J$146</c:f>
              <c:numCache>
                <c:formatCode>0.00</c:formatCode>
                <c:ptCount val="13"/>
                <c:pt idx="0">
                  <c:v>0</c:v>
                </c:pt>
                <c:pt idx="1">
                  <c:v>-180</c:v>
                </c:pt>
                <c:pt idx="2">
                  <c:v>-360</c:v>
                </c:pt>
                <c:pt idx="3">
                  <c:v>-540</c:v>
                </c:pt>
                <c:pt idx="4">
                  <c:v>-720</c:v>
                </c:pt>
                <c:pt idx="5">
                  <c:v>-900</c:v>
                </c:pt>
                <c:pt idx="6">
                  <c:v>-1054.8</c:v>
                </c:pt>
                <c:pt idx="7">
                  <c:v>-1209.5999999999999</c:v>
                </c:pt>
                <c:pt idx="8">
                  <c:v>-1364.4</c:v>
                </c:pt>
                <c:pt idx="9">
                  <c:v>-1519.2</c:v>
                </c:pt>
                <c:pt idx="10">
                  <c:v>-1674</c:v>
                </c:pt>
                <c:pt idx="11">
                  <c:v>-1828.8000000000002</c:v>
                </c:pt>
                <c:pt idx="12">
                  <c:v>-1983.6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7-4E88-40AE-8203-698A1E1AB78F}"/>
            </c:ext>
          </c:extLst>
        </c:ser>
        <c:ser>
          <c:idx val="8"/>
          <c:order val="8"/>
          <c:tx>
            <c:strRef>
              <c:f>Samples!$K$133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Samples!$K$134:$K$146</c:f>
              <c:numCache>
                <c:formatCode>0.00</c:formatCode>
                <c:ptCount val="13"/>
                <c:pt idx="0">
                  <c:v>0</c:v>
                </c:pt>
                <c:pt idx="1">
                  <c:v>-217.5</c:v>
                </c:pt>
                <c:pt idx="2">
                  <c:v>-435</c:v>
                </c:pt>
                <c:pt idx="3">
                  <c:v>-652.5</c:v>
                </c:pt>
                <c:pt idx="4">
                  <c:v>-870</c:v>
                </c:pt>
                <c:pt idx="5">
                  <c:v>-1087.5</c:v>
                </c:pt>
                <c:pt idx="6">
                  <c:v>-1275.42</c:v>
                </c:pt>
                <c:pt idx="7">
                  <c:v>-1455.9449999999999</c:v>
                </c:pt>
                <c:pt idx="8">
                  <c:v>-1636.47</c:v>
                </c:pt>
                <c:pt idx="9">
                  <c:v>-1816.9950000000001</c:v>
                </c:pt>
                <c:pt idx="10">
                  <c:v>-1997.52</c:v>
                </c:pt>
                <c:pt idx="11">
                  <c:v>-2178.0450000000001</c:v>
                </c:pt>
                <c:pt idx="12">
                  <c:v>-2358.5699999999997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8-4E88-40AE-8203-698A1E1AB78F}"/>
            </c:ext>
          </c:extLst>
        </c:ser>
        <c:ser>
          <c:idx val="9"/>
          <c:order val="9"/>
          <c:tx>
            <c:strRef>
              <c:f>Samples!$L$133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Samples!$L$134:$L$146</c:f>
              <c:numCache>
                <c:formatCode>0.00</c:formatCode>
                <c:ptCount val="13"/>
                <c:pt idx="0">
                  <c:v>0</c:v>
                </c:pt>
                <c:pt idx="1">
                  <c:v>-255</c:v>
                </c:pt>
                <c:pt idx="2">
                  <c:v>-510</c:v>
                </c:pt>
                <c:pt idx="3">
                  <c:v>-765</c:v>
                </c:pt>
                <c:pt idx="4">
                  <c:v>-1020</c:v>
                </c:pt>
                <c:pt idx="5">
                  <c:v>-1275</c:v>
                </c:pt>
                <c:pt idx="6">
                  <c:v>-1499.3999999999999</c:v>
                </c:pt>
                <c:pt idx="7">
                  <c:v>-1703.3999999999999</c:v>
                </c:pt>
                <c:pt idx="8">
                  <c:v>-1907.4</c:v>
                </c:pt>
                <c:pt idx="9">
                  <c:v>-2111.4</c:v>
                </c:pt>
                <c:pt idx="10">
                  <c:v>-2315.4</c:v>
                </c:pt>
                <c:pt idx="11">
                  <c:v>-2519.4</c:v>
                </c:pt>
                <c:pt idx="12">
                  <c:v>-2723.3999999999996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9-4E88-40AE-8203-698A1E1AB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0.6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Shaft speed magnitude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1475E"/>
  </sheetPr>
  <dimension ref="A1:O42"/>
  <sheetViews>
    <sheetView showGridLines="0" zoomScale="97" workbookViewId="0">
      <pane ySplit="4" topLeftCell="A5" activePane="bottomLeft" state="frozen"/>
      <selection pane="bottomLeft" activeCell="E7" sqref="E7"/>
    </sheetView>
  </sheetViews>
  <sheetFormatPr defaultRowHeight="14"/>
  <cols>
    <col min="1" max="1" width="2.5" customWidth="1"/>
    <col min="2" max="2" width="21" customWidth="1"/>
    <col min="3" max="3" width="13" customWidth="1"/>
    <col min="4" max="4" width="3" customWidth="1"/>
    <col min="5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22" t="s">
        <v>58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5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" customHeight="1">
      <c r="A4" s="1"/>
      <c r="B4" s="1" t="s">
        <v>0</v>
      </c>
      <c r="C4" s="9" t="s">
        <v>1</v>
      </c>
      <c r="D4" s="1"/>
      <c r="E4" s="23" t="s">
        <v>59</v>
      </c>
      <c r="F4" s="23"/>
      <c r="G4" s="23"/>
      <c r="H4" s="23"/>
      <c r="I4" s="23"/>
      <c r="J4" s="23"/>
      <c r="K4" s="23"/>
      <c r="L4" s="23"/>
      <c r="M4" s="23"/>
      <c r="N4" s="1"/>
      <c r="O4" s="1"/>
    </row>
    <row r="5" spans="1:1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" customHeight="1">
      <c r="A6" s="1"/>
      <c r="B6" s="1" t="s">
        <v>83</v>
      </c>
      <c r="C6" s="9" t="s">
        <v>89</v>
      </c>
      <c r="D6" s="1"/>
      <c r="E6" s="1"/>
      <c r="F6" s="21" t="s">
        <v>28</v>
      </c>
      <c r="G6" s="21"/>
      <c r="H6" s="21"/>
      <c r="I6" s="21"/>
      <c r="J6" s="21"/>
      <c r="K6" s="1"/>
      <c r="L6" s="1"/>
      <c r="M6" s="1"/>
      <c r="N6" s="1"/>
      <c r="O6" s="1"/>
    </row>
    <row r="7" spans="1:15" ht="23" customHeight="1">
      <c r="A7" s="1"/>
      <c r="B7" s="1" t="s">
        <v>12</v>
      </c>
      <c r="C7" s="3">
        <v>-12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" customHeight="1">
      <c r="A8" s="1"/>
      <c r="B8" s="1" t="s">
        <v>14</v>
      </c>
      <c r="C8" s="3">
        <v>-10</v>
      </c>
      <c r="D8" s="1"/>
      <c r="E8" s="1"/>
      <c r="F8" s="20" t="s">
        <v>29</v>
      </c>
      <c r="G8" s="20"/>
      <c r="H8" s="20"/>
      <c r="I8" s="24">
        <f>IF(C18="OK",Samples!F165*MIN(C10,Samples!G165)+Samples!I165*MAX(0,C10-Samples!G165)+Samples!J165*MAX(0,C10-Samples!K165),"检查输入")</f>
        <v>1736.47</v>
      </c>
      <c r="J8" s="24"/>
      <c r="K8" s="1"/>
      <c r="L8" s="1"/>
      <c r="M8" s="1"/>
      <c r="N8" s="1"/>
      <c r="O8" s="1"/>
    </row>
    <row r="9" spans="1:15" ht="23" customHeight="1">
      <c r="A9" s="1"/>
      <c r="B9" s="1" t="s">
        <v>30</v>
      </c>
      <c r="C9" s="3">
        <v>-20</v>
      </c>
      <c r="D9" s="1"/>
      <c r="E9" s="1"/>
      <c r="F9" s="1"/>
      <c r="G9" s="1"/>
      <c r="H9" s="1"/>
      <c r="I9" s="17"/>
      <c r="J9" s="17"/>
      <c r="K9" s="1"/>
      <c r="L9" s="1"/>
      <c r="M9" s="1"/>
      <c r="N9" s="1"/>
      <c r="O9" s="1"/>
    </row>
    <row r="10" spans="1:15" ht="23" customHeight="1">
      <c r="A10" s="1"/>
      <c r="B10" s="1" t="s">
        <v>31</v>
      </c>
      <c r="C10" s="16">
        <v>0.45</v>
      </c>
      <c r="D10" s="1"/>
      <c r="E10" s="1"/>
      <c r="F10" s="20" t="s">
        <v>32</v>
      </c>
      <c r="G10" s="20"/>
      <c r="H10" s="20"/>
      <c r="I10" s="24">
        <f>IF(C18="OK",Samples!M165*MIN(C10,Samples!N165)+Samples!P165*MAX(0,C10-Samples!N165),"检查输入")</f>
        <v>1519.2</v>
      </c>
      <c r="J10" s="24"/>
      <c r="K10" s="1"/>
      <c r="L10" s="1"/>
      <c r="M10" s="1"/>
      <c r="N10" s="1"/>
      <c r="O10" s="1"/>
    </row>
    <row r="11" spans="1:15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" customHeight="1">
      <c r="A13" s="1"/>
      <c r="B13" s="1" t="s">
        <v>33</v>
      </c>
      <c r="C13" s="1">
        <f>Parameters!D23</f>
        <v>24</v>
      </c>
      <c r="D13" s="1"/>
      <c r="E13" s="1"/>
      <c r="F13" s="21" t="s">
        <v>60</v>
      </c>
      <c r="G13" s="21"/>
      <c r="H13" s="21"/>
      <c r="I13" s="21"/>
      <c r="J13" s="21"/>
      <c r="K13" s="1"/>
      <c r="L13" s="1"/>
      <c r="M13" s="1"/>
      <c r="N13" s="1"/>
      <c r="O13" s="1"/>
    </row>
    <row r="14" spans="1:15" ht="23" customHeight="1">
      <c r="A14" s="1"/>
      <c r="B14" s="1" t="s">
        <v>34</v>
      </c>
      <c r="C14" s="1">
        <f>Parameters!D24</f>
        <v>20</v>
      </c>
      <c r="D14" s="1"/>
      <c r="E14" s="1"/>
      <c r="F14" s="20" t="s">
        <v>15</v>
      </c>
      <c r="G14" s="20"/>
      <c r="H14" s="20"/>
      <c r="I14" s="18">
        <f>Samples!F165</f>
        <v>3650</v>
      </c>
      <c r="J14" s="1" t="s">
        <v>16</v>
      </c>
      <c r="K14" s="1"/>
      <c r="L14" s="1"/>
      <c r="M14" s="1"/>
      <c r="N14" s="1"/>
      <c r="O14" s="1"/>
    </row>
    <row r="15" spans="1:15" ht="23" customHeight="1">
      <c r="A15" s="1"/>
      <c r="B15" s="1" t="s">
        <v>35</v>
      </c>
      <c r="C15" s="1">
        <f>IF(C6="MRA80",Parameters!D26,Parameters!D25)</f>
        <v>40</v>
      </c>
      <c r="D15" s="1"/>
      <c r="E15" s="1"/>
      <c r="F15" s="20" t="s">
        <v>36</v>
      </c>
      <c r="G15" s="20"/>
      <c r="H15" s="20"/>
      <c r="I15" s="18">
        <f>Samples!I165</f>
        <v>3431</v>
      </c>
      <c r="J15" s="1" t="s">
        <v>16</v>
      </c>
      <c r="K15" s="1"/>
      <c r="L15" s="1"/>
      <c r="M15" s="1"/>
      <c r="N15" s="1"/>
      <c r="O15" s="1"/>
    </row>
    <row r="16" spans="1:15" ht="23" customHeight="1">
      <c r="A16" s="1"/>
      <c r="B16" s="1"/>
      <c r="C16" s="1"/>
      <c r="D16" s="1"/>
      <c r="E16" s="1"/>
      <c r="F16" s="20" t="s">
        <v>61</v>
      </c>
      <c r="G16" s="20"/>
      <c r="H16" s="20"/>
      <c r="I16" s="18">
        <f>Samples!J165</f>
        <v>1750</v>
      </c>
      <c r="J16" s="1" t="s">
        <v>16</v>
      </c>
      <c r="K16" s="1"/>
      <c r="L16" s="1"/>
      <c r="M16" s="1"/>
      <c r="N16" s="1"/>
      <c r="O16" s="1"/>
    </row>
    <row r="17" spans="1:15" ht="23" customHeight="1">
      <c r="A17" s="1"/>
      <c r="B17" s="1"/>
      <c r="C17" s="1"/>
      <c r="D17" s="1"/>
      <c r="E17" s="1"/>
      <c r="F17" s="20" t="s">
        <v>37</v>
      </c>
      <c r="G17" s="20"/>
      <c r="H17" s="20"/>
      <c r="I17" s="18">
        <f>Samples!L165</f>
        <v>5181</v>
      </c>
      <c r="J17" s="1" t="s">
        <v>16</v>
      </c>
      <c r="K17" s="1"/>
      <c r="L17" s="1"/>
      <c r="M17" s="1"/>
      <c r="N17" s="1"/>
      <c r="O17" s="1"/>
    </row>
    <row r="18" spans="1:15" ht="23" customHeight="1">
      <c r="A18" s="1"/>
      <c r="B18" s="1" t="s">
        <v>38</v>
      </c>
      <c r="C18" s="1" t="str">
        <f>IF(AND(OR(C4="Type-A",C4="Type-B"),OR(C6="MRA60",C6="MRA80",C6="MRA80 (Mod)"),COUNT(C7:C10)=4,C7&gt;=-C13,C7&lt;=0,C8&gt;=-C14,C8&lt;=0,C9&gt;=-C15,C9&lt;=0,C10&gt;=0,INT(C7)=C7,INT(C8)=C8,INT(C9)=C9),"OK","检查输入")</f>
        <v>OK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" customHeight="1">
      <c r="A19" s="1"/>
      <c r="B19" s="1"/>
      <c r="C19" s="1"/>
      <c r="D19" s="1"/>
      <c r="E19" s="1"/>
      <c r="F19" s="20" t="s">
        <v>20</v>
      </c>
      <c r="G19" s="20"/>
      <c r="H19" s="20"/>
      <c r="I19" s="18">
        <f>Samples!M165</f>
        <v>3600</v>
      </c>
      <c r="J19" s="1" t="s">
        <v>16</v>
      </c>
      <c r="K19" s="1"/>
      <c r="L19" s="1"/>
      <c r="M19" s="1"/>
      <c r="N19" s="1"/>
      <c r="O19" s="1"/>
    </row>
    <row r="20" spans="1:15" ht="23" customHeight="1">
      <c r="A20" s="1"/>
      <c r="B20" s="1"/>
      <c r="C20" s="1"/>
      <c r="D20" s="1"/>
      <c r="E20" s="1"/>
      <c r="F20" s="20" t="s">
        <v>39</v>
      </c>
      <c r="G20" s="20"/>
      <c r="H20" s="20"/>
      <c r="I20" s="18">
        <f>Samples!P165</f>
        <v>3096</v>
      </c>
      <c r="J20" s="1" t="s">
        <v>16</v>
      </c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1"/>
      <c r="C22" s="1"/>
      <c r="D22" s="1"/>
      <c r="E22" s="1"/>
      <c r="F22" s="20" t="s">
        <v>55</v>
      </c>
      <c r="G22" s="20"/>
      <c r="H22" s="20"/>
      <c r="I22" s="5">
        <f>Samples!G165</f>
        <v>0.08</v>
      </c>
      <c r="J22" s="1" t="s">
        <v>17</v>
      </c>
      <c r="K22" s="1"/>
      <c r="L22" s="1"/>
      <c r="M22" s="1"/>
      <c r="N22" s="1"/>
      <c r="O22" s="1"/>
    </row>
    <row r="23" spans="1:15" ht="23" customHeight="1">
      <c r="A23" s="1"/>
      <c r="B23" s="1"/>
      <c r="C23" s="1"/>
      <c r="D23" s="1"/>
      <c r="E23" s="1"/>
      <c r="F23" s="20" t="s">
        <v>56</v>
      </c>
      <c r="G23" s="20"/>
      <c r="H23" s="20"/>
      <c r="I23" s="5">
        <f>Samples!K165</f>
        <v>0.35</v>
      </c>
      <c r="J23" s="1" t="s">
        <v>17</v>
      </c>
      <c r="K23" s="1"/>
      <c r="L23" s="1"/>
      <c r="M23" s="1"/>
      <c r="N23" s="1"/>
      <c r="O23" s="1"/>
    </row>
    <row r="24" spans="1:15" ht="23" customHeight="1">
      <c r="A24" s="1"/>
      <c r="B24" s="1"/>
      <c r="C24" s="1"/>
      <c r="D24" s="1"/>
      <c r="E24" s="1"/>
      <c r="F24" s="20" t="s">
        <v>21</v>
      </c>
      <c r="G24" s="20"/>
      <c r="H24" s="20"/>
      <c r="I24" s="5">
        <f>Samples!N165</f>
        <v>0.25</v>
      </c>
      <c r="J24" s="1" t="s">
        <v>17</v>
      </c>
      <c r="K24" s="1"/>
      <c r="L24" s="1"/>
      <c r="M24" s="1"/>
      <c r="N24" s="1"/>
      <c r="O24" s="1"/>
    </row>
    <row r="25" spans="1:15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" customHeight="1">
      <c r="A27" s="1"/>
      <c r="B27" s="19" t="s">
        <v>84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"/>
      <c r="O27" s="1"/>
    </row>
    <row r="28" spans="1:15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18">
    <mergeCell ref="B2:M2"/>
    <mergeCell ref="E4:M4"/>
    <mergeCell ref="F6:J6"/>
    <mergeCell ref="F8:H8"/>
    <mergeCell ref="F10:H10"/>
    <mergeCell ref="I8:J8"/>
    <mergeCell ref="I10:J10"/>
    <mergeCell ref="F13:J13"/>
    <mergeCell ref="F14:H14"/>
    <mergeCell ref="F15:H15"/>
    <mergeCell ref="F16:H16"/>
    <mergeCell ref="F17:H17"/>
    <mergeCell ref="B27:M27"/>
    <mergeCell ref="F19:H19"/>
    <mergeCell ref="F20:H20"/>
    <mergeCell ref="F22:H22"/>
    <mergeCell ref="F23:H23"/>
    <mergeCell ref="F24:H24"/>
  </mergeCells>
  <phoneticPr fontId="13" type="noConversion"/>
  <dataValidations count="6">
    <dataValidation type="list" sqref="C4" xr:uid="{00000000-0002-0000-0500-000000000000}">
      <formula1>"Type-A,Type-B"</formula1>
    </dataValidation>
    <dataValidation type="list" sqref="C6" xr:uid="{00000000-0002-0000-0500-000001000000}">
      <formula1>"MRA60,MRA80,MRA80 (Mod)"</formula1>
    </dataValidation>
    <dataValidation type="whole" sqref="C7" xr:uid="{00000000-0002-0000-0500-000002000000}">
      <formula1>-24</formula1>
      <formula2>0</formula2>
    </dataValidation>
    <dataValidation type="whole" sqref="C8" xr:uid="{00000000-0002-0000-0500-000003000000}">
      <formula1>-20</formula1>
      <formula2>0</formula2>
    </dataValidation>
    <dataValidation type="whole" sqref="C9" xr:uid="{00000000-0002-0000-0500-000004000000}">
      <formula1>-C15</formula1>
      <formula2>0</formula2>
    </dataValidation>
    <dataValidation type="decimal" operator="greaterThanOrEqual" sqref="C10" xr:uid="{00000000-0002-0000-0500-000005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475E"/>
  </sheetPr>
  <dimension ref="A1:O42"/>
  <sheetViews>
    <sheetView showGridLines="0" zoomScale="61" zoomScaleNormal="75" workbookViewId="0">
      <pane ySplit="4" topLeftCell="A8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22" t="s">
        <v>75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5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" customHeight="1">
      <c r="A4" s="1"/>
      <c r="B4" s="1" t="s">
        <v>0</v>
      </c>
      <c r="C4" s="9" t="s">
        <v>1</v>
      </c>
      <c r="D4" s="1"/>
      <c r="E4" s="23" t="s">
        <v>76</v>
      </c>
      <c r="F4" s="23"/>
      <c r="G4" s="23"/>
      <c r="H4" s="23"/>
      <c r="I4" s="23"/>
      <c r="J4" s="23"/>
      <c r="K4" s="23"/>
      <c r="L4" s="23"/>
      <c r="M4" s="23"/>
      <c r="N4" s="1"/>
      <c r="O4" s="1"/>
    </row>
    <row r="5" spans="1:1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" customHeight="1">
      <c r="A6" s="1"/>
      <c r="B6" s="1" t="s">
        <v>2</v>
      </c>
      <c r="C6" s="3">
        <v>-10</v>
      </c>
      <c r="D6" s="1"/>
      <c r="E6" s="20" t="s">
        <v>3</v>
      </c>
      <c r="F6" s="20"/>
      <c r="G6" s="20"/>
      <c r="H6" s="20"/>
      <c r="I6" s="20"/>
      <c r="J6" s="20"/>
      <c r="K6" s="20"/>
      <c r="L6" s="20"/>
      <c r="M6" s="20"/>
      <c r="N6" s="1"/>
      <c r="O6" s="1"/>
    </row>
    <row r="7" spans="1:15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19" t="s">
        <v>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"/>
      <c r="O41" s="1"/>
    </row>
    <row r="42" spans="1:15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E6:M6"/>
    <mergeCell ref="B41:M41"/>
  </mergeCells>
  <phoneticPr fontId="13" type="noConversion"/>
  <dataValidations count="2">
    <dataValidation type="list" sqref="C4" xr:uid="{00000000-0002-0000-0000-000000000000}">
      <formula1>"Type-A,Type-B"</formula1>
    </dataValidation>
    <dataValidation type="whole" sqref="C6" xr:uid="{00000000-0002-0000-0000-000001000000}">
      <formula1>-20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475E"/>
  </sheetPr>
  <dimension ref="A1:O42"/>
  <sheetViews>
    <sheetView showGridLines="0" zoomScale="64" zoomScaleNormal="79" workbookViewId="0">
      <pane ySplit="4" topLeftCell="A12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22" t="s">
        <v>77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5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" customHeight="1">
      <c r="A4" s="1"/>
      <c r="B4" s="1" t="s">
        <v>0</v>
      </c>
      <c r="C4" s="9" t="s">
        <v>9</v>
      </c>
      <c r="D4" s="1"/>
      <c r="E4" s="23" t="s">
        <v>78</v>
      </c>
      <c r="F4" s="23"/>
      <c r="G4" s="23"/>
      <c r="H4" s="23"/>
      <c r="I4" s="23"/>
      <c r="J4" s="23"/>
      <c r="K4" s="23"/>
      <c r="L4" s="23"/>
      <c r="M4" s="23"/>
      <c r="N4" s="1"/>
      <c r="O4" s="1"/>
    </row>
    <row r="5" spans="1:1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" customHeight="1">
      <c r="A6" s="1"/>
      <c r="B6" s="1" t="s">
        <v>5</v>
      </c>
      <c r="C6" s="3">
        <v>-12</v>
      </c>
      <c r="D6" s="1"/>
      <c r="E6" s="20" t="s">
        <v>6</v>
      </c>
      <c r="F6" s="20"/>
      <c r="G6" s="20"/>
      <c r="H6" s="20"/>
      <c r="I6" s="20"/>
      <c r="J6" s="20"/>
      <c r="K6" s="20"/>
      <c r="L6" s="20"/>
      <c r="M6" s="20"/>
      <c r="N6" s="1"/>
      <c r="O6" s="1"/>
    </row>
    <row r="7" spans="1:15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19" t="s">
        <v>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"/>
      <c r="O41" s="1"/>
    </row>
    <row r="42" spans="1:15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E6:M6"/>
    <mergeCell ref="B41:M41"/>
  </mergeCells>
  <phoneticPr fontId="13" type="noConversion"/>
  <dataValidations count="2">
    <dataValidation type="list" sqref="C4" xr:uid="{00000000-0002-0000-0100-000000000000}">
      <formula1>"Type-A,Type-B"</formula1>
    </dataValidation>
    <dataValidation type="whole" sqref="C6" xr:uid="{00000000-0002-0000-0100-000001000000}">
      <formula1>-24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475E"/>
  </sheetPr>
  <dimension ref="A1:O42"/>
  <sheetViews>
    <sheetView showGridLines="0" zoomScale="60" zoomScaleNormal="60" workbookViewId="0">
      <pane ySplit="4" topLeftCell="A9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22" t="s">
        <v>79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5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" customHeight="1">
      <c r="A4" s="1"/>
      <c r="B4" s="1" t="s">
        <v>0</v>
      </c>
      <c r="C4" s="9" t="s">
        <v>1</v>
      </c>
      <c r="D4" s="1"/>
      <c r="E4" s="23" t="s">
        <v>80</v>
      </c>
      <c r="F4" s="23"/>
      <c r="G4" s="23"/>
      <c r="H4" s="23"/>
      <c r="I4" s="23"/>
      <c r="J4" s="23"/>
      <c r="K4" s="23"/>
      <c r="L4" s="23"/>
      <c r="M4" s="23"/>
      <c r="N4" s="1"/>
      <c r="O4" s="1"/>
    </row>
    <row r="5" spans="1:1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" customHeight="1">
      <c r="A6" s="1"/>
      <c r="B6" s="20" t="s">
        <v>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1"/>
      <c r="O6" s="1"/>
    </row>
    <row r="7" spans="1:15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19" t="s">
        <v>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"/>
      <c r="O41" s="1"/>
    </row>
    <row r="42" spans="1:15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B6:M6"/>
    <mergeCell ref="B41:M41"/>
  </mergeCells>
  <phoneticPr fontId="13" type="noConversion"/>
  <dataValidations count="1">
    <dataValidation type="list" sqref="C4" xr:uid="{00000000-0002-0000-0200-000000000000}">
      <formula1>"Type-A,Type-B"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475E"/>
  </sheetPr>
  <dimension ref="A1:O42"/>
  <sheetViews>
    <sheetView showGridLines="0" tabSelected="1" zoomScale="77" zoomScaleNormal="83" workbookViewId="0">
      <pane ySplit="4" topLeftCell="A7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22" t="s">
        <v>81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5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" customHeight="1">
      <c r="A4" s="1"/>
      <c r="B4" s="1" t="s">
        <v>0</v>
      </c>
      <c r="C4" s="9" t="s">
        <v>1</v>
      </c>
      <c r="D4" s="1"/>
      <c r="E4" s="23" t="s">
        <v>82</v>
      </c>
      <c r="F4" s="23"/>
      <c r="G4" s="23"/>
      <c r="H4" s="23"/>
      <c r="I4" s="23"/>
      <c r="J4" s="23"/>
      <c r="K4" s="23"/>
      <c r="L4" s="23"/>
      <c r="M4" s="23"/>
      <c r="N4" s="1"/>
      <c r="O4" s="1"/>
    </row>
    <row r="5" spans="1:1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" customHeight="1">
      <c r="A6" s="1"/>
      <c r="B6" s="20" t="s">
        <v>8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1"/>
      <c r="O6" s="1"/>
    </row>
    <row r="7" spans="1:15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19" t="s">
        <v>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"/>
      <c r="O41" s="1"/>
    </row>
    <row r="42" spans="1:15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B6:M6"/>
    <mergeCell ref="B41:M41"/>
  </mergeCells>
  <phoneticPr fontId="13" type="noConversion"/>
  <dataValidations count="1">
    <dataValidation type="list" sqref="C4" xr:uid="{00000000-0002-0000-0300-000000000000}">
      <formula1>"Type-A,Type-B"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9A32"/>
  </sheetPr>
  <dimension ref="A1:O41"/>
  <sheetViews>
    <sheetView showGridLines="0" workbookViewId="0">
      <pane ySplit="4" topLeftCell="A5" activePane="bottomLeft" state="frozen"/>
      <selection pane="bottomLeft" activeCell="H14" sqref="H14"/>
    </sheetView>
  </sheetViews>
  <sheetFormatPr defaultRowHeight="14"/>
  <cols>
    <col min="1" max="1" width="2.5" customWidth="1"/>
    <col min="2" max="2" width="23" customWidth="1"/>
    <col min="3" max="8" width="10" customWidth="1"/>
    <col min="9" max="9" width="3" customWidth="1"/>
    <col min="10" max="14" width="10" customWidth="1"/>
    <col min="15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22" t="s">
        <v>62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</row>
    <row r="3" spans="1:15" ht="23" customHeight="1">
      <c r="A3" s="1"/>
      <c r="B3" s="23" t="s">
        <v>85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1"/>
    </row>
    <row r="4" spans="1:15" ht="2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3" customHeight="1">
      <c r="A5" s="1"/>
      <c r="B5" s="1"/>
      <c r="C5" s="1"/>
      <c r="D5" s="21" t="s">
        <v>1</v>
      </c>
      <c r="E5" s="21"/>
      <c r="F5" s="21"/>
      <c r="G5" s="21"/>
      <c r="H5" s="21"/>
      <c r="I5" s="1"/>
      <c r="J5" s="21" t="s">
        <v>9</v>
      </c>
      <c r="K5" s="21"/>
      <c r="L5" s="21"/>
      <c r="M5" s="21"/>
      <c r="N5" s="21"/>
      <c r="O5" s="1"/>
    </row>
    <row r="6" spans="1:15" ht="23" customHeight="1">
      <c r="A6" s="1"/>
      <c r="B6" s="1" t="s">
        <v>10</v>
      </c>
      <c r="C6" s="1" t="s">
        <v>11</v>
      </c>
      <c r="D6" s="2">
        <v>0</v>
      </c>
      <c r="E6" s="2">
        <v>0.25</v>
      </c>
      <c r="F6" s="2">
        <v>0.5</v>
      </c>
      <c r="G6" s="2">
        <v>0.75</v>
      </c>
      <c r="H6" s="2">
        <v>1</v>
      </c>
      <c r="I6" s="2"/>
      <c r="J6" s="2">
        <f>D6</f>
        <v>0</v>
      </c>
      <c r="K6" s="2">
        <f>E6</f>
        <v>0.25</v>
      </c>
      <c r="L6" s="2">
        <f>F6</f>
        <v>0.5</v>
      </c>
      <c r="M6" s="2">
        <f>G6</f>
        <v>0.75</v>
      </c>
      <c r="N6" s="2">
        <f>H6</f>
        <v>1</v>
      </c>
      <c r="O6" s="1"/>
    </row>
    <row r="7" spans="1:15" ht="23" customHeight="1">
      <c r="A7" s="1"/>
      <c r="B7" s="1" t="s">
        <v>12</v>
      </c>
      <c r="C7" s="1" t="s">
        <v>13</v>
      </c>
      <c r="D7" s="1">
        <f>(D$6-1)*$D$23</f>
        <v>-24</v>
      </c>
      <c r="E7" s="1">
        <f>(E$6-1)*$D$23</f>
        <v>-18</v>
      </c>
      <c r="F7" s="1">
        <f>(F$6-1)*$D$23</f>
        <v>-12</v>
      </c>
      <c r="G7" s="1">
        <f>(G$6-1)*$D$23</f>
        <v>-6</v>
      </c>
      <c r="H7" s="1">
        <f>(H$6-1)*$D$23</f>
        <v>0</v>
      </c>
      <c r="I7" s="1"/>
      <c r="J7" s="1">
        <f>(J$6-1)*$D$23</f>
        <v>-24</v>
      </c>
      <c r="K7" s="1">
        <f>(K$6-1)*$D$23</f>
        <v>-18</v>
      </c>
      <c r="L7" s="1">
        <f>(L$6-1)*$D$23</f>
        <v>-12</v>
      </c>
      <c r="M7" s="1">
        <f>(M$6-1)*$D$23</f>
        <v>-6</v>
      </c>
      <c r="N7" s="1">
        <f>(N$6-1)*$D$23</f>
        <v>0</v>
      </c>
      <c r="O7" s="1"/>
    </row>
    <row r="8" spans="1:15" ht="23" customHeight="1">
      <c r="A8" s="1"/>
      <c r="B8" s="1" t="s">
        <v>14</v>
      </c>
      <c r="C8" s="1" t="s">
        <v>13</v>
      </c>
      <c r="D8" s="1">
        <f>(D$6-1)*$D$24</f>
        <v>-20</v>
      </c>
      <c r="E8" s="1">
        <f>(E$6-1)*$D$24</f>
        <v>-15</v>
      </c>
      <c r="F8" s="1">
        <f>(F$6-1)*$D$24</f>
        <v>-10</v>
      </c>
      <c r="G8" s="1">
        <f>(G$6-1)*$D$24</f>
        <v>-5</v>
      </c>
      <c r="H8" s="1">
        <f>(H$6-1)*$D$24</f>
        <v>0</v>
      </c>
      <c r="I8" s="1"/>
      <c r="J8" s="1">
        <f>(J$6-1)*$D$24</f>
        <v>-20</v>
      </c>
      <c r="K8" s="1">
        <f>(K$6-1)*$D$24</f>
        <v>-15</v>
      </c>
      <c r="L8" s="1">
        <f>(L$6-1)*$D$24</f>
        <v>-10</v>
      </c>
      <c r="M8" s="1">
        <f>(M$6-1)*$D$24</f>
        <v>-5</v>
      </c>
      <c r="N8" s="1">
        <f>(N$6-1)*$D$24</f>
        <v>0</v>
      </c>
      <c r="O8" s="1"/>
    </row>
    <row r="9" spans="1:15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" customHeight="1">
      <c r="A10" s="1"/>
      <c r="B10" s="1" t="s">
        <v>15</v>
      </c>
      <c r="C10" s="1" t="s">
        <v>16</v>
      </c>
      <c r="D10" s="3">
        <v>1850</v>
      </c>
      <c r="E10" s="6">
        <f>(D10+F10)/2</f>
        <v>2750</v>
      </c>
      <c r="F10" s="3">
        <v>3650</v>
      </c>
      <c r="G10" s="6">
        <f>(F10+H10)/2</f>
        <v>4550</v>
      </c>
      <c r="H10" s="3">
        <v>5450</v>
      </c>
      <c r="I10" s="1"/>
      <c r="J10" s="3">
        <v>2400</v>
      </c>
      <c r="K10" s="6">
        <f>(J10+L10)/2</f>
        <v>3300</v>
      </c>
      <c r="L10" s="3">
        <v>4200</v>
      </c>
      <c r="M10" s="6">
        <f>(L10+N10)/2</f>
        <v>5100</v>
      </c>
      <c r="N10" s="3">
        <v>6000</v>
      </c>
      <c r="O10" s="1"/>
    </row>
    <row r="11" spans="1:15" ht="23" customHeight="1">
      <c r="A11" s="1"/>
      <c r="B11" s="1" t="s">
        <v>55</v>
      </c>
      <c r="C11" s="1" t="s">
        <v>17</v>
      </c>
      <c r="D11" s="4">
        <v>0.08</v>
      </c>
      <c r="E11" s="5">
        <f>(D11+F11)/2</f>
        <v>0.08</v>
      </c>
      <c r="F11" s="4">
        <v>0.08</v>
      </c>
      <c r="G11" s="5">
        <f>(F11+H11)/2</f>
        <v>0.08</v>
      </c>
      <c r="H11" s="4">
        <v>0.08</v>
      </c>
      <c r="I11" s="1"/>
      <c r="J11" s="4">
        <v>0.2</v>
      </c>
      <c r="K11" s="5">
        <f>(J11+L11)/2</f>
        <v>0.25</v>
      </c>
      <c r="L11" s="4">
        <v>0.3</v>
      </c>
      <c r="M11" s="5">
        <f>(L11+N11)/2</f>
        <v>0.35</v>
      </c>
      <c r="N11" s="4">
        <v>0.4</v>
      </c>
      <c r="O11" s="1"/>
    </row>
    <row r="12" spans="1:15" ht="23" customHeight="1">
      <c r="A12" s="1"/>
      <c r="B12" s="1" t="s">
        <v>18</v>
      </c>
      <c r="C12" s="1" t="s">
        <v>19</v>
      </c>
      <c r="D12" s="4">
        <v>1</v>
      </c>
      <c r="E12" s="5">
        <f>(D12+F12)/2</f>
        <v>0.97</v>
      </c>
      <c r="F12" s="4">
        <v>0.94</v>
      </c>
      <c r="G12" s="5">
        <f>(F12+H12)/2</f>
        <v>0.90999999999999992</v>
      </c>
      <c r="H12" s="4">
        <v>0.88</v>
      </c>
      <c r="I12" s="1"/>
      <c r="J12" s="4">
        <v>0.73</v>
      </c>
      <c r="K12" s="5">
        <f>(J12+L12)/2</f>
        <v>0.71</v>
      </c>
      <c r="L12" s="4">
        <v>0.69</v>
      </c>
      <c r="M12" s="5">
        <f>(L12+N12)/2</f>
        <v>0.66999999999999993</v>
      </c>
      <c r="N12" s="4">
        <v>0.65</v>
      </c>
      <c r="O12" s="1"/>
    </row>
    <row r="13" spans="1:15" ht="23" customHeight="1">
      <c r="A13" s="1"/>
      <c r="B13" s="1" t="s">
        <v>63</v>
      </c>
      <c r="C13" s="1" t="s">
        <v>16</v>
      </c>
      <c r="D13" s="3">
        <v>250</v>
      </c>
      <c r="E13" s="6">
        <f>(D13+F13)/2</f>
        <v>1000</v>
      </c>
      <c r="F13" s="3">
        <v>1750</v>
      </c>
      <c r="G13" s="6">
        <f>(F13+H13)/2</f>
        <v>2500</v>
      </c>
      <c r="H13" s="3">
        <v>3250</v>
      </c>
      <c r="I13" s="1"/>
      <c r="J13" s="3">
        <v>0</v>
      </c>
      <c r="K13" s="6">
        <v>0</v>
      </c>
      <c r="L13" s="3">
        <v>0</v>
      </c>
      <c r="M13" s="6">
        <v>0</v>
      </c>
      <c r="N13" s="3">
        <v>0</v>
      </c>
      <c r="O13" s="1"/>
    </row>
    <row r="14" spans="1:15" ht="23" customHeight="1">
      <c r="A14" s="1"/>
      <c r="B14" s="1" t="s">
        <v>56</v>
      </c>
      <c r="C14" s="1" t="s">
        <v>17</v>
      </c>
      <c r="D14" s="4">
        <v>0.34</v>
      </c>
      <c r="E14" s="4">
        <v>0.34499999999999997</v>
      </c>
      <c r="F14" s="4">
        <v>0.35</v>
      </c>
      <c r="G14" s="4">
        <v>0.35499999999999998</v>
      </c>
      <c r="H14" s="4">
        <v>0.36</v>
      </c>
      <c r="I14" s="1"/>
      <c r="J14" s="4">
        <f>$L$14</f>
        <v>0.6</v>
      </c>
      <c r="K14" s="4">
        <f>$L$14</f>
        <v>0.6</v>
      </c>
      <c r="L14" s="4">
        <v>0.6</v>
      </c>
      <c r="M14" s="4">
        <f>$L$14</f>
        <v>0.6</v>
      </c>
      <c r="N14" s="4">
        <f>$L$14</f>
        <v>0.6</v>
      </c>
      <c r="O14" s="1"/>
    </row>
    <row r="15" spans="1:15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" customHeight="1">
      <c r="A16" s="1"/>
      <c r="B16" s="1" t="s">
        <v>64</v>
      </c>
      <c r="C16" s="1" t="s">
        <v>13</v>
      </c>
      <c r="D16" s="1">
        <f>(D$6-1)*$D$25</f>
        <v>-40</v>
      </c>
      <c r="E16" s="1">
        <f>(E$6-1)*$D$25</f>
        <v>-30</v>
      </c>
      <c r="F16" s="1">
        <f>(F$6-1)*$D$25</f>
        <v>-20</v>
      </c>
      <c r="G16" s="1">
        <f>(G$6-1)*$D$25</f>
        <v>-10</v>
      </c>
      <c r="H16" s="1">
        <f>(H$6-1)*$D$25</f>
        <v>0</v>
      </c>
      <c r="I16" s="1"/>
      <c r="J16" s="1">
        <f>(J$6-1)*$D$25</f>
        <v>-40</v>
      </c>
      <c r="K16" s="1">
        <f>(K$6-1)*$D$25</f>
        <v>-30</v>
      </c>
      <c r="L16" s="1">
        <f>(L$6-1)*$D$25</f>
        <v>-20</v>
      </c>
      <c r="M16" s="1">
        <f>(M$6-1)*$D$25</f>
        <v>-10</v>
      </c>
      <c r="N16" s="1">
        <f>(N$6-1)*$D$25</f>
        <v>0</v>
      </c>
      <c r="O16" s="1"/>
    </row>
    <row r="17" spans="1:15" ht="23" customHeight="1">
      <c r="A17" s="1"/>
      <c r="B17" s="1" t="s">
        <v>20</v>
      </c>
      <c r="C17" s="1" t="s">
        <v>16</v>
      </c>
      <c r="D17" s="3">
        <v>2100</v>
      </c>
      <c r="E17" s="6">
        <f>(D17+F17)/2</f>
        <v>2850</v>
      </c>
      <c r="F17" s="3">
        <v>3600</v>
      </c>
      <c r="G17" s="6">
        <f>(F17+H17)/2</f>
        <v>4350</v>
      </c>
      <c r="H17" s="3">
        <v>5100</v>
      </c>
      <c r="I17" s="1"/>
      <c r="J17" s="3">
        <v>3000</v>
      </c>
      <c r="K17" s="6">
        <f>(J17+L17)/2</f>
        <v>3750</v>
      </c>
      <c r="L17" s="3">
        <v>4500</v>
      </c>
      <c r="M17" s="6">
        <f>(L17+N17)/2</f>
        <v>5250</v>
      </c>
      <c r="N17" s="3">
        <v>6000</v>
      </c>
      <c r="O17" s="1"/>
    </row>
    <row r="18" spans="1:15" ht="23" customHeight="1">
      <c r="A18" s="1"/>
      <c r="B18" s="1" t="s">
        <v>21</v>
      </c>
      <c r="C18" s="1" t="s">
        <v>17</v>
      </c>
      <c r="D18" s="4">
        <v>0.23</v>
      </c>
      <c r="E18" s="5">
        <f>(D18+F18)/2</f>
        <v>0.24</v>
      </c>
      <c r="F18" s="4">
        <v>0.25</v>
      </c>
      <c r="G18" s="5">
        <f>(F18+H18)/2</f>
        <v>0.26</v>
      </c>
      <c r="H18" s="4">
        <v>0.27</v>
      </c>
      <c r="I18" s="1"/>
      <c r="J18" s="4">
        <v>0.21</v>
      </c>
      <c r="K18" s="5">
        <f>(J18+L18)/2</f>
        <v>0.215</v>
      </c>
      <c r="L18" s="4">
        <v>0.22</v>
      </c>
      <c r="M18" s="5">
        <f>(L18+N18)/2</f>
        <v>0.22500000000000001</v>
      </c>
      <c r="N18" s="4">
        <v>0.23</v>
      </c>
      <c r="O18" s="1"/>
    </row>
    <row r="19" spans="1:15" ht="23" customHeight="1">
      <c r="A19" s="1"/>
      <c r="B19" s="1" t="s">
        <v>22</v>
      </c>
      <c r="C19" s="1" t="s">
        <v>19</v>
      </c>
      <c r="D19" s="4">
        <v>0.92</v>
      </c>
      <c r="E19" s="5">
        <f>(D19+F19)/2</f>
        <v>0.89</v>
      </c>
      <c r="F19" s="4">
        <v>0.86</v>
      </c>
      <c r="G19" s="5">
        <f>(F19+H19)/2</f>
        <v>0.83000000000000007</v>
      </c>
      <c r="H19" s="4">
        <v>0.8</v>
      </c>
      <c r="I19" s="1"/>
      <c r="J19" s="4">
        <v>0.68</v>
      </c>
      <c r="K19" s="5">
        <f>(J19+L19)/2</f>
        <v>0.65</v>
      </c>
      <c r="L19" s="4">
        <v>0.62</v>
      </c>
      <c r="M19" s="5">
        <f>(L19+N19)/2</f>
        <v>0.59000000000000008</v>
      </c>
      <c r="N19" s="4">
        <v>0.56000000000000005</v>
      </c>
      <c r="O19" s="1"/>
    </row>
    <row r="20" spans="1:15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21" t="s">
        <v>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"/>
    </row>
    <row r="23" spans="1:15" ht="23" customHeight="1">
      <c r="A23" s="1"/>
      <c r="B23" s="20" t="s">
        <v>66</v>
      </c>
      <c r="C23" s="20"/>
      <c r="D23" s="1">
        <v>24</v>
      </c>
      <c r="E23" s="1"/>
      <c r="F23" s="27" t="s">
        <v>86</v>
      </c>
      <c r="G23" s="27"/>
      <c r="H23" s="27"/>
      <c r="I23" s="27"/>
      <c r="J23" s="27"/>
      <c r="K23" s="27"/>
      <c r="L23" s="27"/>
      <c r="M23" s="27"/>
      <c r="N23" s="27"/>
      <c r="O23" s="1"/>
    </row>
    <row r="24" spans="1:15" ht="23" customHeight="1">
      <c r="A24" s="1"/>
      <c r="B24" s="20" t="s">
        <v>67</v>
      </c>
      <c r="C24" s="20"/>
      <c r="D24" s="1">
        <v>20</v>
      </c>
      <c r="E24" s="1"/>
      <c r="F24" s="27"/>
      <c r="G24" s="27"/>
      <c r="H24" s="27"/>
      <c r="I24" s="27"/>
      <c r="J24" s="27"/>
      <c r="K24" s="27"/>
      <c r="L24" s="27"/>
      <c r="M24" s="27"/>
      <c r="N24" s="27"/>
      <c r="O24" s="1"/>
    </row>
    <row r="25" spans="1:15" ht="23" customHeight="1">
      <c r="A25" s="1"/>
      <c r="B25" s="20" t="s">
        <v>87</v>
      </c>
      <c r="C25" s="20"/>
      <c r="D25" s="1">
        <v>40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20" t="s">
        <v>68</v>
      </c>
      <c r="C26" s="20"/>
      <c r="D26" s="1">
        <v>60</v>
      </c>
      <c r="E26" s="1"/>
      <c r="F26" s="20" t="s">
        <v>23</v>
      </c>
      <c r="G26" s="20"/>
      <c r="H26" s="20"/>
      <c r="I26" s="20"/>
      <c r="J26" s="20"/>
      <c r="K26" s="20"/>
      <c r="L26" s="20"/>
      <c r="M26" s="20"/>
      <c r="N26" s="20"/>
      <c r="O26" s="1"/>
    </row>
    <row r="27" spans="1:15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" customHeight="1">
      <c r="A28" s="1"/>
      <c r="B28" s="21" t="s">
        <v>69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"/>
    </row>
    <row r="29" spans="1:15" ht="23" customHeight="1">
      <c r="A29" s="1"/>
      <c r="B29" s="25" t="s">
        <v>24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1"/>
    </row>
    <row r="30" spans="1:15" ht="31" customHeight="1">
      <c r="A30" s="1"/>
      <c r="B30" s="26" t="s">
        <v>57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1"/>
    </row>
    <row r="31" spans="1:15" ht="23" customHeight="1">
      <c r="A31" s="1"/>
      <c r="B31" s="25" t="s">
        <v>25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1"/>
    </row>
    <row r="32" spans="1:15" ht="23" customHeight="1">
      <c r="A32" s="1"/>
      <c r="B32" s="25" t="s">
        <v>70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1"/>
    </row>
    <row r="33" spans="1:15" ht="23" customHeight="1">
      <c r="A33" s="1"/>
      <c r="B33" s="25" t="s">
        <v>26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1"/>
    </row>
    <row r="34" spans="1:15" ht="23" customHeight="1">
      <c r="A34" s="1"/>
      <c r="B34" s="25" t="s">
        <v>88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1"/>
    </row>
    <row r="35" spans="1:15" ht="23" customHeight="1">
      <c r="A35" s="1"/>
      <c r="B35" s="25" t="s">
        <v>27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</sheetData>
  <mergeCells count="19">
    <mergeCell ref="B2:N2"/>
    <mergeCell ref="B3:N3"/>
    <mergeCell ref="D5:H5"/>
    <mergeCell ref="J5:N5"/>
    <mergeCell ref="B22:N22"/>
    <mergeCell ref="B23:C23"/>
    <mergeCell ref="B24:C24"/>
    <mergeCell ref="B25:C25"/>
    <mergeCell ref="B26:C26"/>
    <mergeCell ref="F23:N24"/>
    <mergeCell ref="F26:N26"/>
    <mergeCell ref="B33:N33"/>
    <mergeCell ref="B34:N34"/>
    <mergeCell ref="B35:N35"/>
    <mergeCell ref="B28:N28"/>
    <mergeCell ref="B29:N29"/>
    <mergeCell ref="B30:N30"/>
    <mergeCell ref="B31:N31"/>
    <mergeCell ref="B32:N32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3A0AC"/>
  </sheetPr>
  <dimension ref="A1:V165"/>
  <sheetViews>
    <sheetView showGridLines="0" topLeftCell="C1" zoomScale="85" workbookViewId="0">
      <pane ySplit="4" topLeftCell="A116" activePane="bottomLeft" state="frozen"/>
      <selection pane="bottomLeft" activeCell="J144" sqref="J144"/>
    </sheetView>
  </sheetViews>
  <sheetFormatPr defaultRowHeight="14"/>
  <cols>
    <col min="1" max="1" width="2.5" customWidth="1"/>
    <col min="2" max="2" width="28" customWidth="1"/>
    <col min="3" max="22" width="13" customWidth="1"/>
  </cols>
  <sheetData>
    <row r="1" spans="1:22" ht="22" customHeight="1">
      <c r="A1" s="1"/>
      <c r="B1" s="28" t="s">
        <v>71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29"/>
      <c r="R1" s="29"/>
      <c r="S1" s="29"/>
      <c r="T1" s="29"/>
      <c r="U1" s="29"/>
      <c r="V1" s="29"/>
    </row>
    <row r="2" spans="1:22" ht="22" customHeigh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8"/>
      <c r="R2" s="8"/>
      <c r="S2" s="8"/>
      <c r="T2" s="8"/>
      <c r="U2" s="8"/>
      <c r="V2" s="8"/>
    </row>
    <row r="3" spans="1:22" ht="22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8"/>
      <c r="R3" s="8"/>
      <c r="S3" s="8"/>
      <c r="T3" s="8"/>
      <c r="U3" s="8"/>
      <c r="V3" s="8"/>
    </row>
    <row r="4" spans="1:22" ht="35" customHeight="1">
      <c r="A4" s="1"/>
      <c r="B4" s="12" t="s">
        <v>40</v>
      </c>
      <c r="C4" s="12" t="s">
        <v>41</v>
      </c>
      <c r="D4" s="12" t="s">
        <v>42</v>
      </c>
      <c r="E4" s="12" t="s">
        <v>43</v>
      </c>
      <c r="F4" s="12" t="s">
        <v>15</v>
      </c>
      <c r="G4" s="12" t="s">
        <v>55</v>
      </c>
      <c r="H4" s="12" t="s">
        <v>44</v>
      </c>
      <c r="I4" s="12" t="s">
        <v>36</v>
      </c>
      <c r="J4" s="12" t="s">
        <v>45</v>
      </c>
      <c r="K4" s="12" t="s">
        <v>56</v>
      </c>
      <c r="L4" s="12" t="s">
        <v>46</v>
      </c>
      <c r="M4" s="12" t="s">
        <v>20</v>
      </c>
      <c r="N4" s="12" t="s">
        <v>21</v>
      </c>
      <c r="O4" s="12" t="s">
        <v>47</v>
      </c>
      <c r="P4" s="13" t="s">
        <v>39</v>
      </c>
      <c r="Q4" s="13" t="s">
        <v>48</v>
      </c>
      <c r="R4" s="13" t="s">
        <v>49</v>
      </c>
      <c r="S4" s="13" t="s">
        <v>50</v>
      </c>
      <c r="T4" s="13" t="s">
        <v>51</v>
      </c>
      <c r="U4" s="13" t="s">
        <v>52</v>
      </c>
      <c r="V4" s="13" t="s">
        <v>53</v>
      </c>
    </row>
    <row r="5" spans="1:22" ht="22" customHeight="1">
      <c r="A5" s="1"/>
      <c r="B5" s="7" t="str">
        <f>"c "&amp;C5</f>
        <v>c -24</v>
      </c>
      <c r="C5" s="7">
        <f>Parameters!D7</f>
        <v>-24</v>
      </c>
      <c r="D5" s="7">
        <f>'LSC Sweep'!$C$6</f>
        <v>-10</v>
      </c>
      <c r="E5" s="7">
        <f>Parameters!D16</f>
        <v>-40</v>
      </c>
      <c r="F5" s="7">
        <f>IF('LSC Sweep'!$C$4="Type-B",INDEX(Parameters!$J$10:$N$10,1,Q5)+(INDEX(Parameters!$J$10:$N$10,1,Q5+1)-INDEX(Parameters!$J$10:$N$10,1,Q5))*T5,INDEX(Parameters!$D$10:$H$10,1,Q5)+(INDEX(Parameters!$D$10:$H$10,1,Q5+1)-INDEX(Parameters!$D$10:$H$10,1,Q5))*T5)</f>
        <v>1850</v>
      </c>
      <c r="G5" s="7">
        <f>IF('LSC Sweep'!$C$4="Type-B",INDEX(Parameters!$J$11:$N$11,1,R5)+(INDEX(Parameters!$J$11:$N$11,1,R5+1)-INDEX(Parameters!$J$11:$N$11,1,R5))*U5,INDEX(Parameters!$D$11:$H$11,1,Q5)+(INDEX(Parameters!$D$11:$H$11,1,Q5+1)-INDEX(Parameters!$D$11:$H$11,1,Q5))*T5)</f>
        <v>0.08</v>
      </c>
      <c r="H5" s="7">
        <f>IF('LSC Sweep'!$C$4="Type-B",INDEX(Parameters!$J$12:$N$12,1,Q5)+(INDEX(Parameters!$J$12:$N$12,1,Q5+1)-INDEX(Parameters!$J$12:$N$12,1,Q5))*T5,INDEX(Parameters!$D$12:$H$12,1,Q5)+(INDEX(Parameters!$D$12:$H$12,1,Q5+1)-INDEX(Parameters!$D$12:$H$12,1,Q5))*T5)</f>
        <v>1</v>
      </c>
      <c r="I5" s="7">
        <f>F5*H5</f>
        <v>1850</v>
      </c>
      <c r="J5" s="7">
        <f>IF('LSC Sweep'!$C$4="Type-B",INDEX(Parameters!$J$13:$N$13,1,R5)+(INDEX(Parameters!$J$13:$N$13,1,R5+1)-INDEX(Parameters!$J$13:$N$13,1,R5))*U5,INDEX(Parameters!$D$13:$H$13,1,R5)+(INDEX(Parameters!$D$13:$H$13,1,R5+1)-INDEX(Parameters!$D$13:$H$13,1,R5))*U5)</f>
        <v>1750</v>
      </c>
      <c r="K5" s="7">
        <f>IF('LSC Sweep'!$C$4="Type-B",Parameters!$L$14,INDEX(Parameters!$D$14:$H$14,1,R5)+(INDEX(Parameters!$D$14:$H$14,1,R5+1)-INDEX(Parameters!$D$14:$H$14,1,R5))*U5)</f>
        <v>0.35</v>
      </c>
      <c r="L5" s="7">
        <f>I5+J5</f>
        <v>3600</v>
      </c>
      <c r="M5" s="7">
        <f>IF('LSC Sweep'!$C$4="Type-B",INDEX(Parameters!$J$17:$N$17,1,S5)+(INDEX(Parameters!$J$17:$N$17,1,S5+1)-INDEX(Parameters!$J$17:$N$17,1,S5))*V5,INDEX(Parameters!$D$17:$H$17,1,S5)+(INDEX(Parameters!$D$17:$H$17,1,S5+1)-INDEX(Parameters!$D$17:$H$17,1,S5))*V5)</f>
        <v>2100</v>
      </c>
      <c r="N5" s="7">
        <f>IF('LSC Sweep'!$C$4="Type-B",INDEX(Parameters!$J$18:$N$18,1,S5)+(INDEX(Parameters!$J$18:$N$18,1,S5+1)-INDEX(Parameters!$J$18:$N$18,1,S5))*V5,INDEX(Parameters!$D$18:$H$18,1,S5)+(INDEX(Parameters!$D$18:$H$18,1,S5+1)-INDEX(Parameters!$D$18:$H$18,1,S5))*V5)</f>
        <v>0.23</v>
      </c>
      <c r="O5" s="7">
        <f>IF('LSC Sweep'!$C$4="Type-B",INDEX(Parameters!$J$19:$N$19,1,S5)+(INDEX(Parameters!$J$19:$N$19,1,S5+1)-INDEX(Parameters!$J$19:$N$19,1,S5))*V5,INDEX(Parameters!$D$19:$H$19,1,S5)+(INDEX(Parameters!$D$19:$H$19,1,S5+1)-INDEX(Parameters!$D$19:$H$19,1,S5))*V5)</f>
        <v>0.92</v>
      </c>
      <c r="P5" s="8">
        <f>M5*O5</f>
        <v>1932</v>
      </c>
      <c r="Q5" s="8">
        <f>MIN(4,MAX(1,INT((1+C5/Parameters!$D$23)*4)+1))</f>
        <v>1</v>
      </c>
      <c r="R5" s="8">
        <f>MIN(4,MAX(1,INT((1+D5/Parameters!$D$24)*4)+1))</f>
        <v>3</v>
      </c>
      <c r="S5" s="8">
        <f>MIN(4,MAX(1,INT((1+E5/Parameters!$D$25)*4)+1))</f>
        <v>1</v>
      </c>
      <c r="T5" s="8">
        <f>MAX(0,MIN(1,(1+C5/Parameters!$D$23)*4-(Q5-1)))</f>
        <v>0</v>
      </c>
      <c r="U5" s="8">
        <f>MAX(0,MIN(1,(1+D5/Parameters!$D$24)*4-(R5-1)))</f>
        <v>0</v>
      </c>
      <c r="V5" s="8">
        <f>MAX(0,MIN(1,(1+E5/Parameters!$D$25)*4-(S5-1)))</f>
        <v>0</v>
      </c>
    </row>
    <row r="6" spans="1:22" ht="22" customHeight="1">
      <c r="A6" s="1"/>
      <c r="B6" s="7" t="str">
        <f>"c "&amp;C6</f>
        <v>c -18</v>
      </c>
      <c r="C6" s="7">
        <f>Parameters!E7</f>
        <v>-18</v>
      </c>
      <c r="D6" s="7">
        <f>'LSC Sweep'!$C$6</f>
        <v>-10</v>
      </c>
      <c r="E6" s="7">
        <f>Parameters!E16</f>
        <v>-30</v>
      </c>
      <c r="F6" s="7">
        <f>IF('LSC Sweep'!$C$4="Type-B",INDEX(Parameters!$J$10:$N$10,1,Q6)+(INDEX(Parameters!$J$10:$N$10,1,Q6+1)-INDEX(Parameters!$J$10:$N$10,1,Q6))*T6,INDEX(Parameters!$D$10:$H$10,1,Q6)+(INDEX(Parameters!$D$10:$H$10,1,Q6+1)-INDEX(Parameters!$D$10:$H$10,1,Q6))*T6)</f>
        <v>2750</v>
      </c>
      <c r="G6" s="7">
        <f>IF('LSC Sweep'!$C$4="Type-B",INDEX(Parameters!$J$11:$N$11,1,R6)+(INDEX(Parameters!$J$11:$N$11,1,R6+1)-INDEX(Parameters!$J$11:$N$11,1,R6))*U6,INDEX(Parameters!$D$11:$H$11,1,Q6)+(INDEX(Parameters!$D$11:$H$11,1,Q6+1)-INDEX(Parameters!$D$11:$H$11,1,Q6))*T6)</f>
        <v>0.08</v>
      </c>
      <c r="H6" s="7">
        <f>IF('LSC Sweep'!$C$4="Type-B",INDEX(Parameters!$J$12:$N$12,1,Q6)+(INDEX(Parameters!$J$12:$N$12,1,Q6+1)-INDEX(Parameters!$J$12:$N$12,1,Q6))*T6,INDEX(Parameters!$D$12:$H$12,1,Q6)+(INDEX(Parameters!$D$12:$H$12,1,Q6+1)-INDEX(Parameters!$D$12:$H$12,1,Q6))*T6)</f>
        <v>0.97</v>
      </c>
      <c r="I6" s="7">
        <f>F6*H6</f>
        <v>2667.5</v>
      </c>
      <c r="J6" s="7">
        <f>IF('LSC Sweep'!$C$4="Type-B",INDEX(Parameters!$J$13:$N$13,1,R6)+(INDEX(Parameters!$J$13:$N$13,1,R6+1)-INDEX(Parameters!$J$13:$N$13,1,R6))*U6,INDEX(Parameters!$D$13:$H$13,1,R6)+(INDEX(Parameters!$D$13:$H$13,1,R6+1)-INDEX(Parameters!$D$13:$H$13,1,R6))*U6)</f>
        <v>1750</v>
      </c>
      <c r="K6" s="7">
        <f>IF('LSC Sweep'!$C$4="Type-B",Parameters!$L$14,INDEX(Parameters!$D$14:$H$14,1,R6)+(INDEX(Parameters!$D$14:$H$14,1,R6+1)-INDEX(Parameters!$D$14:$H$14,1,R6))*U6)</f>
        <v>0.35</v>
      </c>
      <c r="L6" s="7">
        <f>I6+J6</f>
        <v>4417.5</v>
      </c>
      <c r="M6" s="7">
        <f>IF('LSC Sweep'!$C$4="Type-B",INDEX(Parameters!$J$17:$N$17,1,S6)+(INDEX(Parameters!$J$17:$N$17,1,S6+1)-INDEX(Parameters!$J$17:$N$17,1,S6))*V6,INDEX(Parameters!$D$17:$H$17,1,S6)+(INDEX(Parameters!$D$17:$H$17,1,S6+1)-INDEX(Parameters!$D$17:$H$17,1,S6))*V6)</f>
        <v>2850</v>
      </c>
      <c r="N6" s="7">
        <f>IF('LSC Sweep'!$C$4="Type-B",INDEX(Parameters!$J$18:$N$18,1,S6)+(INDEX(Parameters!$J$18:$N$18,1,S6+1)-INDEX(Parameters!$J$18:$N$18,1,S6))*V6,INDEX(Parameters!$D$18:$H$18,1,S6)+(INDEX(Parameters!$D$18:$H$18,1,S6+1)-INDEX(Parameters!$D$18:$H$18,1,S6))*V6)</f>
        <v>0.24</v>
      </c>
      <c r="O6" s="7">
        <f>IF('LSC Sweep'!$C$4="Type-B",INDEX(Parameters!$J$19:$N$19,1,S6)+(INDEX(Parameters!$J$19:$N$19,1,S6+1)-INDEX(Parameters!$J$19:$N$19,1,S6))*V6,INDEX(Parameters!$D$19:$H$19,1,S6)+(INDEX(Parameters!$D$19:$H$19,1,S6+1)-INDEX(Parameters!$D$19:$H$19,1,S6))*V6)</f>
        <v>0.89</v>
      </c>
      <c r="P6" s="8">
        <f>M6*O6</f>
        <v>2536.5</v>
      </c>
      <c r="Q6" s="8">
        <f>MIN(4,MAX(1,INT((1+C6/Parameters!$D$23)*4)+1))</f>
        <v>2</v>
      </c>
      <c r="R6" s="8">
        <f>MIN(4,MAX(1,INT((1+D6/Parameters!$D$24)*4)+1))</f>
        <v>3</v>
      </c>
      <c r="S6" s="8">
        <f>MIN(4,MAX(1,INT((1+E6/Parameters!$D$25)*4)+1))</f>
        <v>2</v>
      </c>
      <c r="T6" s="8">
        <f>MAX(0,MIN(1,(1+C6/Parameters!$D$23)*4-(Q6-1)))</f>
        <v>0</v>
      </c>
      <c r="U6" s="8">
        <f>MAX(0,MIN(1,(1+D6/Parameters!$D$24)*4-(R6-1)))</f>
        <v>0</v>
      </c>
      <c r="V6" s="8">
        <f>MAX(0,MIN(1,(1+E6/Parameters!$D$25)*4-(S6-1)))</f>
        <v>0</v>
      </c>
    </row>
    <row r="7" spans="1:22" ht="22" customHeight="1">
      <c r="A7" s="1"/>
      <c r="B7" s="7" t="str">
        <f>"c "&amp;C7</f>
        <v>c -12</v>
      </c>
      <c r="C7" s="7">
        <f>Parameters!F7</f>
        <v>-12</v>
      </c>
      <c r="D7" s="7">
        <f>'LSC Sweep'!$C$6</f>
        <v>-10</v>
      </c>
      <c r="E7" s="7">
        <f>Parameters!F16</f>
        <v>-20</v>
      </c>
      <c r="F7" s="7">
        <f>IF('LSC Sweep'!$C$4="Type-B",INDEX(Parameters!$J$10:$N$10,1,Q7)+(INDEX(Parameters!$J$10:$N$10,1,Q7+1)-INDEX(Parameters!$J$10:$N$10,1,Q7))*T7,INDEX(Parameters!$D$10:$H$10,1,Q7)+(INDEX(Parameters!$D$10:$H$10,1,Q7+1)-INDEX(Parameters!$D$10:$H$10,1,Q7))*T7)</f>
        <v>3650</v>
      </c>
      <c r="G7" s="7">
        <f>IF('LSC Sweep'!$C$4="Type-B",INDEX(Parameters!$J$11:$N$11,1,R7)+(INDEX(Parameters!$J$11:$N$11,1,R7+1)-INDEX(Parameters!$J$11:$N$11,1,R7))*U7,INDEX(Parameters!$D$11:$H$11,1,Q7)+(INDEX(Parameters!$D$11:$H$11,1,Q7+1)-INDEX(Parameters!$D$11:$H$11,1,Q7))*T7)</f>
        <v>0.08</v>
      </c>
      <c r="H7" s="7">
        <f>IF('LSC Sweep'!$C$4="Type-B",INDEX(Parameters!$J$12:$N$12,1,Q7)+(INDEX(Parameters!$J$12:$N$12,1,Q7+1)-INDEX(Parameters!$J$12:$N$12,1,Q7))*T7,INDEX(Parameters!$D$12:$H$12,1,Q7)+(INDEX(Parameters!$D$12:$H$12,1,Q7+1)-INDEX(Parameters!$D$12:$H$12,1,Q7))*T7)</f>
        <v>0.94</v>
      </c>
      <c r="I7" s="7">
        <f>F7*H7</f>
        <v>3431</v>
      </c>
      <c r="J7" s="7">
        <f>IF('LSC Sweep'!$C$4="Type-B",INDEX(Parameters!$J$13:$N$13,1,R7)+(INDEX(Parameters!$J$13:$N$13,1,R7+1)-INDEX(Parameters!$J$13:$N$13,1,R7))*U7,INDEX(Parameters!$D$13:$H$13,1,R7)+(INDEX(Parameters!$D$13:$H$13,1,R7+1)-INDEX(Parameters!$D$13:$H$13,1,R7))*U7)</f>
        <v>1750</v>
      </c>
      <c r="K7" s="7">
        <f>IF('LSC Sweep'!$C$4="Type-B",Parameters!$L$14,INDEX(Parameters!$D$14:$H$14,1,R7)+(INDEX(Parameters!$D$14:$H$14,1,R7+1)-INDEX(Parameters!$D$14:$H$14,1,R7))*U7)</f>
        <v>0.35</v>
      </c>
      <c r="L7" s="7">
        <f>I7+J7</f>
        <v>5181</v>
      </c>
      <c r="M7" s="7">
        <f>IF('LSC Sweep'!$C$4="Type-B",INDEX(Parameters!$J$17:$N$17,1,S7)+(INDEX(Parameters!$J$17:$N$17,1,S7+1)-INDEX(Parameters!$J$17:$N$17,1,S7))*V7,INDEX(Parameters!$D$17:$H$17,1,S7)+(INDEX(Parameters!$D$17:$H$17,1,S7+1)-INDEX(Parameters!$D$17:$H$17,1,S7))*V7)</f>
        <v>3600</v>
      </c>
      <c r="N7" s="7">
        <f>IF('LSC Sweep'!$C$4="Type-B",INDEX(Parameters!$J$18:$N$18,1,S7)+(INDEX(Parameters!$J$18:$N$18,1,S7+1)-INDEX(Parameters!$J$18:$N$18,1,S7))*V7,INDEX(Parameters!$D$18:$H$18,1,S7)+(INDEX(Parameters!$D$18:$H$18,1,S7+1)-INDEX(Parameters!$D$18:$H$18,1,S7))*V7)</f>
        <v>0.25</v>
      </c>
      <c r="O7" s="7">
        <f>IF('LSC Sweep'!$C$4="Type-B",INDEX(Parameters!$J$19:$N$19,1,S7)+(INDEX(Parameters!$J$19:$N$19,1,S7+1)-INDEX(Parameters!$J$19:$N$19,1,S7))*V7,INDEX(Parameters!$D$19:$H$19,1,S7)+(INDEX(Parameters!$D$19:$H$19,1,S7+1)-INDEX(Parameters!$D$19:$H$19,1,S7))*V7)</f>
        <v>0.86</v>
      </c>
      <c r="P7" s="8">
        <f>M7*O7</f>
        <v>3096</v>
      </c>
      <c r="Q7" s="8">
        <f>MIN(4,MAX(1,INT((1+C7/Parameters!$D$23)*4)+1))</f>
        <v>3</v>
      </c>
      <c r="R7" s="8">
        <f>MIN(4,MAX(1,INT((1+D7/Parameters!$D$24)*4)+1))</f>
        <v>3</v>
      </c>
      <c r="S7" s="8">
        <f>MIN(4,MAX(1,INT((1+E7/Parameters!$D$25)*4)+1))</f>
        <v>3</v>
      </c>
      <c r="T7" s="8">
        <f>MAX(0,MIN(1,(1+C7/Parameters!$D$23)*4-(Q7-1)))</f>
        <v>0</v>
      </c>
      <c r="U7" s="8">
        <f>MAX(0,MIN(1,(1+D7/Parameters!$D$24)*4-(R7-1)))</f>
        <v>0</v>
      </c>
      <c r="V7" s="8">
        <f>MAX(0,MIN(1,(1+E7/Parameters!$D$25)*4-(S7-1)))</f>
        <v>0</v>
      </c>
    </row>
    <row r="8" spans="1:22" ht="22" customHeight="1">
      <c r="A8" s="1"/>
      <c r="B8" s="7" t="str">
        <f>"c "&amp;C8</f>
        <v>c -6</v>
      </c>
      <c r="C8" s="7">
        <f>Parameters!G7</f>
        <v>-6</v>
      </c>
      <c r="D8" s="7">
        <f>'LSC Sweep'!$C$6</f>
        <v>-10</v>
      </c>
      <c r="E8" s="7">
        <f>Parameters!G16</f>
        <v>-10</v>
      </c>
      <c r="F8" s="7">
        <f>IF('LSC Sweep'!$C$4="Type-B",INDEX(Parameters!$J$10:$N$10,1,Q8)+(INDEX(Parameters!$J$10:$N$10,1,Q8+1)-INDEX(Parameters!$J$10:$N$10,1,Q8))*T8,INDEX(Parameters!$D$10:$H$10,1,Q8)+(INDEX(Parameters!$D$10:$H$10,1,Q8+1)-INDEX(Parameters!$D$10:$H$10,1,Q8))*T8)</f>
        <v>4550</v>
      </c>
      <c r="G8" s="7">
        <f>IF('LSC Sweep'!$C$4="Type-B",INDEX(Parameters!$J$11:$N$11,1,R8)+(INDEX(Parameters!$J$11:$N$11,1,R8+1)-INDEX(Parameters!$J$11:$N$11,1,R8))*U8,INDEX(Parameters!$D$11:$H$11,1,Q8)+(INDEX(Parameters!$D$11:$H$11,1,Q8+1)-INDEX(Parameters!$D$11:$H$11,1,Q8))*T8)</f>
        <v>0.08</v>
      </c>
      <c r="H8" s="7">
        <f>IF('LSC Sweep'!$C$4="Type-B",INDEX(Parameters!$J$12:$N$12,1,Q8)+(INDEX(Parameters!$J$12:$N$12,1,Q8+1)-INDEX(Parameters!$J$12:$N$12,1,Q8))*T8,INDEX(Parameters!$D$12:$H$12,1,Q8)+(INDEX(Parameters!$D$12:$H$12,1,Q8+1)-INDEX(Parameters!$D$12:$H$12,1,Q8))*T8)</f>
        <v>0.90999999999999992</v>
      </c>
      <c r="I8" s="7">
        <f>F8*H8</f>
        <v>4140.5</v>
      </c>
      <c r="J8" s="7">
        <f>IF('LSC Sweep'!$C$4="Type-B",INDEX(Parameters!$J$13:$N$13,1,R8)+(INDEX(Parameters!$J$13:$N$13,1,R8+1)-INDEX(Parameters!$J$13:$N$13,1,R8))*U8,INDEX(Parameters!$D$13:$H$13,1,R8)+(INDEX(Parameters!$D$13:$H$13,1,R8+1)-INDEX(Parameters!$D$13:$H$13,1,R8))*U8)</f>
        <v>1750</v>
      </c>
      <c r="K8" s="7">
        <f>IF('LSC Sweep'!$C$4="Type-B",Parameters!$L$14,INDEX(Parameters!$D$14:$H$14,1,R8)+(INDEX(Parameters!$D$14:$H$14,1,R8+1)-INDEX(Parameters!$D$14:$H$14,1,R8))*U8)</f>
        <v>0.35</v>
      </c>
      <c r="L8" s="7">
        <f>I8+J8</f>
        <v>5890.5</v>
      </c>
      <c r="M8" s="7">
        <f>IF('LSC Sweep'!$C$4="Type-B",INDEX(Parameters!$J$17:$N$17,1,S8)+(INDEX(Parameters!$J$17:$N$17,1,S8+1)-INDEX(Parameters!$J$17:$N$17,1,S8))*V8,INDEX(Parameters!$D$17:$H$17,1,S8)+(INDEX(Parameters!$D$17:$H$17,1,S8+1)-INDEX(Parameters!$D$17:$H$17,1,S8))*V8)</f>
        <v>4350</v>
      </c>
      <c r="N8" s="7">
        <f>IF('LSC Sweep'!$C$4="Type-B",INDEX(Parameters!$J$18:$N$18,1,S8)+(INDEX(Parameters!$J$18:$N$18,1,S8+1)-INDEX(Parameters!$J$18:$N$18,1,S8))*V8,INDEX(Parameters!$D$18:$H$18,1,S8)+(INDEX(Parameters!$D$18:$H$18,1,S8+1)-INDEX(Parameters!$D$18:$H$18,1,S8))*V8)</f>
        <v>0.26</v>
      </c>
      <c r="O8" s="7">
        <f>IF('LSC Sweep'!$C$4="Type-B",INDEX(Parameters!$J$19:$N$19,1,S8)+(INDEX(Parameters!$J$19:$N$19,1,S8+1)-INDEX(Parameters!$J$19:$N$19,1,S8))*V8,INDEX(Parameters!$D$19:$H$19,1,S8)+(INDEX(Parameters!$D$19:$H$19,1,S8+1)-INDEX(Parameters!$D$19:$H$19,1,S8))*V8)</f>
        <v>0.83000000000000007</v>
      </c>
      <c r="P8" s="8">
        <f>M8*O8</f>
        <v>3610.5000000000005</v>
      </c>
      <c r="Q8" s="8">
        <f>MIN(4,MAX(1,INT((1+C8/Parameters!$D$23)*4)+1))</f>
        <v>4</v>
      </c>
      <c r="R8" s="8">
        <f>MIN(4,MAX(1,INT((1+D8/Parameters!$D$24)*4)+1))</f>
        <v>3</v>
      </c>
      <c r="S8" s="8">
        <f>MIN(4,MAX(1,INT((1+E8/Parameters!$D$25)*4)+1))</f>
        <v>4</v>
      </c>
      <c r="T8" s="8">
        <f>MAX(0,MIN(1,(1+C8/Parameters!$D$23)*4-(Q8-1)))</f>
        <v>0</v>
      </c>
      <c r="U8" s="8">
        <f>MAX(0,MIN(1,(1+D8/Parameters!$D$24)*4-(R8-1)))</f>
        <v>0</v>
      </c>
      <c r="V8" s="8">
        <f>MAX(0,MIN(1,(1+E8/Parameters!$D$25)*4-(S8-1)))</f>
        <v>0</v>
      </c>
    </row>
    <row r="9" spans="1:22" ht="22" customHeight="1">
      <c r="A9" s="1"/>
      <c r="B9" s="7" t="str">
        <f>"c "&amp;C9</f>
        <v>c 0</v>
      </c>
      <c r="C9" s="7">
        <f>Parameters!H7</f>
        <v>0</v>
      </c>
      <c r="D9" s="7">
        <f>'LSC Sweep'!$C$6</f>
        <v>-10</v>
      </c>
      <c r="E9" s="7">
        <f>Parameters!H16</f>
        <v>0</v>
      </c>
      <c r="F9" s="7">
        <f>IF('LSC Sweep'!$C$4="Type-B",INDEX(Parameters!$J$10:$N$10,1,Q9)+(INDEX(Parameters!$J$10:$N$10,1,Q9+1)-INDEX(Parameters!$J$10:$N$10,1,Q9))*T9,INDEX(Parameters!$D$10:$H$10,1,Q9)+(INDEX(Parameters!$D$10:$H$10,1,Q9+1)-INDEX(Parameters!$D$10:$H$10,1,Q9))*T9)</f>
        <v>5450</v>
      </c>
      <c r="G9" s="7">
        <f>IF('LSC Sweep'!$C$4="Type-B",INDEX(Parameters!$J$11:$N$11,1,R9)+(INDEX(Parameters!$J$11:$N$11,1,R9+1)-INDEX(Parameters!$J$11:$N$11,1,R9))*U9,INDEX(Parameters!$D$11:$H$11,1,Q9)+(INDEX(Parameters!$D$11:$H$11,1,Q9+1)-INDEX(Parameters!$D$11:$H$11,1,Q9))*T9)</f>
        <v>0.08</v>
      </c>
      <c r="H9" s="7">
        <f>IF('LSC Sweep'!$C$4="Type-B",INDEX(Parameters!$J$12:$N$12,1,Q9)+(INDEX(Parameters!$J$12:$N$12,1,Q9+1)-INDEX(Parameters!$J$12:$N$12,1,Q9))*T9,INDEX(Parameters!$D$12:$H$12,1,Q9)+(INDEX(Parameters!$D$12:$H$12,1,Q9+1)-INDEX(Parameters!$D$12:$H$12,1,Q9))*T9)</f>
        <v>0.88</v>
      </c>
      <c r="I9" s="7">
        <f>F9*H9</f>
        <v>4796</v>
      </c>
      <c r="J9" s="7">
        <f>IF('LSC Sweep'!$C$4="Type-B",INDEX(Parameters!$J$13:$N$13,1,R9)+(INDEX(Parameters!$J$13:$N$13,1,R9+1)-INDEX(Parameters!$J$13:$N$13,1,R9))*U9,INDEX(Parameters!$D$13:$H$13,1,R9)+(INDEX(Parameters!$D$13:$H$13,1,R9+1)-INDEX(Parameters!$D$13:$H$13,1,R9))*U9)</f>
        <v>1750</v>
      </c>
      <c r="K9" s="7">
        <f>IF('LSC Sweep'!$C$4="Type-B",Parameters!$L$14,INDEX(Parameters!$D$14:$H$14,1,R9)+(INDEX(Parameters!$D$14:$H$14,1,R9+1)-INDEX(Parameters!$D$14:$H$14,1,R9))*U9)</f>
        <v>0.35</v>
      </c>
      <c r="L9" s="7">
        <f>I9+J9</f>
        <v>6546</v>
      </c>
      <c r="M9" s="7">
        <f>IF('LSC Sweep'!$C$4="Type-B",INDEX(Parameters!$J$17:$N$17,1,S9)+(INDEX(Parameters!$J$17:$N$17,1,S9+1)-INDEX(Parameters!$J$17:$N$17,1,S9))*V9,INDEX(Parameters!$D$17:$H$17,1,S9)+(INDEX(Parameters!$D$17:$H$17,1,S9+1)-INDEX(Parameters!$D$17:$H$17,1,S9))*V9)</f>
        <v>5100</v>
      </c>
      <c r="N9" s="7">
        <f>IF('LSC Sweep'!$C$4="Type-B",INDEX(Parameters!$J$18:$N$18,1,S9)+(INDEX(Parameters!$J$18:$N$18,1,S9+1)-INDEX(Parameters!$J$18:$N$18,1,S9))*V9,INDEX(Parameters!$D$18:$H$18,1,S9)+(INDEX(Parameters!$D$18:$H$18,1,S9+1)-INDEX(Parameters!$D$18:$H$18,1,S9))*V9)</f>
        <v>0.27</v>
      </c>
      <c r="O9" s="7">
        <f>IF('LSC Sweep'!$C$4="Type-B",INDEX(Parameters!$J$19:$N$19,1,S9)+(INDEX(Parameters!$J$19:$N$19,1,S9+1)-INDEX(Parameters!$J$19:$N$19,1,S9))*V9,INDEX(Parameters!$D$19:$H$19,1,S9)+(INDEX(Parameters!$D$19:$H$19,1,S9+1)-INDEX(Parameters!$D$19:$H$19,1,S9))*V9)</f>
        <v>0.8</v>
      </c>
      <c r="P9" s="8">
        <f>M9*O9</f>
        <v>4080</v>
      </c>
      <c r="Q9" s="8">
        <f>MIN(4,MAX(1,INT((1+C9/Parameters!$D$23)*4)+1))</f>
        <v>4</v>
      </c>
      <c r="R9" s="8">
        <f>MIN(4,MAX(1,INT((1+D9/Parameters!$D$24)*4)+1))</f>
        <v>3</v>
      </c>
      <c r="S9" s="8">
        <f>MIN(4,MAX(1,INT((1+E9/Parameters!$D$25)*4)+1))</f>
        <v>4</v>
      </c>
      <c r="T9" s="8">
        <f>MAX(0,MIN(1,(1+C9/Parameters!$D$23)*4-(Q9-1)))</f>
        <v>1</v>
      </c>
      <c r="U9" s="8">
        <f>MAX(0,MIN(1,(1+D9/Parameters!$D$24)*4-(R9-1)))</f>
        <v>0</v>
      </c>
      <c r="V9" s="8">
        <f>MAX(0,MIN(1,(1+E9/Parameters!$D$25)*4-(S9-1)))</f>
        <v>1</v>
      </c>
    </row>
    <row r="10" spans="1:22" ht="22" customHeight="1">
      <c r="A10" s="1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  <c r="R10" s="8"/>
      <c r="S10" s="8"/>
      <c r="T10" s="8"/>
      <c r="U10" s="8"/>
      <c r="V10" s="8"/>
    </row>
    <row r="11" spans="1:22" ht="22" customHeight="1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  <c r="Q11" s="8"/>
      <c r="R11" s="8"/>
      <c r="S11" s="8"/>
      <c r="T11" s="8"/>
      <c r="U11" s="8"/>
      <c r="V11" s="8"/>
    </row>
    <row r="12" spans="1:22" ht="22" customHeight="1">
      <c r="A12" s="1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8"/>
      <c r="S12" s="8"/>
      <c r="T12" s="8"/>
      <c r="U12" s="8"/>
      <c r="V12" s="8"/>
    </row>
    <row r="13" spans="1:22" ht="22" customHeight="1">
      <c r="A13" s="1"/>
      <c r="B13" s="10" t="s">
        <v>31</v>
      </c>
      <c r="C13" s="10" t="str">
        <f>B5</f>
        <v>c -24</v>
      </c>
      <c r="D13" s="10" t="str">
        <f>B6</f>
        <v>c -18</v>
      </c>
      <c r="E13" s="10" t="str">
        <f>B7</f>
        <v>c -12</v>
      </c>
      <c r="F13" s="10" t="str">
        <f>B8</f>
        <v>c -6</v>
      </c>
      <c r="G13" s="10" t="str">
        <f>B9</f>
        <v>c 0</v>
      </c>
      <c r="H13" s="7"/>
      <c r="I13" s="7"/>
      <c r="J13" s="7"/>
      <c r="K13" s="7"/>
      <c r="L13" s="7"/>
      <c r="M13" s="7"/>
      <c r="N13" s="7"/>
      <c r="O13" s="7"/>
      <c r="P13" s="8"/>
      <c r="Q13" s="8"/>
      <c r="R13" s="8"/>
      <c r="S13" s="8"/>
      <c r="T13" s="8"/>
      <c r="U13" s="8"/>
      <c r="V13" s="8"/>
    </row>
    <row r="14" spans="1:22" ht="22" customHeight="1">
      <c r="A14" s="1"/>
      <c r="B14" s="14">
        <v>0</v>
      </c>
      <c r="C14" s="14">
        <f t="shared" ref="C14:C34" si="0">$F$5*MIN($B14,$G$5)+$I$5*MAX(0,$B14-$G$5)+$J$5*MAX(0,$B14-$K$5)</f>
        <v>0</v>
      </c>
      <c r="D14" s="14">
        <f t="shared" ref="D14:D34" si="1">$F$6*MIN($B14,$G$6)+$I$6*MAX(0,$B14-$G$6)+$J$6*MAX(0,$B14-$K$6)</f>
        <v>0</v>
      </c>
      <c r="E14" s="14">
        <f t="shared" ref="E14:E34" si="2">$F$7*MIN($B14,$G$7)+$I$7*MAX(0,$B14-$G$7)+$J$7*MAX(0,$B14-$K$7)</f>
        <v>0</v>
      </c>
      <c r="F14" s="14">
        <f t="shared" ref="F14:F34" si="3">$F$8*MIN($B14,$G$8)+$I$8*MAX(0,$B14-$G$8)+$J$8*MAX(0,$B14-$K$8)</f>
        <v>0</v>
      </c>
      <c r="G14" s="14">
        <f t="shared" ref="G14:G34" si="4">$F$9*MIN($B14,$G$9)+$I$9*MAX(0,$B14-$G$9)+$J$9*MAX(0,$B14-$K$9)</f>
        <v>0</v>
      </c>
      <c r="H14" s="7"/>
      <c r="I14" s="7"/>
      <c r="J14" s="7"/>
      <c r="K14" s="7"/>
      <c r="L14" s="7"/>
      <c r="M14" s="7"/>
      <c r="N14" s="7"/>
      <c r="O14" s="7"/>
      <c r="P14" s="8"/>
      <c r="Q14" s="8"/>
      <c r="R14" s="8"/>
      <c r="S14" s="8"/>
      <c r="T14" s="8"/>
      <c r="U14" s="8"/>
      <c r="V14" s="8"/>
    </row>
    <row r="15" spans="1:22" ht="22" customHeight="1">
      <c r="A15" s="1"/>
      <c r="B15" s="14">
        <v>0.05</v>
      </c>
      <c r="C15" s="14">
        <f t="shared" si="0"/>
        <v>92.5</v>
      </c>
      <c r="D15" s="14">
        <f t="shared" si="1"/>
        <v>137.5</v>
      </c>
      <c r="E15" s="14">
        <f t="shared" si="2"/>
        <v>182.5</v>
      </c>
      <c r="F15" s="14">
        <f t="shared" si="3"/>
        <v>227.5</v>
      </c>
      <c r="G15" s="14">
        <f t="shared" si="4"/>
        <v>272.5</v>
      </c>
      <c r="H15" s="7"/>
      <c r="I15" s="7"/>
      <c r="J15" s="7"/>
      <c r="K15" s="7"/>
      <c r="L15" s="7"/>
      <c r="M15" s="7"/>
      <c r="N15" s="7"/>
      <c r="O15" s="7"/>
      <c r="P15" s="8"/>
      <c r="Q15" s="8"/>
      <c r="R15" s="8"/>
      <c r="S15" s="8"/>
      <c r="T15" s="8"/>
      <c r="U15" s="8"/>
      <c r="V15" s="8"/>
    </row>
    <row r="16" spans="1:22" ht="22" customHeight="1">
      <c r="A16" s="1"/>
      <c r="B16" s="14">
        <v>0.1</v>
      </c>
      <c r="C16" s="14">
        <f t="shared" si="0"/>
        <v>185</v>
      </c>
      <c r="D16" s="14">
        <f t="shared" si="1"/>
        <v>273.35000000000002</v>
      </c>
      <c r="E16" s="14">
        <f t="shared" si="2"/>
        <v>360.62</v>
      </c>
      <c r="F16" s="14">
        <f t="shared" si="3"/>
        <v>446.81</v>
      </c>
      <c r="G16" s="14">
        <f t="shared" si="4"/>
        <v>531.92000000000007</v>
      </c>
      <c r="H16" s="7"/>
      <c r="I16" s="7"/>
      <c r="J16" s="7"/>
      <c r="K16" s="7"/>
      <c r="L16" s="7"/>
      <c r="M16" s="7"/>
      <c r="N16" s="7"/>
      <c r="O16" s="7"/>
      <c r="P16" s="8"/>
      <c r="Q16" s="8"/>
      <c r="R16" s="8"/>
      <c r="S16" s="8"/>
      <c r="T16" s="8"/>
      <c r="U16" s="8"/>
      <c r="V16" s="8"/>
    </row>
    <row r="17" spans="1:22" ht="22" customHeight="1">
      <c r="A17" s="1"/>
      <c r="B17" s="14">
        <v>0.15</v>
      </c>
      <c r="C17" s="14">
        <f t="shared" si="0"/>
        <v>277.5</v>
      </c>
      <c r="D17" s="14">
        <f t="shared" si="1"/>
        <v>406.72500000000002</v>
      </c>
      <c r="E17" s="14">
        <f t="shared" si="2"/>
        <v>532.16999999999996</v>
      </c>
      <c r="F17" s="14">
        <f t="shared" si="3"/>
        <v>653.83500000000004</v>
      </c>
      <c r="G17" s="14">
        <f t="shared" si="4"/>
        <v>771.72</v>
      </c>
      <c r="H17" s="7"/>
      <c r="I17" s="7"/>
      <c r="J17" s="7"/>
      <c r="K17" s="7"/>
      <c r="L17" s="7"/>
      <c r="M17" s="7"/>
      <c r="N17" s="7"/>
      <c r="O17" s="7"/>
      <c r="P17" s="8"/>
      <c r="Q17" s="8"/>
      <c r="R17" s="8"/>
      <c r="S17" s="8"/>
      <c r="T17" s="8"/>
      <c r="U17" s="8"/>
      <c r="V17" s="8"/>
    </row>
    <row r="18" spans="1:22" ht="22" customHeight="1">
      <c r="A18" s="1"/>
      <c r="B18" s="14">
        <v>0.2</v>
      </c>
      <c r="C18" s="14">
        <f t="shared" si="0"/>
        <v>370</v>
      </c>
      <c r="D18" s="14">
        <f t="shared" si="1"/>
        <v>540.1</v>
      </c>
      <c r="E18" s="14">
        <f t="shared" si="2"/>
        <v>703.72</v>
      </c>
      <c r="F18" s="14">
        <f t="shared" si="3"/>
        <v>860.86</v>
      </c>
      <c r="G18" s="14">
        <f t="shared" si="4"/>
        <v>1011.5200000000001</v>
      </c>
      <c r="H18" s="7"/>
      <c r="I18" s="7"/>
      <c r="J18" s="7"/>
      <c r="K18" s="7"/>
      <c r="L18" s="7"/>
      <c r="M18" s="7"/>
      <c r="N18" s="7"/>
      <c r="O18" s="7"/>
      <c r="P18" s="8"/>
      <c r="Q18" s="8"/>
      <c r="R18" s="8"/>
      <c r="S18" s="8"/>
      <c r="T18" s="8"/>
      <c r="U18" s="8"/>
      <c r="V18" s="8"/>
    </row>
    <row r="19" spans="1:22" ht="22" customHeight="1">
      <c r="A19" s="1"/>
      <c r="B19" s="14">
        <v>0.25</v>
      </c>
      <c r="C19" s="14">
        <f t="shared" si="0"/>
        <v>462.49999999999994</v>
      </c>
      <c r="D19" s="14">
        <f t="shared" si="1"/>
        <v>673.47499999999991</v>
      </c>
      <c r="E19" s="14">
        <f t="shared" si="2"/>
        <v>875.27</v>
      </c>
      <c r="F19" s="14">
        <f t="shared" si="3"/>
        <v>1067.885</v>
      </c>
      <c r="G19" s="14">
        <f t="shared" si="4"/>
        <v>1251.32</v>
      </c>
      <c r="H19" s="7"/>
      <c r="I19" s="7"/>
      <c r="J19" s="7"/>
      <c r="K19" s="7"/>
      <c r="L19" s="7"/>
      <c r="M19" s="7"/>
      <c r="N19" s="7"/>
      <c r="O19" s="7"/>
      <c r="P19" s="8"/>
      <c r="Q19" s="8"/>
      <c r="R19" s="8"/>
      <c r="S19" s="8"/>
      <c r="T19" s="8"/>
      <c r="U19" s="8"/>
      <c r="V19" s="8"/>
    </row>
    <row r="20" spans="1:22" ht="22" customHeight="1">
      <c r="A20" s="1"/>
      <c r="B20" s="14">
        <v>0.3</v>
      </c>
      <c r="C20" s="14">
        <f t="shared" si="0"/>
        <v>555</v>
      </c>
      <c r="D20" s="14">
        <f t="shared" si="1"/>
        <v>806.84999999999991</v>
      </c>
      <c r="E20" s="14">
        <f t="shared" si="2"/>
        <v>1046.82</v>
      </c>
      <c r="F20" s="14">
        <f t="shared" si="3"/>
        <v>1274.9099999999999</v>
      </c>
      <c r="G20" s="14">
        <f t="shared" si="4"/>
        <v>1491.12</v>
      </c>
      <c r="H20" s="7"/>
      <c r="I20" s="7"/>
      <c r="J20" s="7"/>
      <c r="K20" s="7"/>
      <c r="L20" s="7"/>
      <c r="M20" s="7"/>
      <c r="N20" s="7"/>
      <c r="O20" s="7"/>
      <c r="P20" s="8"/>
      <c r="Q20" s="8"/>
      <c r="R20" s="8"/>
      <c r="S20" s="8"/>
      <c r="T20" s="8"/>
      <c r="U20" s="8"/>
      <c r="V20" s="8"/>
    </row>
    <row r="21" spans="1:22" ht="22" customHeight="1">
      <c r="A21" s="1"/>
      <c r="B21" s="14">
        <v>0.35</v>
      </c>
      <c r="C21" s="14">
        <f t="shared" si="0"/>
        <v>647.5</v>
      </c>
      <c r="D21" s="14">
        <f t="shared" si="1"/>
        <v>940.22499999999991</v>
      </c>
      <c r="E21" s="14">
        <f t="shared" si="2"/>
        <v>1218.3699999999999</v>
      </c>
      <c r="F21" s="14">
        <f t="shared" si="3"/>
        <v>1481.9349999999999</v>
      </c>
      <c r="G21" s="14">
        <f t="shared" si="4"/>
        <v>1730.9199999999998</v>
      </c>
      <c r="H21" s="7"/>
      <c r="I21" s="7"/>
      <c r="J21" s="7"/>
      <c r="K21" s="7"/>
      <c r="L21" s="7"/>
      <c r="M21" s="7"/>
      <c r="N21" s="7"/>
      <c r="O21" s="7"/>
      <c r="P21" s="8"/>
      <c r="Q21" s="8"/>
      <c r="R21" s="8"/>
      <c r="S21" s="8"/>
      <c r="T21" s="8"/>
      <c r="U21" s="8"/>
      <c r="V21" s="8"/>
    </row>
    <row r="22" spans="1:22" ht="22" customHeight="1">
      <c r="A22" s="1"/>
      <c r="B22" s="14">
        <v>0.4</v>
      </c>
      <c r="C22" s="14">
        <f t="shared" si="0"/>
        <v>827.50000000000011</v>
      </c>
      <c r="D22" s="14">
        <f t="shared" si="1"/>
        <v>1161.0999999999999</v>
      </c>
      <c r="E22" s="14">
        <f t="shared" si="2"/>
        <v>1477.42</v>
      </c>
      <c r="F22" s="14">
        <f t="shared" si="3"/>
        <v>1776.46</v>
      </c>
      <c r="G22" s="14">
        <f t="shared" si="4"/>
        <v>2058.2200000000003</v>
      </c>
      <c r="H22" s="7"/>
      <c r="I22" s="7"/>
      <c r="J22" s="7"/>
      <c r="K22" s="7"/>
      <c r="L22" s="7"/>
      <c r="M22" s="7"/>
      <c r="N22" s="7"/>
      <c r="O22" s="7"/>
      <c r="P22" s="8"/>
      <c r="Q22" s="8"/>
      <c r="R22" s="8"/>
      <c r="S22" s="8"/>
      <c r="T22" s="8"/>
      <c r="U22" s="8"/>
      <c r="V22" s="8"/>
    </row>
    <row r="23" spans="1:22" ht="22" customHeight="1">
      <c r="A23" s="1"/>
      <c r="B23" s="14">
        <v>0.45</v>
      </c>
      <c r="C23" s="14">
        <f t="shared" si="0"/>
        <v>1007.5</v>
      </c>
      <c r="D23" s="14">
        <f t="shared" si="1"/>
        <v>1381.9749999999999</v>
      </c>
      <c r="E23" s="14">
        <f t="shared" si="2"/>
        <v>1736.47</v>
      </c>
      <c r="F23" s="14">
        <f t="shared" si="3"/>
        <v>2070.9850000000001</v>
      </c>
      <c r="G23" s="14">
        <f t="shared" si="4"/>
        <v>2385.52</v>
      </c>
      <c r="H23" s="7"/>
      <c r="I23" s="7"/>
      <c r="J23" s="7"/>
      <c r="K23" s="7"/>
      <c r="L23" s="7"/>
      <c r="M23" s="7"/>
      <c r="N23" s="7"/>
      <c r="O23" s="7"/>
      <c r="P23" s="8"/>
      <c r="Q23" s="8"/>
      <c r="R23" s="8"/>
      <c r="S23" s="8"/>
      <c r="T23" s="8"/>
      <c r="U23" s="8"/>
      <c r="V23" s="8"/>
    </row>
    <row r="24" spans="1:22" ht="22" customHeight="1">
      <c r="A24" s="1"/>
      <c r="B24" s="14">
        <v>0.5</v>
      </c>
      <c r="C24" s="14">
        <f t="shared" si="0"/>
        <v>1187.5</v>
      </c>
      <c r="D24" s="14">
        <f t="shared" si="1"/>
        <v>1602.85</v>
      </c>
      <c r="E24" s="14">
        <f t="shared" si="2"/>
        <v>1995.52</v>
      </c>
      <c r="F24" s="14">
        <f t="shared" si="3"/>
        <v>2365.5100000000002</v>
      </c>
      <c r="G24" s="14">
        <f t="shared" si="4"/>
        <v>2712.8199999999997</v>
      </c>
      <c r="H24" s="7"/>
      <c r="I24" s="7"/>
      <c r="J24" s="7"/>
      <c r="K24" s="7"/>
      <c r="L24" s="7"/>
      <c r="M24" s="7"/>
      <c r="N24" s="7"/>
      <c r="O24" s="7"/>
      <c r="P24" s="8"/>
      <c r="Q24" s="8"/>
      <c r="R24" s="8"/>
      <c r="S24" s="8"/>
      <c r="T24" s="8"/>
      <c r="U24" s="8"/>
      <c r="V24" s="8"/>
    </row>
    <row r="25" spans="1:22" ht="22" customHeight="1">
      <c r="A25" s="1"/>
      <c r="B25" s="14">
        <v>0.55000000000000004</v>
      </c>
      <c r="C25" s="14">
        <f t="shared" si="0"/>
        <v>1367.5</v>
      </c>
      <c r="D25" s="14">
        <f t="shared" si="1"/>
        <v>1823.7250000000004</v>
      </c>
      <c r="E25" s="14">
        <f t="shared" si="2"/>
        <v>2254.5700000000002</v>
      </c>
      <c r="F25" s="14">
        <f t="shared" si="3"/>
        <v>2660.0349999999999</v>
      </c>
      <c r="G25" s="14">
        <f t="shared" si="4"/>
        <v>3040.1200000000003</v>
      </c>
      <c r="H25" s="7"/>
      <c r="I25" s="7"/>
      <c r="J25" s="7"/>
      <c r="K25" s="7"/>
      <c r="L25" s="7"/>
      <c r="M25" s="7"/>
      <c r="N25" s="7"/>
      <c r="O25" s="7"/>
      <c r="P25" s="8"/>
      <c r="Q25" s="8"/>
      <c r="R25" s="8"/>
      <c r="S25" s="8"/>
      <c r="T25" s="8"/>
      <c r="U25" s="8"/>
      <c r="V25" s="8"/>
    </row>
    <row r="26" spans="1:22" ht="22" customHeight="1">
      <c r="A26" s="1"/>
      <c r="B26" s="14">
        <v>0.6</v>
      </c>
      <c r="C26" s="14">
        <f t="shared" si="0"/>
        <v>1547.5</v>
      </c>
      <c r="D26" s="14">
        <f t="shared" si="1"/>
        <v>2044.6000000000001</v>
      </c>
      <c r="E26" s="14">
        <f t="shared" si="2"/>
        <v>2513.62</v>
      </c>
      <c r="F26" s="14">
        <f t="shared" si="3"/>
        <v>2954.56</v>
      </c>
      <c r="G26" s="14">
        <f t="shared" si="4"/>
        <v>3367.42</v>
      </c>
      <c r="H26" s="7"/>
      <c r="I26" s="7"/>
      <c r="J26" s="7"/>
      <c r="K26" s="7"/>
      <c r="L26" s="7"/>
      <c r="M26" s="7"/>
      <c r="N26" s="7"/>
      <c r="O26" s="7"/>
      <c r="P26" s="8"/>
      <c r="Q26" s="8"/>
      <c r="R26" s="8"/>
      <c r="S26" s="8"/>
      <c r="T26" s="8"/>
      <c r="U26" s="8"/>
      <c r="V26" s="8"/>
    </row>
    <row r="27" spans="1:22" ht="22" customHeight="1">
      <c r="A27" s="1"/>
      <c r="B27" s="14">
        <v>0.65</v>
      </c>
      <c r="C27" s="14">
        <f t="shared" si="0"/>
        <v>1727.5000000000005</v>
      </c>
      <c r="D27" s="14">
        <f t="shared" si="1"/>
        <v>2265.4750000000004</v>
      </c>
      <c r="E27" s="14">
        <f t="shared" si="2"/>
        <v>2772.67</v>
      </c>
      <c r="F27" s="14">
        <f t="shared" si="3"/>
        <v>3249.085</v>
      </c>
      <c r="G27" s="14">
        <f t="shared" si="4"/>
        <v>3694.7200000000003</v>
      </c>
      <c r="H27" s="7"/>
      <c r="I27" s="7"/>
      <c r="J27" s="7"/>
      <c r="K27" s="7"/>
      <c r="L27" s="7"/>
      <c r="M27" s="7"/>
      <c r="N27" s="7"/>
      <c r="O27" s="7"/>
      <c r="P27" s="8"/>
      <c r="Q27" s="8"/>
      <c r="R27" s="8"/>
      <c r="S27" s="8"/>
      <c r="T27" s="8"/>
      <c r="U27" s="8"/>
      <c r="V27" s="8"/>
    </row>
    <row r="28" spans="1:22" ht="22" customHeight="1">
      <c r="A28" s="1"/>
      <c r="B28" s="14">
        <v>0.7</v>
      </c>
      <c r="C28" s="14">
        <f t="shared" si="0"/>
        <v>1907.5</v>
      </c>
      <c r="D28" s="14">
        <f t="shared" si="1"/>
        <v>2486.35</v>
      </c>
      <c r="E28" s="14">
        <f t="shared" si="2"/>
        <v>3031.72</v>
      </c>
      <c r="F28" s="14">
        <f t="shared" si="3"/>
        <v>3543.61</v>
      </c>
      <c r="G28" s="14">
        <f t="shared" si="4"/>
        <v>4022.02</v>
      </c>
      <c r="H28" s="7"/>
      <c r="I28" s="7"/>
      <c r="J28" s="7"/>
      <c r="K28" s="7"/>
      <c r="L28" s="7"/>
      <c r="M28" s="7"/>
      <c r="N28" s="7"/>
      <c r="O28" s="7"/>
      <c r="P28" s="8"/>
      <c r="Q28" s="8"/>
      <c r="R28" s="8"/>
      <c r="S28" s="8"/>
      <c r="T28" s="8"/>
      <c r="U28" s="8"/>
      <c r="V28" s="8"/>
    </row>
    <row r="29" spans="1:22" ht="22" customHeight="1">
      <c r="A29" s="1"/>
      <c r="B29" s="14">
        <v>0.75</v>
      </c>
      <c r="C29" s="14">
        <f t="shared" si="0"/>
        <v>2087.5</v>
      </c>
      <c r="D29" s="14">
        <f t="shared" si="1"/>
        <v>2707.2250000000004</v>
      </c>
      <c r="E29" s="14">
        <f t="shared" si="2"/>
        <v>3290.77</v>
      </c>
      <c r="F29" s="14">
        <f t="shared" si="3"/>
        <v>3838.1350000000002</v>
      </c>
      <c r="G29" s="14">
        <f t="shared" si="4"/>
        <v>4349.32</v>
      </c>
      <c r="H29" s="7"/>
      <c r="I29" s="7"/>
      <c r="J29" s="7"/>
      <c r="K29" s="7"/>
      <c r="L29" s="7"/>
      <c r="M29" s="7"/>
      <c r="N29" s="7"/>
      <c r="O29" s="7"/>
      <c r="P29" s="8"/>
      <c r="Q29" s="8"/>
      <c r="R29" s="8"/>
      <c r="S29" s="8"/>
      <c r="T29" s="8"/>
      <c r="U29" s="8"/>
      <c r="V29" s="8"/>
    </row>
    <row r="30" spans="1:22" ht="22" customHeight="1">
      <c r="A30" s="1"/>
      <c r="B30" s="14">
        <v>0.8</v>
      </c>
      <c r="C30" s="14">
        <f t="shared" si="0"/>
        <v>2267.5000000000005</v>
      </c>
      <c r="D30" s="14">
        <f t="shared" si="1"/>
        <v>2928.1000000000004</v>
      </c>
      <c r="E30" s="14">
        <f t="shared" si="2"/>
        <v>3549.82</v>
      </c>
      <c r="F30" s="14">
        <f t="shared" si="3"/>
        <v>4132.6600000000008</v>
      </c>
      <c r="G30" s="14">
        <f t="shared" si="4"/>
        <v>4676.6200000000008</v>
      </c>
      <c r="H30" s="7"/>
      <c r="I30" s="7"/>
      <c r="J30" s="7"/>
      <c r="K30" s="7"/>
      <c r="L30" s="7"/>
      <c r="M30" s="7"/>
      <c r="N30" s="7"/>
      <c r="O30" s="7"/>
      <c r="P30" s="8"/>
      <c r="Q30" s="8"/>
      <c r="R30" s="8"/>
      <c r="S30" s="8"/>
      <c r="T30" s="8"/>
      <c r="U30" s="8"/>
      <c r="V30" s="8"/>
    </row>
    <row r="31" spans="1:22" ht="22" customHeight="1">
      <c r="A31" s="1"/>
      <c r="B31" s="14">
        <v>0.85</v>
      </c>
      <c r="C31" s="14">
        <f t="shared" si="0"/>
        <v>2447.5</v>
      </c>
      <c r="D31" s="14">
        <f t="shared" si="1"/>
        <v>3148.9749999999999</v>
      </c>
      <c r="E31" s="14">
        <f t="shared" si="2"/>
        <v>3808.87</v>
      </c>
      <c r="F31" s="14">
        <f t="shared" si="3"/>
        <v>4427.1849999999995</v>
      </c>
      <c r="G31" s="14">
        <f t="shared" si="4"/>
        <v>5003.92</v>
      </c>
      <c r="H31" s="7"/>
      <c r="I31" s="7"/>
      <c r="J31" s="7"/>
      <c r="K31" s="7"/>
      <c r="L31" s="7"/>
      <c r="M31" s="7"/>
      <c r="N31" s="7"/>
      <c r="O31" s="7"/>
      <c r="P31" s="8"/>
      <c r="Q31" s="8"/>
      <c r="R31" s="8"/>
      <c r="S31" s="8"/>
      <c r="T31" s="8"/>
      <c r="U31" s="8"/>
      <c r="V31" s="8"/>
    </row>
    <row r="32" spans="1:22" ht="22" customHeight="1">
      <c r="A32" s="1"/>
      <c r="B32" s="14">
        <v>0.9</v>
      </c>
      <c r="C32" s="14">
        <f t="shared" si="0"/>
        <v>2627.5000000000005</v>
      </c>
      <c r="D32" s="14">
        <f t="shared" si="1"/>
        <v>3369.8500000000004</v>
      </c>
      <c r="E32" s="14">
        <f t="shared" si="2"/>
        <v>4067.92</v>
      </c>
      <c r="F32" s="14">
        <f t="shared" si="3"/>
        <v>4721.71</v>
      </c>
      <c r="G32" s="14">
        <f t="shared" si="4"/>
        <v>5331.22</v>
      </c>
      <c r="H32" s="7"/>
      <c r="I32" s="7"/>
      <c r="J32" s="7"/>
      <c r="K32" s="7"/>
      <c r="L32" s="7"/>
      <c r="M32" s="7"/>
      <c r="N32" s="7"/>
      <c r="O32" s="7"/>
      <c r="P32" s="8"/>
      <c r="Q32" s="8"/>
      <c r="R32" s="8"/>
      <c r="S32" s="8"/>
      <c r="T32" s="8"/>
      <c r="U32" s="8"/>
      <c r="V32" s="8"/>
    </row>
    <row r="33" spans="1:22" ht="22" customHeight="1">
      <c r="A33" s="1"/>
      <c r="B33" s="14">
        <v>0.95</v>
      </c>
      <c r="C33" s="14">
        <f t="shared" si="0"/>
        <v>2807.5</v>
      </c>
      <c r="D33" s="14">
        <f t="shared" si="1"/>
        <v>3590.7249999999999</v>
      </c>
      <c r="E33" s="14">
        <f t="shared" si="2"/>
        <v>4326.9699999999993</v>
      </c>
      <c r="F33" s="14">
        <f t="shared" si="3"/>
        <v>5016.2350000000006</v>
      </c>
      <c r="G33" s="14">
        <f t="shared" si="4"/>
        <v>5658.5199999999995</v>
      </c>
      <c r="H33" s="7"/>
      <c r="I33" s="7"/>
      <c r="J33" s="7"/>
      <c r="K33" s="7"/>
      <c r="L33" s="7"/>
      <c r="M33" s="7"/>
      <c r="N33" s="7"/>
      <c r="O33" s="7"/>
      <c r="P33" s="8"/>
      <c r="Q33" s="8"/>
      <c r="R33" s="8"/>
      <c r="S33" s="8"/>
      <c r="T33" s="8"/>
      <c r="U33" s="8"/>
      <c r="V33" s="8"/>
    </row>
    <row r="34" spans="1:22" ht="22" customHeight="1">
      <c r="A34" s="1"/>
      <c r="B34" s="14">
        <v>1</v>
      </c>
      <c r="C34" s="14">
        <f t="shared" si="0"/>
        <v>2987.5</v>
      </c>
      <c r="D34" s="14">
        <f t="shared" si="1"/>
        <v>3811.6</v>
      </c>
      <c r="E34" s="14">
        <f t="shared" si="2"/>
        <v>4586.0200000000004</v>
      </c>
      <c r="F34" s="14">
        <f t="shared" si="3"/>
        <v>5310.76</v>
      </c>
      <c r="G34" s="14">
        <f t="shared" si="4"/>
        <v>5985.8200000000006</v>
      </c>
      <c r="H34" s="7"/>
      <c r="I34" s="7"/>
      <c r="J34" s="7"/>
      <c r="K34" s="7"/>
      <c r="L34" s="7"/>
      <c r="M34" s="7"/>
      <c r="N34" s="7"/>
      <c r="O34" s="7"/>
      <c r="P34" s="8"/>
      <c r="Q34" s="8"/>
      <c r="R34" s="8"/>
      <c r="S34" s="8"/>
      <c r="T34" s="8"/>
      <c r="U34" s="8"/>
      <c r="V34" s="8"/>
    </row>
    <row r="35" spans="1:22" ht="22" customHeight="1">
      <c r="A35" s="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/>
      <c r="Q35" s="8"/>
      <c r="R35" s="8"/>
      <c r="S35" s="8"/>
      <c r="T35" s="8"/>
      <c r="U35" s="8"/>
      <c r="V35" s="8"/>
    </row>
    <row r="36" spans="1:22" ht="22" customHeight="1">
      <c r="A36" s="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  <c r="Q36" s="8"/>
      <c r="R36" s="8"/>
      <c r="S36" s="8"/>
      <c r="T36" s="8"/>
      <c r="U36" s="8"/>
      <c r="V36" s="8"/>
    </row>
    <row r="37" spans="1:22" ht="22" customHeight="1">
      <c r="A37" s="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/>
      <c r="Q37" s="8"/>
      <c r="R37" s="8"/>
      <c r="S37" s="8"/>
      <c r="T37" s="8"/>
      <c r="U37" s="8"/>
      <c r="V37" s="8"/>
    </row>
    <row r="38" spans="1:22" ht="22" customHeight="1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/>
      <c r="Q38" s="8"/>
      <c r="R38" s="8"/>
      <c r="S38" s="8"/>
      <c r="T38" s="8"/>
      <c r="U38" s="8"/>
      <c r="V38" s="8"/>
    </row>
    <row r="39" spans="1:22" ht="22" customHeight="1">
      <c r="A39" s="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  <c r="Q39" s="8"/>
      <c r="R39" s="8"/>
      <c r="S39" s="8"/>
      <c r="T39" s="8"/>
      <c r="U39" s="8"/>
      <c r="V39" s="8"/>
    </row>
    <row r="40" spans="1:22" ht="22" customHeight="1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/>
      <c r="Q40" s="8"/>
      <c r="R40" s="8"/>
      <c r="S40" s="8"/>
      <c r="T40" s="8"/>
      <c r="U40" s="8"/>
      <c r="V40" s="8"/>
    </row>
    <row r="41" spans="1:22" ht="22" customHeight="1">
      <c r="A41" s="1"/>
      <c r="B41" s="28" t="s">
        <v>72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9"/>
      <c r="Q41" s="29"/>
      <c r="R41" s="29"/>
      <c r="S41" s="29"/>
      <c r="T41" s="29"/>
      <c r="U41" s="29"/>
      <c r="V41" s="29"/>
    </row>
    <row r="42" spans="1:22" ht="22" customHeight="1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"/>
      <c r="Q42" s="8"/>
      <c r="R42" s="8"/>
      <c r="S42" s="8"/>
      <c r="T42" s="8"/>
      <c r="U42" s="8"/>
      <c r="V42" s="8"/>
    </row>
    <row r="43" spans="1:22" ht="22" customHeigh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35" customHeight="1">
      <c r="B44" s="13" t="s">
        <v>40</v>
      </c>
      <c r="C44" s="13" t="s">
        <v>41</v>
      </c>
      <c r="D44" s="13" t="s">
        <v>42</v>
      </c>
      <c r="E44" s="13" t="s">
        <v>43</v>
      </c>
      <c r="F44" s="13" t="s">
        <v>15</v>
      </c>
      <c r="G44" s="13" t="s">
        <v>55</v>
      </c>
      <c r="H44" s="13" t="s">
        <v>44</v>
      </c>
      <c r="I44" s="13" t="s">
        <v>36</v>
      </c>
      <c r="J44" s="13" t="s">
        <v>45</v>
      </c>
      <c r="K44" s="13" t="s">
        <v>56</v>
      </c>
      <c r="L44" s="13" t="s">
        <v>46</v>
      </c>
      <c r="M44" s="13" t="s">
        <v>20</v>
      </c>
      <c r="N44" s="13" t="s">
        <v>21</v>
      </c>
      <c r="O44" s="13" t="s">
        <v>47</v>
      </c>
      <c r="P44" s="13" t="s">
        <v>39</v>
      </c>
      <c r="Q44" s="13" t="s">
        <v>48</v>
      </c>
      <c r="R44" s="13" t="s">
        <v>49</v>
      </c>
      <c r="S44" s="13" t="s">
        <v>50</v>
      </c>
      <c r="T44" s="13" t="s">
        <v>51</v>
      </c>
      <c r="U44" s="13" t="s">
        <v>52</v>
      </c>
      <c r="V44" s="13" t="s">
        <v>53</v>
      </c>
    </row>
    <row r="45" spans="1:22" ht="22" customHeight="1">
      <c r="B45" s="8" t="str">
        <f>"C "&amp;D45</f>
        <v>C -20</v>
      </c>
      <c r="C45" s="8">
        <f>'HSC Sweep'!$C$6</f>
        <v>-12</v>
      </c>
      <c r="D45" s="8">
        <f>Parameters!D8</f>
        <v>-20</v>
      </c>
      <c r="E45" s="8">
        <f>Parameters!D16</f>
        <v>-40</v>
      </c>
      <c r="F45" s="8">
        <f>IF('HSC Sweep'!$C$4="Type-B",INDEX(Parameters!$J$10:$N$10,1,Q45)+(INDEX(Parameters!$J$10:$N$10,1,Q45+1)-INDEX(Parameters!$J$10:$N$10,1,Q45))*T45,INDEX(Parameters!$D$10:$H$10,1,Q45)+(INDEX(Parameters!$D$10:$H$10,1,Q45+1)-INDEX(Parameters!$D$10:$H$10,1,Q45))*T45)</f>
        <v>4200</v>
      </c>
      <c r="G45" s="8">
        <f>IF('HSC Sweep'!$C$4="Type-B",INDEX(Parameters!$J$11:$N$11,1,R45)+(INDEX(Parameters!$J$11:$N$11,1,R45+1)-INDEX(Parameters!$J$11:$N$11,1,R45))*U45,INDEX(Parameters!$D$11:$H$11,1,Q45)+(INDEX(Parameters!$D$11:$H$11,1,Q45+1)-INDEX(Parameters!$D$11:$H$11,1,Q45))*T45)</f>
        <v>0.2</v>
      </c>
      <c r="H45" s="8">
        <f>IF('HSC Sweep'!$C$4="Type-B",INDEX(Parameters!$J$12:$N$12,1,Q45)+(INDEX(Parameters!$J$12:$N$12,1,Q45+1)-INDEX(Parameters!$J$12:$N$12,1,Q45))*T45,INDEX(Parameters!$D$12:$H$12,1,Q45)+(INDEX(Parameters!$D$12:$H$12,1,Q45+1)-INDEX(Parameters!$D$12:$H$12,1,Q45))*T45)</f>
        <v>0.69</v>
      </c>
      <c r="I45" s="8">
        <f>F45*H45</f>
        <v>2898</v>
      </c>
      <c r="J45" s="8">
        <f>IF('HSC Sweep'!$C$4="Type-B",INDEX(Parameters!$J$13:$N$13,1,R45)+(INDEX(Parameters!$J$13:$N$13,1,R45+1)-INDEX(Parameters!$J$13:$N$13,1,R45))*U45,INDEX(Parameters!$D$13:$H$13,1,R45)+(INDEX(Parameters!$D$13:$H$13,1,R45+1)-INDEX(Parameters!$D$13:$H$13,1,R45))*U45)</f>
        <v>0</v>
      </c>
      <c r="K45" s="8">
        <f>IF('HSC Sweep'!$C$4="Type-B",Parameters!$L$14,INDEX(Parameters!$D$14:$H$14,1,R45)+(INDEX(Parameters!$D$14:$H$14,1,R45+1)-INDEX(Parameters!$D$14:$H$14,1,R45))*U45)</f>
        <v>0.6</v>
      </c>
      <c r="L45" s="8">
        <f>I45+J45</f>
        <v>2898</v>
      </c>
      <c r="M45" s="8">
        <f>IF('HSC Sweep'!$C$4="Type-B",INDEX(Parameters!$J$17:$N$17,1,S45)+(INDEX(Parameters!$J$17:$N$17,1,S45+1)-INDEX(Parameters!$J$17:$N$17,1,S45))*V45,INDEX(Parameters!$D$17:$H$17,1,S45)+(INDEX(Parameters!$D$17:$H$17,1,S45+1)-INDEX(Parameters!$D$17:$H$17,1,S45))*V45)</f>
        <v>3000</v>
      </c>
      <c r="N45" s="8">
        <f>IF('HSC Sweep'!$C$4="Type-B",INDEX(Parameters!$J$18:$N$18,1,S45)+(INDEX(Parameters!$J$18:$N$18,1,S45+1)-INDEX(Parameters!$J$18:$N$18,1,S45))*V45,INDEX(Parameters!$D$18:$H$18,1,S45)+(INDEX(Parameters!$D$18:$H$18,1,S45+1)-INDEX(Parameters!$D$18:$H$18,1,S45))*V45)</f>
        <v>0.21</v>
      </c>
      <c r="O45" s="8">
        <f>IF('HSC Sweep'!$C$4="Type-B",INDEX(Parameters!$J$19:$N$19,1,S45)+(INDEX(Parameters!$J$19:$N$19,1,S45+1)-INDEX(Parameters!$J$19:$N$19,1,S45))*V45,INDEX(Parameters!$D$19:$H$19,1,S45)+(INDEX(Parameters!$D$19:$H$19,1,S45+1)-INDEX(Parameters!$D$19:$H$19,1,S45))*V45)</f>
        <v>0.68</v>
      </c>
      <c r="P45" s="8">
        <f>M45*O45</f>
        <v>2040.0000000000002</v>
      </c>
      <c r="Q45" s="8">
        <f>MIN(4,MAX(1,INT((1+C45/Parameters!$D$23)*4)+1))</f>
        <v>3</v>
      </c>
      <c r="R45" s="8">
        <f>MIN(4,MAX(1,INT((1+D45/Parameters!$D$24)*4)+1))</f>
        <v>1</v>
      </c>
      <c r="S45" s="8">
        <f>MIN(4,MAX(1,INT((1+E45/Parameters!$D$25)*4)+1))</f>
        <v>1</v>
      </c>
      <c r="T45" s="8">
        <f>MAX(0,MIN(1,(1+C45/Parameters!$D$23)*4-(Q45-1)))</f>
        <v>0</v>
      </c>
      <c r="U45" s="8">
        <f>MAX(0,MIN(1,(1+D45/Parameters!$D$24)*4-(R45-1)))</f>
        <v>0</v>
      </c>
      <c r="V45" s="8">
        <f>MAX(0,MIN(1,(1+E45/Parameters!$D$25)*4-(S45-1)))</f>
        <v>0</v>
      </c>
    </row>
    <row r="46" spans="1:22" ht="22" customHeight="1">
      <c r="B46" s="8" t="str">
        <f>"C "&amp;D46</f>
        <v>C -15</v>
      </c>
      <c r="C46" s="8">
        <f>'HSC Sweep'!$C$6</f>
        <v>-12</v>
      </c>
      <c r="D46" s="8">
        <f>Parameters!E8</f>
        <v>-15</v>
      </c>
      <c r="E46" s="8">
        <f>Parameters!E16</f>
        <v>-30</v>
      </c>
      <c r="F46" s="8">
        <f>IF('HSC Sweep'!$C$4="Type-B",INDEX(Parameters!$J$10:$N$10,1,Q46)+(INDEX(Parameters!$J$10:$N$10,1,Q46+1)-INDEX(Parameters!$J$10:$N$10,1,Q46))*T46,INDEX(Parameters!$D$10:$H$10,1,Q46)+(INDEX(Parameters!$D$10:$H$10,1,Q46+1)-INDEX(Parameters!$D$10:$H$10,1,Q46))*T46)</f>
        <v>4200</v>
      </c>
      <c r="G46" s="8">
        <f>IF('HSC Sweep'!$C$4="Type-B",INDEX(Parameters!$J$11:$N$11,1,R46)+(INDEX(Parameters!$J$11:$N$11,1,R46+1)-INDEX(Parameters!$J$11:$N$11,1,R46))*U46,INDEX(Parameters!$D$11:$H$11,1,Q46)+(INDEX(Parameters!$D$11:$H$11,1,Q46+1)-INDEX(Parameters!$D$11:$H$11,1,Q46))*T46)</f>
        <v>0.25</v>
      </c>
      <c r="H46" s="8">
        <f>IF('HSC Sweep'!$C$4="Type-B",INDEX(Parameters!$J$12:$N$12,1,Q46)+(INDEX(Parameters!$J$12:$N$12,1,Q46+1)-INDEX(Parameters!$J$12:$N$12,1,Q46))*T46,INDEX(Parameters!$D$12:$H$12,1,Q46)+(INDEX(Parameters!$D$12:$H$12,1,Q46+1)-INDEX(Parameters!$D$12:$H$12,1,Q46))*T46)</f>
        <v>0.69</v>
      </c>
      <c r="I46" s="8">
        <f>F46*H46</f>
        <v>2898</v>
      </c>
      <c r="J46" s="8">
        <f>IF('HSC Sweep'!$C$4="Type-B",INDEX(Parameters!$J$13:$N$13,1,R46)+(INDEX(Parameters!$J$13:$N$13,1,R46+1)-INDEX(Parameters!$J$13:$N$13,1,R46))*U46,INDEX(Parameters!$D$13:$H$13,1,R46)+(INDEX(Parameters!$D$13:$H$13,1,R46+1)-INDEX(Parameters!$D$13:$H$13,1,R46))*U46)</f>
        <v>0</v>
      </c>
      <c r="K46" s="8">
        <f>IF('HSC Sweep'!$C$4="Type-B",Parameters!$L$14,INDEX(Parameters!$D$14:$H$14,1,R46)+(INDEX(Parameters!$D$14:$H$14,1,R46+1)-INDEX(Parameters!$D$14:$H$14,1,R46))*U46)</f>
        <v>0.6</v>
      </c>
      <c r="L46" s="8">
        <f>I46+J46</f>
        <v>2898</v>
      </c>
      <c r="M46" s="8">
        <f>IF('HSC Sweep'!$C$4="Type-B",INDEX(Parameters!$J$17:$N$17,1,S46)+(INDEX(Parameters!$J$17:$N$17,1,S46+1)-INDEX(Parameters!$J$17:$N$17,1,S46))*V46,INDEX(Parameters!$D$17:$H$17,1,S46)+(INDEX(Parameters!$D$17:$H$17,1,S46+1)-INDEX(Parameters!$D$17:$H$17,1,S46))*V46)</f>
        <v>3750</v>
      </c>
      <c r="N46" s="8">
        <f>IF('HSC Sweep'!$C$4="Type-B",INDEX(Parameters!$J$18:$N$18,1,S46)+(INDEX(Parameters!$J$18:$N$18,1,S46+1)-INDEX(Parameters!$J$18:$N$18,1,S46))*V46,INDEX(Parameters!$D$18:$H$18,1,S46)+(INDEX(Parameters!$D$18:$H$18,1,S46+1)-INDEX(Parameters!$D$18:$H$18,1,S46))*V46)</f>
        <v>0.215</v>
      </c>
      <c r="O46" s="8">
        <f>IF('HSC Sweep'!$C$4="Type-B",INDEX(Parameters!$J$19:$N$19,1,S46)+(INDEX(Parameters!$J$19:$N$19,1,S46+1)-INDEX(Parameters!$J$19:$N$19,1,S46))*V46,INDEX(Parameters!$D$19:$H$19,1,S46)+(INDEX(Parameters!$D$19:$H$19,1,S46+1)-INDEX(Parameters!$D$19:$H$19,1,S46))*V46)</f>
        <v>0.65</v>
      </c>
      <c r="P46" s="8">
        <f>M46*O46</f>
        <v>2437.5</v>
      </c>
      <c r="Q46" s="8">
        <f>MIN(4,MAX(1,INT((1+C46/Parameters!$D$23)*4)+1))</f>
        <v>3</v>
      </c>
      <c r="R46" s="8">
        <f>MIN(4,MAX(1,INT((1+D46/Parameters!$D$24)*4)+1))</f>
        <v>2</v>
      </c>
      <c r="S46" s="8">
        <f>MIN(4,MAX(1,INT((1+E46/Parameters!$D$25)*4)+1))</f>
        <v>2</v>
      </c>
      <c r="T46" s="8">
        <f>MAX(0,MIN(1,(1+C46/Parameters!$D$23)*4-(Q46-1)))</f>
        <v>0</v>
      </c>
      <c r="U46" s="8">
        <f>MAX(0,MIN(1,(1+D46/Parameters!$D$24)*4-(R46-1)))</f>
        <v>0</v>
      </c>
      <c r="V46" s="8">
        <f>MAX(0,MIN(1,(1+E46/Parameters!$D$25)*4-(S46-1)))</f>
        <v>0</v>
      </c>
    </row>
    <row r="47" spans="1:22" ht="22" customHeight="1">
      <c r="B47" s="8" t="str">
        <f>"C "&amp;D47</f>
        <v>C -10</v>
      </c>
      <c r="C47" s="8">
        <f>'HSC Sweep'!$C$6</f>
        <v>-12</v>
      </c>
      <c r="D47" s="8">
        <f>Parameters!F8</f>
        <v>-10</v>
      </c>
      <c r="E47" s="8">
        <f>Parameters!F16</f>
        <v>-20</v>
      </c>
      <c r="F47" s="8">
        <f>IF('HSC Sweep'!$C$4="Type-B",INDEX(Parameters!$J$10:$N$10,1,Q47)+(INDEX(Parameters!$J$10:$N$10,1,Q47+1)-INDEX(Parameters!$J$10:$N$10,1,Q47))*T47,INDEX(Parameters!$D$10:$H$10,1,Q47)+(INDEX(Parameters!$D$10:$H$10,1,Q47+1)-INDEX(Parameters!$D$10:$H$10,1,Q47))*T47)</f>
        <v>4200</v>
      </c>
      <c r="G47" s="8">
        <f>IF('HSC Sweep'!$C$4="Type-B",INDEX(Parameters!$J$11:$N$11,1,R47)+(INDEX(Parameters!$J$11:$N$11,1,R47+1)-INDEX(Parameters!$J$11:$N$11,1,R47))*U47,INDEX(Parameters!$D$11:$H$11,1,Q47)+(INDEX(Parameters!$D$11:$H$11,1,Q47+1)-INDEX(Parameters!$D$11:$H$11,1,Q47))*T47)</f>
        <v>0.3</v>
      </c>
      <c r="H47" s="8">
        <f>IF('HSC Sweep'!$C$4="Type-B",INDEX(Parameters!$J$12:$N$12,1,Q47)+(INDEX(Parameters!$J$12:$N$12,1,Q47+1)-INDEX(Parameters!$J$12:$N$12,1,Q47))*T47,INDEX(Parameters!$D$12:$H$12,1,Q47)+(INDEX(Parameters!$D$12:$H$12,1,Q47+1)-INDEX(Parameters!$D$12:$H$12,1,Q47))*T47)</f>
        <v>0.69</v>
      </c>
      <c r="I47" s="8">
        <f>F47*H47</f>
        <v>2898</v>
      </c>
      <c r="J47" s="8">
        <f>IF('HSC Sweep'!$C$4="Type-B",INDEX(Parameters!$J$13:$N$13,1,R47)+(INDEX(Parameters!$J$13:$N$13,1,R47+1)-INDEX(Parameters!$J$13:$N$13,1,R47))*U47,INDEX(Parameters!$D$13:$H$13,1,R47)+(INDEX(Parameters!$D$13:$H$13,1,R47+1)-INDEX(Parameters!$D$13:$H$13,1,R47))*U47)</f>
        <v>0</v>
      </c>
      <c r="K47" s="8">
        <f>IF('HSC Sweep'!$C$4="Type-B",Parameters!$L$14,INDEX(Parameters!$D$14:$H$14,1,R47)+(INDEX(Parameters!$D$14:$H$14,1,R47+1)-INDEX(Parameters!$D$14:$H$14,1,R47))*U47)</f>
        <v>0.6</v>
      </c>
      <c r="L47" s="8">
        <f>I47+J47</f>
        <v>2898</v>
      </c>
      <c r="M47" s="8">
        <f>IF('HSC Sweep'!$C$4="Type-B",INDEX(Parameters!$J$17:$N$17,1,S47)+(INDEX(Parameters!$J$17:$N$17,1,S47+1)-INDEX(Parameters!$J$17:$N$17,1,S47))*V47,INDEX(Parameters!$D$17:$H$17,1,S47)+(INDEX(Parameters!$D$17:$H$17,1,S47+1)-INDEX(Parameters!$D$17:$H$17,1,S47))*V47)</f>
        <v>4500</v>
      </c>
      <c r="N47" s="8">
        <f>IF('HSC Sweep'!$C$4="Type-B",INDEX(Parameters!$J$18:$N$18,1,S47)+(INDEX(Parameters!$J$18:$N$18,1,S47+1)-INDEX(Parameters!$J$18:$N$18,1,S47))*V47,INDEX(Parameters!$D$18:$H$18,1,S47)+(INDEX(Parameters!$D$18:$H$18,1,S47+1)-INDEX(Parameters!$D$18:$H$18,1,S47))*V47)</f>
        <v>0.22</v>
      </c>
      <c r="O47" s="8">
        <f>IF('HSC Sweep'!$C$4="Type-B",INDEX(Parameters!$J$19:$N$19,1,S47)+(INDEX(Parameters!$J$19:$N$19,1,S47+1)-INDEX(Parameters!$J$19:$N$19,1,S47))*V47,INDEX(Parameters!$D$19:$H$19,1,S47)+(INDEX(Parameters!$D$19:$H$19,1,S47+1)-INDEX(Parameters!$D$19:$H$19,1,S47))*V47)</f>
        <v>0.62</v>
      </c>
      <c r="P47" s="8">
        <f>M47*O47</f>
        <v>2790</v>
      </c>
      <c r="Q47" s="8">
        <f>MIN(4,MAX(1,INT((1+C47/Parameters!$D$23)*4)+1))</f>
        <v>3</v>
      </c>
      <c r="R47" s="8">
        <f>MIN(4,MAX(1,INT((1+D47/Parameters!$D$24)*4)+1))</f>
        <v>3</v>
      </c>
      <c r="S47" s="8">
        <f>MIN(4,MAX(1,INT((1+E47/Parameters!$D$25)*4)+1))</f>
        <v>3</v>
      </c>
      <c r="T47" s="8">
        <f>MAX(0,MIN(1,(1+C47/Parameters!$D$23)*4-(Q47-1)))</f>
        <v>0</v>
      </c>
      <c r="U47" s="8">
        <f>MAX(0,MIN(1,(1+D47/Parameters!$D$24)*4-(R47-1)))</f>
        <v>0</v>
      </c>
      <c r="V47" s="8">
        <f>MAX(0,MIN(1,(1+E47/Parameters!$D$25)*4-(S47-1)))</f>
        <v>0</v>
      </c>
    </row>
    <row r="48" spans="1:22" ht="22" customHeight="1">
      <c r="B48" s="8" t="str">
        <f>"C "&amp;D48</f>
        <v>C -5</v>
      </c>
      <c r="C48" s="8">
        <f>'HSC Sweep'!$C$6</f>
        <v>-12</v>
      </c>
      <c r="D48" s="8">
        <f>Parameters!G8</f>
        <v>-5</v>
      </c>
      <c r="E48" s="8">
        <f>Parameters!G16</f>
        <v>-10</v>
      </c>
      <c r="F48" s="8">
        <f>IF('HSC Sweep'!$C$4="Type-B",INDEX(Parameters!$J$10:$N$10,1,Q48)+(INDEX(Parameters!$J$10:$N$10,1,Q48+1)-INDEX(Parameters!$J$10:$N$10,1,Q48))*T48,INDEX(Parameters!$D$10:$H$10,1,Q48)+(INDEX(Parameters!$D$10:$H$10,1,Q48+1)-INDEX(Parameters!$D$10:$H$10,1,Q48))*T48)</f>
        <v>4200</v>
      </c>
      <c r="G48" s="8">
        <f>IF('HSC Sweep'!$C$4="Type-B",INDEX(Parameters!$J$11:$N$11,1,R48)+(INDEX(Parameters!$J$11:$N$11,1,R48+1)-INDEX(Parameters!$J$11:$N$11,1,R48))*U48,INDEX(Parameters!$D$11:$H$11,1,Q48)+(INDEX(Parameters!$D$11:$H$11,1,Q48+1)-INDEX(Parameters!$D$11:$H$11,1,Q48))*T48)</f>
        <v>0.35</v>
      </c>
      <c r="H48" s="8">
        <f>IF('HSC Sweep'!$C$4="Type-B",INDEX(Parameters!$J$12:$N$12,1,Q48)+(INDEX(Parameters!$J$12:$N$12,1,Q48+1)-INDEX(Parameters!$J$12:$N$12,1,Q48))*T48,INDEX(Parameters!$D$12:$H$12,1,Q48)+(INDEX(Parameters!$D$12:$H$12,1,Q48+1)-INDEX(Parameters!$D$12:$H$12,1,Q48))*T48)</f>
        <v>0.69</v>
      </c>
      <c r="I48" s="8">
        <f>F48*H48</f>
        <v>2898</v>
      </c>
      <c r="J48" s="8">
        <f>IF('HSC Sweep'!$C$4="Type-B",INDEX(Parameters!$J$13:$N$13,1,R48)+(INDEX(Parameters!$J$13:$N$13,1,R48+1)-INDEX(Parameters!$J$13:$N$13,1,R48))*U48,INDEX(Parameters!$D$13:$H$13,1,R48)+(INDEX(Parameters!$D$13:$H$13,1,R48+1)-INDEX(Parameters!$D$13:$H$13,1,R48))*U48)</f>
        <v>0</v>
      </c>
      <c r="K48" s="8">
        <f>IF('HSC Sweep'!$C$4="Type-B",Parameters!$L$14,INDEX(Parameters!$D$14:$H$14,1,R48)+(INDEX(Parameters!$D$14:$H$14,1,R48+1)-INDEX(Parameters!$D$14:$H$14,1,R48))*U48)</f>
        <v>0.6</v>
      </c>
      <c r="L48" s="8">
        <f>I48+J48</f>
        <v>2898</v>
      </c>
      <c r="M48" s="8">
        <f>IF('HSC Sweep'!$C$4="Type-B",INDEX(Parameters!$J$17:$N$17,1,S48)+(INDEX(Parameters!$J$17:$N$17,1,S48+1)-INDEX(Parameters!$J$17:$N$17,1,S48))*V48,INDEX(Parameters!$D$17:$H$17,1,S48)+(INDEX(Parameters!$D$17:$H$17,1,S48+1)-INDEX(Parameters!$D$17:$H$17,1,S48))*V48)</f>
        <v>5250</v>
      </c>
      <c r="N48" s="8">
        <f>IF('HSC Sweep'!$C$4="Type-B",INDEX(Parameters!$J$18:$N$18,1,S48)+(INDEX(Parameters!$J$18:$N$18,1,S48+1)-INDEX(Parameters!$J$18:$N$18,1,S48))*V48,INDEX(Parameters!$D$18:$H$18,1,S48)+(INDEX(Parameters!$D$18:$H$18,1,S48+1)-INDEX(Parameters!$D$18:$H$18,1,S48))*V48)</f>
        <v>0.22500000000000001</v>
      </c>
      <c r="O48" s="8">
        <f>IF('HSC Sweep'!$C$4="Type-B",INDEX(Parameters!$J$19:$N$19,1,S48)+(INDEX(Parameters!$J$19:$N$19,1,S48+1)-INDEX(Parameters!$J$19:$N$19,1,S48))*V48,INDEX(Parameters!$D$19:$H$19,1,S48)+(INDEX(Parameters!$D$19:$H$19,1,S48+1)-INDEX(Parameters!$D$19:$H$19,1,S48))*V48)</f>
        <v>0.59000000000000008</v>
      </c>
      <c r="P48" s="8">
        <f>M48*O48</f>
        <v>3097.5000000000005</v>
      </c>
      <c r="Q48" s="8">
        <f>MIN(4,MAX(1,INT((1+C48/Parameters!$D$23)*4)+1))</f>
        <v>3</v>
      </c>
      <c r="R48" s="8">
        <f>MIN(4,MAX(1,INT((1+D48/Parameters!$D$24)*4)+1))</f>
        <v>4</v>
      </c>
      <c r="S48" s="8">
        <f>MIN(4,MAX(1,INT((1+E48/Parameters!$D$25)*4)+1))</f>
        <v>4</v>
      </c>
      <c r="T48" s="8">
        <f>MAX(0,MIN(1,(1+C48/Parameters!$D$23)*4-(Q48-1)))</f>
        <v>0</v>
      </c>
      <c r="U48" s="8">
        <f>MAX(0,MIN(1,(1+D48/Parameters!$D$24)*4-(R48-1)))</f>
        <v>0</v>
      </c>
      <c r="V48" s="8">
        <f>MAX(0,MIN(1,(1+E48/Parameters!$D$25)*4-(S48-1)))</f>
        <v>0</v>
      </c>
    </row>
    <row r="49" spans="2:22" ht="22" customHeight="1">
      <c r="B49" s="8" t="str">
        <f>"C "&amp;D49</f>
        <v>C 0</v>
      </c>
      <c r="C49" s="8">
        <f>'HSC Sweep'!$C$6</f>
        <v>-12</v>
      </c>
      <c r="D49" s="8">
        <f>Parameters!H8</f>
        <v>0</v>
      </c>
      <c r="E49" s="8">
        <f>Parameters!H16</f>
        <v>0</v>
      </c>
      <c r="F49" s="8">
        <f>IF('HSC Sweep'!$C$4="Type-B",INDEX(Parameters!$J$10:$N$10,1,Q49)+(INDEX(Parameters!$J$10:$N$10,1,Q49+1)-INDEX(Parameters!$J$10:$N$10,1,Q49))*T49,INDEX(Parameters!$D$10:$H$10,1,Q49)+(INDEX(Parameters!$D$10:$H$10,1,Q49+1)-INDEX(Parameters!$D$10:$H$10,1,Q49))*T49)</f>
        <v>4200</v>
      </c>
      <c r="G49" s="8">
        <f>IF('HSC Sweep'!$C$4="Type-B",INDEX(Parameters!$J$11:$N$11,1,R49)+(INDEX(Parameters!$J$11:$N$11,1,R49+1)-INDEX(Parameters!$J$11:$N$11,1,R49))*U49,INDEX(Parameters!$D$11:$H$11,1,Q49)+(INDEX(Parameters!$D$11:$H$11,1,Q49+1)-INDEX(Parameters!$D$11:$H$11,1,Q49))*T49)</f>
        <v>0.4</v>
      </c>
      <c r="H49" s="8">
        <f>IF('HSC Sweep'!$C$4="Type-B",INDEX(Parameters!$J$12:$N$12,1,Q49)+(INDEX(Parameters!$J$12:$N$12,1,Q49+1)-INDEX(Parameters!$J$12:$N$12,1,Q49))*T49,INDEX(Parameters!$D$12:$H$12,1,Q49)+(INDEX(Parameters!$D$12:$H$12,1,Q49+1)-INDEX(Parameters!$D$12:$H$12,1,Q49))*T49)</f>
        <v>0.69</v>
      </c>
      <c r="I49" s="8">
        <f>F49*H49</f>
        <v>2898</v>
      </c>
      <c r="J49" s="8">
        <f>IF('HSC Sweep'!$C$4="Type-B",INDEX(Parameters!$J$13:$N$13,1,R49)+(INDEX(Parameters!$J$13:$N$13,1,R49+1)-INDEX(Parameters!$J$13:$N$13,1,R49))*U49,INDEX(Parameters!$D$13:$H$13,1,R49)+(INDEX(Parameters!$D$13:$H$13,1,R49+1)-INDEX(Parameters!$D$13:$H$13,1,R49))*U49)</f>
        <v>0</v>
      </c>
      <c r="K49" s="8">
        <f>IF('HSC Sweep'!$C$4="Type-B",Parameters!$L$14,INDEX(Parameters!$D$14:$H$14,1,R49)+(INDEX(Parameters!$D$14:$H$14,1,R49+1)-INDEX(Parameters!$D$14:$H$14,1,R49))*U49)</f>
        <v>0.6</v>
      </c>
      <c r="L49" s="8">
        <f>I49+J49</f>
        <v>2898</v>
      </c>
      <c r="M49" s="8">
        <f>IF('HSC Sweep'!$C$4="Type-B",INDEX(Parameters!$J$17:$N$17,1,S49)+(INDEX(Parameters!$J$17:$N$17,1,S49+1)-INDEX(Parameters!$J$17:$N$17,1,S49))*V49,INDEX(Parameters!$D$17:$H$17,1,S49)+(INDEX(Parameters!$D$17:$H$17,1,S49+1)-INDEX(Parameters!$D$17:$H$17,1,S49))*V49)</f>
        <v>6000</v>
      </c>
      <c r="N49" s="8">
        <f>IF('HSC Sweep'!$C$4="Type-B",INDEX(Parameters!$J$18:$N$18,1,S49)+(INDEX(Parameters!$J$18:$N$18,1,S49+1)-INDEX(Parameters!$J$18:$N$18,1,S49))*V49,INDEX(Parameters!$D$18:$H$18,1,S49)+(INDEX(Parameters!$D$18:$H$18,1,S49+1)-INDEX(Parameters!$D$18:$H$18,1,S49))*V49)</f>
        <v>0.23</v>
      </c>
      <c r="O49" s="8">
        <f>IF('HSC Sweep'!$C$4="Type-B",INDEX(Parameters!$J$19:$N$19,1,S49)+(INDEX(Parameters!$J$19:$N$19,1,S49+1)-INDEX(Parameters!$J$19:$N$19,1,S49))*V49,INDEX(Parameters!$D$19:$H$19,1,S49)+(INDEX(Parameters!$D$19:$H$19,1,S49+1)-INDEX(Parameters!$D$19:$H$19,1,S49))*V49)</f>
        <v>0.56000000000000005</v>
      </c>
      <c r="P49" s="8">
        <f>M49*O49</f>
        <v>3360.0000000000005</v>
      </c>
      <c r="Q49" s="8">
        <f>MIN(4,MAX(1,INT((1+C49/Parameters!$D$23)*4)+1))</f>
        <v>3</v>
      </c>
      <c r="R49" s="8">
        <f>MIN(4,MAX(1,INT((1+D49/Parameters!$D$24)*4)+1))</f>
        <v>4</v>
      </c>
      <c r="S49" s="8">
        <f>MIN(4,MAX(1,INT((1+E49/Parameters!$D$25)*4)+1))</f>
        <v>4</v>
      </c>
      <c r="T49" s="8">
        <f>MAX(0,MIN(1,(1+C49/Parameters!$D$23)*4-(Q49-1)))</f>
        <v>0</v>
      </c>
      <c r="U49" s="8">
        <f>MAX(0,MIN(1,(1+D49/Parameters!$D$24)*4-(R49-1)))</f>
        <v>1</v>
      </c>
      <c r="V49" s="8">
        <f>MAX(0,MIN(1,(1+E49/Parameters!$D$25)*4-(S49-1)))</f>
        <v>1</v>
      </c>
    </row>
    <row r="50" spans="2:22" ht="22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2:22" ht="22" customHeigh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2:22" ht="22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2:22" ht="22" customHeight="1">
      <c r="B53" s="11" t="s">
        <v>31</v>
      </c>
      <c r="C53" s="11" t="str">
        <f>B45</f>
        <v>C -20</v>
      </c>
      <c r="D53" s="11" t="str">
        <f>B46</f>
        <v>C -15</v>
      </c>
      <c r="E53" s="11" t="str">
        <f>B47</f>
        <v>C -10</v>
      </c>
      <c r="F53" s="11" t="str">
        <f>B48</f>
        <v>C -5</v>
      </c>
      <c r="G53" s="11" t="str">
        <f>B49</f>
        <v>C 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2:22" ht="22" customHeight="1">
      <c r="B54" s="15">
        <v>0</v>
      </c>
      <c r="C54" s="15">
        <f t="shared" ref="C54:C74" si="5">$F$45*MIN($B54,$G$45)+$I$45*MAX(0,$B54-$G$45)+$J$45*MAX(0,$B54-$K$45)</f>
        <v>0</v>
      </c>
      <c r="D54" s="15">
        <f t="shared" ref="D54:D74" si="6">$F$46*MIN($B54,$G$46)+$I$46*MAX(0,$B54-$G$46)+$J$46*MAX(0,$B54-$K$46)</f>
        <v>0</v>
      </c>
      <c r="E54" s="15">
        <f t="shared" ref="E54:E74" si="7">$F$47*MIN($B54,$G$47)+$I$47*MAX(0,$B54-$G$47)+$J$47*MAX(0,$B54-$K$47)</f>
        <v>0</v>
      </c>
      <c r="F54" s="15">
        <f t="shared" ref="F54:F74" si="8">$F$48*MIN($B54,$G$48)+$I$48*MAX(0,$B54-$G$48)+$J$48*MAX(0,$B54-$K$48)</f>
        <v>0</v>
      </c>
      <c r="G54" s="15">
        <f t="shared" ref="G54:G74" si="9">$F$49*MIN($B54,$G$49)+$I$49*MAX(0,$B54-$G$49)+$J$49*MAX(0,$B54-$K$49)</f>
        <v>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2:22" ht="22" customHeight="1">
      <c r="B55" s="15">
        <v>0.05</v>
      </c>
      <c r="C55" s="15">
        <f t="shared" si="5"/>
        <v>210</v>
      </c>
      <c r="D55" s="15">
        <f t="shared" si="6"/>
        <v>210</v>
      </c>
      <c r="E55" s="15">
        <f t="shared" si="7"/>
        <v>210</v>
      </c>
      <c r="F55" s="15">
        <f t="shared" si="8"/>
        <v>210</v>
      </c>
      <c r="G55" s="15">
        <f t="shared" si="9"/>
        <v>210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2:22" ht="22" customHeight="1">
      <c r="B56" s="15">
        <v>0.1</v>
      </c>
      <c r="C56" s="15">
        <f t="shared" si="5"/>
        <v>420</v>
      </c>
      <c r="D56" s="15">
        <f t="shared" si="6"/>
        <v>420</v>
      </c>
      <c r="E56" s="15">
        <f t="shared" si="7"/>
        <v>420</v>
      </c>
      <c r="F56" s="15">
        <f t="shared" si="8"/>
        <v>420</v>
      </c>
      <c r="G56" s="15">
        <f t="shared" si="9"/>
        <v>420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2:22" ht="22" customHeight="1">
      <c r="B57" s="15">
        <v>0.15</v>
      </c>
      <c r="C57" s="15">
        <f t="shared" si="5"/>
        <v>630</v>
      </c>
      <c r="D57" s="15">
        <f t="shared" si="6"/>
        <v>630</v>
      </c>
      <c r="E57" s="15">
        <f t="shared" si="7"/>
        <v>630</v>
      </c>
      <c r="F57" s="15">
        <f t="shared" si="8"/>
        <v>630</v>
      </c>
      <c r="G57" s="15">
        <f t="shared" si="9"/>
        <v>630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2:22" ht="22" customHeight="1">
      <c r="B58" s="15">
        <v>0.2</v>
      </c>
      <c r="C58" s="15">
        <f t="shared" si="5"/>
        <v>840</v>
      </c>
      <c r="D58" s="15">
        <f t="shared" si="6"/>
        <v>840</v>
      </c>
      <c r="E58" s="15">
        <f t="shared" si="7"/>
        <v>840</v>
      </c>
      <c r="F58" s="15">
        <f t="shared" si="8"/>
        <v>840</v>
      </c>
      <c r="G58" s="15">
        <f t="shared" si="9"/>
        <v>840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2:22" ht="22" customHeight="1">
      <c r="B59" s="15">
        <v>0.25</v>
      </c>
      <c r="C59" s="15">
        <f t="shared" si="5"/>
        <v>984.9</v>
      </c>
      <c r="D59" s="15">
        <f t="shared" si="6"/>
        <v>1050</v>
      </c>
      <c r="E59" s="15">
        <f t="shared" si="7"/>
        <v>1050</v>
      </c>
      <c r="F59" s="15">
        <f t="shared" si="8"/>
        <v>1050</v>
      </c>
      <c r="G59" s="15">
        <f t="shared" si="9"/>
        <v>1050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2:22" ht="22" customHeight="1">
      <c r="B60" s="15">
        <v>0.3</v>
      </c>
      <c r="C60" s="15">
        <f t="shared" si="5"/>
        <v>1129.8</v>
      </c>
      <c r="D60" s="15">
        <f t="shared" si="6"/>
        <v>1194.9000000000001</v>
      </c>
      <c r="E60" s="15">
        <f t="shared" si="7"/>
        <v>1260</v>
      </c>
      <c r="F60" s="15">
        <f t="shared" si="8"/>
        <v>1260</v>
      </c>
      <c r="G60" s="15">
        <f t="shared" si="9"/>
        <v>1260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2:22" ht="22" customHeight="1">
      <c r="B61" s="15">
        <v>0.35</v>
      </c>
      <c r="C61" s="15">
        <f t="shared" si="5"/>
        <v>1274.6999999999998</v>
      </c>
      <c r="D61" s="15">
        <f t="shared" si="6"/>
        <v>1339.8</v>
      </c>
      <c r="E61" s="15">
        <f t="shared" si="7"/>
        <v>1404.9</v>
      </c>
      <c r="F61" s="15">
        <f t="shared" si="8"/>
        <v>1470</v>
      </c>
      <c r="G61" s="15">
        <f t="shared" si="9"/>
        <v>1470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2:22" ht="22" customHeight="1">
      <c r="B62" s="15">
        <v>0.4</v>
      </c>
      <c r="C62" s="15">
        <f t="shared" si="5"/>
        <v>1419.6</v>
      </c>
      <c r="D62" s="15">
        <f t="shared" si="6"/>
        <v>1484.7</v>
      </c>
      <c r="E62" s="15">
        <f t="shared" si="7"/>
        <v>1549.8000000000002</v>
      </c>
      <c r="F62" s="15">
        <f t="shared" si="8"/>
        <v>1614.9</v>
      </c>
      <c r="G62" s="15">
        <f t="shared" si="9"/>
        <v>1680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2:22" ht="22" customHeight="1">
      <c r="B63" s="15">
        <v>0.45</v>
      </c>
      <c r="C63" s="15">
        <f t="shared" si="5"/>
        <v>1564.5</v>
      </c>
      <c r="D63" s="15">
        <f t="shared" si="6"/>
        <v>1629.6</v>
      </c>
      <c r="E63" s="15">
        <f t="shared" si="7"/>
        <v>1694.7</v>
      </c>
      <c r="F63" s="15">
        <f t="shared" si="8"/>
        <v>1759.8000000000002</v>
      </c>
      <c r="G63" s="15">
        <f t="shared" si="9"/>
        <v>1824.9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2:22" ht="22" customHeight="1">
      <c r="B64" s="15">
        <v>0.5</v>
      </c>
      <c r="C64" s="15">
        <f t="shared" si="5"/>
        <v>1709.4</v>
      </c>
      <c r="D64" s="15">
        <f t="shared" si="6"/>
        <v>1774.5</v>
      </c>
      <c r="E64" s="15">
        <f t="shared" si="7"/>
        <v>1839.6</v>
      </c>
      <c r="F64" s="15">
        <f t="shared" si="8"/>
        <v>1904.7</v>
      </c>
      <c r="G64" s="15">
        <f t="shared" si="9"/>
        <v>1969.8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2:22" ht="22" customHeight="1">
      <c r="B65" s="15">
        <v>0.55000000000000004</v>
      </c>
      <c r="C65" s="15">
        <f t="shared" si="5"/>
        <v>1854.3000000000002</v>
      </c>
      <c r="D65" s="15">
        <f t="shared" si="6"/>
        <v>1919.4</v>
      </c>
      <c r="E65" s="15">
        <f t="shared" si="7"/>
        <v>1984.5</v>
      </c>
      <c r="F65" s="15">
        <f t="shared" si="8"/>
        <v>2049.6000000000004</v>
      </c>
      <c r="G65" s="15">
        <f t="shared" si="9"/>
        <v>2114.6999999999998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2:22" ht="22" customHeight="1">
      <c r="B66" s="15">
        <v>0.6</v>
      </c>
      <c r="C66" s="15">
        <f t="shared" si="5"/>
        <v>1999.1999999999998</v>
      </c>
      <c r="D66" s="15">
        <f t="shared" si="6"/>
        <v>2064.3000000000002</v>
      </c>
      <c r="E66" s="15">
        <f t="shared" si="7"/>
        <v>2129.4</v>
      </c>
      <c r="F66" s="15">
        <f t="shared" si="8"/>
        <v>2194.5</v>
      </c>
      <c r="G66" s="15">
        <f t="shared" si="9"/>
        <v>2259.6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2:22" ht="22" customHeight="1">
      <c r="B67" s="15">
        <v>0.65</v>
      </c>
      <c r="C67" s="15">
        <f t="shared" si="5"/>
        <v>2144.1000000000004</v>
      </c>
      <c r="D67" s="15">
        <f t="shared" si="6"/>
        <v>2209.1999999999998</v>
      </c>
      <c r="E67" s="15">
        <f t="shared" si="7"/>
        <v>2274.3000000000002</v>
      </c>
      <c r="F67" s="15">
        <f t="shared" si="8"/>
        <v>2339.4</v>
      </c>
      <c r="G67" s="15">
        <f t="shared" si="9"/>
        <v>2404.5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2:22" ht="22" customHeight="1">
      <c r="B68" s="15">
        <v>0.7</v>
      </c>
      <c r="C68" s="15">
        <f t="shared" si="5"/>
        <v>2289</v>
      </c>
      <c r="D68" s="15">
        <f t="shared" si="6"/>
        <v>2354.1</v>
      </c>
      <c r="E68" s="15">
        <f t="shared" si="7"/>
        <v>2419.1999999999998</v>
      </c>
      <c r="F68" s="15">
        <f t="shared" si="8"/>
        <v>2484.3000000000002</v>
      </c>
      <c r="G68" s="15">
        <f t="shared" si="9"/>
        <v>2549.3999999999996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2:22" ht="22" customHeight="1">
      <c r="B69" s="15">
        <v>0.75</v>
      </c>
      <c r="C69" s="15">
        <f t="shared" si="5"/>
        <v>2433.9</v>
      </c>
      <c r="D69" s="15">
        <f t="shared" si="6"/>
        <v>2499</v>
      </c>
      <c r="E69" s="15">
        <f t="shared" si="7"/>
        <v>2564.1000000000004</v>
      </c>
      <c r="F69" s="15">
        <f t="shared" si="8"/>
        <v>2629.2</v>
      </c>
      <c r="G69" s="15">
        <f t="shared" si="9"/>
        <v>2694.3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2:22" ht="22" customHeight="1">
      <c r="B70" s="15">
        <v>0.8</v>
      </c>
      <c r="C70" s="15">
        <f t="shared" si="5"/>
        <v>2578.8000000000002</v>
      </c>
      <c r="D70" s="15">
        <f t="shared" si="6"/>
        <v>2643.9</v>
      </c>
      <c r="E70" s="15">
        <f t="shared" si="7"/>
        <v>2709</v>
      </c>
      <c r="F70" s="15">
        <f t="shared" si="8"/>
        <v>2774.1000000000004</v>
      </c>
      <c r="G70" s="15">
        <f t="shared" si="9"/>
        <v>2839.2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2:22" ht="22" customHeight="1">
      <c r="B71" s="15">
        <v>0.85</v>
      </c>
      <c r="C71" s="15">
        <f t="shared" si="5"/>
        <v>2723.7</v>
      </c>
      <c r="D71" s="15">
        <f t="shared" si="6"/>
        <v>2788.8</v>
      </c>
      <c r="E71" s="15">
        <f t="shared" si="7"/>
        <v>2853.9</v>
      </c>
      <c r="F71" s="15">
        <f t="shared" si="8"/>
        <v>2919</v>
      </c>
      <c r="G71" s="15">
        <f t="shared" si="9"/>
        <v>2984.1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2:22" ht="22" customHeight="1">
      <c r="B72" s="15">
        <v>0.9</v>
      </c>
      <c r="C72" s="15">
        <f t="shared" si="5"/>
        <v>2868.6</v>
      </c>
      <c r="D72" s="15">
        <f t="shared" si="6"/>
        <v>2933.7</v>
      </c>
      <c r="E72" s="15">
        <f t="shared" si="7"/>
        <v>2998.8</v>
      </c>
      <c r="F72" s="15">
        <f t="shared" si="8"/>
        <v>3063.9</v>
      </c>
      <c r="G72" s="15">
        <f t="shared" si="9"/>
        <v>3129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2:22" ht="22" customHeight="1">
      <c r="B73" s="15">
        <v>0.95</v>
      </c>
      <c r="C73" s="15">
        <f t="shared" si="5"/>
        <v>3013.5</v>
      </c>
      <c r="D73" s="15">
        <f t="shared" si="6"/>
        <v>3078.6</v>
      </c>
      <c r="E73" s="15">
        <f t="shared" si="7"/>
        <v>3143.7</v>
      </c>
      <c r="F73" s="15">
        <f t="shared" si="8"/>
        <v>3208.8</v>
      </c>
      <c r="G73" s="15">
        <f t="shared" si="9"/>
        <v>3273.8999999999996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2:22" ht="22" customHeight="1">
      <c r="B74" s="15">
        <v>1</v>
      </c>
      <c r="C74" s="15">
        <f t="shared" si="5"/>
        <v>3158.4</v>
      </c>
      <c r="D74" s="15">
        <f t="shared" si="6"/>
        <v>3223.5</v>
      </c>
      <c r="E74" s="15">
        <f t="shared" si="7"/>
        <v>3288.6</v>
      </c>
      <c r="F74" s="15">
        <f t="shared" si="8"/>
        <v>3353.7</v>
      </c>
      <c r="G74" s="15">
        <f t="shared" si="9"/>
        <v>3418.8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2:22" ht="22" customHeigh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2:22" ht="22" customHeight="1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2:22" ht="22" customHeight="1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2:22" ht="22" customHeigh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2:22" ht="22" customHeight="1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2:22" ht="22" customHeigh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2:22" ht="22" customHeight="1">
      <c r="B81" s="29" t="s">
        <v>73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2:22" ht="22" customHeight="1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2:22" ht="22" customHeight="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2:22" ht="35" customHeight="1">
      <c r="B84" s="13" t="s">
        <v>40</v>
      </c>
      <c r="C84" s="13" t="s">
        <v>41</v>
      </c>
      <c r="D84" s="13" t="s">
        <v>42</v>
      </c>
      <c r="E84" s="13" t="s">
        <v>43</v>
      </c>
      <c r="F84" s="13" t="s">
        <v>15</v>
      </c>
      <c r="G84" s="13" t="s">
        <v>55</v>
      </c>
      <c r="H84" s="13" t="s">
        <v>44</v>
      </c>
      <c r="I84" s="13" t="s">
        <v>36</v>
      </c>
      <c r="J84" s="13" t="s">
        <v>45</v>
      </c>
      <c r="K84" s="13" t="s">
        <v>56</v>
      </c>
      <c r="L84" s="13" t="s">
        <v>46</v>
      </c>
      <c r="M84" s="13" t="s">
        <v>20</v>
      </c>
      <c r="N84" s="13" t="s">
        <v>21</v>
      </c>
      <c r="O84" s="13" t="s">
        <v>47</v>
      </c>
      <c r="P84" s="13" t="s">
        <v>39</v>
      </c>
      <c r="Q84" s="13" t="s">
        <v>48</v>
      </c>
      <c r="R84" s="13" t="s">
        <v>49</v>
      </c>
      <c r="S84" s="13" t="s">
        <v>50</v>
      </c>
      <c r="T84" s="13" t="s">
        <v>51</v>
      </c>
      <c r="U84" s="13" t="s">
        <v>52</v>
      </c>
      <c r="V84" s="13" t="s">
        <v>53</v>
      </c>
    </row>
    <row r="85" spans="2:22" ht="22" customHeight="1">
      <c r="B85" s="8" t="str">
        <f>"R "&amp;E85</f>
        <v>R -40</v>
      </c>
      <c r="C85" s="8">
        <f>Parameters!D7</f>
        <v>-24</v>
      </c>
      <c r="D85" s="8">
        <f>Parameters!D8</f>
        <v>-20</v>
      </c>
      <c r="E85" s="8">
        <f>Parameters!D16</f>
        <v>-40</v>
      </c>
      <c r="F85" s="8">
        <f>IF('LSR Sweep'!$C$4="Type-B",INDEX(Parameters!$J$10:$N$10,1,Q85)+(INDEX(Parameters!$J$10:$N$10,1,Q85+1)-INDEX(Parameters!$J$10:$N$10,1,Q85))*T85,INDEX(Parameters!$D$10:$H$10,1,Q85)+(INDEX(Parameters!$D$10:$H$10,1,Q85+1)-INDEX(Parameters!$D$10:$H$10,1,Q85))*T85)</f>
        <v>1850</v>
      </c>
      <c r="G85" s="8">
        <f>IF('LSR Sweep'!$C$4="Type-B",INDEX(Parameters!$J$11:$N$11,1,R85)+(INDEX(Parameters!$J$11:$N$11,1,R85+1)-INDEX(Parameters!$J$11:$N$11,1,R85))*U85,INDEX(Parameters!$D$11:$H$11,1,Q85)+(INDEX(Parameters!$D$11:$H$11,1,Q85+1)-INDEX(Parameters!$D$11:$H$11,1,Q85))*T85)</f>
        <v>0.08</v>
      </c>
      <c r="H85" s="8">
        <f>IF('LSR Sweep'!$C$4="Type-B",INDEX(Parameters!$J$12:$N$12,1,Q85)+(INDEX(Parameters!$J$12:$N$12,1,Q85+1)-INDEX(Parameters!$J$12:$N$12,1,Q85))*T85,INDEX(Parameters!$D$12:$H$12,1,Q85)+(INDEX(Parameters!$D$12:$H$12,1,Q85+1)-INDEX(Parameters!$D$12:$H$12,1,Q85))*T85)</f>
        <v>1</v>
      </c>
      <c r="I85" s="8">
        <f>F85*H85</f>
        <v>1850</v>
      </c>
      <c r="J85" s="8">
        <f>IF('LSR Sweep'!$C$4="Type-B",INDEX(Parameters!$J$13:$N$13,1,R85)+(INDEX(Parameters!$J$13:$N$13,1,R85+1)-INDEX(Parameters!$J$13:$N$13,1,R85))*U85,INDEX(Parameters!$D$13:$H$13,1,R85)+(INDEX(Parameters!$D$13:$H$13,1,R85+1)-INDEX(Parameters!$D$13:$H$13,1,R85))*U85)</f>
        <v>250</v>
      </c>
      <c r="K85" s="8">
        <f>IF('LSR Sweep'!$C$4="Type-B",Parameters!$L$14,INDEX(Parameters!$D$14:$H$14,1,R85)+(INDEX(Parameters!$D$14:$H$14,1,R85+1)-INDEX(Parameters!$D$14:$H$14,1,R85))*U85)</f>
        <v>0.34</v>
      </c>
      <c r="L85" s="8">
        <f>I85+J85</f>
        <v>2100</v>
      </c>
      <c r="M85" s="8">
        <f>IF('LSR Sweep'!$C$4="Type-B",INDEX(Parameters!$J$17:$N$17,1,S85)+(INDEX(Parameters!$J$17:$N$17,1,S85+1)-INDEX(Parameters!$J$17:$N$17,1,S85))*V85,INDEX(Parameters!$D$17:$H$17,1,S85)+(INDEX(Parameters!$D$17:$H$17,1,S85+1)-INDEX(Parameters!$D$17:$H$17,1,S85))*V85)</f>
        <v>2100</v>
      </c>
      <c r="N85" s="8">
        <f>IF('LSR Sweep'!$C$4="Type-B",INDEX(Parameters!$J$18:$N$18,1,S85)+(INDEX(Parameters!$J$18:$N$18,1,S85+1)-INDEX(Parameters!$J$18:$N$18,1,S85))*V85,INDEX(Parameters!$D$18:$H$18,1,S85)+(INDEX(Parameters!$D$18:$H$18,1,S85+1)-INDEX(Parameters!$D$18:$H$18,1,S85))*V85)</f>
        <v>0.23</v>
      </c>
      <c r="O85" s="8">
        <f>IF('LSR Sweep'!$C$4="Type-B",INDEX(Parameters!$J$19:$N$19,1,S85)+(INDEX(Parameters!$J$19:$N$19,1,S85+1)-INDEX(Parameters!$J$19:$N$19,1,S85))*V85,INDEX(Parameters!$D$19:$H$19,1,S85)+(INDEX(Parameters!$D$19:$H$19,1,S85+1)-INDEX(Parameters!$D$19:$H$19,1,S85))*V85)</f>
        <v>0.92</v>
      </c>
      <c r="P85" s="8">
        <f>M85*O85</f>
        <v>1932</v>
      </c>
      <c r="Q85" s="8">
        <f>MIN(4,MAX(1,INT((1+C85/Parameters!$D$23)*4)+1))</f>
        <v>1</v>
      </c>
      <c r="R85" s="8">
        <f>MIN(4,MAX(1,INT((1+D85/Parameters!$D$24)*4)+1))</f>
        <v>1</v>
      </c>
      <c r="S85" s="8">
        <f>MIN(4,MAX(1,INT((1+E85/Parameters!$D$25)*4)+1))</f>
        <v>1</v>
      </c>
      <c r="T85" s="8">
        <f>MAX(0,MIN(1,(1+C85/Parameters!$D$23)*4-(Q85-1)))</f>
        <v>0</v>
      </c>
      <c r="U85" s="8">
        <f>MAX(0,MIN(1,(1+D85/Parameters!$D$24)*4-(R85-1)))</f>
        <v>0</v>
      </c>
      <c r="V85" s="8">
        <f>MAX(0,MIN(1,(1+E85/Parameters!$D$25)*4-(S85-1)))</f>
        <v>0</v>
      </c>
    </row>
    <row r="86" spans="2:22" ht="22" customHeight="1">
      <c r="B86" s="8" t="str">
        <f>"R "&amp;E86</f>
        <v>R -30</v>
      </c>
      <c r="C86" s="8">
        <f>Parameters!E7</f>
        <v>-18</v>
      </c>
      <c r="D86" s="8">
        <f>Parameters!E8</f>
        <v>-15</v>
      </c>
      <c r="E86" s="8">
        <f>Parameters!E16</f>
        <v>-30</v>
      </c>
      <c r="F86" s="8">
        <f>IF('LSR Sweep'!$C$4="Type-B",INDEX(Parameters!$J$10:$N$10,1,Q86)+(INDEX(Parameters!$J$10:$N$10,1,Q86+1)-INDEX(Parameters!$J$10:$N$10,1,Q86))*T86,INDEX(Parameters!$D$10:$H$10,1,Q86)+(INDEX(Parameters!$D$10:$H$10,1,Q86+1)-INDEX(Parameters!$D$10:$H$10,1,Q86))*T86)</f>
        <v>2750</v>
      </c>
      <c r="G86" s="8">
        <f>IF('LSR Sweep'!$C$4="Type-B",INDEX(Parameters!$J$11:$N$11,1,R86)+(INDEX(Parameters!$J$11:$N$11,1,R86+1)-INDEX(Parameters!$J$11:$N$11,1,R86))*U86,INDEX(Parameters!$D$11:$H$11,1,Q86)+(INDEX(Parameters!$D$11:$H$11,1,Q86+1)-INDEX(Parameters!$D$11:$H$11,1,Q86))*T86)</f>
        <v>0.08</v>
      </c>
      <c r="H86" s="8">
        <f>IF('LSR Sweep'!$C$4="Type-B",INDEX(Parameters!$J$12:$N$12,1,Q86)+(INDEX(Parameters!$J$12:$N$12,1,Q86+1)-INDEX(Parameters!$J$12:$N$12,1,Q86))*T86,INDEX(Parameters!$D$12:$H$12,1,Q86)+(INDEX(Parameters!$D$12:$H$12,1,Q86+1)-INDEX(Parameters!$D$12:$H$12,1,Q86))*T86)</f>
        <v>0.97</v>
      </c>
      <c r="I86" s="8">
        <f>F86*H86</f>
        <v>2667.5</v>
      </c>
      <c r="J86" s="8">
        <f>IF('LSR Sweep'!$C$4="Type-B",INDEX(Parameters!$J$13:$N$13,1,R86)+(INDEX(Parameters!$J$13:$N$13,1,R86+1)-INDEX(Parameters!$J$13:$N$13,1,R86))*U86,INDEX(Parameters!$D$13:$H$13,1,R86)+(INDEX(Parameters!$D$13:$H$13,1,R86+1)-INDEX(Parameters!$D$13:$H$13,1,R86))*U86)</f>
        <v>1000</v>
      </c>
      <c r="K86" s="8">
        <f>IF('LSR Sweep'!$C$4="Type-B",Parameters!$L$14,INDEX(Parameters!$D$14:$H$14,1,R86)+(INDEX(Parameters!$D$14:$H$14,1,R86+1)-INDEX(Parameters!$D$14:$H$14,1,R86))*U86)</f>
        <v>0.34499999999999997</v>
      </c>
      <c r="L86" s="8">
        <f>I86+J86</f>
        <v>3667.5</v>
      </c>
      <c r="M86" s="8">
        <f>IF('LSR Sweep'!$C$4="Type-B",INDEX(Parameters!$J$17:$N$17,1,S86)+(INDEX(Parameters!$J$17:$N$17,1,S86+1)-INDEX(Parameters!$J$17:$N$17,1,S86))*V86,INDEX(Parameters!$D$17:$H$17,1,S86)+(INDEX(Parameters!$D$17:$H$17,1,S86+1)-INDEX(Parameters!$D$17:$H$17,1,S86))*V86)</f>
        <v>2850</v>
      </c>
      <c r="N86" s="8">
        <f>IF('LSR Sweep'!$C$4="Type-B",INDEX(Parameters!$J$18:$N$18,1,S86)+(INDEX(Parameters!$J$18:$N$18,1,S86+1)-INDEX(Parameters!$J$18:$N$18,1,S86))*V86,INDEX(Parameters!$D$18:$H$18,1,S86)+(INDEX(Parameters!$D$18:$H$18,1,S86+1)-INDEX(Parameters!$D$18:$H$18,1,S86))*V86)</f>
        <v>0.24</v>
      </c>
      <c r="O86" s="8">
        <f>IF('LSR Sweep'!$C$4="Type-B",INDEX(Parameters!$J$19:$N$19,1,S86)+(INDEX(Parameters!$J$19:$N$19,1,S86+1)-INDEX(Parameters!$J$19:$N$19,1,S86))*V86,INDEX(Parameters!$D$19:$H$19,1,S86)+(INDEX(Parameters!$D$19:$H$19,1,S86+1)-INDEX(Parameters!$D$19:$H$19,1,S86))*V86)</f>
        <v>0.89</v>
      </c>
      <c r="P86" s="8">
        <f>M86*O86</f>
        <v>2536.5</v>
      </c>
      <c r="Q86" s="8">
        <f>MIN(4,MAX(1,INT((1+C86/Parameters!$D$23)*4)+1))</f>
        <v>2</v>
      </c>
      <c r="R86" s="8">
        <f>MIN(4,MAX(1,INT((1+D86/Parameters!$D$24)*4)+1))</f>
        <v>2</v>
      </c>
      <c r="S86" s="8">
        <f>MIN(4,MAX(1,INT((1+E86/Parameters!$D$25)*4)+1))</f>
        <v>2</v>
      </c>
      <c r="T86" s="8">
        <f>MAX(0,MIN(1,(1+C86/Parameters!$D$23)*4-(Q86-1)))</f>
        <v>0</v>
      </c>
      <c r="U86" s="8">
        <f>MAX(0,MIN(1,(1+D86/Parameters!$D$24)*4-(R86-1)))</f>
        <v>0</v>
      </c>
      <c r="V86" s="8">
        <f>MAX(0,MIN(1,(1+E86/Parameters!$D$25)*4-(S86-1)))</f>
        <v>0</v>
      </c>
    </row>
    <row r="87" spans="2:22" ht="22" customHeight="1">
      <c r="B87" s="8" t="str">
        <f>"R "&amp;E87</f>
        <v>R -20</v>
      </c>
      <c r="C87" s="8">
        <f>Parameters!F7</f>
        <v>-12</v>
      </c>
      <c r="D87" s="8">
        <f>Parameters!F8</f>
        <v>-10</v>
      </c>
      <c r="E87" s="8">
        <f>Parameters!F16</f>
        <v>-20</v>
      </c>
      <c r="F87" s="8">
        <f>IF('LSR Sweep'!$C$4="Type-B",INDEX(Parameters!$J$10:$N$10,1,Q87)+(INDEX(Parameters!$J$10:$N$10,1,Q87+1)-INDEX(Parameters!$J$10:$N$10,1,Q87))*T87,INDEX(Parameters!$D$10:$H$10,1,Q87)+(INDEX(Parameters!$D$10:$H$10,1,Q87+1)-INDEX(Parameters!$D$10:$H$10,1,Q87))*T87)</f>
        <v>3650</v>
      </c>
      <c r="G87" s="8">
        <f>IF('LSR Sweep'!$C$4="Type-B",INDEX(Parameters!$J$11:$N$11,1,R87)+(INDEX(Parameters!$J$11:$N$11,1,R87+1)-INDEX(Parameters!$J$11:$N$11,1,R87))*U87,INDEX(Parameters!$D$11:$H$11,1,Q87)+(INDEX(Parameters!$D$11:$H$11,1,Q87+1)-INDEX(Parameters!$D$11:$H$11,1,Q87))*T87)</f>
        <v>0.08</v>
      </c>
      <c r="H87" s="8">
        <f>IF('LSR Sweep'!$C$4="Type-B",INDEX(Parameters!$J$12:$N$12,1,Q87)+(INDEX(Parameters!$J$12:$N$12,1,Q87+1)-INDEX(Parameters!$J$12:$N$12,1,Q87))*T87,INDEX(Parameters!$D$12:$H$12,1,Q87)+(INDEX(Parameters!$D$12:$H$12,1,Q87+1)-INDEX(Parameters!$D$12:$H$12,1,Q87))*T87)</f>
        <v>0.94</v>
      </c>
      <c r="I87" s="8">
        <f>F87*H87</f>
        <v>3431</v>
      </c>
      <c r="J87" s="8">
        <f>IF('LSR Sweep'!$C$4="Type-B",INDEX(Parameters!$J$13:$N$13,1,R87)+(INDEX(Parameters!$J$13:$N$13,1,R87+1)-INDEX(Parameters!$J$13:$N$13,1,R87))*U87,INDEX(Parameters!$D$13:$H$13,1,R87)+(INDEX(Parameters!$D$13:$H$13,1,R87+1)-INDEX(Parameters!$D$13:$H$13,1,R87))*U87)</f>
        <v>1750</v>
      </c>
      <c r="K87" s="8">
        <f>IF('LSR Sweep'!$C$4="Type-B",Parameters!$L$14,INDEX(Parameters!$D$14:$H$14,1,R87)+(INDEX(Parameters!$D$14:$H$14,1,R87+1)-INDEX(Parameters!$D$14:$H$14,1,R87))*U87)</f>
        <v>0.35</v>
      </c>
      <c r="L87" s="8">
        <f>I87+J87</f>
        <v>5181</v>
      </c>
      <c r="M87" s="8">
        <f>IF('LSR Sweep'!$C$4="Type-B",INDEX(Parameters!$J$17:$N$17,1,S87)+(INDEX(Parameters!$J$17:$N$17,1,S87+1)-INDEX(Parameters!$J$17:$N$17,1,S87))*V87,INDEX(Parameters!$D$17:$H$17,1,S87)+(INDEX(Parameters!$D$17:$H$17,1,S87+1)-INDEX(Parameters!$D$17:$H$17,1,S87))*V87)</f>
        <v>3600</v>
      </c>
      <c r="N87" s="8">
        <f>IF('LSR Sweep'!$C$4="Type-B",INDEX(Parameters!$J$18:$N$18,1,S87)+(INDEX(Parameters!$J$18:$N$18,1,S87+1)-INDEX(Parameters!$J$18:$N$18,1,S87))*V87,INDEX(Parameters!$D$18:$H$18,1,S87)+(INDEX(Parameters!$D$18:$H$18,1,S87+1)-INDEX(Parameters!$D$18:$H$18,1,S87))*V87)</f>
        <v>0.25</v>
      </c>
      <c r="O87" s="8">
        <f>IF('LSR Sweep'!$C$4="Type-B",INDEX(Parameters!$J$19:$N$19,1,S87)+(INDEX(Parameters!$J$19:$N$19,1,S87+1)-INDEX(Parameters!$J$19:$N$19,1,S87))*V87,INDEX(Parameters!$D$19:$H$19,1,S87)+(INDEX(Parameters!$D$19:$H$19,1,S87+1)-INDEX(Parameters!$D$19:$H$19,1,S87))*V87)</f>
        <v>0.86</v>
      </c>
      <c r="P87" s="8">
        <f>M87*O87</f>
        <v>3096</v>
      </c>
      <c r="Q87" s="8">
        <f>MIN(4,MAX(1,INT((1+C87/Parameters!$D$23)*4)+1))</f>
        <v>3</v>
      </c>
      <c r="R87" s="8">
        <f>MIN(4,MAX(1,INT((1+D87/Parameters!$D$24)*4)+1))</f>
        <v>3</v>
      </c>
      <c r="S87" s="8">
        <f>MIN(4,MAX(1,INT((1+E87/Parameters!$D$25)*4)+1))</f>
        <v>3</v>
      </c>
      <c r="T87" s="8">
        <f>MAX(0,MIN(1,(1+C87/Parameters!$D$23)*4-(Q87-1)))</f>
        <v>0</v>
      </c>
      <c r="U87" s="8">
        <f>MAX(0,MIN(1,(1+D87/Parameters!$D$24)*4-(R87-1)))</f>
        <v>0</v>
      </c>
      <c r="V87" s="8">
        <f>MAX(0,MIN(1,(1+E87/Parameters!$D$25)*4-(S87-1)))</f>
        <v>0</v>
      </c>
    </row>
    <row r="88" spans="2:22" ht="22" customHeight="1">
      <c r="B88" s="8" t="str">
        <f>"R "&amp;E88</f>
        <v>R -10</v>
      </c>
      <c r="C88" s="8">
        <f>Parameters!G7</f>
        <v>-6</v>
      </c>
      <c r="D88" s="8">
        <f>Parameters!G8</f>
        <v>-5</v>
      </c>
      <c r="E88" s="8">
        <f>Parameters!G16</f>
        <v>-10</v>
      </c>
      <c r="F88" s="8">
        <f>IF('LSR Sweep'!$C$4="Type-B",INDEX(Parameters!$J$10:$N$10,1,Q88)+(INDEX(Parameters!$J$10:$N$10,1,Q88+1)-INDEX(Parameters!$J$10:$N$10,1,Q88))*T88,INDEX(Parameters!$D$10:$H$10,1,Q88)+(INDEX(Parameters!$D$10:$H$10,1,Q88+1)-INDEX(Parameters!$D$10:$H$10,1,Q88))*T88)</f>
        <v>4550</v>
      </c>
      <c r="G88" s="8">
        <f>IF('LSR Sweep'!$C$4="Type-B",INDEX(Parameters!$J$11:$N$11,1,R88)+(INDEX(Parameters!$J$11:$N$11,1,R88+1)-INDEX(Parameters!$J$11:$N$11,1,R88))*U88,INDEX(Parameters!$D$11:$H$11,1,Q88)+(INDEX(Parameters!$D$11:$H$11,1,Q88+1)-INDEX(Parameters!$D$11:$H$11,1,Q88))*T88)</f>
        <v>0.08</v>
      </c>
      <c r="H88" s="8">
        <f>IF('LSR Sweep'!$C$4="Type-B",INDEX(Parameters!$J$12:$N$12,1,Q88)+(INDEX(Parameters!$J$12:$N$12,1,Q88+1)-INDEX(Parameters!$J$12:$N$12,1,Q88))*T88,INDEX(Parameters!$D$12:$H$12,1,Q88)+(INDEX(Parameters!$D$12:$H$12,1,Q88+1)-INDEX(Parameters!$D$12:$H$12,1,Q88))*T88)</f>
        <v>0.90999999999999992</v>
      </c>
      <c r="I88" s="8">
        <f>F88*H88</f>
        <v>4140.5</v>
      </c>
      <c r="J88" s="8">
        <f>IF('LSR Sweep'!$C$4="Type-B",INDEX(Parameters!$J$13:$N$13,1,R88)+(INDEX(Parameters!$J$13:$N$13,1,R88+1)-INDEX(Parameters!$J$13:$N$13,1,R88))*U88,INDEX(Parameters!$D$13:$H$13,1,R88)+(INDEX(Parameters!$D$13:$H$13,1,R88+1)-INDEX(Parameters!$D$13:$H$13,1,R88))*U88)</f>
        <v>2500</v>
      </c>
      <c r="K88" s="8">
        <f>IF('LSR Sweep'!$C$4="Type-B",Parameters!$L$14,INDEX(Parameters!$D$14:$H$14,1,R88)+(INDEX(Parameters!$D$14:$H$14,1,R88+1)-INDEX(Parameters!$D$14:$H$14,1,R88))*U88)</f>
        <v>0.35499999999999998</v>
      </c>
      <c r="L88" s="8">
        <f>I88+J88</f>
        <v>6640.5</v>
      </c>
      <c r="M88" s="8">
        <f>IF('LSR Sweep'!$C$4="Type-B",INDEX(Parameters!$J$17:$N$17,1,S88)+(INDEX(Parameters!$J$17:$N$17,1,S88+1)-INDEX(Parameters!$J$17:$N$17,1,S88))*V88,INDEX(Parameters!$D$17:$H$17,1,S88)+(INDEX(Parameters!$D$17:$H$17,1,S88+1)-INDEX(Parameters!$D$17:$H$17,1,S88))*V88)</f>
        <v>4350</v>
      </c>
      <c r="N88" s="8">
        <f>IF('LSR Sweep'!$C$4="Type-B",INDEX(Parameters!$J$18:$N$18,1,S88)+(INDEX(Parameters!$J$18:$N$18,1,S88+1)-INDEX(Parameters!$J$18:$N$18,1,S88))*V88,INDEX(Parameters!$D$18:$H$18,1,S88)+(INDEX(Parameters!$D$18:$H$18,1,S88+1)-INDEX(Parameters!$D$18:$H$18,1,S88))*V88)</f>
        <v>0.26</v>
      </c>
      <c r="O88" s="8">
        <f>IF('LSR Sweep'!$C$4="Type-B",INDEX(Parameters!$J$19:$N$19,1,S88)+(INDEX(Parameters!$J$19:$N$19,1,S88+1)-INDEX(Parameters!$J$19:$N$19,1,S88))*V88,INDEX(Parameters!$D$19:$H$19,1,S88)+(INDEX(Parameters!$D$19:$H$19,1,S88+1)-INDEX(Parameters!$D$19:$H$19,1,S88))*V88)</f>
        <v>0.83000000000000007</v>
      </c>
      <c r="P88" s="8">
        <f>M88*O88</f>
        <v>3610.5000000000005</v>
      </c>
      <c r="Q88" s="8">
        <f>MIN(4,MAX(1,INT((1+C88/Parameters!$D$23)*4)+1))</f>
        <v>4</v>
      </c>
      <c r="R88" s="8">
        <f>MIN(4,MAX(1,INT((1+D88/Parameters!$D$24)*4)+1))</f>
        <v>4</v>
      </c>
      <c r="S88" s="8">
        <f>MIN(4,MAX(1,INT((1+E88/Parameters!$D$25)*4)+1))</f>
        <v>4</v>
      </c>
      <c r="T88" s="8">
        <f>MAX(0,MIN(1,(1+C88/Parameters!$D$23)*4-(Q88-1)))</f>
        <v>0</v>
      </c>
      <c r="U88" s="8">
        <f>MAX(0,MIN(1,(1+D88/Parameters!$D$24)*4-(R88-1)))</f>
        <v>0</v>
      </c>
      <c r="V88" s="8">
        <f>MAX(0,MIN(1,(1+E88/Parameters!$D$25)*4-(S88-1)))</f>
        <v>0</v>
      </c>
    </row>
    <row r="89" spans="2:22" ht="22" customHeight="1">
      <c r="B89" s="8" t="str">
        <f>"R "&amp;E89</f>
        <v>R 0</v>
      </c>
      <c r="C89" s="8">
        <f>Parameters!H7</f>
        <v>0</v>
      </c>
      <c r="D89" s="8">
        <f>Parameters!H8</f>
        <v>0</v>
      </c>
      <c r="E89" s="8">
        <f>Parameters!H16</f>
        <v>0</v>
      </c>
      <c r="F89" s="8">
        <f>IF('LSR Sweep'!$C$4="Type-B",INDEX(Parameters!$J$10:$N$10,1,Q89)+(INDEX(Parameters!$J$10:$N$10,1,Q89+1)-INDEX(Parameters!$J$10:$N$10,1,Q89))*T89,INDEX(Parameters!$D$10:$H$10,1,Q89)+(INDEX(Parameters!$D$10:$H$10,1,Q89+1)-INDEX(Parameters!$D$10:$H$10,1,Q89))*T89)</f>
        <v>5450</v>
      </c>
      <c r="G89" s="8">
        <f>IF('LSR Sweep'!$C$4="Type-B",INDEX(Parameters!$J$11:$N$11,1,R89)+(INDEX(Parameters!$J$11:$N$11,1,R89+1)-INDEX(Parameters!$J$11:$N$11,1,R89))*U89,INDEX(Parameters!$D$11:$H$11,1,Q89)+(INDEX(Parameters!$D$11:$H$11,1,Q89+1)-INDEX(Parameters!$D$11:$H$11,1,Q89))*T89)</f>
        <v>0.08</v>
      </c>
      <c r="H89" s="8">
        <f>IF('LSR Sweep'!$C$4="Type-B",INDEX(Parameters!$J$12:$N$12,1,Q89)+(INDEX(Parameters!$J$12:$N$12,1,Q89+1)-INDEX(Parameters!$J$12:$N$12,1,Q89))*T89,INDEX(Parameters!$D$12:$H$12,1,Q89)+(INDEX(Parameters!$D$12:$H$12,1,Q89+1)-INDEX(Parameters!$D$12:$H$12,1,Q89))*T89)</f>
        <v>0.88</v>
      </c>
      <c r="I89" s="8">
        <f>F89*H89</f>
        <v>4796</v>
      </c>
      <c r="J89" s="8">
        <f>IF('LSR Sweep'!$C$4="Type-B",INDEX(Parameters!$J$13:$N$13,1,R89)+(INDEX(Parameters!$J$13:$N$13,1,R89+1)-INDEX(Parameters!$J$13:$N$13,1,R89))*U89,INDEX(Parameters!$D$13:$H$13,1,R89)+(INDEX(Parameters!$D$13:$H$13,1,R89+1)-INDEX(Parameters!$D$13:$H$13,1,R89))*U89)</f>
        <v>3250</v>
      </c>
      <c r="K89" s="8">
        <f>IF('LSR Sweep'!$C$4="Type-B",Parameters!$L$14,INDEX(Parameters!$D$14:$H$14,1,R89)+(INDEX(Parameters!$D$14:$H$14,1,R89+1)-INDEX(Parameters!$D$14:$H$14,1,R89))*U89)</f>
        <v>0.36</v>
      </c>
      <c r="L89" s="8">
        <f>I89+J89</f>
        <v>8046</v>
      </c>
      <c r="M89" s="8">
        <f>IF('LSR Sweep'!$C$4="Type-B",INDEX(Parameters!$J$17:$N$17,1,S89)+(INDEX(Parameters!$J$17:$N$17,1,S89+1)-INDEX(Parameters!$J$17:$N$17,1,S89))*V89,INDEX(Parameters!$D$17:$H$17,1,S89)+(INDEX(Parameters!$D$17:$H$17,1,S89+1)-INDEX(Parameters!$D$17:$H$17,1,S89))*V89)</f>
        <v>5100</v>
      </c>
      <c r="N89" s="8">
        <f>IF('LSR Sweep'!$C$4="Type-B",INDEX(Parameters!$J$18:$N$18,1,S89)+(INDEX(Parameters!$J$18:$N$18,1,S89+1)-INDEX(Parameters!$J$18:$N$18,1,S89))*V89,INDEX(Parameters!$D$18:$H$18,1,S89)+(INDEX(Parameters!$D$18:$H$18,1,S89+1)-INDEX(Parameters!$D$18:$H$18,1,S89))*V89)</f>
        <v>0.27</v>
      </c>
      <c r="O89" s="8">
        <f>IF('LSR Sweep'!$C$4="Type-B",INDEX(Parameters!$J$19:$N$19,1,S89)+(INDEX(Parameters!$J$19:$N$19,1,S89+1)-INDEX(Parameters!$J$19:$N$19,1,S89))*V89,INDEX(Parameters!$D$19:$H$19,1,S89)+(INDEX(Parameters!$D$19:$H$19,1,S89+1)-INDEX(Parameters!$D$19:$H$19,1,S89))*V89)</f>
        <v>0.8</v>
      </c>
      <c r="P89" s="8">
        <f>M89*O89</f>
        <v>4080</v>
      </c>
      <c r="Q89" s="8">
        <f>MIN(4,MAX(1,INT((1+C89/Parameters!$D$23)*4)+1))</f>
        <v>4</v>
      </c>
      <c r="R89" s="8">
        <f>MIN(4,MAX(1,INT((1+D89/Parameters!$D$24)*4)+1))</f>
        <v>4</v>
      </c>
      <c r="S89" s="8">
        <f>MIN(4,MAX(1,INT((1+E89/Parameters!$D$25)*4)+1))</f>
        <v>4</v>
      </c>
      <c r="T89" s="8">
        <f>MAX(0,MIN(1,(1+C89/Parameters!$D$23)*4-(Q89-1)))</f>
        <v>1</v>
      </c>
      <c r="U89" s="8">
        <f>MAX(0,MIN(1,(1+D89/Parameters!$D$24)*4-(R89-1)))</f>
        <v>1</v>
      </c>
      <c r="V89" s="8">
        <f>MAX(0,MIN(1,(1+E89/Parameters!$D$25)*4-(S89-1)))</f>
        <v>1</v>
      </c>
    </row>
    <row r="90" spans="2:22" ht="22" customHeight="1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2:22" ht="22" customHeight="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2:22" ht="22" customHeight="1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2:22" ht="22" customHeight="1">
      <c r="B93" s="11" t="s">
        <v>31</v>
      </c>
      <c r="C93" s="11" t="str">
        <f>B85</f>
        <v>R -40</v>
      </c>
      <c r="D93" s="11" t="str">
        <f>B86</f>
        <v>R -30</v>
      </c>
      <c r="E93" s="11" t="str">
        <f>B87</f>
        <v>R -20</v>
      </c>
      <c r="F93" s="11" t="str">
        <f>B88</f>
        <v>R -10</v>
      </c>
      <c r="G93" s="11" t="str">
        <f>B89</f>
        <v>R 0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2:22" ht="22" customHeight="1">
      <c r="B94" s="15">
        <v>0</v>
      </c>
      <c r="C94" s="15">
        <f t="shared" ref="C94:C114" si="10">$M$85*MIN($B94,$N$85)+$P$85*MAX(0,$B94-$N$85)</f>
        <v>0</v>
      </c>
      <c r="D94" s="15">
        <f t="shared" ref="D94:D114" si="11">$M$86*MIN($B94,$N$86)+$P$86*MAX(0,$B94-$N$86)</f>
        <v>0</v>
      </c>
      <c r="E94" s="15">
        <f t="shared" ref="E94:E114" si="12">$M$87*MIN($B94,$N$87)+$P$87*MAX(0,$B94-$N$87)</f>
        <v>0</v>
      </c>
      <c r="F94" s="15">
        <f t="shared" ref="F94:F114" si="13">$M$88*MIN($B94,$N$88)+$P$88*MAX(0,$B94-$N$88)</f>
        <v>0</v>
      </c>
      <c r="G94" s="15">
        <f t="shared" ref="G94:G114" si="14">$M$89*MIN($B94,$N$89)+$P$89*MAX(0,$B94-$N$89)</f>
        <v>0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2:22" ht="22" customHeight="1">
      <c r="B95" s="15">
        <v>0.05</v>
      </c>
      <c r="C95" s="15">
        <f t="shared" si="10"/>
        <v>105</v>
      </c>
      <c r="D95" s="15">
        <f t="shared" si="11"/>
        <v>142.5</v>
      </c>
      <c r="E95" s="15">
        <f t="shared" si="12"/>
        <v>180</v>
      </c>
      <c r="F95" s="15">
        <f t="shared" si="13"/>
        <v>217.5</v>
      </c>
      <c r="G95" s="15">
        <f t="shared" si="14"/>
        <v>255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2:22" ht="22" customHeight="1">
      <c r="B96" s="15">
        <v>0.1</v>
      </c>
      <c r="C96" s="15">
        <f t="shared" si="10"/>
        <v>210</v>
      </c>
      <c r="D96" s="15">
        <f t="shared" si="11"/>
        <v>285</v>
      </c>
      <c r="E96" s="15">
        <f t="shared" si="12"/>
        <v>360</v>
      </c>
      <c r="F96" s="15">
        <f t="shared" si="13"/>
        <v>435</v>
      </c>
      <c r="G96" s="15">
        <f t="shared" si="14"/>
        <v>510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2:22" ht="22" customHeight="1">
      <c r="B97" s="15">
        <v>0.15</v>
      </c>
      <c r="C97" s="15">
        <f t="shared" si="10"/>
        <v>315</v>
      </c>
      <c r="D97" s="15">
        <f t="shared" si="11"/>
        <v>427.5</v>
      </c>
      <c r="E97" s="15">
        <f t="shared" si="12"/>
        <v>540</v>
      </c>
      <c r="F97" s="15">
        <f t="shared" si="13"/>
        <v>652.5</v>
      </c>
      <c r="G97" s="15">
        <f t="shared" si="14"/>
        <v>765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2:22" ht="22" customHeight="1">
      <c r="B98" s="15">
        <v>0.2</v>
      </c>
      <c r="C98" s="15">
        <f t="shared" si="10"/>
        <v>420</v>
      </c>
      <c r="D98" s="15">
        <f t="shared" si="11"/>
        <v>570</v>
      </c>
      <c r="E98" s="15">
        <f t="shared" si="12"/>
        <v>720</v>
      </c>
      <c r="F98" s="15">
        <f t="shared" si="13"/>
        <v>870</v>
      </c>
      <c r="G98" s="15">
        <f t="shared" si="14"/>
        <v>1020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2:22" ht="22" customHeight="1">
      <c r="B99" s="15">
        <v>0.25</v>
      </c>
      <c r="C99" s="15">
        <f t="shared" si="10"/>
        <v>521.64</v>
      </c>
      <c r="D99" s="15">
        <f t="shared" si="11"/>
        <v>709.36500000000001</v>
      </c>
      <c r="E99" s="15">
        <f t="shared" si="12"/>
        <v>900</v>
      </c>
      <c r="F99" s="15">
        <f t="shared" si="13"/>
        <v>1087.5</v>
      </c>
      <c r="G99" s="15">
        <f t="shared" si="14"/>
        <v>1275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2:22" ht="22" customHeight="1">
      <c r="B100" s="15">
        <v>0.3</v>
      </c>
      <c r="C100" s="15">
        <f t="shared" si="10"/>
        <v>618.24</v>
      </c>
      <c r="D100" s="15">
        <f t="shared" si="11"/>
        <v>836.19</v>
      </c>
      <c r="E100" s="15">
        <f t="shared" si="12"/>
        <v>1054.8</v>
      </c>
      <c r="F100" s="15">
        <f t="shared" si="13"/>
        <v>1275.42</v>
      </c>
      <c r="G100" s="15">
        <f t="shared" si="14"/>
        <v>1499.3999999999999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2:22" ht="22" customHeight="1">
      <c r="B101" s="15">
        <v>0.35</v>
      </c>
      <c r="C101" s="15">
        <f t="shared" si="10"/>
        <v>714.83999999999992</v>
      </c>
      <c r="D101" s="15">
        <f t="shared" si="11"/>
        <v>963.01499999999999</v>
      </c>
      <c r="E101" s="15">
        <f t="shared" si="12"/>
        <v>1209.5999999999999</v>
      </c>
      <c r="F101" s="15">
        <f t="shared" si="13"/>
        <v>1455.9449999999999</v>
      </c>
      <c r="G101" s="15">
        <f t="shared" si="14"/>
        <v>1703.3999999999999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2:22" ht="22" customHeight="1">
      <c r="B102" s="15">
        <v>0.4</v>
      </c>
      <c r="C102" s="15">
        <f t="shared" si="10"/>
        <v>811.44</v>
      </c>
      <c r="D102" s="15">
        <f t="shared" si="11"/>
        <v>1089.8400000000001</v>
      </c>
      <c r="E102" s="15">
        <f t="shared" si="12"/>
        <v>1364.4</v>
      </c>
      <c r="F102" s="15">
        <f t="shared" si="13"/>
        <v>1636.47</v>
      </c>
      <c r="G102" s="15">
        <f t="shared" si="14"/>
        <v>1907.4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2:22" ht="22" customHeight="1">
      <c r="B103" s="15">
        <v>0.45</v>
      </c>
      <c r="C103" s="15">
        <f t="shared" si="10"/>
        <v>908.04</v>
      </c>
      <c r="D103" s="15">
        <f t="shared" si="11"/>
        <v>1216.665</v>
      </c>
      <c r="E103" s="15">
        <f t="shared" si="12"/>
        <v>1519.2</v>
      </c>
      <c r="F103" s="15">
        <f t="shared" si="13"/>
        <v>1816.9950000000001</v>
      </c>
      <c r="G103" s="15">
        <f t="shared" si="14"/>
        <v>2111.4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2:22" ht="22" customHeight="1">
      <c r="B104" s="15">
        <v>0.5</v>
      </c>
      <c r="C104" s="15">
        <f t="shared" si="10"/>
        <v>1004.64</v>
      </c>
      <c r="D104" s="15">
        <f t="shared" si="11"/>
        <v>1343.49</v>
      </c>
      <c r="E104" s="15">
        <f t="shared" si="12"/>
        <v>1674</v>
      </c>
      <c r="F104" s="15">
        <f t="shared" si="13"/>
        <v>1997.52</v>
      </c>
      <c r="G104" s="15">
        <f t="shared" si="14"/>
        <v>2315.4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2:22" ht="22" customHeight="1">
      <c r="B105" s="15">
        <v>0.55000000000000004</v>
      </c>
      <c r="C105" s="15">
        <f t="shared" si="10"/>
        <v>1101.2400000000002</v>
      </c>
      <c r="D105" s="15">
        <f t="shared" si="11"/>
        <v>1470.3150000000001</v>
      </c>
      <c r="E105" s="15">
        <f t="shared" si="12"/>
        <v>1828.8000000000002</v>
      </c>
      <c r="F105" s="15">
        <f t="shared" si="13"/>
        <v>2178.0450000000001</v>
      </c>
      <c r="G105" s="15">
        <f t="shared" si="14"/>
        <v>2519.4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2:22" ht="22" customHeight="1">
      <c r="B106" s="15">
        <v>0.6</v>
      </c>
      <c r="C106" s="15">
        <f t="shared" si="10"/>
        <v>1197.8400000000001</v>
      </c>
      <c r="D106" s="15">
        <f t="shared" si="11"/>
        <v>1597.1399999999999</v>
      </c>
      <c r="E106" s="15">
        <f t="shared" si="12"/>
        <v>1983.6</v>
      </c>
      <c r="F106" s="15">
        <f t="shared" si="13"/>
        <v>2358.5699999999997</v>
      </c>
      <c r="G106" s="15">
        <f t="shared" si="14"/>
        <v>2723.3999999999996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2:22" ht="22" customHeight="1">
      <c r="B107" s="15">
        <v>0.65</v>
      </c>
      <c r="C107" s="15">
        <f t="shared" si="10"/>
        <v>1294.44</v>
      </c>
      <c r="D107" s="15">
        <f t="shared" si="11"/>
        <v>1723.9650000000001</v>
      </c>
      <c r="E107" s="15">
        <f t="shared" si="12"/>
        <v>2138.4</v>
      </c>
      <c r="F107" s="15">
        <f t="shared" si="13"/>
        <v>2539.0950000000003</v>
      </c>
      <c r="G107" s="15">
        <f t="shared" si="14"/>
        <v>2927.4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2:22" ht="22" customHeight="1">
      <c r="B108" s="15">
        <v>0.7</v>
      </c>
      <c r="C108" s="15">
        <f t="shared" si="10"/>
        <v>1391.04</v>
      </c>
      <c r="D108" s="15">
        <f t="shared" si="11"/>
        <v>1850.79</v>
      </c>
      <c r="E108" s="15">
        <f t="shared" si="12"/>
        <v>2293.1999999999998</v>
      </c>
      <c r="F108" s="15">
        <f t="shared" si="13"/>
        <v>2719.62</v>
      </c>
      <c r="G108" s="15">
        <f t="shared" si="14"/>
        <v>3131.3999999999996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2:22" ht="22" customHeight="1">
      <c r="B109" s="15">
        <v>0.75</v>
      </c>
      <c r="C109" s="15">
        <f t="shared" si="10"/>
        <v>1487.6399999999999</v>
      </c>
      <c r="D109" s="15">
        <f t="shared" si="11"/>
        <v>1977.615</v>
      </c>
      <c r="E109" s="15">
        <f t="shared" si="12"/>
        <v>2448</v>
      </c>
      <c r="F109" s="15">
        <f t="shared" si="13"/>
        <v>2900.1450000000004</v>
      </c>
      <c r="G109" s="15">
        <f t="shared" si="14"/>
        <v>3335.3999999999996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2:22" ht="22" customHeight="1">
      <c r="B110" s="15">
        <v>0.8</v>
      </c>
      <c r="C110" s="15">
        <f t="shared" si="10"/>
        <v>1584.24</v>
      </c>
      <c r="D110" s="15">
        <f t="shared" si="11"/>
        <v>2104.44</v>
      </c>
      <c r="E110" s="15">
        <f t="shared" si="12"/>
        <v>2602.8000000000002</v>
      </c>
      <c r="F110" s="15">
        <f t="shared" si="13"/>
        <v>3080.67</v>
      </c>
      <c r="G110" s="15">
        <f t="shared" si="14"/>
        <v>3539.4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2:22" ht="22" customHeight="1">
      <c r="B111" s="15">
        <v>0.85</v>
      </c>
      <c r="C111" s="15">
        <f t="shared" si="10"/>
        <v>1680.84</v>
      </c>
      <c r="D111" s="15">
        <f t="shared" si="11"/>
        <v>2231.2649999999999</v>
      </c>
      <c r="E111" s="15">
        <f t="shared" si="12"/>
        <v>2757.6</v>
      </c>
      <c r="F111" s="15">
        <f t="shared" si="13"/>
        <v>3261.1950000000002</v>
      </c>
      <c r="G111" s="15">
        <f t="shared" si="14"/>
        <v>3743.3999999999996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2:22" ht="22" customHeight="1">
      <c r="B112" s="15">
        <v>0.9</v>
      </c>
      <c r="C112" s="15">
        <f t="shared" si="10"/>
        <v>1777.44</v>
      </c>
      <c r="D112" s="15">
        <f t="shared" si="11"/>
        <v>2358.09</v>
      </c>
      <c r="E112" s="15">
        <f t="shared" si="12"/>
        <v>2912.4</v>
      </c>
      <c r="F112" s="15">
        <f t="shared" si="13"/>
        <v>3441.7200000000003</v>
      </c>
      <c r="G112" s="15">
        <f t="shared" si="14"/>
        <v>3947.4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2:22" ht="22" customHeight="1">
      <c r="B113" s="15">
        <v>0.95</v>
      </c>
      <c r="C113" s="15">
        <f t="shared" si="10"/>
        <v>1874.04</v>
      </c>
      <c r="D113" s="15">
        <f t="shared" si="11"/>
        <v>2484.915</v>
      </c>
      <c r="E113" s="15">
        <f t="shared" si="12"/>
        <v>3067.2</v>
      </c>
      <c r="F113" s="15">
        <f t="shared" si="13"/>
        <v>3622.2450000000003</v>
      </c>
      <c r="G113" s="15">
        <f t="shared" si="14"/>
        <v>4151.3999999999996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2:22" ht="22" customHeight="1">
      <c r="B114" s="15">
        <v>1</v>
      </c>
      <c r="C114" s="15">
        <f t="shared" si="10"/>
        <v>1970.64</v>
      </c>
      <c r="D114" s="15">
        <f t="shared" si="11"/>
        <v>2611.7399999999998</v>
      </c>
      <c r="E114" s="15">
        <f t="shared" si="12"/>
        <v>3222</v>
      </c>
      <c r="F114" s="15">
        <f t="shared" si="13"/>
        <v>3802.7700000000004</v>
      </c>
      <c r="G114" s="15">
        <f t="shared" si="14"/>
        <v>4355.3999999999996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2:22" ht="22" customHeight="1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2:22" ht="22" customHeight="1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2:22" ht="22" customHeight="1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2:22" ht="22" customHeight="1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2:22" ht="22" customHeight="1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2:22" ht="22" customHeight="1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2:22" ht="22" customHeight="1">
      <c r="B121" s="29" t="s">
        <v>74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spans="2:22" ht="22" customHeight="1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2:22" ht="22" customHeight="1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2:22" ht="35" customHeight="1">
      <c r="B124" s="13" t="s">
        <v>40</v>
      </c>
      <c r="C124" s="13" t="s">
        <v>41</v>
      </c>
      <c r="D124" s="13" t="s">
        <v>42</v>
      </c>
      <c r="E124" s="13" t="s">
        <v>43</v>
      </c>
      <c r="F124" s="13" t="s">
        <v>15</v>
      </c>
      <c r="G124" s="13" t="s">
        <v>55</v>
      </c>
      <c r="H124" s="13" t="s">
        <v>44</v>
      </c>
      <c r="I124" s="13" t="s">
        <v>36</v>
      </c>
      <c r="J124" s="13" t="s">
        <v>45</v>
      </c>
      <c r="K124" s="13" t="s">
        <v>56</v>
      </c>
      <c r="L124" s="13" t="s">
        <v>46</v>
      </c>
      <c r="M124" s="13" t="s">
        <v>20</v>
      </c>
      <c r="N124" s="13" t="s">
        <v>21</v>
      </c>
      <c r="O124" s="13" t="s">
        <v>47</v>
      </c>
      <c r="P124" s="13" t="s">
        <v>39</v>
      </c>
      <c r="Q124" s="13" t="s">
        <v>48</v>
      </c>
      <c r="R124" s="13" t="s">
        <v>49</v>
      </c>
      <c r="S124" s="13" t="s">
        <v>50</v>
      </c>
      <c r="T124" s="13" t="s">
        <v>51</v>
      </c>
      <c r="U124" s="13" t="s">
        <v>52</v>
      </c>
      <c r="V124" s="13" t="s">
        <v>53</v>
      </c>
    </row>
    <row r="125" spans="2:22" ht="22" customHeight="1">
      <c r="B125" s="8" t="str">
        <f>"c "&amp;C125&amp;" / C "&amp;D125</f>
        <v>c -24 / C -20</v>
      </c>
      <c r="C125" s="8">
        <f>Parameters!D7</f>
        <v>-24</v>
      </c>
      <c r="D125" s="8">
        <f>Parameters!D8</f>
        <v>-20</v>
      </c>
      <c r="E125" s="8">
        <f>Parameters!D16</f>
        <v>-40</v>
      </c>
      <c r="F125" s="8">
        <f>IF('Full Sweep'!$C$4="Type-B",INDEX(Parameters!$J$10:$N$10,1,Q125)+(INDEX(Parameters!$J$10:$N$10,1,Q125+1)-INDEX(Parameters!$J$10:$N$10,1,Q125))*T125,INDEX(Parameters!$D$10:$H$10,1,Q125)+(INDEX(Parameters!$D$10:$H$10,1,Q125+1)-INDEX(Parameters!$D$10:$H$10,1,Q125))*T125)</f>
        <v>1850</v>
      </c>
      <c r="G125" s="8">
        <f>IF('Full Sweep'!$C$4="Type-B",INDEX(Parameters!$J$11:$N$11,1,R125)+(INDEX(Parameters!$J$11:$N$11,1,R125+1)-INDEX(Parameters!$J$11:$N$11,1,R125))*U125,INDEX(Parameters!$D$11:$H$11,1,Q125)+(INDEX(Parameters!$D$11:$H$11,1,Q125+1)-INDEX(Parameters!$D$11:$H$11,1,Q125))*T125)</f>
        <v>0.08</v>
      </c>
      <c r="H125" s="8">
        <f>IF('Full Sweep'!$C$4="Type-B",INDEX(Parameters!$J$12:$N$12,1,Q125)+(INDEX(Parameters!$J$12:$N$12,1,Q125+1)-INDEX(Parameters!$J$12:$N$12,1,Q125))*T125,INDEX(Parameters!$D$12:$H$12,1,Q125)+(INDEX(Parameters!$D$12:$H$12,1,Q125+1)-INDEX(Parameters!$D$12:$H$12,1,Q125))*T125)</f>
        <v>1</v>
      </c>
      <c r="I125" s="8">
        <f>F125*H125</f>
        <v>1850</v>
      </c>
      <c r="J125" s="8">
        <f>IF('Full Sweep'!$C$4="Type-B",INDEX(Parameters!$J$13:$N$13,1,R125)+(INDEX(Parameters!$J$13:$N$13,1,R125+1)-INDEX(Parameters!$J$13:$N$13,1,R125))*U125,INDEX(Parameters!$D$13:$H$13,1,R125)+(INDEX(Parameters!$D$13:$H$13,1,R125+1)-INDEX(Parameters!$D$13:$H$13,1,R125))*U125)</f>
        <v>250</v>
      </c>
      <c r="K125" s="8">
        <f>IF('Full Sweep'!$C$4="Type-B",Parameters!$L$14,INDEX(Parameters!$D$14:$H$14,1,R125)+(INDEX(Parameters!$D$14:$H$14,1,R125+1)-INDEX(Parameters!$D$14:$H$14,1,R125))*U125)</f>
        <v>0.34</v>
      </c>
      <c r="L125" s="8">
        <f>I125+J125</f>
        <v>2100</v>
      </c>
      <c r="M125" s="8">
        <f>IF('Full Sweep'!$C$4="Type-B",INDEX(Parameters!$J$17:$N$17,1,S125)+(INDEX(Parameters!$J$17:$N$17,1,S125+1)-INDEX(Parameters!$J$17:$N$17,1,S125))*V125,INDEX(Parameters!$D$17:$H$17,1,S125)+(INDEX(Parameters!$D$17:$H$17,1,S125+1)-INDEX(Parameters!$D$17:$H$17,1,S125))*V125)</f>
        <v>2100</v>
      </c>
      <c r="N125" s="8">
        <f>IF('Full Sweep'!$C$4="Type-B",INDEX(Parameters!$J$18:$N$18,1,S125)+(INDEX(Parameters!$J$18:$N$18,1,S125+1)-INDEX(Parameters!$J$18:$N$18,1,S125))*V125,INDEX(Parameters!$D$18:$H$18,1,S125)+(INDEX(Parameters!$D$18:$H$18,1,S125+1)-INDEX(Parameters!$D$18:$H$18,1,S125))*V125)</f>
        <v>0.23</v>
      </c>
      <c r="O125" s="8">
        <f>IF('Full Sweep'!$C$4="Type-B",INDEX(Parameters!$J$19:$N$19,1,S125)+(INDEX(Parameters!$J$19:$N$19,1,S125+1)-INDEX(Parameters!$J$19:$N$19,1,S125))*V125,INDEX(Parameters!$D$19:$H$19,1,S125)+(INDEX(Parameters!$D$19:$H$19,1,S125+1)-INDEX(Parameters!$D$19:$H$19,1,S125))*V125)</f>
        <v>0.92</v>
      </c>
      <c r="P125" s="8">
        <f>M125*O125</f>
        <v>1932</v>
      </c>
      <c r="Q125" s="8">
        <f>MIN(4,MAX(1,INT((1+C125/Parameters!$D$23)*4)+1))</f>
        <v>1</v>
      </c>
      <c r="R125" s="8">
        <f>MIN(4,MAX(1,INT((1+D125/Parameters!$D$24)*4)+1))</f>
        <v>1</v>
      </c>
      <c r="S125" s="8">
        <f>MIN(4,MAX(1,INT((1+E125/Parameters!$D$25)*4)+1))</f>
        <v>1</v>
      </c>
      <c r="T125" s="8">
        <f>MAX(0,MIN(1,(1+C125/Parameters!$D$23)*4-(Q125-1)))</f>
        <v>0</v>
      </c>
      <c r="U125" s="8">
        <f>MAX(0,MIN(1,(1+D125/Parameters!$D$24)*4-(R125-1)))</f>
        <v>0</v>
      </c>
      <c r="V125" s="8">
        <f>MAX(0,MIN(1,(1+E125/Parameters!$D$25)*4-(S125-1)))</f>
        <v>0</v>
      </c>
    </row>
    <row r="126" spans="2:22" ht="22" customHeight="1">
      <c r="B126" s="8" t="str">
        <f>"c "&amp;C126&amp;" / C "&amp;D126</f>
        <v>c -18 / C -15</v>
      </c>
      <c r="C126" s="8">
        <f>Parameters!E7</f>
        <v>-18</v>
      </c>
      <c r="D126" s="8">
        <f>Parameters!E8</f>
        <v>-15</v>
      </c>
      <c r="E126" s="8">
        <f>Parameters!E16</f>
        <v>-30</v>
      </c>
      <c r="F126" s="8">
        <f>IF('Full Sweep'!$C$4="Type-B",INDEX(Parameters!$J$10:$N$10,1,Q126)+(INDEX(Parameters!$J$10:$N$10,1,Q126+1)-INDEX(Parameters!$J$10:$N$10,1,Q126))*T126,INDEX(Parameters!$D$10:$H$10,1,Q126)+(INDEX(Parameters!$D$10:$H$10,1,Q126+1)-INDEX(Parameters!$D$10:$H$10,1,Q126))*T126)</f>
        <v>2750</v>
      </c>
      <c r="G126" s="8">
        <f>IF('Full Sweep'!$C$4="Type-B",INDEX(Parameters!$J$11:$N$11,1,R126)+(INDEX(Parameters!$J$11:$N$11,1,R126+1)-INDEX(Parameters!$J$11:$N$11,1,R126))*U126,INDEX(Parameters!$D$11:$H$11,1,Q126)+(INDEX(Parameters!$D$11:$H$11,1,Q126+1)-INDEX(Parameters!$D$11:$H$11,1,Q126))*T126)</f>
        <v>0.08</v>
      </c>
      <c r="H126" s="8">
        <f>IF('Full Sweep'!$C$4="Type-B",INDEX(Parameters!$J$12:$N$12,1,Q126)+(INDEX(Parameters!$J$12:$N$12,1,Q126+1)-INDEX(Parameters!$J$12:$N$12,1,Q126))*T126,INDEX(Parameters!$D$12:$H$12,1,Q126)+(INDEX(Parameters!$D$12:$H$12,1,Q126+1)-INDEX(Parameters!$D$12:$H$12,1,Q126))*T126)</f>
        <v>0.97</v>
      </c>
      <c r="I126" s="8">
        <f>F126*H126</f>
        <v>2667.5</v>
      </c>
      <c r="J126" s="8">
        <f>IF('Full Sweep'!$C$4="Type-B",INDEX(Parameters!$J$13:$N$13,1,R126)+(INDEX(Parameters!$J$13:$N$13,1,R126+1)-INDEX(Parameters!$J$13:$N$13,1,R126))*U126,INDEX(Parameters!$D$13:$H$13,1,R126)+(INDEX(Parameters!$D$13:$H$13,1,R126+1)-INDEX(Parameters!$D$13:$H$13,1,R126))*U126)</f>
        <v>1000</v>
      </c>
      <c r="K126" s="8">
        <f>IF('Full Sweep'!$C$4="Type-B",Parameters!$L$14,INDEX(Parameters!$D$14:$H$14,1,R126)+(INDEX(Parameters!$D$14:$H$14,1,R126+1)-INDEX(Parameters!$D$14:$H$14,1,R126))*U126)</f>
        <v>0.34499999999999997</v>
      </c>
      <c r="L126" s="8">
        <f>I126+J126</f>
        <v>3667.5</v>
      </c>
      <c r="M126" s="8">
        <f>IF('Full Sweep'!$C$4="Type-B",INDEX(Parameters!$J$17:$N$17,1,S126)+(INDEX(Parameters!$J$17:$N$17,1,S126+1)-INDEX(Parameters!$J$17:$N$17,1,S126))*V126,INDEX(Parameters!$D$17:$H$17,1,S126)+(INDEX(Parameters!$D$17:$H$17,1,S126+1)-INDEX(Parameters!$D$17:$H$17,1,S126))*V126)</f>
        <v>2850</v>
      </c>
      <c r="N126" s="8">
        <f>IF('Full Sweep'!$C$4="Type-B",INDEX(Parameters!$J$18:$N$18,1,S126)+(INDEX(Parameters!$J$18:$N$18,1,S126+1)-INDEX(Parameters!$J$18:$N$18,1,S126))*V126,INDEX(Parameters!$D$18:$H$18,1,S126)+(INDEX(Parameters!$D$18:$H$18,1,S126+1)-INDEX(Parameters!$D$18:$H$18,1,S126))*V126)</f>
        <v>0.24</v>
      </c>
      <c r="O126" s="8">
        <f>IF('Full Sweep'!$C$4="Type-B",INDEX(Parameters!$J$19:$N$19,1,S126)+(INDEX(Parameters!$J$19:$N$19,1,S126+1)-INDEX(Parameters!$J$19:$N$19,1,S126))*V126,INDEX(Parameters!$D$19:$H$19,1,S126)+(INDEX(Parameters!$D$19:$H$19,1,S126+1)-INDEX(Parameters!$D$19:$H$19,1,S126))*V126)</f>
        <v>0.89</v>
      </c>
      <c r="P126" s="8">
        <f>M126*O126</f>
        <v>2536.5</v>
      </c>
      <c r="Q126" s="8">
        <f>MIN(4,MAX(1,INT((1+C126/Parameters!$D$23)*4)+1))</f>
        <v>2</v>
      </c>
      <c r="R126" s="8">
        <f>MIN(4,MAX(1,INT((1+D126/Parameters!$D$24)*4)+1))</f>
        <v>2</v>
      </c>
      <c r="S126" s="8">
        <f>MIN(4,MAX(1,INT((1+E126/Parameters!$D$25)*4)+1))</f>
        <v>2</v>
      </c>
      <c r="T126" s="8">
        <f>MAX(0,MIN(1,(1+C126/Parameters!$D$23)*4-(Q126-1)))</f>
        <v>0</v>
      </c>
      <c r="U126" s="8">
        <f>MAX(0,MIN(1,(1+D126/Parameters!$D$24)*4-(R126-1)))</f>
        <v>0</v>
      </c>
      <c r="V126" s="8">
        <f>MAX(0,MIN(1,(1+E126/Parameters!$D$25)*4-(S126-1)))</f>
        <v>0</v>
      </c>
    </row>
    <row r="127" spans="2:22" ht="22" customHeight="1">
      <c r="B127" s="8" t="str">
        <f>"c "&amp;C127&amp;" / C "&amp;D127</f>
        <v>c -12 / C -10</v>
      </c>
      <c r="C127" s="8">
        <f>Parameters!F7</f>
        <v>-12</v>
      </c>
      <c r="D127" s="8">
        <f>Parameters!F8</f>
        <v>-10</v>
      </c>
      <c r="E127" s="8">
        <f>Parameters!F16</f>
        <v>-20</v>
      </c>
      <c r="F127" s="8">
        <f>IF('Full Sweep'!$C$4="Type-B",INDEX(Parameters!$J$10:$N$10,1,Q127)+(INDEX(Parameters!$J$10:$N$10,1,Q127+1)-INDEX(Parameters!$J$10:$N$10,1,Q127))*T127,INDEX(Parameters!$D$10:$H$10,1,Q127)+(INDEX(Parameters!$D$10:$H$10,1,Q127+1)-INDEX(Parameters!$D$10:$H$10,1,Q127))*T127)</f>
        <v>3650</v>
      </c>
      <c r="G127" s="8">
        <f>IF('Full Sweep'!$C$4="Type-B",INDEX(Parameters!$J$11:$N$11,1,R127)+(INDEX(Parameters!$J$11:$N$11,1,R127+1)-INDEX(Parameters!$J$11:$N$11,1,R127))*U127,INDEX(Parameters!$D$11:$H$11,1,Q127)+(INDEX(Parameters!$D$11:$H$11,1,Q127+1)-INDEX(Parameters!$D$11:$H$11,1,Q127))*T127)</f>
        <v>0.08</v>
      </c>
      <c r="H127" s="8">
        <f>IF('Full Sweep'!$C$4="Type-B",INDEX(Parameters!$J$12:$N$12,1,Q127)+(INDEX(Parameters!$J$12:$N$12,1,Q127+1)-INDEX(Parameters!$J$12:$N$12,1,Q127))*T127,INDEX(Parameters!$D$12:$H$12,1,Q127)+(INDEX(Parameters!$D$12:$H$12,1,Q127+1)-INDEX(Parameters!$D$12:$H$12,1,Q127))*T127)</f>
        <v>0.94</v>
      </c>
      <c r="I127" s="8">
        <f>F127*H127</f>
        <v>3431</v>
      </c>
      <c r="J127" s="8">
        <f>IF('Full Sweep'!$C$4="Type-B",INDEX(Parameters!$J$13:$N$13,1,R127)+(INDEX(Parameters!$J$13:$N$13,1,R127+1)-INDEX(Parameters!$J$13:$N$13,1,R127))*U127,INDEX(Parameters!$D$13:$H$13,1,R127)+(INDEX(Parameters!$D$13:$H$13,1,R127+1)-INDEX(Parameters!$D$13:$H$13,1,R127))*U127)</f>
        <v>1750</v>
      </c>
      <c r="K127" s="8">
        <f>IF('Full Sweep'!$C$4="Type-B",Parameters!$L$14,INDEX(Parameters!$D$14:$H$14,1,R127)+(INDEX(Parameters!$D$14:$H$14,1,R127+1)-INDEX(Parameters!$D$14:$H$14,1,R127))*U127)</f>
        <v>0.35</v>
      </c>
      <c r="L127" s="8">
        <f>I127+J127</f>
        <v>5181</v>
      </c>
      <c r="M127" s="8">
        <f>IF('Full Sweep'!$C$4="Type-B",INDEX(Parameters!$J$17:$N$17,1,S127)+(INDEX(Parameters!$J$17:$N$17,1,S127+1)-INDEX(Parameters!$J$17:$N$17,1,S127))*V127,INDEX(Parameters!$D$17:$H$17,1,S127)+(INDEX(Parameters!$D$17:$H$17,1,S127+1)-INDEX(Parameters!$D$17:$H$17,1,S127))*V127)</f>
        <v>3600</v>
      </c>
      <c r="N127" s="8">
        <f>IF('Full Sweep'!$C$4="Type-B",INDEX(Parameters!$J$18:$N$18,1,S127)+(INDEX(Parameters!$J$18:$N$18,1,S127+1)-INDEX(Parameters!$J$18:$N$18,1,S127))*V127,INDEX(Parameters!$D$18:$H$18,1,S127)+(INDEX(Parameters!$D$18:$H$18,1,S127+1)-INDEX(Parameters!$D$18:$H$18,1,S127))*V127)</f>
        <v>0.25</v>
      </c>
      <c r="O127" s="8">
        <f>IF('Full Sweep'!$C$4="Type-B",INDEX(Parameters!$J$19:$N$19,1,S127)+(INDEX(Parameters!$J$19:$N$19,1,S127+1)-INDEX(Parameters!$J$19:$N$19,1,S127))*V127,INDEX(Parameters!$D$19:$H$19,1,S127)+(INDEX(Parameters!$D$19:$H$19,1,S127+1)-INDEX(Parameters!$D$19:$H$19,1,S127))*V127)</f>
        <v>0.86</v>
      </c>
      <c r="P127" s="8">
        <f>M127*O127</f>
        <v>3096</v>
      </c>
      <c r="Q127" s="8">
        <f>MIN(4,MAX(1,INT((1+C127/Parameters!$D$23)*4)+1))</f>
        <v>3</v>
      </c>
      <c r="R127" s="8">
        <f>MIN(4,MAX(1,INT((1+D127/Parameters!$D$24)*4)+1))</f>
        <v>3</v>
      </c>
      <c r="S127" s="8">
        <f>MIN(4,MAX(1,INT((1+E127/Parameters!$D$25)*4)+1))</f>
        <v>3</v>
      </c>
      <c r="T127" s="8">
        <f>MAX(0,MIN(1,(1+C127/Parameters!$D$23)*4-(Q127-1)))</f>
        <v>0</v>
      </c>
      <c r="U127" s="8">
        <f>MAX(0,MIN(1,(1+D127/Parameters!$D$24)*4-(R127-1)))</f>
        <v>0</v>
      </c>
      <c r="V127" s="8">
        <f>MAX(0,MIN(1,(1+E127/Parameters!$D$25)*4-(S127-1)))</f>
        <v>0</v>
      </c>
    </row>
    <row r="128" spans="2:22" ht="22" customHeight="1">
      <c r="B128" s="8" t="str">
        <f>"c "&amp;C128&amp;" / C "&amp;D128</f>
        <v>c -6 / C -5</v>
      </c>
      <c r="C128" s="8">
        <f>Parameters!G7</f>
        <v>-6</v>
      </c>
      <c r="D128" s="8">
        <f>Parameters!G8</f>
        <v>-5</v>
      </c>
      <c r="E128" s="8">
        <f>Parameters!G16</f>
        <v>-10</v>
      </c>
      <c r="F128" s="8">
        <f>IF('Full Sweep'!$C$4="Type-B",INDEX(Parameters!$J$10:$N$10,1,Q128)+(INDEX(Parameters!$J$10:$N$10,1,Q128+1)-INDEX(Parameters!$J$10:$N$10,1,Q128))*T128,INDEX(Parameters!$D$10:$H$10,1,Q128)+(INDEX(Parameters!$D$10:$H$10,1,Q128+1)-INDEX(Parameters!$D$10:$H$10,1,Q128))*T128)</f>
        <v>4550</v>
      </c>
      <c r="G128" s="8">
        <f>IF('Full Sweep'!$C$4="Type-B",INDEX(Parameters!$J$11:$N$11,1,R128)+(INDEX(Parameters!$J$11:$N$11,1,R128+1)-INDEX(Parameters!$J$11:$N$11,1,R128))*U128,INDEX(Parameters!$D$11:$H$11,1,Q128)+(INDEX(Parameters!$D$11:$H$11,1,Q128+1)-INDEX(Parameters!$D$11:$H$11,1,Q128))*T128)</f>
        <v>0.08</v>
      </c>
      <c r="H128" s="8">
        <f>IF('Full Sweep'!$C$4="Type-B",INDEX(Parameters!$J$12:$N$12,1,Q128)+(INDEX(Parameters!$J$12:$N$12,1,Q128+1)-INDEX(Parameters!$J$12:$N$12,1,Q128))*T128,INDEX(Parameters!$D$12:$H$12,1,Q128)+(INDEX(Parameters!$D$12:$H$12,1,Q128+1)-INDEX(Parameters!$D$12:$H$12,1,Q128))*T128)</f>
        <v>0.90999999999999992</v>
      </c>
      <c r="I128" s="8">
        <f>F128*H128</f>
        <v>4140.5</v>
      </c>
      <c r="J128" s="8">
        <f>IF('Full Sweep'!$C$4="Type-B",INDEX(Parameters!$J$13:$N$13,1,R128)+(INDEX(Parameters!$J$13:$N$13,1,R128+1)-INDEX(Parameters!$J$13:$N$13,1,R128))*U128,INDEX(Parameters!$D$13:$H$13,1,R128)+(INDEX(Parameters!$D$13:$H$13,1,R128+1)-INDEX(Parameters!$D$13:$H$13,1,R128))*U128)</f>
        <v>2500</v>
      </c>
      <c r="K128" s="8">
        <f>IF('Full Sweep'!$C$4="Type-B",Parameters!$L$14,INDEX(Parameters!$D$14:$H$14,1,R128)+(INDEX(Parameters!$D$14:$H$14,1,R128+1)-INDEX(Parameters!$D$14:$H$14,1,R128))*U128)</f>
        <v>0.35499999999999998</v>
      </c>
      <c r="L128" s="8">
        <f>I128+J128</f>
        <v>6640.5</v>
      </c>
      <c r="M128" s="8">
        <f>IF('Full Sweep'!$C$4="Type-B",INDEX(Parameters!$J$17:$N$17,1,S128)+(INDEX(Parameters!$J$17:$N$17,1,S128+1)-INDEX(Parameters!$J$17:$N$17,1,S128))*V128,INDEX(Parameters!$D$17:$H$17,1,S128)+(INDEX(Parameters!$D$17:$H$17,1,S128+1)-INDEX(Parameters!$D$17:$H$17,1,S128))*V128)</f>
        <v>4350</v>
      </c>
      <c r="N128" s="8">
        <f>IF('Full Sweep'!$C$4="Type-B",INDEX(Parameters!$J$18:$N$18,1,S128)+(INDEX(Parameters!$J$18:$N$18,1,S128+1)-INDEX(Parameters!$J$18:$N$18,1,S128))*V128,INDEX(Parameters!$D$18:$H$18,1,S128)+(INDEX(Parameters!$D$18:$H$18,1,S128+1)-INDEX(Parameters!$D$18:$H$18,1,S128))*V128)</f>
        <v>0.26</v>
      </c>
      <c r="O128" s="8">
        <f>IF('Full Sweep'!$C$4="Type-B",INDEX(Parameters!$J$19:$N$19,1,S128)+(INDEX(Parameters!$J$19:$N$19,1,S128+1)-INDEX(Parameters!$J$19:$N$19,1,S128))*V128,INDEX(Parameters!$D$19:$H$19,1,S128)+(INDEX(Parameters!$D$19:$H$19,1,S128+1)-INDEX(Parameters!$D$19:$H$19,1,S128))*V128)</f>
        <v>0.83000000000000007</v>
      </c>
      <c r="P128" s="8">
        <f>M128*O128</f>
        <v>3610.5000000000005</v>
      </c>
      <c r="Q128" s="8">
        <f>MIN(4,MAX(1,INT((1+C128/Parameters!$D$23)*4)+1))</f>
        <v>4</v>
      </c>
      <c r="R128" s="8">
        <f>MIN(4,MAX(1,INT((1+D128/Parameters!$D$24)*4)+1))</f>
        <v>4</v>
      </c>
      <c r="S128" s="8">
        <f>MIN(4,MAX(1,INT((1+E128/Parameters!$D$25)*4)+1))</f>
        <v>4</v>
      </c>
      <c r="T128" s="8">
        <f>MAX(0,MIN(1,(1+C128/Parameters!$D$23)*4-(Q128-1)))</f>
        <v>0</v>
      </c>
      <c r="U128" s="8">
        <f>MAX(0,MIN(1,(1+D128/Parameters!$D$24)*4-(R128-1)))</f>
        <v>0</v>
      </c>
      <c r="V128" s="8">
        <f>MAX(0,MIN(1,(1+E128/Parameters!$D$25)*4-(S128-1)))</f>
        <v>0</v>
      </c>
    </row>
    <row r="129" spans="2:22" ht="22" customHeight="1">
      <c r="B129" s="8" t="str">
        <f>"c "&amp;C129&amp;" / C "&amp;D129</f>
        <v>c 0 / C 0</v>
      </c>
      <c r="C129" s="8">
        <f>Parameters!H7</f>
        <v>0</v>
      </c>
      <c r="D129" s="8">
        <f>Parameters!H8</f>
        <v>0</v>
      </c>
      <c r="E129" s="8">
        <f>Parameters!H16</f>
        <v>0</v>
      </c>
      <c r="F129" s="8">
        <f>IF('Full Sweep'!$C$4="Type-B",INDEX(Parameters!$J$10:$N$10,1,Q129)+(INDEX(Parameters!$J$10:$N$10,1,Q129+1)-INDEX(Parameters!$J$10:$N$10,1,Q129))*T129,INDEX(Parameters!$D$10:$H$10,1,Q129)+(INDEX(Parameters!$D$10:$H$10,1,Q129+1)-INDEX(Parameters!$D$10:$H$10,1,Q129))*T129)</f>
        <v>5450</v>
      </c>
      <c r="G129" s="8">
        <f>IF('Full Sweep'!$C$4="Type-B",INDEX(Parameters!$J$11:$N$11,1,R129)+(INDEX(Parameters!$J$11:$N$11,1,R129+1)-INDEX(Parameters!$J$11:$N$11,1,R129))*U129,INDEX(Parameters!$D$11:$H$11,1,Q129)+(INDEX(Parameters!$D$11:$H$11,1,Q129+1)-INDEX(Parameters!$D$11:$H$11,1,Q129))*T129)</f>
        <v>0.08</v>
      </c>
      <c r="H129" s="8">
        <f>IF('Full Sweep'!$C$4="Type-B",INDEX(Parameters!$J$12:$N$12,1,Q129)+(INDEX(Parameters!$J$12:$N$12,1,Q129+1)-INDEX(Parameters!$J$12:$N$12,1,Q129))*T129,INDEX(Parameters!$D$12:$H$12,1,Q129)+(INDEX(Parameters!$D$12:$H$12,1,Q129+1)-INDEX(Parameters!$D$12:$H$12,1,Q129))*T129)</f>
        <v>0.88</v>
      </c>
      <c r="I129" s="8">
        <f>F129*H129</f>
        <v>4796</v>
      </c>
      <c r="J129" s="8">
        <f>IF('Full Sweep'!$C$4="Type-B",INDEX(Parameters!$J$13:$N$13,1,R129)+(INDEX(Parameters!$J$13:$N$13,1,R129+1)-INDEX(Parameters!$J$13:$N$13,1,R129))*U129,INDEX(Parameters!$D$13:$H$13,1,R129)+(INDEX(Parameters!$D$13:$H$13,1,R129+1)-INDEX(Parameters!$D$13:$H$13,1,R129))*U129)</f>
        <v>3250</v>
      </c>
      <c r="K129" s="8">
        <f>IF('Full Sweep'!$C$4="Type-B",Parameters!$L$14,INDEX(Parameters!$D$14:$H$14,1,R129)+(INDEX(Parameters!$D$14:$H$14,1,R129+1)-INDEX(Parameters!$D$14:$H$14,1,R129))*U129)</f>
        <v>0.36</v>
      </c>
      <c r="L129" s="8">
        <f>I129+J129</f>
        <v>8046</v>
      </c>
      <c r="M129" s="8">
        <f>IF('Full Sweep'!$C$4="Type-B",INDEX(Parameters!$J$17:$N$17,1,S129)+(INDEX(Parameters!$J$17:$N$17,1,S129+1)-INDEX(Parameters!$J$17:$N$17,1,S129))*V129,INDEX(Parameters!$D$17:$H$17,1,S129)+(INDEX(Parameters!$D$17:$H$17,1,S129+1)-INDEX(Parameters!$D$17:$H$17,1,S129))*V129)</f>
        <v>5100</v>
      </c>
      <c r="N129" s="8">
        <f>IF('Full Sweep'!$C$4="Type-B",INDEX(Parameters!$J$18:$N$18,1,S129)+(INDEX(Parameters!$J$18:$N$18,1,S129+1)-INDEX(Parameters!$J$18:$N$18,1,S129))*V129,INDEX(Parameters!$D$18:$H$18,1,S129)+(INDEX(Parameters!$D$18:$H$18,1,S129+1)-INDEX(Parameters!$D$18:$H$18,1,S129))*V129)</f>
        <v>0.27</v>
      </c>
      <c r="O129" s="8">
        <f>IF('Full Sweep'!$C$4="Type-B",INDEX(Parameters!$J$19:$N$19,1,S129)+(INDEX(Parameters!$J$19:$N$19,1,S129+1)-INDEX(Parameters!$J$19:$N$19,1,S129))*V129,INDEX(Parameters!$D$19:$H$19,1,S129)+(INDEX(Parameters!$D$19:$H$19,1,S129+1)-INDEX(Parameters!$D$19:$H$19,1,S129))*V129)</f>
        <v>0.8</v>
      </c>
      <c r="P129" s="8">
        <f>M129*O129</f>
        <v>4080</v>
      </c>
      <c r="Q129" s="8">
        <f>MIN(4,MAX(1,INT((1+C129/Parameters!$D$23)*4)+1))</f>
        <v>4</v>
      </c>
      <c r="R129" s="8">
        <f>MIN(4,MAX(1,INT((1+D129/Parameters!$D$24)*4)+1))</f>
        <v>4</v>
      </c>
      <c r="S129" s="8">
        <f>MIN(4,MAX(1,INT((1+E129/Parameters!$D$25)*4)+1))</f>
        <v>4</v>
      </c>
      <c r="T129" s="8">
        <f>MAX(0,MIN(1,(1+C129/Parameters!$D$23)*4-(Q129-1)))</f>
        <v>1</v>
      </c>
      <c r="U129" s="8">
        <f>MAX(0,MIN(1,(1+D129/Parameters!$D$24)*4-(R129-1)))</f>
        <v>1</v>
      </c>
      <c r="V129" s="8">
        <f>MAX(0,MIN(1,(1+E129/Parameters!$D$25)*4-(S129-1)))</f>
        <v>1</v>
      </c>
    </row>
    <row r="130" spans="2:22" ht="22" customHeight="1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2:22" ht="22" customHeight="1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spans="2:22" ht="22" customHeight="1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2:22" ht="22" customHeight="1">
      <c r="B133" s="11" t="s">
        <v>31</v>
      </c>
      <c r="C133" s="11" t="str">
        <f>B125</f>
        <v>c -24 / C -20</v>
      </c>
      <c r="D133" s="11" t="str">
        <f>B126</f>
        <v>c -18 / C -15</v>
      </c>
      <c r="E133" s="11" t="str">
        <f>B127</f>
        <v>c -12 / C -10</v>
      </c>
      <c r="F133" s="11" t="str">
        <f>B128</f>
        <v>c -6 / C -5</v>
      </c>
      <c r="G133" s="11" t="str">
        <f>B129</f>
        <v>c 0 / C 0</v>
      </c>
      <c r="H133" s="11" t="str">
        <f>"R "&amp;E125</f>
        <v>R -40</v>
      </c>
      <c r="I133" s="11" t="str">
        <f>"R "&amp;E126</f>
        <v>R -30</v>
      </c>
      <c r="J133" s="11" t="str">
        <f>"R "&amp;E127</f>
        <v>R -20</v>
      </c>
      <c r="K133" s="11" t="str">
        <f>"R "&amp;E128</f>
        <v>R -10</v>
      </c>
      <c r="L133" s="11" t="str">
        <f>"R "&amp;E129</f>
        <v>R 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2:22" ht="22" customHeight="1">
      <c r="B134" s="15">
        <v>0</v>
      </c>
      <c r="C134" s="15">
        <f t="shared" ref="C134:C154" si="15">$F$125*MIN($B134,$G$125)+$I$125*MAX(0,$B134-$G$125)+$J$125*MAX(0,$B134-$K$125)</f>
        <v>0</v>
      </c>
      <c r="D134" s="15">
        <f t="shared" ref="D134:D154" si="16">$F$126*MIN($B134,$G$126)+$I$126*MAX(0,$B134-$G$126)+$J$126*MAX(0,$B134-$K$126)</f>
        <v>0</v>
      </c>
      <c r="E134" s="15">
        <f t="shared" ref="E134:E154" si="17">$F$127*MIN($B134,$G$127)+$I$127*MAX(0,$B134-$G$127)+$J$127*MAX(0,$B134-$K$127)</f>
        <v>0</v>
      </c>
      <c r="F134" s="15">
        <f t="shared" ref="F134:F154" si="18">$F$128*MIN($B134,$G$128)+$I$128*MAX(0,$B134-$G$128)+$J$128*MAX(0,$B134-$K$128)</f>
        <v>0</v>
      </c>
      <c r="G134" s="15">
        <f t="shared" ref="G134:G154" si="19">$F$129*MIN($B134,$G$129)+$I$129*MAX(0,$B134-$G$129)+$J$129*MAX(0,$B134-$K$129)</f>
        <v>0</v>
      </c>
      <c r="H134" s="15">
        <f t="shared" ref="H134:H154" si="20">-($M$125*MIN($B134,$N$125)+$P$125*MAX(0,$B134-$N$125))</f>
        <v>0</v>
      </c>
      <c r="I134" s="15">
        <f t="shared" ref="I134:I154" si="21">-($M$126*MIN($B134,$N$126)+$P$126*MAX(0,$B134-$N$126))</f>
        <v>0</v>
      </c>
      <c r="J134" s="15">
        <f t="shared" ref="J134:J154" si="22">-($M$127*MIN($B134,$N$127)+$P$127*MAX(0,$B134-$N$127))</f>
        <v>0</v>
      </c>
      <c r="K134" s="15">
        <f t="shared" ref="K134:K154" si="23">-($M$128*MIN($B134,$N$128)+$P$128*MAX(0,$B134-$N$128))</f>
        <v>0</v>
      </c>
      <c r="L134" s="15">
        <f t="shared" ref="L134:L154" si="24">-($M$129*MIN($B134,$N$129)+$P$129*MAX(0,$B134-$N$129))</f>
        <v>0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2:22" ht="22" customHeight="1">
      <c r="B135" s="15">
        <v>0.05</v>
      </c>
      <c r="C135" s="15">
        <f t="shared" si="15"/>
        <v>92.5</v>
      </c>
      <c r="D135" s="15">
        <f t="shared" si="16"/>
        <v>137.5</v>
      </c>
      <c r="E135" s="15">
        <f t="shared" si="17"/>
        <v>182.5</v>
      </c>
      <c r="F135" s="15">
        <f t="shared" si="18"/>
        <v>227.5</v>
      </c>
      <c r="G135" s="15">
        <f t="shared" si="19"/>
        <v>272.5</v>
      </c>
      <c r="H135" s="15">
        <f t="shared" si="20"/>
        <v>-105</v>
      </c>
      <c r="I135" s="15">
        <f t="shared" si="21"/>
        <v>-142.5</v>
      </c>
      <c r="J135" s="15">
        <f t="shared" si="22"/>
        <v>-180</v>
      </c>
      <c r="K135" s="15">
        <f t="shared" si="23"/>
        <v>-217.5</v>
      </c>
      <c r="L135" s="15">
        <f t="shared" si="24"/>
        <v>-255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2:22" ht="22" customHeight="1">
      <c r="B136" s="15">
        <v>0.1</v>
      </c>
      <c r="C136" s="15">
        <f t="shared" si="15"/>
        <v>185</v>
      </c>
      <c r="D136" s="15">
        <f t="shared" si="16"/>
        <v>273.35000000000002</v>
      </c>
      <c r="E136" s="15">
        <f t="shared" si="17"/>
        <v>360.62</v>
      </c>
      <c r="F136" s="15">
        <f t="shared" si="18"/>
        <v>446.81</v>
      </c>
      <c r="G136" s="15">
        <f t="shared" si="19"/>
        <v>531.92000000000007</v>
      </c>
      <c r="H136" s="15">
        <f t="shared" si="20"/>
        <v>-210</v>
      </c>
      <c r="I136" s="15">
        <f t="shared" si="21"/>
        <v>-285</v>
      </c>
      <c r="J136" s="15">
        <f t="shared" si="22"/>
        <v>-360</v>
      </c>
      <c r="K136" s="15">
        <f t="shared" si="23"/>
        <v>-435</v>
      </c>
      <c r="L136" s="15">
        <f t="shared" si="24"/>
        <v>-510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2:22" ht="22" customHeight="1">
      <c r="B137" s="15">
        <v>0.15</v>
      </c>
      <c r="C137" s="15">
        <f t="shared" si="15"/>
        <v>277.5</v>
      </c>
      <c r="D137" s="15">
        <f t="shared" si="16"/>
        <v>406.72500000000002</v>
      </c>
      <c r="E137" s="15">
        <f t="shared" si="17"/>
        <v>532.16999999999996</v>
      </c>
      <c r="F137" s="15">
        <f t="shared" si="18"/>
        <v>653.83500000000004</v>
      </c>
      <c r="G137" s="15">
        <f t="shared" si="19"/>
        <v>771.72</v>
      </c>
      <c r="H137" s="15">
        <f t="shared" si="20"/>
        <v>-315</v>
      </c>
      <c r="I137" s="15">
        <f t="shared" si="21"/>
        <v>-427.5</v>
      </c>
      <c r="J137" s="15">
        <f t="shared" si="22"/>
        <v>-540</v>
      </c>
      <c r="K137" s="15">
        <f t="shared" si="23"/>
        <v>-652.5</v>
      </c>
      <c r="L137" s="15">
        <f t="shared" si="24"/>
        <v>-765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2:22" ht="22" customHeight="1">
      <c r="B138" s="15">
        <v>0.2</v>
      </c>
      <c r="C138" s="15">
        <f t="shared" si="15"/>
        <v>370</v>
      </c>
      <c r="D138" s="15">
        <f t="shared" si="16"/>
        <v>540.1</v>
      </c>
      <c r="E138" s="15">
        <f t="shared" si="17"/>
        <v>703.72</v>
      </c>
      <c r="F138" s="15">
        <f t="shared" si="18"/>
        <v>860.86</v>
      </c>
      <c r="G138" s="15">
        <f t="shared" si="19"/>
        <v>1011.5200000000001</v>
      </c>
      <c r="H138" s="15">
        <f t="shared" si="20"/>
        <v>-420</v>
      </c>
      <c r="I138" s="15">
        <f t="shared" si="21"/>
        <v>-570</v>
      </c>
      <c r="J138" s="15">
        <f t="shared" si="22"/>
        <v>-720</v>
      </c>
      <c r="K138" s="15">
        <f t="shared" si="23"/>
        <v>-870</v>
      </c>
      <c r="L138" s="15">
        <f t="shared" si="24"/>
        <v>-1020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2:22" ht="22" customHeight="1">
      <c r="B139" s="15">
        <v>0.25</v>
      </c>
      <c r="C139" s="15">
        <f t="shared" si="15"/>
        <v>462.49999999999994</v>
      </c>
      <c r="D139" s="15">
        <f t="shared" si="16"/>
        <v>673.47499999999991</v>
      </c>
      <c r="E139" s="15">
        <f t="shared" si="17"/>
        <v>875.27</v>
      </c>
      <c r="F139" s="15">
        <f t="shared" si="18"/>
        <v>1067.885</v>
      </c>
      <c r="G139" s="15">
        <f t="shared" si="19"/>
        <v>1251.32</v>
      </c>
      <c r="H139" s="15">
        <f t="shared" si="20"/>
        <v>-521.64</v>
      </c>
      <c r="I139" s="15">
        <f t="shared" si="21"/>
        <v>-709.36500000000001</v>
      </c>
      <c r="J139" s="15">
        <f t="shared" si="22"/>
        <v>-900</v>
      </c>
      <c r="K139" s="15">
        <f t="shared" si="23"/>
        <v>-1087.5</v>
      </c>
      <c r="L139" s="15">
        <f t="shared" si="24"/>
        <v>-1275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2:22" ht="22" customHeight="1">
      <c r="B140" s="15">
        <v>0.3</v>
      </c>
      <c r="C140" s="15">
        <f t="shared" si="15"/>
        <v>555</v>
      </c>
      <c r="D140" s="15">
        <f t="shared" si="16"/>
        <v>806.84999999999991</v>
      </c>
      <c r="E140" s="15">
        <f t="shared" si="17"/>
        <v>1046.82</v>
      </c>
      <c r="F140" s="15">
        <f t="shared" si="18"/>
        <v>1274.9099999999999</v>
      </c>
      <c r="G140" s="15">
        <f t="shared" si="19"/>
        <v>1491.12</v>
      </c>
      <c r="H140" s="15">
        <f t="shared" si="20"/>
        <v>-618.24</v>
      </c>
      <c r="I140" s="15">
        <f t="shared" si="21"/>
        <v>-836.19</v>
      </c>
      <c r="J140" s="15">
        <f t="shared" si="22"/>
        <v>-1054.8</v>
      </c>
      <c r="K140" s="15">
        <f t="shared" si="23"/>
        <v>-1275.42</v>
      </c>
      <c r="L140" s="15">
        <f t="shared" si="24"/>
        <v>-1499.3999999999999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spans="2:22" ht="22" customHeight="1">
      <c r="B141" s="15">
        <v>0.35</v>
      </c>
      <c r="C141" s="15">
        <f t="shared" si="15"/>
        <v>650</v>
      </c>
      <c r="D141" s="15">
        <f t="shared" si="16"/>
        <v>945.22499999999991</v>
      </c>
      <c r="E141" s="15">
        <f t="shared" si="17"/>
        <v>1218.3699999999999</v>
      </c>
      <c r="F141" s="15">
        <f t="shared" si="18"/>
        <v>1481.9349999999999</v>
      </c>
      <c r="G141" s="15">
        <f t="shared" si="19"/>
        <v>1730.9199999999998</v>
      </c>
      <c r="H141" s="15">
        <f t="shared" si="20"/>
        <v>-714.83999999999992</v>
      </c>
      <c r="I141" s="15">
        <f t="shared" si="21"/>
        <v>-963.01499999999999</v>
      </c>
      <c r="J141" s="15">
        <f t="shared" si="22"/>
        <v>-1209.5999999999999</v>
      </c>
      <c r="K141" s="15">
        <f t="shared" si="23"/>
        <v>-1455.9449999999999</v>
      </c>
      <c r="L141" s="15">
        <f t="shared" si="24"/>
        <v>-1703.3999999999999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2:22" ht="22" customHeight="1">
      <c r="B142" s="15">
        <v>0.4</v>
      </c>
      <c r="C142" s="15">
        <f t="shared" si="15"/>
        <v>755</v>
      </c>
      <c r="D142" s="15">
        <f t="shared" si="16"/>
        <v>1128.5999999999999</v>
      </c>
      <c r="E142" s="15">
        <f t="shared" si="17"/>
        <v>1477.42</v>
      </c>
      <c r="F142" s="15">
        <f t="shared" si="18"/>
        <v>1801.46</v>
      </c>
      <c r="G142" s="15">
        <f t="shared" si="19"/>
        <v>2100.7200000000003</v>
      </c>
      <c r="H142" s="15">
        <f t="shared" si="20"/>
        <v>-811.44</v>
      </c>
      <c r="I142" s="15">
        <f t="shared" si="21"/>
        <v>-1089.8400000000001</v>
      </c>
      <c r="J142" s="15">
        <f t="shared" si="22"/>
        <v>-1364.4</v>
      </c>
      <c r="K142" s="15">
        <f t="shared" si="23"/>
        <v>-1636.47</v>
      </c>
      <c r="L142" s="15">
        <f t="shared" si="24"/>
        <v>-1907.4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2:22" ht="22" customHeight="1">
      <c r="B143" s="15">
        <v>0.45</v>
      </c>
      <c r="C143" s="15">
        <f t="shared" si="15"/>
        <v>860</v>
      </c>
      <c r="D143" s="15">
        <f t="shared" si="16"/>
        <v>1311.9749999999999</v>
      </c>
      <c r="E143" s="15">
        <f t="shared" si="17"/>
        <v>1736.47</v>
      </c>
      <c r="F143" s="15">
        <f t="shared" si="18"/>
        <v>2133.4850000000001</v>
      </c>
      <c r="G143" s="15">
        <f t="shared" si="19"/>
        <v>2503.02</v>
      </c>
      <c r="H143" s="15">
        <f t="shared" si="20"/>
        <v>-908.04</v>
      </c>
      <c r="I143" s="15">
        <f t="shared" si="21"/>
        <v>-1216.665</v>
      </c>
      <c r="J143" s="15">
        <f t="shared" si="22"/>
        <v>-1519.2</v>
      </c>
      <c r="K143" s="15">
        <f t="shared" si="23"/>
        <v>-1816.9950000000001</v>
      </c>
      <c r="L143" s="15">
        <f t="shared" si="24"/>
        <v>-2111.4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2:22" ht="22" customHeight="1">
      <c r="B144" s="15">
        <v>0.5</v>
      </c>
      <c r="C144" s="15">
        <f t="shared" si="15"/>
        <v>965</v>
      </c>
      <c r="D144" s="15">
        <f t="shared" si="16"/>
        <v>1495.35</v>
      </c>
      <c r="E144" s="15">
        <f t="shared" si="17"/>
        <v>1995.52</v>
      </c>
      <c r="F144" s="15">
        <f t="shared" si="18"/>
        <v>2465.5100000000002</v>
      </c>
      <c r="G144" s="15">
        <f t="shared" si="19"/>
        <v>2905.3199999999997</v>
      </c>
      <c r="H144" s="15">
        <f t="shared" si="20"/>
        <v>-1004.64</v>
      </c>
      <c r="I144" s="15">
        <f t="shared" si="21"/>
        <v>-1343.49</v>
      </c>
      <c r="J144" s="15">
        <f t="shared" si="22"/>
        <v>-1674</v>
      </c>
      <c r="K144" s="15">
        <f t="shared" si="23"/>
        <v>-1997.52</v>
      </c>
      <c r="L144" s="15">
        <f t="shared" si="24"/>
        <v>-2315.4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spans="2:22" ht="22" customHeight="1">
      <c r="B145" s="15">
        <v>0.55000000000000004</v>
      </c>
      <c r="C145" s="15">
        <f t="shared" si="15"/>
        <v>1070</v>
      </c>
      <c r="D145" s="15">
        <f t="shared" si="16"/>
        <v>1678.7250000000001</v>
      </c>
      <c r="E145" s="15">
        <f t="shared" si="17"/>
        <v>2254.5700000000002</v>
      </c>
      <c r="F145" s="15">
        <f t="shared" si="18"/>
        <v>2797.5349999999999</v>
      </c>
      <c r="G145" s="15">
        <f t="shared" si="19"/>
        <v>3307.6200000000008</v>
      </c>
      <c r="H145" s="15">
        <f t="shared" si="20"/>
        <v>-1101.2400000000002</v>
      </c>
      <c r="I145" s="15">
        <f t="shared" si="21"/>
        <v>-1470.3150000000001</v>
      </c>
      <c r="J145" s="15">
        <f t="shared" si="22"/>
        <v>-1828.8000000000002</v>
      </c>
      <c r="K145" s="15">
        <f t="shared" si="23"/>
        <v>-2178.0450000000001</v>
      </c>
      <c r="L145" s="15">
        <f t="shared" si="24"/>
        <v>-2519.4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spans="2:22" ht="22" customHeight="1">
      <c r="B146" s="15">
        <v>0.6</v>
      </c>
      <c r="C146" s="15">
        <f t="shared" si="15"/>
        <v>1175</v>
      </c>
      <c r="D146" s="15">
        <f t="shared" si="16"/>
        <v>1862.1000000000001</v>
      </c>
      <c r="E146" s="15">
        <f t="shared" si="17"/>
        <v>2513.62</v>
      </c>
      <c r="F146" s="15">
        <f t="shared" si="18"/>
        <v>3129.56</v>
      </c>
      <c r="G146" s="15">
        <f t="shared" si="19"/>
        <v>3709.92</v>
      </c>
      <c r="H146" s="15">
        <f t="shared" si="20"/>
        <v>-1197.8400000000001</v>
      </c>
      <c r="I146" s="15">
        <f t="shared" si="21"/>
        <v>-1597.1399999999999</v>
      </c>
      <c r="J146" s="15">
        <f t="shared" si="22"/>
        <v>-1983.6</v>
      </c>
      <c r="K146" s="15">
        <f t="shared" si="23"/>
        <v>-2358.5699999999997</v>
      </c>
      <c r="L146" s="15">
        <f t="shared" si="24"/>
        <v>-2723.3999999999996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spans="2:22" ht="22" customHeight="1">
      <c r="B147" s="15">
        <v>0.65</v>
      </c>
      <c r="C147" s="15">
        <f t="shared" si="15"/>
        <v>1280.0000000000002</v>
      </c>
      <c r="D147" s="15">
        <f t="shared" si="16"/>
        <v>2045.4750000000001</v>
      </c>
      <c r="E147" s="15">
        <f t="shared" si="17"/>
        <v>2772.67</v>
      </c>
      <c r="F147" s="15">
        <f t="shared" si="18"/>
        <v>3461.585</v>
      </c>
      <c r="G147" s="15">
        <f t="shared" si="19"/>
        <v>4112.22</v>
      </c>
      <c r="H147" s="15">
        <f t="shared" si="20"/>
        <v>-1294.44</v>
      </c>
      <c r="I147" s="15">
        <f t="shared" si="21"/>
        <v>-1723.9650000000001</v>
      </c>
      <c r="J147" s="15">
        <f t="shared" si="22"/>
        <v>-2138.4</v>
      </c>
      <c r="K147" s="15">
        <f t="shared" si="23"/>
        <v>-2539.0950000000003</v>
      </c>
      <c r="L147" s="15">
        <f t="shared" si="24"/>
        <v>-2927.4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2:22" ht="22" customHeight="1">
      <c r="B148" s="15">
        <v>0.7</v>
      </c>
      <c r="C148" s="15">
        <f t="shared" si="15"/>
        <v>1385</v>
      </c>
      <c r="D148" s="15">
        <f t="shared" si="16"/>
        <v>2228.85</v>
      </c>
      <c r="E148" s="15">
        <f t="shared" si="17"/>
        <v>3031.72</v>
      </c>
      <c r="F148" s="15">
        <f t="shared" si="18"/>
        <v>3793.61</v>
      </c>
      <c r="G148" s="15">
        <f t="shared" si="19"/>
        <v>4514.5200000000004</v>
      </c>
      <c r="H148" s="15">
        <f t="shared" si="20"/>
        <v>-1391.04</v>
      </c>
      <c r="I148" s="15">
        <f t="shared" si="21"/>
        <v>-1850.79</v>
      </c>
      <c r="J148" s="15">
        <f t="shared" si="22"/>
        <v>-2293.1999999999998</v>
      </c>
      <c r="K148" s="15">
        <f t="shared" si="23"/>
        <v>-2719.62</v>
      </c>
      <c r="L148" s="15">
        <f t="shared" si="24"/>
        <v>-3131.3999999999996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spans="2:22" ht="22" customHeight="1">
      <c r="B149" s="15">
        <v>0.75</v>
      </c>
      <c r="C149" s="15">
        <f t="shared" si="15"/>
        <v>1490</v>
      </c>
      <c r="D149" s="15">
        <f t="shared" si="16"/>
        <v>2412.2250000000004</v>
      </c>
      <c r="E149" s="15">
        <f t="shared" si="17"/>
        <v>3290.77</v>
      </c>
      <c r="F149" s="15">
        <f t="shared" si="18"/>
        <v>4125.6350000000002</v>
      </c>
      <c r="G149" s="15">
        <f t="shared" si="19"/>
        <v>4916.82</v>
      </c>
      <c r="H149" s="15">
        <f t="shared" si="20"/>
        <v>-1487.6399999999999</v>
      </c>
      <c r="I149" s="15">
        <f t="shared" si="21"/>
        <v>-1977.615</v>
      </c>
      <c r="J149" s="15">
        <f t="shared" si="22"/>
        <v>-2448</v>
      </c>
      <c r="K149" s="15">
        <f t="shared" si="23"/>
        <v>-2900.1450000000004</v>
      </c>
      <c r="L149" s="15">
        <f t="shared" si="24"/>
        <v>-3335.3999999999996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spans="2:22" ht="22" customHeight="1">
      <c r="B150" s="15">
        <v>0.8</v>
      </c>
      <c r="C150" s="15">
        <f t="shared" si="15"/>
        <v>1595.0000000000002</v>
      </c>
      <c r="D150" s="15">
        <f t="shared" si="16"/>
        <v>2595.6000000000004</v>
      </c>
      <c r="E150" s="15">
        <f t="shared" si="17"/>
        <v>3549.82</v>
      </c>
      <c r="F150" s="15">
        <f t="shared" si="18"/>
        <v>4457.6600000000008</v>
      </c>
      <c r="G150" s="15">
        <f t="shared" si="19"/>
        <v>5319.1200000000008</v>
      </c>
      <c r="H150" s="15">
        <f t="shared" si="20"/>
        <v>-1584.24</v>
      </c>
      <c r="I150" s="15">
        <f t="shared" si="21"/>
        <v>-2104.44</v>
      </c>
      <c r="J150" s="15">
        <f t="shared" si="22"/>
        <v>-2602.8000000000002</v>
      </c>
      <c r="K150" s="15">
        <f t="shared" si="23"/>
        <v>-3080.67</v>
      </c>
      <c r="L150" s="15">
        <f t="shared" si="24"/>
        <v>-3539.4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2:22" ht="22" customHeight="1">
      <c r="B151" s="15">
        <v>0.85</v>
      </c>
      <c r="C151" s="15">
        <f t="shared" si="15"/>
        <v>1700</v>
      </c>
      <c r="D151" s="15">
        <f t="shared" si="16"/>
        <v>2778.9749999999999</v>
      </c>
      <c r="E151" s="15">
        <f t="shared" si="17"/>
        <v>3808.87</v>
      </c>
      <c r="F151" s="15">
        <f t="shared" si="18"/>
        <v>4789.6849999999995</v>
      </c>
      <c r="G151" s="15">
        <f t="shared" si="19"/>
        <v>5721.42</v>
      </c>
      <c r="H151" s="15">
        <f t="shared" si="20"/>
        <v>-1680.84</v>
      </c>
      <c r="I151" s="15">
        <f t="shared" si="21"/>
        <v>-2231.2649999999999</v>
      </c>
      <c r="J151" s="15">
        <f t="shared" si="22"/>
        <v>-2757.6</v>
      </c>
      <c r="K151" s="15">
        <f t="shared" si="23"/>
        <v>-3261.1950000000002</v>
      </c>
      <c r="L151" s="15">
        <f t="shared" si="24"/>
        <v>-3743.3999999999996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2:22" ht="22" customHeight="1">
      <c r="B152" s="15">
        <v>0.9</v>
      </c>
      <c r="C152" s="15">
        <f t="shared" si="15"/>
        <v>1805.0000000000002</v>
      </c>
      <c r="D152" s="15">
        <f t="shared" si="16"/>
        <v>2962.3500000000004</v>
      </c>
      <c r="E152" s="15">
        <f t="shared" si="17"/>
        <v>4067.92</v>
      </c>
      <c r="F152" s="15">
        <f t="shared" si="18"/>
        <v>5121.71</v>
      </c>
      <c r="G152" s="15">
        <f t="shared" si="19"/>
        <v>6123.72</v>
      </c>
      <c r="H152" s="15">
        <f t="shared" si="20"/>
        <v>-1777.44</v>
      </c>
      <c r="I152" s="15">
        <f t="shared" si="21"/>
        <v>-2358.09</v>
      </c>
      <c r="J152" s="15">
        <f t="shared" si="22"/>
        <v>-2912.4</v>
      </c>
      <c r="K152" s="15">
        <f t="shared" si="23"/>
        <v>-3441.7200000000003</v>
      </c>
      <c r="L152" s="15">
        <f t="shared" si="24"/>
        <v>-3947.4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2:22" ht="22" customHeight="1">
      <c r="B153" s="15">
        <v>0.95</v>
      </c>
      <c r="C153" s="15">
        <f t="shared" si="15"/>
        <v>1910</v>
      </c>
      <c r="D153" s="15">
        <f t="shared" si="16"/>
        <v>3145.7249999999999</v>
      </c>
      <c r="E153" s="15">
        <f t="shared" si="17"/>
        <v>4326.9699999999993</v>
      </c>
      <c r="F153" s="15">
        <f t="shared" si="18"/>
        <v>5453.7350000000006</v>
      </c>
      <c r="G153" s="15">
        <f t="shared" si="19"/>
        <v>6526.0199999999995</v>
      </c>
      <c r="H153" s="15">
        <f t="shared" si="20"/>
        <v>-1874.04</v>
      </c>
      <c r="I153" s="15">
        <f t="shared" si="21"/>
        <v>-2484.915</v>
      </c>
      <c r="J153" s="15">
        <f t="shared" si="22"/>
        <v>-3067.2</v>
      </c>
      <c r="K153" s="15">
        <f t="shared" si="23"/>
        <v>-3622.2450000000003</v>
      </c>
      <c r="L153" s="15">
        <f t="shared" si="24"/>
        <v>-4151.3999999999996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spans="2:22" ht="22" customHeight="1">
      <c r="B154" s="15">
        <v>1</v>
      </c>
      <c r="C154" s="15">
        <f t="shared" si="15"/>
        <v>2015</v>
      </c>
      <c r="D154" s="15">
        <f t="shared" si="16"/>
        <v>3329.1</v>
      </c>
      <c r="E154" s="15">
        <f t="shared" si="17"/>
        <v>4586.0200000000004</v>
      </c>
      <c r="F154" s="15">
        <f t="shared" si="18"/>
        <v>5785.76</v>
      </c>
      <c r="G154" s="15">
        <f t="shared" si="19"/>
        <v>6928.3200000000006</v>
      </c>
      <c r="H154" s="15">
        <f t="shared" si="20"/>
        <v>-1970.64</v>
      </c>
      <c r="I154" s="15">
        <f t="shared" si="21"/>
        <v>-2611.7399999999998</v>
      </c>
      <c r="J154" s="15">
        <f t="shared" si="22"/>
        <v>-3222</v>
      </c>
      <c r="K154" s="15">
        <f t="shared" si="23"/>
        <v>-3802.7700000000004</v>
      </c>
      <c r="L154" s="15">
        <f t="shared" si="24"/>
        <v>-4355.3999999999996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spans="2:22" ht="22" customHeight="1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pans="2:22" ht="22" customHeight="1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2:22" ht="22" customHeight="1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61" spans="2:22">
      <c r="B161" s="30" t="s">
        <v>54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</row>
    <row r="164" spans="2:22">
      <c r="B164" t="s">
        <v>40</v>
      </c>
      <c r="C164" t="s">
        <v>41</v>
      </c>
      <c r="D164" t="s">
        <v>42</v>
      </c>
      <c r="E164" t="s">
        <v>43</v>
      </c>
      <c r="F164" t="s">
        <v>15</v>
      </c>
      <c r="G164" t="s">
        <v>55</v>
      </c>
      <c r="H164" t="s">
        <v>44</v>
      </c>
      <c r="I164" t="s">
        <v>36</v>
      </c>
      <c r="J164" t="s">
        <v>45</v>
      </c>
      <c r="K164" t="s">
        <v>56</v>
      </c>
      <c r="L164" t="s">
        <v>46</v>
      </c>
      <c r="M164" t="s">
        <v>20</v>
      </c>
      <c r="N164" t="s">
        <v>21</v>
      </c>
      <c r="O164" t="s">
        <v>47</v>
      </c>
      <c r="P164" t="s">
        <v>39</v>
      </c>
      <c r="Q164" t="s">
        <v>48</v>
      </c>
      <c r="R164" t="s">
        <v>49</v>
      </c>
      <c r="S164" t="s">
        <v>50</v>
      </c>
      <c r="T164" t="s">
        <v>51</v>
      </c>
      <c r="U164" t="s">
        <v>52</v>
      </c>
      <c r="V164" t="s">
        <v>53</v>
      </c>
    </row>
    <row r="165" spans="2:22">
      <c r="C165">
        <f>Calculator!C7</f>
        <v>-12</v>
      </c>
      <c r="D165">
        <f>Calculator!C8</f>
        <v>-10</v>
      </c>
      <c r="E165">
        <f>Calculator!C9</f>
        <v>-20</v>
      </c>
      <c r="F165">
        <f>IF(Calculator!$C$4="Type-B",INDEX(Parameters!$J$10:$N$10,1,Q165)+(INDEX(Parameters!$J$10:$N$10,1,Q165+1)-INDEX(Parameters!$J$10:$N$10,1,Q165))*T165,INDEX(Parameters!$D$10:$H$10,1,Q165)+(INDEX(Parameters!$D$10:$H$10,1,Q165+1)-INDEX(Parameters!$D$10:$H$10,1,Q165))*T165)</f>
        <v>3650</v>
      </c>
      <c r="G165">
        <f>IF(Calculator!$C$4="Type-B",INDEX(Parameters!$J$11:$N$11,1,R165)+(INDEX(Parameters!$J$11:$N$11,1,R165+1)-INDEX(Parameters!$J$11:$N$11,1,R165))*U165,INDEX(Parameters!$D$11:$H$11,1,Q165)+(INDEX(Parameters!$D$11:$H$11,1,Q165+1)-INDEX(Parameters!$D$11:$H$11,1,Q165))*T165)</f>
        <v>0.08</v>
      </c>
      <c r="H165">
        <f>IF(Calculator!$C$4="Type-B",INDEX(Parameters!$J$12:$N$12,1,Q165)+(INDEX(Parameters!$J$12:$N$12,1,Q165+1)-INDEX(Parameters!$J$12:$N$12,1,Q165))*T165,INDEX(Parameters!$D$12:$H$12,1,Q165)+(INDEX(Parameters!$D$12:$H$12,1,Q165+1)-INDEX(Parameters!$D$12:$H$12,1,Q165))*T165)</f>
        <v>0.94</v>
      </c>
      <c r="I165">
        <f>F165*H165</f>
        <v>3431</v>
      </c>
      <c r="J165">
        <f>IF(Calculator!$C$4="Type-B",INDEX(Parameters!$J$13:$N$13,1,R165)+(INDEX(Parameters!$J$13:$N$13,1,R165+1)-INDEX(Parameters!$J$13:$N$13,1,R165))*U165,INDEX(Parameters!$D$13:$H$13,1,R165)+(INDEX(Parameters!$D$13:$H$13,1,R165+1)-INDEX(Parameters!$D$13:$H$13,1,R165))*U165)</f>
        <v>1750</v>
      </c>
      <c r="K165">
        <f>IF(Calculator!$C$4="Type-B",Parameters!$L$14,INDEX(Parameters!$D$14:$H$14,1,R165)+(INDEX(Parameters!$D$14:$H$14,1,R165+1)-INDEX(Parameters!$D$14:$H$14,1,R165))*U165)</f>
        <v>0.35</v>
      </c>
      <c r="L165">
        <f>I165+J165</f>
        <v>5181</v>
      </c>
      <c r="M165">
        <f>IF(Calculator!$C$4="Type-B",INDEX(Parameters!$J$17:$N$17,1,S165)+(INDEX(Parameters!$J$17:$N$17,1,S165+1)-INDEX(Parameters!$J$17:$N$17,1,S165))*V165,INDEX(Parameters!$D$17:$H$17,1,S165)+(INDEX(Parameters!$D$17:$H$17,1,S165+1)-INDEX(Parameters!$D$17:$H$17,1,S165))*V165)</f>
        <v>3600</v>
      </c>
      <c r="N165">
        <f>IF(Calculator!$C$4="Type-B",INDEX(Parameters!$J$18:$N$18,1,S165)+(INDEX(Parameters!$J$18:$N$18,1,S165+1)-INDEX(Parameters!$J$18:$N$18,1,S165))*V165,INDEX(Parameters!$D$18:$H$18,1,S165)+(INDEX(Parameters!$D$18:$H$18,1,S165+1)-INDEX(Parameters!$D$18:$H$18,1,S165))*V165)</f>
        <v>0.25</v>
      </c>
      <c r="O165">
        <f>IF(Calculator!$C$4="Type-B",INDEX(Parameters!$J$19:$N$19,1,S165)+(INDEX(Parameters!$J$19:$N$19,1,S165+1)-INDEX(Parameters!$J$19:$N$19,1,S165))*V165,INDEX(Parameters!$D$19:$H$19,1,S165)+(INDEX(Parameters!$D$19:$H$19,1,S165+1)-INDEX(Parameters!$D$19:$H$19,1,S165))*V165)</f>
        <v>0.86</v>
      </c>
      <c r="P165">
        <f>M165*O165</f>
        <v>3096</v>
      </c>
      <c r="Q165">
        <f>MIN(4,MAX(1,INT((1+C165/Parameters!$D$23)*4)+1))</f>
        <v>3</v>
      </c>
      <c r="R165">
        <f>MIN(4,MAX(1,INT((1+D165/Parameters!$D$24)*4)+1))</f>
        <v>3</v>
      </c>
      <c r="S165">
        <f>MIN(4,MAX(1,INT((1+E165/Calculator!$C$15)*4)+1))</f>
        <v>3</v>
      </c>
      <c r="T165">
        <f>MAX(0,MIN(1,(1+C165/Parameters!$D$23)*4-(Q165-1)))</f>
        <v>0</v>
      </c>
      <c r="U165">
        <f>MAX(0,MIN(1,(1+D165/Parameters!$D$24)*4-(R165-1)))</f>
        <v>0</v>
      </c>
      <c r="V165">
        <f>MAX(0,MIN(1,(1+E165/Calculator!$C$15)*4-(S165-1)))</f>
        <v>0</v>
      </c>
    </row>
  </sheetData>
  <mergeCells count="5">
    <mergeCell ref="B1:V1"/>
    <mergeCell ref="B41:V41"/>
    <mergeCell ref="B81:V81"/>
    <mergeCell ref="B121:V121"/>
    <mergeCell ref="B161:V161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Calculator</vt:lpstr>
      <vt:lpstr>LSC Sweep</vt:lpstr>
      <vt:lpstr>HSC Sweep</vt:lpstr>
      <vt:lpstr>LSR Sweep</vt:lpstr>
      <vt:lpstr>Full Sweep</vt:lpstr>
      <vt:lpstr>Parameters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dcterms:modified xsi:type="dcterms:W3CDTF">2026-10-14T12:58:24Z</dcterms:modified>
</cp:coreProperties>
</file>