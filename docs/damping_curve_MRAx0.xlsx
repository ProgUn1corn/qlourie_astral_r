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052424E7-9232-490B-BD6E-DAC815AA611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<sst xmlns="http://schemas.openxmlformats.org/spreadsheetml/2006/main" count="220" uniqueCount="115">
  <si>
    <t>Astral · LSC Sweep</t>
  </si>
  <si>
    <t>Valving</t>
  </si>
  <si>
    <t>Type-A</t>
  </si>
  <si>
    <t>Type-A / Type-B · 切换仅作用于本页。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</si>
  <si>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</si>
  <si>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</si>
  <si>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</si>
  <si>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</si>
  <si>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</si>
  <si>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Astral · LSR Sweep</t>
  </si>
  <si>
    <t>LSR：−40 / −30 / −20 / −10 / 0 R；图中显示回弹力大小。</t>
  </si>
  <si>
    <t>Astral · Combined Sweep</t>
  </si>
  <si>
    <t>压缩与回弹各五条：最软 / 25% / 默认 / 75% / 最硬。</t>
  </si>
  <si>
    <t>Astral · Valving parameters</t>
  </si>
  <si>
    <t>黄色单元格可编辑；Type-A 与 Type-B 分别标定。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</si>
  <si>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</si>
  <si>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</si>
  <si>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</si>
  <si>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</si>
  <si>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</si>
  <si>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</si>
  <si>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</si>
  <si>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</si>
  <si>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</si>
  <si>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</si>
  <si>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</si>
  <si>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HSbump · 附加梁</t>
  </si>
  <si>
    <t>LSR · R（6 系）</t>
  </si>
  <si>
    <t>rebound</t>
  </si>
  <si>
    <t>Rebound knee</t>
  </si>
  <si>
    <t>HSrebound / rebound</t>
  </si>
  <si>
    <t>Clicks · 共用调节格数</t>
  </si>
  <si>
    <t>LSC · 所有车型</t>
  </si>
  <si>
    <t>Sweep 以 6 系的 c / C / R 格数显示；计算器支持 WRC17 的 60 格回弹。</t>
  </si>
  <si>
    <t>HSC · 所有车型</t>
  </si>
  <si>
    <t>LSR · Rally2 / Rally1</t>
  </si>
  <si>
    <t>LSR · WRC17</t>
  </si>
  <si>
    <t>0 为最硬；负数为从全关退出的格数。</t>
  </si>
  <si>
    <t>Model · 延续当前公式</t>
  </si>
  <si>
    <t>bump2 = bump1 × 中间段倍率；总高速系数 = bump2 + HSbump。</t>
  </si>
  <si>
    <t>回弹力 = rebound × MIN(v, Rebound knee) + HSrebound × MAX(0, v − Rebound knee)。</t>
  </si>
  <si>
    <t>连续分段接续仍为工作假设；这里计算基础阻尼，不叠加气体、弹簧、HBS/HRS 或 LRS/DSV。</t>
  </si>
  <si>
    <t>LSC 只调斜率；Type-A 的 HSC 调第二 knee，Type-B 的 HSC 调第一 knee。</t>
  </si>
  <si>
    <t>研究来源：chatgpt-conversation://6a9ed043-7848-83e8-9d36-6e63c8202898</t>
  </si>
  <si>
    <t>Astral · Damping calculator</t>
  </si>
  <si>
    <t>A / B 独立切换 · 输入实际 c / C / R 格数及轴速</t>
  </si>
  <si>
    <t>车型</t>
  </si>
  <si>
    <t>Rally2</t>
  </si>
  <si>
    <t>当前输入 · 阻尼力大小</t>
  </si>
  <si>
    <t>压缩力 (N)</t>
  </si>
  <si>
    <t>LSR · R</t>
  </si>
  <si>
    <t>轴速 (m/s)</t>
  </si>
  <si>
    <t>回弹力 (N)</t>
  </si>
  <si>
    <t>c 总格数</t>
  </si>
  <si>
    <t>实际计算参数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</si>
  <si>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</si>
  <si>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</si>
  <si>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</si>
  <si>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</si>
  <si>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</si>
  <si>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</si>
  <si>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</si>
  <si>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LSC Sweep · 由本页 Valving 开关选择参数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</si>
  <si>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</si>
  <si>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</si>
  <si>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</si>
  <si>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</si>
  <si>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</si>
  <si>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</si>
  <si>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</si>
  <si>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</si>
  <si>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</si>
  <si>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</si>
  <si>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</si>
  <si>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</si>
  <si>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</si>
  <si>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</si>
  <si>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 · 由本页 Valving 开关选择参数</t>
  </si>
  <si>
    <t>LSR Sweep · 由本页 Valving 开关选择参数</t>
  </si>
  <si>
    <t>Full Sweep · 由本页 Valving 开关选择参数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</si>
  <si>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</si>
  <si>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</si>
  <si>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</si>
  <si>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</si>
  <si>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</si>
  <si>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Astral · HSC Sweep</t>
    <phoneticPr fontId="13" type="noConversion"/>
  </si>
  <si>
    <t>CTM Racing · MRAx0 · Damping Calculator</t>
  </si>
  <si>
    <t>MRA60 / MRA80 · 柏油拉力 · c / C / R 调节与阻尼力计算</t>
  </si>
  <si>
    <t>适用车型</t>
  </si>
  <si>
    <t>当前曲线参数</t>
  </si>
  <si>
    <t>HSbump · 高速增量</t>
  </si>
  <si>
    <t>CTM Racing · MRAx0 · Valving Parameters</t>
  </si>
  <si>
    <t>MRA60 / MRA60 (Mod) / MRA80 · 柏油拉力系列；黄色单元格为可编辑标定。</t>
  </si>
  <si>
    <t>HSbump · 高速增量</t>
  </si>
  <si>
    <t>LSR · R（MRA60）</t>
  </si>
  <si>
    <t>Adjusters · 调节格数</t>
  </si>
  <si>
    <t>LSC · 全系列</t>
  </si>
  <si>
    <t>HSC · 全系列</t>
  </si>
  <si>
    <t>LSR · MRA60</t>
  </si>
  <si>
    <t>LSR · MRA80</t>
  </si>
  <si>
    <t>Sweep 使用 MRA60 的格数；MRA60 (Mod) 同为 40 格回弹，MRA80 为 60 格，适用车型在计算器选择。</t>
  </si>
  <si>
    <t>Model · 基础阻尼模型</t>
  </si>
  <si>
    <t>理论曲线采用连续分段接续假设；仅计算基础阻尼，不包含气体支撑、弹簧、HBS/HRS 或 LRS/DSV。</t>
  </si>
  <si>
    <t>CTM Racing · MRAx0 · LSC Sweep · 读取对应 Sweep 页的阀系选择</t>
  </si>
  <si>
    <t>CTM Racing · MRAx0 · HSC Sweep · 读取对应 Sweep 页的阀系选择</t>
  </si>
  <si>
    <t>CTM Racing · MRAx0 · LSR Sweep · 读取对应 Sweep 页的阀系选择</t>
  </si>
  <si>
    <t>CTM Racing · MRAx0 · Full Sweep · 读取对应 Sweep 页的阀系选择</t>
  </si>
  <si>
    <t>CTM Racing · MRAx0 · LSC Sweep</t>
  </si>
  <si>
    <t>柏油拉力 · Type-A / Type-B 阀系；各页独立选择。</t>
  </si>
  <si>
    <t>CTM Racing · MRAx0 · HSC Sweep</t>
  </si>
  <si>
    <t>柏油拉力 · Type-A / Type-B 阀系；各页独立选择。</t>
  </si>
  <si>
    <t>CTM Racing · MRAx0 · LSR Sweep</t>
  </si>
  <si>
    <t>柏油拉力 · Type-A / Type-B 阀系；各页独立选择。</t>
  </si>
  <si>
    <t>CTM Racing · MRAx0 · Full Sweep</t>
  </si>
  <si>
    <t>柏油拉力 · Type-A / Type-B 阀系；各页独立选择。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</si>
</sst>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0" fontId="6" fillId="0" borderId="0" xfId="1" applyFont="1" applyAlignment="1">
      <alignment vertical="center" wrapText="1"/>
    </xf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2" fontId="11" fillId="0" borderId="0" xfId="1" applyNumberFormat="1" applyFont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680.40000000000009</c:v>
                </c:pt>
                <c:pt idx="9">
                  <c:v>730.80000000000007</c:v>
                </c:pt>
                <c:pt idx="10">
                  <c:v>781.2</c:v>
                </c:pt>
                <c:pt idx="11">
                  <c:v>831.60000000000014</c:v>
                </c:pt>
                <c:pt idx="12">
                  <c:v>882</c:v>
                </c:pt>
                <c:pt idx="13">
                  <c:v>957.40000000000009</c:v>
                </c:pt>
                <c:pt idx="14">
                  <c:v>1032.8</c:v>
                </c:pt>
                <c:pt idx="15">
                  <c:v>1108.2</c:v>
                </c:pt>
                <c:pt idx="16">
                  <c:v>1183.6000000000001</c:v>
                </c:pt>
                <c:pt idx="17">
                  <c:v>1259</c:v>
                </c:pt>
                <c:pt idx="18">
                  <c:v>1334.4</c:v>
                </c:pt>
                <c:pt idx="19">
                  <c:v>1409.8000000000002</c:v>
                </c:pt>
                <c:pt idx="20">
                  <c:v>1485.2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904.80000000000007</c:v>
                </c:pt>
                <c:pt idx="9">
                  <c:v>969.6</c:v>
                </c:pt>
                <c:pt idx="10">
                  <c:v>1034.4000000000001</c:v>
                </c:pt>
                <c:pt idx="11">
                  <c:v>1099.2</c:v>
                </c:pt>
                <c:pt idx="12">
                  <c:v>1164</c:v>
                </c:pt>
                <c:pt idx="13">
                  <c:v>1253.8000000000002</c:v>
                </c:pt>
                <c:pt idx="14">
                  <c:v>1343.6</c:v>
                </c:pt>
                <c:pt idx="15">
                  <c:v>1433.4</c:v>
                </c:pt>
                <c:pt idx="16">
                  <c:v>1523.2</c:v>
                </c:pt>
                <c:pt idx="17">
                  <c:v>1613</c:v>
                </c:pt>
                <c:pt idx="18">
                  <c:v>1702.8000000000002</c:v>
                </c:pt>
                <c:pt idx="19">
                  <c:v>1792.6</c:v>
                </c:pt>
                <c:pt idx="20">
                  <c:v>1882.4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1128</c:v>
                </c:pt>
                <c:pt idx="9">
                  <c:v>1206</c:v>
                </c:pt>
                <c:pt idx="10">
                  <c:v>1284</c:v>
                </c:pt>
                <c:pt idx="11">
                  <c:v>1362</c:v>
                </c:pt>
                <c:pt idx="12">
                  <c:v>1440</c:v>
                </c:pt>
                <c:pt idx="13">
                  <c:v>1543</c:v>
                </c:pt>
                <c:pt idx="14">
                  <c:v>1646</c:v>
                </c:pt>
                <c:pt idx="15">
                  <c:v>1749</c:v>
                </c:pt>
                <c:pt idx="16">
                  <c:v>1852</c:v>
                </c:pt>
                <c:pt idx="17">
                  <c:v>1955</c:v>
                </c:pt>
                <c:pt idx="18">
                  <c:v>2058</c:v>
                </c:pt>
                <c:pt idx="19">
                  <c:v>2161</c:v>
                </c:pt>
                <c:pt idx="20">
                  <c:v>2264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1350</c:v>
                </c:pt>
                <c:pt idx="9">
                  <c:v>1440</c:v>
                </c:pt>
                <c:pt idx="10">
                  <c:v>1530</c:v>
                </c:pt>
                <c:pt idx="11">
                  <c:v>1620</c:v>
                </c:pt>
                <c:pt idx="12">
                  <c:v>1710</c:v>
                </c:pt>
                <c:pt idx="13">
                  <c:v>1825</c:v>
                </c:pt>
                <c:pt idx="14">
                  <c:v>1940</c:v>
                </c:pt>
                <c:pt idx="15">
                  <c:v>2055</c:v>
                </c:pt>
                <c:pt idx="16">
                  <c:v>2170</c:v>
                </c:pt>
                <c:pt idx="17">
                  <c:v>2285</c:v>
                </c:pt>
                <c:pt idx="18">
                  <c:v>2400</c:v>
                </c:pt>
                <c:pt idx="19">
                  <c:v>2515</c:v>
                </c:pt>
                <c:pt idx="20">
                  <c:v>2630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1570.8000000000002</c:v>
                </c:pt>
                <c:pt idx="9">
                  <c:v>1671.6000000000001</c:v>
                </c:pt>
                <c:pt idx="10">
                  <c:v>1772.4</c:v>
                </c:pt>
                <c:pt idx="11">
                  <c:v>1873.2000000000003</c:v>
                </c:pt>
                <c:pt idx="12">
                  <c:v>1974</c:v>
                </c:pt>
                <c:pt idx="13">
                  <c:v>2099.8000000000002</c:v>
                </c:pt>
                <c:pt idx="14">
                  <c:v>2225.6</c:v>
                </c:pt>
                <c:pt idx="15">
                  <c:v>2351.4</c:v>
                </c:pt>
                <c:pt idx="16">
                  <c:v>2477.2000000000003</c:v>
                </c:pt>
                <c:pt idx="17">
                  <c:v>2603</c:v>
                </c:pt>
                <c:pt idx="18">
                  <c:v>2728.8</c:v>
                </c:pt>
                <c:pt idx="19">
                  <c:v>2854.6</c:v>
                </c:pt>
                <c:pt idx="20">
                  <c:v>2980.4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1390</c:v>
                </c:pt>
                <c:pt idx="13">
                  <c:v>1527.5</c:v>
                </c:pt>
                <c:pt idx="14">
                  <c:v>1665</c:v>
                </c:pt>
                <c:pt idx="15">
                  <c:v>1802.5</c:v>
                </c:pt>
                <c:pt idx="16">
                  <c:v>1940</c:v>
                </c:pt>
                <c:pt idx="17">
                  <c:v>2077.5</c:v>
                </c:pt>
                <c:pt idx="18">
                  <c:v>2215</c:v>
                </c:pt>
                <c:pt idx="19">
                  <c:v>2352.5</c:v>
                </c:pt>
                <c:pt idx="20">
                  <c:v>2490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1392.5</c:v>
                </c:pt>
                <c:pt idx="13">
                  <c:v>1567.5</c:v>
                </c:pt>
                <c:pt idx="14">
                  <c:v>1742.5</c:v>
                </c:pt>
                <c:pt idx="15">
                  <c:v>1917.5</c:v>
                </c:pt>
                <c:pt idx="16">
                  <c:v>2092.5</c:v>
                </c:pt>
                <c:pt idx="17">
                  <c:v>2267.5</c:v>
                </c:pt>
                <c:pt idx="18">
                  <c:v>2442.5</c:v>
                </c:pt>
                <c:pt idx="19">
                  <c:v>2617.5</c:v>
                </c:pt>
                <c:pt idx="20">
                  <c:v>2792.5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1592.5</c:v>
                </c:pt>
                <c:pt idx="14">
                  <c:v>1805</c:v>
                </c:pt>
                <c:pt idx="15">
                  <c:v>2017.5</c:v>
                </c:pt>
                <c:pt idx="16">
                  <c:v>2230</c:v>
                </c:pt>
                <c:pt idx="17">
                  <c:v>2442.5</c:v>
                </c:pt>
                <c:pt idx="18">
                  <c:v>2655</c:v>
                </c:pt>
                <c:pt idx="19">
                  <c:v>2867.5</c:v>
                </c:pt>
                <c:pt idx="20">
                  <c:v>3080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1602.5</c:v>
                </c:pt>
                <c:pt idx="14">
                  <c:v>1852.5</c:v>
                </c:pt>
                <c:pt idx="15">
                  <c:v>2102.5</c:v>
                </c:pt>
                <c:pt idx="16">
                  <c:v>2352.5</c:v>
                </c:pt>
                <c:pt idx="17">
                  <c:v>2602.5</c:v>
                </c:pt>
                <c:pt idx="18">
                  <c:v>2852.5</c:v>
                </c:pt>
                <c:pt idx="19">
                  <c:v>3102.5</c:v>
                </c:pt>
                <c:pt idx="20">
                  <c:v>3352.5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1597.5</c:v>
                </c:pt>
                <c:pt idx="14">
                  <c:v>1885</c:v>
                </c:pt>
                <c:pt idx="15">
                  <c:v>2172.5</c:v>
                </c:pt>
                <c:pt idx="16">
                  <c:v>2460</c:v>
                </c:pt>
                <c:pt idx="17">
                  <c:v>2747.5</c:v>
                </c:pt>
                <c:pt idx="18">
                  <c:v>3035</c:v>
                </c:pt>
                <c:pt idx="19">
                  <c:v>3322.5</c:v>
                </c:pt>
                <c:pt idx="20">
                  <c:v>3610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247.6</c:v>
                </c:pt>
                <c:pt idx="6">
                  <c:v>291.59999999999997</c:v>
                </c:pt>
                <c:pt idx="7">
                  <c:v>335.59999999999997</c:v>
                </c:pt>
                <c:pt idx="8">
                  <c:v>379.6</c:v>
                </c:pt>
                <c:pt idx="9">
                  <c:v>423.6</c:v>
                </c:pt>
                <c:pt idx="10">
                  <c:v>467.6</c:v>
                </c:pt>
                <c:pt idx="11">
                  <c:v>511.60000000000008</c:v>
                </c:pt>
                <c:pt idx="12">
                  <c:v>555.6</c:v>
                </c:pt>
                <c:pt idx="13">
                  <c:v>599.6</c:v>
                </c:pt>
                <c:pt idx="14">
                  <c:v>643.59999999999991</c:v>
                </c:pt>
                <c:pt idx="15">
                  <c:v>687.6</c:v>
                </c:pt>
                <c:pt idx="16">
                  <c:v>731.60000000000014</c:v>
                </c:pt>
                <c:pt idx="17">
                  <c:v>775.6</c:v>
                </c:pt>
                <c:pt idx="18">
                  <c:v>819.6</c:v>
                </c:pt>
                <c:pt idx="19">
                  <c:v>863.6</c:v>
                </c:pt>
                <c:pt idx="20">
                  <c:v>907.6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75</c:v>
                </c:pt>
                <c:pt idx="2">
                  <c:v>150</c:v>
                </c:pt>
                <c:pt idx="3">
                  <c:v>225</c:v>
                </c:pt>
                <c:pt idx="4">
                  <c:v>300</c:v>
                </c:pt>
                <c:pt idx="5">
                  <c:v>375</c:v>
                </c:pt>
                <c:pt idx="6">
                  <c:v>439.2</c:v>
                </c:pt>
                <c:pt idx="7">
                  <c:v>502.2</c:v>
                </c:pt>
                <c:pt idx="8">
                  <c:v>565.20000000000005</c:v>
                </c:pt>
                <c:pt idx="9">
                  <c:v>628.20000000000005</c:v>
                </c:pt>
                <c:pt idx="10">
                  <c:v>691.2</c:v>
                </c:pt>
                <c:pt idx="11">
                  <c:v>754.2</c:v>
                </c:pt>
                <c:pt idx="12">
                  <c:v>817.2</c:v>
                </c:pt>
                <c:pt idx="13">
                  <c:v>880.2</c:v>
                </c:pt>
                <c:pt idx="14">
                  <c:v>943.2</c:v>
                </c:pt>
                <c:pt idx="15">
                  <c:v>1006.2000000000002</c:v>
                </c:pt>
                <c:pt idx="16">
                  <c:v>1069.2000000000003</c:v>
                </c:pt>
                <c:pt idx="17">
                  <c:v>1132.2</c:v>
                </c:pt>
                <c:pt idx="18">
                  <c:v>1195.2000000000003</c:v>
                </c:pt>
                <c:pt idx="19">
                  <c:v>1258.2</c:v>
                </c:pt>
                <c:pt idx="20">
                  <c:v>1321.2000000000003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591.99999999999989</c:v>
                </c:pt>
                <c:pt idx="7">
                  <c:v>671.99999999999989</c:v>
                </c:pt>
                <c:pt idx="8">
                  <c:v>752</c:v>
                </c:pt>
                <c:pt idx="9">
                  <c:v>832</c:v>
                </c:pt>
                <c:pt idx="10">
                  <c:v>912</c:v>
                </c:pt>
                <c:pt idx="11">
                  <c:v>992</c:v>
                </c:pt>
                <c:pt idx="12">
                  <c:v>1072</c:v>
                </c:pt>
                <c:pt idx="13">
                  <c:v>1152</c:v>
                </c:pt>
                <c:pt idx="14">
                  <c:v>1232</c:v>
                </c:pt>
                <c:pt idx="15">
                  <c:v>1312</c:v>
                </c:pt>
                <c:pt idx="16">
                  <c:v>1392</c:v>
                </c:pt>
                <c:pt idx="17">
                  <c:v>1472</c:v>
                </c:pt>
                <c:pt idx="18">
                  <c:v>1552</c:v>
                </c:pt>
                <c:pt idx="19">
                  <c:v>1632</c:v>
                </c:pt>
                <c:pt idx="20">
                  <c:v>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750</c:v>
                </c:pt>
                <c:pt idx="7">
                  <c:v>848</c:v>
                </c:pt>
                <c:pt idx="8">
                  <c:v>943</c:v>
                </c:pt>
                <c:pt idx="9">
                  <c:v>1038</c:v>
                </c:pt>
                <c:pt idx="10">
                  <c:v>1133</c:v>
                </c:pt>
                <c:pt idx="11">
                  <c:v>1228</c:v>
                </c:pt>
                <c:pt idx="12">
                  <c:v>1323</c:v>
                </c:pt>
                <c:pt idx="13">
                  <c:v>1418</c:v>
                </c:pt>
                <c:pt idx="14">
                  <c:v>1513</c:v>
                </c:pt>
                <c:pt idx="15">
                  <c:v>1608</c:v>
                </c:pt>
                <c:pt idx="16">
                  <c:v>1703</c:v>
                </c:pt>
                <c:pt idx="17">
                  <c:v>1798</c:v>
                </c:pt>
                <c:pt idx="18">
                  <c:v>1893</c:v>
                </c:pt>
                <c:pt idx="19">
                  <c:v>1988</c:v>
                </c:pt>
                <c:pt idx="20">
                  <c:v>2083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1033.1999999999998</c:v>
                </c:pt>
                <c:pt idx="8">
                  <c:v>1141.2</c:v>
                </c:pt>
                <c:pt idx="9">
                  <c:v>1249.2</c:v>
                </c:pt>
                <c:pt idx="10">
                  <c:v>1357.2</c:v>
                </c:pt>
                <c:pt idx="11">
                  <c:v>1465.2</c:v>
                </c:pt>
                <c:pt idx="12">
                  <c:v>1573.1999999999998</c:v>
                </c:pt>
                <c:pt idx="13">
                  <c:v>1681.2</c:v>
                </c:pt>
                <c:pt idx="14">
                  <c:v>1789.1999999999998</c:v>
                </c:pt>
                <c:pt idx="15">
                  <c:v>1897.1999999999998</c:v>
                </c:pt>
                <c:pt idx="16">
                  <c:v>2005.2</c:v>
                </c:pt>
                <c:pt idx="17">
                  <c:v>2113.1999999999998</c:v>
                </c:pt>
                <c:pt idx="18">
                  <c:v>2221.1999999999998</c:v>
                </c:pt>
                <c:pt idx="19">
                  <c:v>2329.1999999999998</c:v>
                </c:pt>
                <c:pt idx="20">
                  <c:v>2437.1999999999998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148.80000000000001</c:v>
                </c:pt>
                <c:pt idx="4">
                  <c:v>196.8</c:v>
                </c:pt>
                <c:pt idx="5">
                  <c:v>244.8</c:v>
                </c:pt>
                <c:pt idx="6">
                  <c:v>292.79999999999995</c:v>
                </c:pt>
                <c:pt idx="7">
                  <c:v>340.79999999999995</c:v>
                </c:pt>
                <c:pt idx="8">
                  <c:v>388.8</c:v>
                </c:pt>
                <c:pt idx="9">
                  <c:v>436.8</c:v>
                </c:pt>
                <c:pt idx="10">
                  <c:v>484.8</c:v>
                </c:pt>
                <c:pt idx="11">
                  <c:v>532.80000000000007</c:v>
                </c:pt>
                <c:pt idx="12">
                  <c:v>590.79999999999995</c:v>
                </c:pt>
                <c:pt idx="13">
                  <c:v>663.8</c:v>
                </c:pt>
                <c:pt idx="14">
                  <c:v>736.8</c:v>
                </c:pt>
                <c:pt idx="15">
                  <c:v>809.8</c:v>
                </c:pt>
                <c:pt idx="16">
                  <c:v>882.80000000000007</c:v>
                </c:pt>
                <c:pt idx="17">
                  <c:v>955.8</c:v>
                </c:pt>
                <c:pt idx="18">
                  <c:v>1028.8000000000002</c:v>
                </c:pt>
                <c:pt idx="19">
                  <c:v>1101.8</c:v>
                </c:pt>
                <c:pt idx="20">
                  <c:v>1174.8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258.82499999999999</c:v>
                </c:pt>
                <c:pt idx="4">
                  <c:v>340.20000000000005</c:v>
                </c:pt>
                <c:pt idx="5">
                  <c:v>421.57500000000005</c:v>
                </c:pt>
                <c:pt idx="6">
                  <c:v>502.95</c:v>
                </c:pt>
                <c:pt idx="7">
                  <c:v>584.32500000000005</c:v>
                </c:pt>
                <c:pt idx="8">
                  <c:v>665.7</c:v>
                </c:pt>
                <c:pt idx="9">
                  <c:v>747.07500000000005</c:v>
                </c:pt>
                <c:pt idx="10">
                  <c:v>828.45</c:v>
                </c:pt>
                <c:pt idx="11">
                  <c:v>909.82500000000005</c:v>
                </c:pt>
                <c:pt idx="12">
                  <c:v>1003.6999999999999</c:v>
                </c:pt>
                <c:pt idx="13">
                  <c:v>1147.575</c:v>
                </c:pt>
                <c:pt idx="14">
                  <c:v>1291.4499999999998</c:v>
                </c:pt>
                <c:pt idx="15">
                  <c:v>1435.325</c:v>
                </c:pt>
                <c:pt idx="16">
                  <c:v>1579.2000000000003</c:v>
                </c:pt>
                <c:pt idx="17">
                  <c:v>1723.075</c:v>
                </c:pt>
                <c:pt idx="18">
                  <c:v>1866.95</c:v>
                </c:pt>
                <c:pt idx="19">
                  <c:v>2010.825</c:v>
                </c:pt>
                <c:pt idx="20">
                  <c:v>2154.6999999999998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1592.5</c:v>
                </c:pt>
                <c:pt idx="14">
                  <c:v>1805</c:v>
                </c:pt>
                <c:pt idx="15">
                  <c:v>2017.5</c:v>
                </c:pt>
                <c:pt idx="16">
                  <c:v>2230</c:v>
                </c:pt>
                <c:pt idx="17">
                  <c:v>2442.5</c:v>
                </c:pt>
                <c:pt idx="18">
                  <c:v>2655</c:v>
                </c:pt>
                <c:pt idx="19">
                  <c:v>2867.5</c:v>
                </c:pt>
                <c:pt idx="20">
                  <c:v>3080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474.82499999999999</c:v>
                </c:pt>
                <c:pt idx="4">
                  <c:v>616.20000000000005</c:v>
                </c:pt>
                <c:pt idx="5">
                  <c:v>757.57500000000005</c:v>
                </c:pt>
                <c:pt idx="6">
                  <c:v>898.95</c:v>
                </c:pt>
                <c:pt idx="7">
                  <c:v>1040.3249999999998</c:v>
                </c:pt>
                <c:pt idx="8">
                  <c:v>1181.7</c:v>
                </c:pt>
                <c:pt idx="9">
                  <c:v>1323.075</c:v>
                </c:pt>
                <c:pt idx="10">
                  <c:v>1464.45</c:v>
                </c:pt>
                <c:pt idx="11">
                  <c:v>1605.825</c:v>
                </c:pt>
                <c:pt idx="12">
                  <c:v>1747.2</c:v>
                </c:pt>
                <c:pt idx="13">
                  <c:v>1998.575</c:v>
                </c:pt>
                <c:pt idx="14">
                  <c:v>2277.4499999999998</c:v>
                </c:pt>
                <c:pt idx="15">
                  <c:v>2556.3249999999998</c:v>
                </c:pt>
                <c:pt idx="16">
                  <c:v>2835.2</c:v>
                </c:pt>
                <c:pt idx="17">
                  <c:v>3114.0749999999998</c:v>
                </c:pt>
                <c:pt idx="18">
                  <c:v>3392.9500000000003</c:v>
                </c:pt>
                <c:pt idx="19">
                  <c:v>3671.8249999999998</c:v>
                </c:pt>
                <c:pt idx="20">
                  <c:v>3950.7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580.79999999999995</c:v>
                </c:pt>
                <c:pt idx="4">
                  <c:v>748.80000000000007</c:v>
                </c:pt>
                <c:pt idx="5">
                  <c:v>916.8</c:v>
                </c:pt>
                <c:pt idx="6">
                  <c:v>1084.8</c:v>
                </c:pt>
                <c:pt idx="7">
                  <c:v>1252.8</c:v>
                </c:pt>
                <c:pt idx="8">
                  <c:v>1420.8000000000002</c:v>
                </c:pt>
                <c:pt idx="9">
                  <c:v>1588.8</c:v>
                </c:pt>
                <c:pt idx="10">
                  <c:v>1756.8</c:v>
                </c:pt>
                <c:pt idx="11">
                  <c:v>1924.8000000000002</c:v>
                </c:pt>
                <c:pt idx="12">
                  <c:v>2092.8000000000002</c:v>
                </c:pt>
                <c:pt idx="13">
                  <c:v>2365.8000000000002</c:v>
                </c:pt>
                <c:pt idx="14">
                  <c:v>2708.8</c:v>
                </c:pt>
                <c:pt idx="15">
                  <c:v>3051.8</c:v>
                </c:pt>
                <c:pt idx="16">
                  <c:v>3394.8</c:v>
                </c:pt>
                <c:pt idx="17">
                  <c:v>3737.7999999999997</c:v>
                </c:pt>
                <c:pt idx="18">
                  <c:v>4080.8</c:v>
                </c:pt>
                <c:pt idx="19">
                  <c:v>4423.7999999999993</c:v>
                </c:pt>
                <c:pt idx="20">
                  <c:v>4766.8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-50</c:v>
                </c:pt>
                <c:pt idx="2">
                  <c:v>-100</c:v>
                </c:pt>
                <c:pt idx="3">
                  <c:v>-150</c:v>
                </c:pt>
                <c:pt idx="4">
                  <c:v>-200</c:v>
                </c:pt>
                <c:pt idx="5">
                  <c:v>-247.6</c:v>
                </c:pt>
                <c:pt idx="6">
                  <c:v>-291.59999999999997</c:v>
                </c:pt>
                <c:pt idx="7">
                  <c:v>-335.59999999999997</c:v>
                </c:pt>
                <c:pt idx="8">
                  <c:v>-379.6</c:v>
                </c:pt>
                <c:pt idx="9">
                  <c:v>-423.6</c:v>
                </c:pt>
                <c:pt idx="10">
                  <c:v>-467.6</c:v>
                </c:pt>
                <c:pt idx="11">
                  <c:v>-511.60000000000008</c:v>
                </c:pt>
                <c:pt idx="12">
                  <c:v>-555.6</c:v>
                </c:pt>
                <c:pt idx="13">
                  <c:v>-599.6</c:v>
                </c:pt>
                <c:pt idx="14">
                  <c:v>-643.59999999999991</c:v>
                </c:pt>
                <c:pt idx="15">
                  <c:v>-687.6</c:v>
                </c:pt>
                <c:pt idx="16">
                  <c:v>-731.60000000000014</c:v>
                </c:pt>
                <c:pt idx="17">
                  <c:v>-775.6</c:v>
                </c:pt>
                <c:pt idx="18">
                  <c:v>-819.6</c:v>
                </c:pt>
                <c:pt idx="19">
                  <c:v>-863.6</c:v>
                </c:pt>
                <c:pt idx="20">
                  <c:v>-907.6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-75</c:v>
                </c:pt>
                <c:pt idx="2">
                  <c:v>-150</c:v>
                </c:pt>
                <c:pt idx="3">
                  <c:v>-225</c:v>
                </c:pt>
                <c:pt idx="4">
                  <c:v>-300</c:v>
                </c:pt>
                <c:pt idx="5">
                  <c:v>-375</c:v>
                </c:pt>
                <c:pt idx="6">
                  <c:v>-439.2</c:v>
                </c:pt>
                <c:pt idx="7">
                  <c:v>-502.2</c:v>
                </c:pt>
                <c:pt idx="8">
                  <c:v>-565.20000000000005</c:v>
                </c:pt>
                <c:pt idx="9">
                  <c:v>-628.20000000000005</c:v>
                </c:pt>
                <c:pt idx="10">
                  <c:v>-691.2</c:v>
                </c:pt>
                <c:pt idx="11">
                  <c:v>-754.2</c:v>
                </c:pt>
                <c:pt idx="12">
                  <c:v>-817.2</c:v>
                </c:pt>
                <c:pt idx="13">
                  <c:v>-880.2</c:v>
                </c:pt>
                <c:pt idx="14">
                  <c:v>-943.2</c:v>
                </c:pt>
                <c:pt idx="15">
                  <c:v>-1006.2000000000002</c:v>
                </c:pt>
                <c:pt idx="16">
                  <c:v>-1069.2000000000003</c:v>
                </c:pt>
                <c:pt idx="17">
                  <c:v>-1132.2</c:v>
                </c:pt>
                <c:pt idx="18">
                  <c:v>-1195.2000000000003</c:v>
                </c:pt>
                <c:pt idx="19">
                  <c:v>-1258.2</c:v>
                </c:pt>
                <c:pt idx="20">
                  <c:v>-1321.2000000000003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-591.99999999999989</c:v>
                </c:pt>
                <c:pt idx="7">
                  <c:v>-671.99999999999989</c:v>
                </c:pt>
                <c:pt idx="8">
                  <c:v>-752</c:v>
                </c:pt>
                <c:pt idx="9">
                  <c:v>-832</c:v>
                </c:pt>
                <c:pt idx="10">
                  <c:v>-912</c:v>
                </c:pt>
                <c:pt idx="11">
                  <c:v>-992</c:v>
                </c:pt>
                <c:pt idx="12">
                  <c:v>-1072</c:v>
                </c:pt>
                <c:pt idx="13">
                  <c:v>-1152</c:v>
                </c:pt>
                <c:pt idx="14">
                  <c:v>-1232</c:v>
                </c:pt>
                <c:pt idx="15">
                  <c:v>-1312</c:v>
                </c:pt>
                <c:pt idx="16">
                  <c:v>-1392</c:v>
                </c:pt>
                <c:pt idx="17">
                  <c:v>-1472</c:v>
                </c:pt>
                <c:pt idx="18">
                  <c:v>-1552</c:v>
                </c:pt>
                <c:pt idx="19">
                  <c:v>-1632</c:v>
                </c:pt>
                <c:pt idx="20">
                  <c:v>-1712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-750</c:v>
                </c:pt>
                <c:pt idx="7">
                  <c:v>-848</c:v>
                </c:pt>
                <c:pt idx="8">
                  <c:v>-943</c:v>
                </c:pt>
                <c:pt idx="9">
                  <c:v>-1038</c:v>
                </c:pt>
                <c:pt idx="10">
                  <c:v>-1133</c:v>
                </c:pt>
                <c:pt idx="11">
                  <c:v>-1228</c:v>
                </c:pt>
                <c:pt idx="12">
                  <c:v>-1323</c:v>
                </c:pt>
                <c:pt idx="13">
                  <c:v>-1418</c:v>
                </c:pt>
                <c:pt idx="14">
                  <c:v>-1513</c:v>
                </c:pt>
                <c:pt idx="15">
                  <c:v>-1608</c:v>
                </c:pt>
                <c:pt idx="16">
                  <c:v>-1703</c:v>
                </c:pt>
                <c:pt idx="17">
                  <c:v>-1798</c:v>
                </c:pt>
                <c:pt idx="18">
                  <c:v>-1893</c:v>
                </c:pt>
                <c:pt idx="19">
                  <c:v>-1988</c:v>
                </c:pt>
                <c:pt idx="20">
                  <c:v>-2083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-900</c:v>
                </c:pt>
                <c:pt idx="7">
                  <c:v>-1033.1999999999998</c:v>
                </c:pt>
                <c:pt idx="8">
                  <c:v>-1141.2</c:v>
                </c:pt>
                <c:pt idx="9">
                  <c:v>-1249.2</c:v>
                </c:pt>
                <c:pt idx="10">
                  <c:v>-1357.2</c:v>
                </c:pt>
                <c:pt idx="11">
                  <c:v>-1465.2</c:v>
                </c:pt>
                <c:pt idx="12">
                  <c:v>-1573.1999999999998</c:v>
                </c:pt>
                <c:pt idx="13">
                  <c:v>-1681.2</c:v>
                </c:pt>
                <c:pt idx="14">
                  <c:v>-1789.1999999999998</c:v>
                </c:pt>
                <c:pt idx="15">
                  <c:v>-1897.1999999999998</c:v>
                </c:pt>
                <c:pt idx="16">
                  <c:v>-2005.2</c:v>
                </c:pt>
                <c:pt idx="17">
                  <c:v>-2113.1999999999998</c:v>
                </c:pt>
                <c:pt idx="18">
                  <c:v>-2221.1999999999998</c:v>
                </c:pt>
                <c:pt idx="19">
                  <c:v>-2329.1999999999998</c:v>
                </c:pt>
                <c:pt idx="20">
                  <c:v>-2437.1999999999998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tabSelected="1" zoomScale="97" workbookViewId="0">
      <pane ySplit="4" topLeftCell="A5" activePane="bottomLeft" state="frozen"/>
      <selection pane="bottomLeft" activeCell="G9" sqref="G9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86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87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88</v>
      </c>
      <c r="C6" s="9" t="s">
        <v>47</v>
      </c>
      <c r="D6" s="1"/>
      <c r="E6" s="1"/>
      <c r="F6" s="20" t="s">
        <v>48</v>
      </c>
      <c r="G6" s="20"/>
      <c r="H6" s="20"/>
      <c r="I6" s="20"/>
      <c r="J6" s="20"/>
      <c r="K6" s="1"/>
      <c r="L6" s="1"/>
      <c r="M6" s="1"/>
      <c r="N6" s="1"/>
      <c r="O6" s="1"/>
    </row>
    <row r="7" spans="1:15" ht="23" customHeight="1">
      <c r="A7" s="1"/>
      <c r="B7" s="1" t="s">
        <v>18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20</v>
      </c>
      <c r="C8" s="3">
        <v>-10</v>
      </c>
      <c r="D8" s="1"/>
      <c r="E8" s="1"/>
      <c r="F8" s="22" t="s">
        <v>49</v>
      </c>
      <c r="G8" s="22"/>
      <c r="H8" s="22"/>
      <c r="I8" s="27">
        <f>IF(C18="OK",Samples!F165*MIN(C10,Samples!G165)+Samples!I165*MAX(0,C10-Samples!G165)+Samples!J165*MAX(0,C10-Samples!K165),"检查输入")</f>
        <v>817.5</v>
      </c>
      <c r="J8" s="27"/>
      <c r="K8" s="1"/>
      <c r="L8" s="1"/>
      <c r="M8" s="1"/>
      <c r="N8" s="1"/>
      <c r="O8" s="1"/>
    </row>
    <row r="9" spans="1:15" ht="23" customHeight="1">
      <c r="A9" s="1"/>
      <c r="B9" s="1" t="s">
        <v>50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51</v>
      </c>
      <c r="C10" s="16">
        <v>0.35</v>
      </c>
      <c r="D10" s="1"/>
      <c r="E10" s="1"/>
      <c r="F10" s="22" t="s">
        <v>52</v>
      </c>
      <c r="G10" s="22"/>
      <c r="H10" s="22"/>
      <c r="I10" s="27">
        <f>IF(C18="OK",Samples!M165*MIN(C10,Samples!N165)+Samples!P165*MAX(0,C10-Samples!N165),"检查输入")</f>
        <v>671.99999999999989</v>
      </c>
      <c r="J10" s="27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53</v>
      </c>
      <c r="C13" s="1">
        <f>Parameters!D23</f>
        <v>24</v>
      </c>
      <c r="D13" s="1"/>
      <c r="E13" s="1"/>
      <c r="F13" s="20" t="s">
        <v>89</v>
      </c>
      <c r="G13" s="20"/>
      <c r="H13" s="20"/>
      <c r="I13" s="20"/>
      <c r="J13" s="20"/>
      <c r="K13" s="1"/>
      <c r="L13" s="1"/>
      <c r="M13" s="1"/>
      <c r="N13" s="1"/>
      <c r="O13" s="1"/>
    </row>
    <row r="14" spans="1:15" ht="23" customHeight="1">
      <c r="A14" s="1"/>
      <c r="B14" s="1" t="s">
        <v>55</v>
      </c>
      <c r="C14" s="1">
        <f>Parameters!D24</f>
        <v>20</v>
      </c>
      <c r="D14" s="1"/>
      <c r="E14" s="1"/>
      <c r="F14" s="22" t="s">
        <v>21</v>
      </c>
      <c r="G14" s="22"/>
      <c r="H14" s="22"/>
      <c r="I14" s="18">
        <f>Samples!F165</f>
        <v>2500</v>
      </c>
      <c r="J14" s="1" t="s">
        <v>22</v>
      </c>
      <c r="K14" s="1"/>
      <c r="L14" s="1"/>
      <c r="M14" s="1"/>
      <c r="N14" s="1"/>
      <c r="O14" s="1"/>
    </row>
    <row r="15" spans="1:15" ht="23" customHeight="1">
      <c r="A15" s="1"/>
      <c r="B15" s="1" t="s">
        <v>56</v>
      </c>
      <c r="C15" s="1">
        <f>IF(C6="WRC17",Parameters!D26,Parameters!D25)</f>
        <v>40</v>
      </c>
      <c r="D15" s="1"/>
      <c r="E15" s="1"/>
      <c r="F15" s="22" t="s">
        <v>57</v>
      </c>
      <c r="G15" s="22"/>
      <c r="H15" s="22"/>
      <c r="I15" s="18">
        <f>Samples!I165</f>
        <v>2250</v>
      </c>
      <c r="J15" s="1" t="s">
        <v>22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2" t="s">
        <v>90</v>
      </c>
      <c r="G16" s="22"/>
      <c r="H16" s="22"/>
      <c r="I16" s="18">
        <f>Samples!J165</f>
        <v>2000</v>
      </c>
      <c r="J16" s="1" t="s">
        <v>22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2" t="s">
        <v>58</v>
      </c>
      <c r="G17" s="22"/>
      <c r="H17" s="22"/>
      <c r="I17" s="18">
        <f>Samples!L165</f>
        <v>4250</v>
      </c>
      <c r="J17" s="1" t="s">
        <v>22</v>
      </c>
      <c r="K17" s="1"/>
      <c r="L17" s="1"/>
      <c r="M17" s="1"/>
      <c r="N17" s="1"/>
      <c r="O17" s="1"/>
    </row>
    <row r="18" spans="1:15" ht="23" customHeight="1">
      <c r="A18" s="1"/>
      <c r="B18" s="1" t="s">
        <v>59</v>
      </c>
      <c r="C18" s="1" t="str">
        <f>IF(AND(OR(C4="Type-A",C4="Type-B"),OR(C6="Rally2",C6="WRC17",C6="Rally1"),COUNT(C7:C10)=4,C7&gt;=-C13,C7&lt;=0,C8&gt;=-C14,C8&lt;=0,C9&gt;=-C15,C9&lt;=0,C10&gt;=0,INT(C7)=C7,INT(C8)=C8,INT(C9)=C9),"OK","检查输入")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2" t="s">
        <v>28</v>
      </c>
      <c r="G19" s="22"/>
      <c r="H19" s="22"/>
      <c r="I19" s="18">
        <f>Samples!M165</f>
        <v>2000</v>
      </c>
      <c r="J19" s="1" t="s">
        <v>22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2" t="s">
        <v>60</v>
      </c>
      <c r="G20" s="22"/>
      <c r="H20" s="22"/>
      <c r="I20" s="18">
        <f>Samples!P165</f>
        <v>1600</v>
      </c>
      <c r="J20" s="1" t="s">
        <v>22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2" t="s">
        <v>81</v>
      </c>
      <c r="G22" s="22"/>
      <c r="H22" s="22"/>
      <c r="I22" s="5">
        <f>Samples!G165</f>
        <v>0.12</v>
      </c>
      <c r="J22" s="1" t="s">
        <v>23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2" t="s">
        <v>82</v>
      </c>
      <c r="G23" s="22"/>
      <c r="H23" s="22"/>
      <c r="I23" s="5">
        <f>Samples!K165</f>
        <v>0.6</v>
      </c>
      <c r="J23" s="1" t="s">
        <v>23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2" t="s">
        <v>29</v>
      </c>
      <c r="G24" s="22"/>
      <c r="H24" s="22"/>
      <c r="I24" s="5">
        <f>Samples!N165</f>
        <v>0.28000000000000003</v>
      </c>
      <c r="J24" s="1" t="s">
        <v>23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6" t="s">
        <v>61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"Rally2,WRC17,Rally1"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2" zoomScaleNormal="109" workbookViewId="0">
      <pane ySplit="4" topLeftCell="A1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107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15</v>
      </c>
      <c r="D4" s="1"/>
      <c r="E4" s="25" t="s">
        <v>108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</v>
      </c>
      <c r="C6" s="3">
        <v>-10</v>
      </c>
      <c r="D6" s="1"/>
      <c r="E6" s="22" t="s">
        <v>5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B41" sqref="B41:M41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109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110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7</v>
      </c>
      <c r="C6" s="3">
        <v>-12</v>
      </c>
      <c r="D6" s="1"/>
      <c r="E6" s="22" t="s">
        <v>8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2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111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112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10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B1" zoomScale="86" workbookViewId="0">
      <pane ySplit="4" topLeftCell="A18" activePane="bottomLeft" state="frozen"/>
      <selection pane="bottomLeft" activeCell="B41" sqref="B41:M41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113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114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workbookViewId="0">
      <pane ySplit="4" topLeftCell="A5" activePane="bottomLeft" state="frozen"/>
      <selection pane="bottomLeft" activeCell="L12" sqref="L12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91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1"/>
    </row>
    <row r="3" spans="1:15" ht="23" customHeight="1">
      <c r="A3" s="1"/>
      <c r="B3" s="25" t="s">
        <v>92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0" t="s">
        <v>2</v>
      </c>
      <c r="E5" s="20"/>
      <c r="F5" s="20"/>
      <c r="G5" s="20"/>
      <c r="H5" s="20"/>
      <c r="I5" s="1"/>
      <c r="J5" s="20" t="s">
        <v>15</v>
      </c>
      <c r="K5" s="20"/>
      <c r="L5" s="20"/>
      <c r="M5" s="20"/>
      <c r="N5" s="20"/>
      <c r="O5" s="1"/>
    </row>
    <row r="6" spans="1:15" ht="23" customHeight="1">
      <c r="A6" s="1"/>
      <c r="B6" s="1" t="s">
        <v>16</v>
      </c>
      <c r="C6" s="1" t="s">
        <v>17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18</v>
      </c>
      <c r="C7" s="1" t="s">
        <v>19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20</v>
      </c>
      <c r="C8" s="1" t="s">
        <v>19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21</v>
      </c>
      <c r="C10" s="1" t="s">
        <v>22</v>
      </c>
      <c r="D10" s="3">
        <v>1000</v>
      </c>
      <c r="E10" s="6">
        <f>(D10+F10)/2</f>
        <v>1750</v>
      </c>
      <c r="F10" s="3">
        <v>2500</v>
      </c>
      <c r="G10" s="6">
        <f>(F10+H10)/2</f>
        <v>3250</v>
      </c>
      <c r="H10" s="3">
        <v>4000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81</v>
      </c>
      <c r="C11" s="1" t="s">
        <v>23</v>
      </c>
      <c r="D11" s="4">
        <v>0.12</v>
      </c>
      <c r="E11" s="5">
        <f>(D11+F11)/2</f>
        <v>0.12</v>
      </c>
      <c r="F11" s="4">
        <v>0.12</v>
      </c>
      <c r="G11" s="5">
        <f>(F11+H11)/2</f>
        <v>0.12</v>
      </c>
      <c r="H11" s="4">
        <v>0.12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24</v>
      </c>
      <c r="C12" s="1" t="s">
        <v>25</v>
      </c>
      <c r="D12" s="4">
        <v>0.96</v>
      </c>
      <c r="E12" s="5">
        <f>(D12+F12)/2</f>
        <v>0.92999999999999994</v>
      </c>
      <c r="F12" s="4">
        <v>0.9</v>
      </c>
      <c r="G12" s="5">
        <f>(F12+H12)/2</f>
        <v>0.87</v>
      </c>
      <c r="H12" s="4">
        <v>0.84</v>
      </c>
      <c r="I12" s="1"/>
      <c r="J12" s="4">
        <v>0.56000000000000005</v>
      </c>
      <c r="K12" s="5">
        <f>(J12+L12)/2</f>
        <v>0.54</v>
      </c>
      <c r="L12" s="4">
        <v>0.52</v>
      </c>
      <c r="M12" s="5">
        <f>(L12+N12)/2</f>
        <v>0.5</v>
      </c>
      <c r="N12" s="4">
        <v>0.48</v>
      </c>
      <c r="O12" s="1"/>
    </row>
    <row r="13" spans="1:15" ht="23" customHeight="1">
      <c r="A13" s="1"/>
      <c r="B13" s="1" t="s">
        <v>93</v>
      </c>
      <c r="C13" s="1" t="s">
        <v>22</v>
      </c>
      <c r="D13" s="3">
        <v>500</v>
      </c>
      <c r="E13" s="6">
        <f>(D13+F13)/2</f>
        <v>1250</v>
      </c>
      <c r="F13" s="3">
        <v>2000</v>
      </c>
      <c r="G13" s="6">
        <f>(F13+H13)/2</f>
        <v>2750</v>
      </c>
      <c r="H13" s="3">
        <v>3500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" customHeight="1">
      <c r="A14" s="1"/>
      <c r="B14" s="1" t="s">
        <v>82</v>
      </c>
      <c r="C14" s="1" t="s">
        <v>23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94</v>
      </c>
      <c r="C16" s="1" t="s">
        <v>19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28</v>
      </c>
      <c r="C17" s="1" t="s">
        <v>22</v>
      </c>
      <c r="D17" s="3">
        <v>1000</v>
      </c>
      <c r="E17" s="6">
        <f>(D17+F17)/2</f>
        <v>1500</v>
      </c>
      <c r="F17" s="3">
        <v>2000</v>
      </c>
      <c r="G17" s="6">
        <f>(F17+H17)/2</f>
        <v>2500</v>
      </c>
      <c r="H17" s="3">
        <v>3000</v>
      </c>
      <c r="I17" s="1"/>
      <c r="J17" s="3">
        <v>1500</v>
      </c>
      <c r="K17" s="6">
        <f>(J17+L17)/2</f>
        <v>2000</v>
      </c>
      <c r="L17" s="3">
        <v>2500</v>
      </c>
      <c r="M17" s="6">
        <f>(L17+N17)/2</f>
        <v>3000</v>
      </c>
      <c r="N17" s="3">
        <v>3500</v>
      </c>
      <c r="O17" s="1"/>
    </row>
    <row r="18" spans="1:15" ht="23" customHeight="1">
      <c r="A18" s="1"/>
      <c r="B18" s="1" t="s">
        <v>29</v>
      </c>
      <c r="C18" s="1" t="s">
        <v>23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" customHeight="1">
      <c r="A19" s="1"/>
      <c r="B19" s="1" t="s">
        <v>30</v>
      </c>
      <c r="C19" s="1" t="s">
        <v>25</v>
      </c>
      <c r="D19" s="4">
        <v>0.88</v>
      </c>
      <c r="E19" s="5">
        <f>(D19+F19)/2</f>
        <v>0.84000000000000008</v>
      </c>
      <c r="F19" s="4">
        <v>0.8</v>
      </c>
      <c r="G19" s="5">
        <f>(F19+H19)/2</f>
        <v>0.76</v>
      </c>
      <c r="H19" s="4">
        <v>0.72</v>
      </c>
      <c r="I19" s="1"/>
      <c r="J19" s="4">
        <v>0.66</v>
      </c>
      <c r="K19" s="5">
        <f>(J19+L19)/2</f>
        <v>0.62</v>
      </c>
      <c r="L19" s="4">
        <v>0.57999999999999996</v>
      </c>
      <c r="M19" s="5">
        <f>(L19+N19)/2</f>
        <v>0.54</v>
      </c>
      <c r="N19" s="4">
        <v>0.5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0" t="s">
        <v>95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1"/>
    </row>
    <row r="23" spans="1:15" ht="23" customHeight="1">
      <c r="A23" s="1"/>
      <c r="B23" s="22" t="s">
        <v>96</v>
      </c>
      <c r="C23" s="22"/>
      <c r="D23" s="1">
        <v>24</v>
      </c>
      <c r="E23" s="1"/>
      <c r="F23" s="23" t="s">
        <v>100</v>
      </c>
      <c r="G23" s="23"/>
      <c r="H23" s="23"/>
      <c r="I23" s="23"/>
      <c r="J23" s="23"/>
      <c r="K23" s="23"/>
      <c r="L23" s="23"/>
      <c r="M23" s="23"/>
      <c r="N23" s="23"/>
      <c r="O23" s="1"/>
    </row>
    <row r="24" spans="1:15" ht="23" customHeight="1">
      <c r="A24" s="1"/>
      <c r="B24" s="22" t="s">
        <v>97</v>
      </c>
      <c r="C24" s="22"/>
      <c r="D24" s="1">
        <v>20</v>
      </c>
      <c r="E24" s="1"/>
      <c r="F24" s="23"/>
      <c r="G24" s="23"/>
      <c r="H24" s="23"/>
      <c r="I24" s="23"/>
      <c r="J24" s="23"/>
      <c r="K24" s="23"/>
      <c r="L24" s="23"/>
      <c r="M24" s="23"/>
      <c r="N24" s="23"/>
      <c r="O24" s="1"/>
    </row>
    <row r="25" spans="1:15" ht="23" customHeight="1">
      <c r="A25" s="1"/>
      <c r="B25" s="22" t="s">
        <v>98</v>
      </c>
      <c r="C25" s="22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2" t="s">
        <v>99</v>
      </c>
      <c r="C26" s="22"/>
      <c r="D26" s="1">
        <v>60</v>
      </c>
      <c r="E26" s="1"/>
      <c r="F26" s="22" t="s">
        <v>37</v>
      </c>
      <c r="G26" s="22"/>
      <c r="H26" s="22"/>
      <c r="I26" s="22"/>
      <c r="J26" s="22"/>
      <c r="K26" s="22"/>
      <c r="L26" s="22"/>
      <c r="M26" s="22"/>
      <c r="N26" s="22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0" t="s">
        <v>101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"/>
    </row>
    <row r="29" spans="1:15" ht="23" customHeight="1">
      <c r="A29" s="1"/>
      <c r="B29" s="19" t="s">
        <v>39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"/>
    </row>
    <row r="30" spans="1:15" ht="31" customHeight="1">
      <c r="A30" s="1"/>
      <c r="B30" s="21" t="s">
        <v>83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"/>
    </row>
    <row r="31" spans="1:15" ht="23" customHeight="1">
      <c r="A31" s="1"/>
      <c r="B31" s="19" t="s">
        <v>40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"/>
    </row>
    <row r="32" spans="1:15" ht="23" customHeight="1">
      <c r="A32" s="1"/>
      <c r="B32" s="19" t="s">
        <v>102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"/>
    </row>
    <row r="33" spans="1:15" ht="23" customHeight="1">
      <c r="A33" s="1"/>
      <c r="B33" s="19" t="s">
        <v>42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"/>
    </row>
    <row r="34" spans="1:15" ht="23" customHeight="1">
      <c r="A34" s="1"/>
      <c r="B34" s="19" t="s">
        <v>84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"/>
    </row>
    <row r="35" spans="1:15" ht="23" customHeight="1">
      <c r="A35" s="1"/>
      <c r="B35" s="19" t="s">
        <v>43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103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21</v>
      </c>
      <c r="G4" s="12" t="s">
        <v>81</v>
      </c>
      <c r="H4" s="12" t="s">
        <v>67</v>
      </c>
      <c r="I4" s="12" t="s">
        <v>57</v>
      </c>
      <c r="J4" s="12" t="s">
        <v>68</v>
      </c>
      <c r="K4" s="12" t="s">
        <v>82</v>
      </c>
      <c r="L4" s="12" t="s">
        <v>69</v>
      </c>
      <c r="M4" s="12" t="s">
        <v>28</v>
      </c>
      <c r="N4" s="12" t="s">
        <v>29</v>
      </c>
      <c r="O4" s="12" t="s">
        <v>70</v>
      </c>
      <c r="P4" s="13" t="s">
        <v>60</v>
      </c>
      <c r="Q4" s="13" t="s">
        <v>71</v>
      </c>
      <c r="R4" s="13" t="s">
        <v>72</v>
      </c>
      <c r="S4" s="13" t="s">
        <v>73</v>
      </c>
      <c r="T4" s="13" t="s">
        <v>74</v>
      </c>
      <c r="U4" s="13" t="s">
        <v>75</v>
      </c>
      <c r="V4" s="13" t="s">
        <v>76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0.56000000000000005</v>
      </c>
      <c r="I5" s="7">
        <f>F5*H5</f>
        <v>1008.0000000000001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1508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1500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8">
        <f>M5*O5</f>
        <v>990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0.54</v>
      </c>
      <c r="I6" s="7">
        <f>F6*H6</f>
        <v>1296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1796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8">
        <f>M6*O6</f>
        <v>1240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0.52</v>
      </c>
      <c r="I7" s="7">
        <f>F7*H7</f>
        <v>1560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2060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8">
        <f>M7*O7</f>
        <v>1450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</v>
      </c>
      <c r="I8" s="7">
        <f>F8*H8</f>
        <v>1800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2300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3000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8">
        <f>M8*O8</f>
        <v>1620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0.48</v>
      </c>
      <c r="I9" s="7">
        <f>F9*H9</f>
        <v>2016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2516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3500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8">
        <f>M9*O9</f>
        <v>1750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51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90</v>
      </c>
      <c r="D15" s="14">
        <f t="shared" si="1"/>
        <v>120</v>
      </c>
      <c r="E15" s="14">
        <f t="shared" si="2"/>
        <v>150</v>
      </c>
      <c r="F15" s="14">
        <f t="shared" si="3"/>
        <v>180</v>
      </c>
      <c r="G15" s="14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180</v>
      </c>
      <c r="D16" s="14">
        <f t="shared" si="1"/>
        <v>240</v>
      </c>
      <c r="E16" s="14">
        <f t="shared" si="2"/>
        <v>300</v>
      </c>
      <c r="F16" s="14">
        <f t="shared" si="3"/>
        <v>360</v>
      </c>
      <c r="G16" s="14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270</v>
      </c>
      <c r="D17" s="14">
        <f t="shared" si="1"/>
        <v>360</v>
      </c>
      <c r="E17" s="14">
        <f t="shared" si="2"/>
        <v>450</v>
      </c>
      <c r="F17" s="14">
        <f t="shared" si="3"/>
        <v>540</v>
      </c>
      <c r="G17" s="14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360</v>
      </c>
      <c r="D18" s="14">
        <f t="shared" si="1"/>
        <v>480</v>
      </c>
      <c r="E18" s="14">
        <f t="shared" si="2"/>
        <v>600</v>
      </c>
      <c r="F18" s="14">
        <f t="shared" si="3"/>
        <v>720</v>
      </c>
      <c r="G18" s="14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450</v>
      </c>
      <c r="D19" s="14">
        <f t="shared" si="1"/>
        <v>600</v>
      </c>
      <c r="E19" s="14">
        <f t="shared" si="2"/>
        <v>750</v>
      </c>
      <c r="F19" s="14">
        <f t="shared" si="3"/>
        <v>900</v>
      </c>
      <c r="G19" s="14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540</v>
      </c>
      <c r="D20" s="14">
        <f t="shared" si="1"/>
        <v>720</v>
      </c>
      <c r="E20" s="14">
        <f t="shared" si="2"/>
        <v>900</v>
      </c>
      <c r="F20" s="14">
        <f t="shared" si="3"/>
        <v>1080</v>
      </c>
      <c r="G20" s="14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630</v>
      </c>
      <c r="D21" s="14">
        <f t="shared" si="1"/>
        <v>840</v>
      </c>
      <c r="E21" s="14">
        <f t="shared" si="2"/>
        <v>1050</v>
      </c>
      <c r="F21" s="14">
        <f t="shared" si="3"/>
        <v>1260</v>
      </c>
      <c r="G21" s="14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680.40000000000009</v>
      </c>
      <c r="D22" s="14">
        <f t="shared" si="1"/>
        <v>904.80000000000007</v>
      </c>
      <c r="E22" s="14">
        <f t="shared" si="2"/>
        <v>1128</v>
      </c>
      <c r="F22" s="14">
        <f t="shared" si="3"/>
        <v>1350</v>
      </c>
      <c r="G22" s="14">
        <f t="shared" si="4"/>
        <v>1570.8000000000002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730.80000000000007</v>
      </c>
      <c r="D23" s="14">
        <f t="shared" si="1"/>
        <v>969.6</v>
      </c>
      <c r="E23" s="14">
        <f t="shared" si="2"/>
        <v>1206</v>
      </c>
      <c r="F23" s="14">
        <f t="shared" si="3"/>
        <v>1440</v>
      </c>
      <c r="G23" s="14">
        <f t="shared" si="4"/>
        <v>1671.6000000000001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781.2</v>
      </c>
      <c r="D24" s="14">
        <f t="shared" si="1"/>
        <v>1034.4000000000001</v>
      </c>
      <c r="E24" s="14">
        <f t="shared" si="2"/>
        <v>1284</v>
      </c>
      <c r="F24" s="14">
        <f t="shared" si="3"/>
        <v>1530</v>
      </c>
      <c r="G24" s="14">
        <f t="shared" si="4"/>
        <v>1772.4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831.60000000000014</v>
      </c>
      <c r="D25" s="14">
        <f t="shared" si="1"/>
        <v>1099.2</v>
      </c>
      <c r="E25" s="14">
        <f t="shared" si="2"/>
        <v>1362</v>
      </c>
      <c r="F25" s="14">
        <f t="shared" si="3"/>
        <v>1620</v>
      </c>
      <c r="G25" s="14">
        <f t="shared" si="4"/>
        <v>1873.2000000000003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882</v>
      </c>
      <c r="D26" s="14">
        <f t="shared" si="1"/>
        <v>1164</v>
      </c>
      <c r="E26" s="14">
        <f t="shared" si="2"/>
        <v>1440</v>
      </c>
      <c r="F26" s="14">
        <f t="shared" si="3"/>
        <v>1710</v>
      </c>
      <c r="G26" s="14">
        <f t="shared" si="4"/>
        <v>1974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957.40000000000009</v>
      </c>
      <c r="D27" s="14">
        <f t="shared" si="1"/>
        <v>1253.8000000000002</v>
      </c>
      <c r="E27" s="14">
        <f t="shared" si="2"/>
        <v>1543</v>
      </c>
      <c r="F27" s="14">
        <f t="shared" si="3"/>
        <v>1825</v>
      </c>
      <c r="G27" s="14">
        <f t="shared" si="4"/>
        <v>2099.8000000000002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1032.8</v>
      </c>
      <c r="D28" s="14">
        <f t="shared" si="1"/>
        <v>1343.6</v>
      </c>
      <c r="E28" s="14">
        <f t="shared" si="2"/>
        <v>1646</v>
      </c>
      <c r="F28" s="14">
        <f t="shared" si="3"/>
        <v>1940</v>
      </c>
      <c r="G28" s="14">
        <f t="shared" si="4"/>
        <v>2225.6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1108.2</v>
      </c>
      <c r="D29" s="14">
        <f t="shared" si="1"/>
        <v>1433.4</v>
      </c>
      <c r="E29" s="14">
        <f t="shared" si="2"/>
        <v>1749</v>
      </c>
      <c r="F29" s="14">
        <f t="shared" si="3"/>
        <v>2055</v>
      </c>
      <c r="G29" s="14">
        <f t="shared" si="4"/>
        <v>2351.4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1183.6000000000001</v>
      </c>
      <c r="D30" s="14">
        <f t="shared" si="1"/>
        <v>1523.2</v>
      </c>
      <c r="E30" s="14">
        <f t="shared" si="2"/>
        <v>1852</v>
      </c>
      <c r="F30" s="14">
        <f t="shared" si="3"/>
        <v>2170</v>
      </c>
      <c r="G30" s="14">
        <f t="shared" si="4"/>
        <v>2477.2000000000003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1259</v>
      </c>
      <c r="D31" s="14">
        <f t="shared" si="1"/>
        <v>1613</v>
      </c>
      <c r="E31" s="14">
        <f t="shared" si="2"/>
        <v>1955</v>
      </c>
      <c r="F31" s="14">
        <f t="shared" si="3"/>
        <v>2285</v>
      </c>
      <c r="G31" s="14">
        <f t="shared" si="4"/>
        <v>2603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1334.4</v>
      </c>
      <c r="D32" s="14">
        <f t="shared" si="1"/>
        <v>1702.8000000000002</v>
      </c>
      <c r="E32" s="14">
        <f t="shared" si="2"/>
        <v>2058</v>
      </c>
      <c r="F32" s="14">
        <f t="shared" si="3"/>
        <v>2400</v>
      </c>
      <c r="G32" s="14">
        <f t="shared" si="4"/>
        <v>2728.8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1409.8000000000002</v>
      </c>
      <c r="D33" s="14">
        <f t="shared" si="1"/>
        <v>1792.6</v>
      </c>
      <c r="E33" s="14">
        <f t="shared" si="2"/>
        <v>2161</v>
      </c>
      <c r="F33" s="14">
        <f t="shared" si="3"/>
        <v>2515</v>
      </c>
      <c r="G33" s="14">
        <f t="shared" si="4"/>
        <v>2854.6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1485.2</v>
      </c>
      <c r="D34" s="14">
        <f t="shared" si="1"/>
        <v>1882.4</v>
      </c>
      <c r="E34" s="14">
        <f t="shared" si="2"/>
        <v>2264</v>
      </c>
      <c r="F34" s="14">
        <f t="shared" si="3"/>
        <v>2630</v>
      </c>
      <c r="G34" s="14">
        <f t="shared" si="4"/>
        <v>2980.4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104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63</v>
      </c>
      <c r="C44" s="13" t="s">
        <v>64</v>
      </c>
      <c r="D44" s="13" t="s">
        <v>65</v>
      </c>
      <c r="E44" s="13" t="s">
        <v>66</v>
      </c>
      <c r="F44" s="13" t="s">
        <v>21</v>
      </c>
      <c r="G44" s="13" t="s">
        <v>81</v>
      </c>
      <c r="H44" s="13" t="s">
        <v>67</v>
      </c>
      <c r="I44" s="13" t="s">
        <v>57</v>
      </c>
      <c r="J44" s="13" t="s">
        <v>68</v>
      </c>
      <c r="K44" s="13" t="s">
        <v>82</v>
      </c>
      <c r="L44" s="13" t="s">
        <v>69</v>
      </c>
      <c r="M44" s="13" t="s">
        <v>28</v>
      </c>
      <c r="N44" s="13" t="s">
        <v>29</v>
      </c>
      <c r="O44" s="13" t="s">
        <v>70</v>
      </c>
      <c r="P44" s="13" t="s">
        <v>60</v>
      </c>
      <c r="Q44" s="13" t="s">
        <v>71</v>
      </c>
      <c r="R44" s="13" t="s">
        <v>72</v>
      </c>
      <c r="S44" s="13" t="s">
        <v>73</v>
      </c>
      <c r="T44" s="13" t="s">
        <v>74</v>
      </c>
      <c r="U44" s="13" t="s">
        <v>75</v>
      </c>
      <c r="V44" s="13" t="s">
        <v>76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2500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</v>
      </c>
      <c r="I45" s="8">
        <f>F45*H45</f>
        <v>2250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8">
        <f>IF('HSC Sweep'!$C$4="Type-B",Parameters!$L$14,INDEX(Parameters!$D$14:$H$14,1,R45)+(INDEX(Parameters!$D$14:$H$14,1,R45+1)-INDEX(Parameters!$D$14:$H$14,1,R45))*U45)</f>
        <v>0.57999999999999996</v>
      </c>
      <c r="L45" s="8">
        <f>I45+J45</f>
        <v>2750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1000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0.88</v>
      </c>
      <c r="P45" s="8">
        <f>M45*O45</f>
        <v>880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2500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</v>
      </c>
      <c r="I46" s="8">
        <f>F46*H46</f>
        <v>2250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1250</v>
      </c>
      <c r="K46" s="8">
        <f>IF('HSC Sweep'!$C$4="Type-B",Parameters!$L$14,INDEX(Parameters!$D$14:$H$14,1,R46)+(INDEX(Parameters!$D$14:$H$14,1,R46+1)-INDEX(Parameters!$D$14:$H$14,1,R46))*U46)</f>
        <v>0.59</v>
      </c>
      <c r="L46" s="8">
        <f>I46+J46</f>
        <v>3500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0.84000000000000008</v>
      </c>
      <c r="P46" s="8">
        <f>M46*O46</f>
        <v>1260.0000000000002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2500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</v>
      </c>
      <c r="I47" s="8">
        <f>F47*H47</f>
        <v>2250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2000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4250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</v>
      </c>
      <c r="P47" s="8">
        <f>M47*O47</f>
        <v>1600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2500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</v>
      </c>
      <c r="I48" s="8">
        <f>F48*H48</f>
        <v>2250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2750</v>
      </c>
      <c r="K48" s="8">
        <f>IF('HSC Sweep'!$C$4="Type-B",Parameters!$L$14,INDEX(Parameters!$D$14:$H$14,1,R48)+(INDEX(Parameters!$D$14:$H$14,1,R48+1)-INDEX(Parameters!$D$14:$H$14,1,R48))*U48)</f>
        <v>0.61</v>
      </c>
      <c r="L48" s="8">
        <f>I48+J48</f>
        <v>5000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2500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0.76</v>
      </c>
      <c r="P48" s="8">
        <f>M48*O48</f>
        <v>1900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2500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</v>
      </c>
      <c r="I49" s="8">
        <f>F49*H49</f>
        <v>2250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3500</v>
      </c>
      <c r="K49" s="8">
        <f>IF('HSC Sweep'!$C$4="Type-B",Parameters!$L$14,INDEX(Parameters!$D$14:$H$14,1,R49)+(INDEX(Parameters!$D$14:$H$14,1,R49+1)-INDEX(Parameters!$D$14:$H$14,1,R49))*U49)</f>
        <v>0.62</v>
      </c>
      <c r="L49" s="8">
        <f>I49+J49</f>
        <v>5750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3000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0.72</v>
      </c>
      <c r="P49" s="8">
        <f>M49*O49</f>
        <v>2160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51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125</v>
      </c>
      <c r="D55" s="15">
        <f t="shared" si="6"/>
        <v>125</v>
      </c>
      <c r="E55" s="15">
        <f t="shared" si="7"/>
        <v>125</v>
      </c>
      <c r="F55" s="15">
        <f t="shared" si="8"/>
        <v>125</v>
      </c>
      <c r="G55" s="15">
        <f t="shared" si="9"/>
        <v>125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250</v>
      </c>
      <c r="D56" s="15">
        <f t="shared" si="6"/>
        <v>250</v>
      </c>
      <c r="E56" s="15">
        <f t="shared" si="7"/>
        <v>250</v>
      </c>
      <c r="F56" s="15">
        <f t="shared" si="8"/>
        <v>250</v>
      </c>
      <c r="G56" s="15">
        <f t="shared" si="9"/>
        <v>250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367.5</v>
      </c>
      <c r="D57" s="15">
        <f t="shared" si="6"/>
        <v>367.5</v>
      </c>
      <c r="E57" s="15">
        <f t="shared" si="7"/>
        <v>367.5</v>
      </c>
      <c r="F57" s="15">
        <f t="shared" si="8"/>
        <v>367.5</v>
      </c>
      <c r="G57" s="15">
        <f t="shared" si="9"/>
        <v>367.5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480</v>
      </c>
      <c r="D58" s="15">
        <f t="shared" si="6"/>
        <v>480</v>
      </c>
      <c r="E58" s="15">
        <f t="shared" si="7"/>
        <v>480</v>
      </c>
      <c r="F58" s="15">
        <f t="shared" si="8"/>
        <v>480</v>
      </c>
      <c r="G58" s="15">
        <f t="shared" si="9"/>
        <v>480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592.5</v>
      </c>
      <c r="D59" s="15">
        <f t="shared" si="6"/>
        <v>592.5</v>
      </c>
      <c r="E59" s="15">
        <f t="shared" si="7"/>
        <v>592.5</v>
      </c>
      <c r="F59" s="15">
        <f t="shared" si="8"/>
        <v>592.5</v>
      </c>
      <c r="G59" s="15">
        <f t="shared" si="9"/>
        <v>592.5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705</v>
      </c>
      <c r="D60" s="15">
        <f t="shared" si="6"/>
        <v>705</v>
      </c>
      <c r="E60" s="15">
        <f t="shared" si="7"/>
        <v>705</v>
      </c>
      <c r="F60" s="15">
        <f t="shared" si="8"/>
        <v>705</v>
      </c>
      <c r="G60" s="15">
        <f t="shared" si="9"/>
        <v>705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817.5</v>
      </c>
      <c r="D61" s="15">
        <f t="shared" si="6"/>
        <v>817.5</v>
      </c>
      <c r="E61" s="15">
        <f t="shared" si="7"/>
        <v>817.5</v>
      </c>
      <c r="F61" s="15">
        <f t="shared" si="8"/>
        <v>817.5</v>
      </c>
      <c r="G61" s="15">
        <f t="shared" si="9"/>
        <v>817.5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930.00000000000011</v>
      </c>
      <c r="D62" s="15">
        <f t="shared" si="6"/>
        <v>930.00000000000011</v>
      </c>
      <c r="E62" s="15">
        <f t="shared" si="7"/>
        <v>930.00000000000011</v>
      </c>
      <c r="F62" s="15">
        <f t="shared" si="8"/>
        <v>930.00000000000011</v>
      </c>
      <c r="G62" s="15">
        <f t="shared" si="9"/>
        <v>930.00000000000011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1042.5</v>
      </c>
      <c r="D63" s="15">
        <f t="shared" si="6"/>
        <v>1042.5</v>
      </c>
      <c r="E63" s="15">
        <f t="shared" si="7"/>
        <v>1042.5</v>
      </c>
      <c r="F63" s="15">
        <f t="shared" si="8"/>
        <v>1042.5</v>
      </c>
      <c r="G63" s="15">
        <f t="shared" si="9"/>
        <v>1042.5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1155</v>
      </c>
      <c r="D64" s="15">
        <f t="shared" si="6"/>
        <v>1155</v>
      </c>
      <c r="E64" s="15">
        <f t="shared" si="7"/>
        <v>1155</v>
      </c>
      <c r="F64" s="15">
        <f t="shared" si="8"/>
        <v>1155</v>
      </c>
      <c r="G64" s="15">
        <f t="shared" si="9"/>
        <v>1155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1267.5</v>
      </c>
      <c r="D65" s="15">
        <f t="shared" si="6"/>
        <v>1267.5</v>
      </c>
      <c r="E65" s="15">
        <f t="shared" si="7"/>
        <v>1267.5</v>
      </c>
      <c r="F65" s="15">
        <f t="shared" si="8"/>
        <v>1267.5</v>
      </c>
      <c r="G65" s="15">
        <f t="shared" si="9"/>
        <v>1267.5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1390</v>
      </c>
      <c r="D66" s="15">
        <f t="shared" si="6"/>
        <v>1392.5</v>
      </c>
      <c r="E66" s="15">
        <f t="shared" si="7"/>
        <v>1380</v>
      </c>
      <c r="F66" s="15">
        <f t="shared" si="8"/>
        <v>1380</v>
      </c>
      <c r="G66" s="15">
        <f t="shared" si="9"/>
        <v>1380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1527.5</v>
      </c>
      <c r="D67" s="15">
        <f t="shared" si="6"/>
        <v>1567.5</v>
      </c>
      <c r="E67" s="15">
        <f t="shared" si="7"/>
        <v>1592.5</v>
      </c>
      <c r="F67" s="15">
        <f t="shared" si="8"/>
        <v>1602.5</v>
      </c>
      <c r="G67" s="15">
        <f t="shared" si="9"/>
        <v>1597.5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1665</v>
      </c>
      <c r="D68" s="15">
        <f t="shared" si="6"/>
        <v>1742.5</v>
      </c>
      <c r="E68" s="15">
        <f t="shared" si="7"/>
        <v>1805</v>
      </c>
      <c r="F68" s="15">
        <f t="shared" si="8"/>
        <v>1852.5</v>
      </c>
      <c r="G68" s="15">
        <f t="shared" si="9"/>
        <v>1885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1802.5</v>
      </c>
      <c r="D69" s="15">
        <f t="shared" si="6"/>
        <v>1917.5</v>
      </c>
      <c r="E69" s="15">
        <f t="shared" si="7"/>
        <v>2017.5</v>
      </c>
      <c r="F69" s="15">
        <f t="shared" si="8"/>
        <v>2102.5</v>
      </c>
      <c r="G69" s="15">
        <f t="shared" si="9"/>
        <v>2172.5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1940</v>
      </c>
      <c r="D70" s="15">
        <f t="shared" si="6"/>
        <v>2092.5</v>
      </c>
      <c r="E70" s="15">
        <f t="shared" si="7"/>
        <v>2230</v>
      </c>
      <c r="F70" s="15">
        <f t="shared" si="8"/>
        <v>2352.5</v>
      </c>
      <c r="G70" s="15">
        <f t="shared" si="9"/>
        <v>2460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2077.5</v>
      </c>
      <c r="D71" s="15">
        <f t="shared" si="6"/>
        <v>2267.5</v>
      </c>
      <c r="E71" s="15">
        <f t="shared" si="7"/>
        <v>2442.5</v>
      </c>
      <c r="F71" s="15">
        <f t="shared" si="8"/>
        <v>2602.5</v>
      </c>
      <c r="G71" s="15">
        <f t="shared" si="9"/>
        <v>2747.5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2215</v>
      </c>
      <c r="D72" s="15">
        <f t="shared" si="6"/>
        <v>2442.5</v>
      </c>
      <c r="E72" s="15">
        <f t="shared" si="7"/>
        <v>2655</v>
      </c>
      <c r="F72" s="15">
        <f t="shared" si="8"/>
        <v>2852.5</v>
      </c>
      <c r="G72" s="15">
        <f t="shared" si="9"/>
        <v>3035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2352.5</v>
      </c>
      <c r="D73" s="15">
        <f t="shared" si="6"/>
        <v>2617.5</v>
      </c>
      <c r="E73" s="15">
        <f t="shared" si="7"/>
        <v>2867.5</v>
      </c>
      <c r="F73" s="15">
        <f t="shared" si="8"/>
        <v>3102.5</v>
      </c>
      <c r="G73" s="15">
        <f t="shared" si="9"/>
        <v>3322.5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2490</v>
      </c>
      <c r="D74" s="15">
        <f t="shared" si="6"/>
        <v>2792.5</v>
      </c>
      <c r="E74" s="15">
        <f t="shared" si="7"/>
        <v>3080</v>
      </c>
      <c r="F74" s="15">
        <f t="shared" si="8"/>
        <v>3352.5</v>
      </c>
      <c r="G74" s="15">
        <f t="shared" si="9"/>
        <v>3610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105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63</v>
      </c>
      <c r="C84" s="13" t="s">
        <v>64</v>
      </c>
      <c r="D84" s="13" t="s">
        <v>65</v>
      </c>
      <c r="E84" s="13" t="s">
        <v>66</v>
      </c>
      <c r="F84" s="13" t="s">
        <v>21</v>
      </c>
      <c r="G84" s="13" t="s">
        <v>81</v>
      </c>
      <c r="H84" s="13" t="s">
        <v>67</v>
      </c>
      <c r="I84" s="13" t="s">
        <v>57</v>
      </c>
      <c r="J84" s="13" t="s">
        <v>68</v>
      </c>
      <c r="K84" s="13" t="s">
        <v>82</v>
      </c>
      <c r="L84" s="13" t="s">
        <v>69</v>
      </c>
      <c r="M84" s="13" t="s">
        <v>28</v>
      </c>
      <c r="N84" s="13" t="s">
        <v>29</v>
      </c>
      <c r="O84" s="13" t="s">
        <v>70</v>
      </c>
      <c r="P84" s="13" t="s">
        <v>60</v>
      </c>
      <c r="Q84" s="13" t="s">
        <v>71</v>
      </c>
      <c r="R84" s="13" t="s">
        <v>72</v>
      </c>
      <c r="S84" s="13" t="s">
        <v>73</v>
      </c>
      <c r="T84" s="13" t="s">
        <v>74</v>
      </c>
      <c r="U84" s="13" t="s">
        <v>75</v>
      </c>
      <c r="V84" s="13" t="s">
        <v>76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1000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0.96</v>
      </c>
      <c r="I85" s="8">
        <f>F85*H85</f>
        <v>960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500</v>
      </c>
      <c r="K85" s="8">
        <f>IF('LSR Sweep'!$C$4="Type-B",Parameters!$L$14,INDEX(Parameters!$D$14:$H$14,1,R85)+(INDEX(Parameters!$D$14:$H$14,1,R85+1)-INDEX(Parameters!$D$14:$H$14,1,R85))*U85)</f>
        <v>0.57999999999999996</v>
      </c>
      <c r="L85" s="8">
        <f>I85+J85</f>
        <v>1460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1000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0.88</v>
      </c>
      <c r="P85" s="8">
        <f>M85*O85</f>
        <v>880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1750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0.92999999999999994</v>
      </c>
      <c r="I86" s="8">
        <f>F86*H86</f>
        <v>1627.5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1250</v>
      </c>
      <c r="K86" s="8">
        <f>IF('LSR Sweep'!$C$4="Type-B",Parameters!$L$14,INDEX(Parameters!$D$14:$H$14,1,R86)+(INDEX(Parameters!$D$14:$H$14,1,R86+1)-INDEX(Parameters!$D$14:$H$14,1,R86))*U86)</f>
        <v>0.59</v>
      </c>
      <c r="L86" s="8">
        <f>I86+J86</f>
        <v>2877.5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0.84000000000000008</v>
      </c>
      <c r="P86" s="8">
        <f>M86*O86</f>
        <v>1260.0000000000002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2500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</v>
      </c>
      <c r="I87" s="8">
        <f>F87*H87</f>
        <v>2250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4250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</v>
      </c>
      <c r="P87" s="8">
        <f>M87*O87</f>
        <v>1600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3250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0.87</v>
      </c>
      <c r="I88" s="8">
        <f>F88*H88</f>
        <v>2827.5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2750</v>
      </c>
      <c r="K88" s="8">
        <f>IF('LSR Sweep'!$C$4="Type-B",Parameters!$L$14,INDEX(Parameters!$D$14:$H$14,1,R88)+(INDEX(Parameters!$D$14:$H$14,1,R88+1)-INDEX(Parameters!$D$14:$H$14,1,R88))*U88)</f>
        <v>0.61</v>
      </c>
      <c r="L88" s="8">
        <f>I88+J88</f>
        <v>5577.5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2500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0.76</v>
      </c>
      <c r="P88" s="8">
        <f>M88*O88</f>
        <v>1900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4000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0.84</v>
      </c>
      <c r="I89" s="8">
        <f>F89*H89</f>
        <v>3360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3500</v>
      </c>
      <c r="K89" s="8">
        <f>IF('LSR Sweep'!$C$4="Type-B",Parameters!$L$14,INDEX(Parameters!$D$14:$H$14,1,R89)+(INDEX(Parameters!$D$14:$H$14,1,R89+1)-INDEX(Parameters!$D$14:$H$14,1,R89))*U89)</f>
        <v>0.62</v>
      </c>
      <c r="L89" s="8">
        <f>I89+J89</f>
        <v>6860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3000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0.72</v>
      </c>
      <c r="P89" s="8">
        <f>M89*O89</f>
        <v>2160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51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50</v>
      </c>
      <c r="D95" s="15">
        <f t="shared" si="11"/>
        <v>75</v>
      </c>
      <c r="E95" s="15">
        <f t="shared" si="12"/>
        <v>100</v>
      </c>
      <c r="F95" s="15">
        <f t="shared" si="13"/>
        <v>125</v>
      </c>
      <c r="G95" s="15">
        <f t="shared" si="14"/>
        <v>150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100</v>
      </c>
      <c r="D96" s="15">
        <f t="shared" si="11"/>
        <v>150</v>
      </c>
      <c r="E96" s="15">
        <f t="shared" si="12"/>
        <v>200</v>
      </c>
      <c r="F96" s="15">
        <f t="shared" si="13"/>
        <v>250</v>
      </c>
      <c r="G96" s="15">
        <f t="shared" si="14"/>
        <v>300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150</v>
      </c>
      <c r="D97" s="15">
        <f t="shared" si="11"/>
        <v>225</v>
      </c>
      <c r="E97" s="15">
        <f t="shared" si="12"/>
        <v>300</v>
      </c>
      <c r="F97" s="15">
        <f t="shared" si="13"/>
        <v>375</v>
      </c>
      <c r="G97" s="15">
        <f t="shared" si="14"/>
        <v>450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200</v>
      </c>
      <c r="D98" s="15">
        <f t="shared" si="11"/>
        <v>300</v>
      </c>
      <c r="E98" s="15">
        <f t="shared" si="12"/>
        <v>400</v>
      </c>
      <c r="F98" s="15">
        <f t="shared" si="13"/>
        <v>500</v>
      </c>
      <c r="G98" s="15">
        <f t="shared" si="14"/>
        <v>600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247.6</v>
      </c>
      <c r="D99" s="15">
        <f t="shared" si="11"/>
        <v>375</v>
      </c>
      <c r="E99" s="15">
        <f t="shared" si="12"/>
        <v>500</v>
      </c>
      <c r="F99" s="15">
        <f t="shared" si="13"/>
        <v>625</v>
      </c>
      <c r="G99" s="15">
        <f t="shared" si="14"/>
        <v>750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291.59999999999997</v>
      </c>
      <c r="D100" s="15">
        <f t="shared" si="11"/>
        <v>439.2</v>
      </c>
      <c r="E100" s="15">
        <f t="shared" si="12"/>
        <v>591.99999999999989</v>
      </c>
      <c r="F100" s="15">
        <f t="shared" si="13"/>
        <v>750</v>
      </c>
      <c r="G100" s="15">
        <f t="shared" si="14"/>
        <v>900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335.59999999999997</v>
      </c>
      <c r="D101" s="15">
        <f t="shared" si="11"/>
        <v>502.2</v>
      </c>
      <c r="E101" s="15">
        <f t="shared" si="12"/>
        <v>671.99999999999989</v>
      </c>
      <c r="F101" s="15">
        <f t="shared" si="13"/>
        <v>848</v>
      </c>
      <c r="G101" s="15">
        <f t="shared" si="14"/>
        <v>1033.1999999999998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379.6</v>
      </c>
      <c r="D102" s="15">
        <f t="shared" si="11"/>
        <v>565.20000000000005</v>
      </c>
      <c r="E102" s="15">
        <f t="shared" si="12"/>
        <v>752</v>
      </c>
      <c r="F102" s="15">
        <f t="shared" si="13"/>
        <v>943</v>
      </c>
      <c r="G102" s="15">
        <f t="shared" si="14"/>
        <v>1141.2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423.6</v>
      </c>
      <c r="D103" s="15">
        <f t="shared" si="11"/>
        <v>628.20000000000005</v>
      </c>
      <c r="E103" s="15">
        <f t="shared" si="12"/>
        <v>832</v>
      </c>
      <c r="F103" s="15">
        <f t="shared" si="13"/>
        <v>1038</v>
      </c>
      <c r="G103" s="15">
        <f t="shared" si="14"/>
        <v>1249.2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467.6</v>
      </c>
      <c r="D104" s="15">
        <f t="shared" si="11"/>
        <v>691.2</v>
      </c>
      <c r="E104" s="15">
        <f t="shared" si="12"/>
        <v>912</v>
      </c>
      <c r="F104" s="15">
        <f t="shared" si="13"/>
        <v>1133</v>
      </c>
      <c r="G104" s="15">
        <f t="shared" si="14"/>
        <v>1357.2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511.60000000000008</v>
      </c>
      <c r="D105" s="15">
        <f t="shared" si="11"/>
        <v>754.2</v>
      </c>
      <c r="E105" s="15">
        <f t="shared" si="12"/>
        <v>992</v>
      </c>
      <c r="F105" s="15">
        <f t="shared" si="13"/>
        <v>1228</v>
      </c>
      <c r="G105" s="15">
        <f t="shared" si="14"/>
        <v>1465.2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555.6</v>
      </c>
      <c r="D106" s="15">
        <f t="shared" si="11"/>
        <v>817.2</v>
      </c>
      <c r="E106" s="15">
        <f t="shared" si="12"/>
        <v>1072</v>
      </c>
      <c r="F106" s="15">
        <f t="shared" si="13"/>
        <v>1323</v>
      </c>
      <c r="G106" s="15">
        <f t="shared" si="14"/>
        <v>1573.1999999999998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599.6</v>
      </c>
      <c r="D107" s="15">
        <f t="shared" si="11"/>
        <v>880.2</v>
      </c>
      <c r="E107" s="15">
        <f t="shared" si="12"/>
        <v>1152</v>
      </c>
      <c r="F107" s="15">
        <f t="shared" si="13"/>
        <v>1418</v>
      </c>
      <c r="G107" s="15">
        <f t="shared" si="14"/>
        <v>1681.2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643.59999999999991</v>
      </c>
      <c r="D108" s="15">
        <f t="shared" si="11"/>
        <v>943.2</v>
      </c>
      <c r="E108" s="15">
        <f t="shared" si="12"/>
        <v>1232</v>
      </c>
      <c r="F108" s="15">
        <f t="shared" si="13"/>
        <v>1513</v>
      </c>
      <c r="G108" s="15">
        <f t="shared" si="14"/>
        <v>1789.1999999999998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687.6</v>
      </c>
      <c r="D109" s="15">
        <f t="shared" si="11"/>
        <v>1006.2000000000002</v>
      </c>
      <c r="E109" s="15">
        <f t="shared" si="12"/>
        <v>1312</v>
      </c>
      <c r="F109" s="15">
        <f t="shared" si="13"/>
        <v>1608</v>
      </c>
      <c r="G109" s="15">
        <f t="shared" si="14"/>
        <v>1897.1999999999998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731.60000000000014</v>
      </c>
      <c r="D110" s="15">
        <f t="shared" si="11"/>
        <v>1069.2000000000003</v>
      </c>
      <c r="E110" s="15">
        <f t="shared" si="12"/>
        <v>1392</v>
      </c>
      <c r="F110" s="15">
        <f t="shared" si="13"/>
        <v>1703</v>
      </c>
      <c r="G110" s="15">
        <f t="shared" si="14"/>
        <v>2005.2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775.6</v>
      </c>
      <c r="D111" s="15">
        <f t="shared" si="11"/>
        <v>1132.2</v>
      </c>
      <c r="E111" s="15">
        <f t="shared" si="12"/>
        <v>1472</v>
      </c>
      <c r="F111" s="15">
        <f t="shared" si="13"/>
        <v>1798</v>
      </c>
      <c r="G111" s="15">
        <f t="shared" si="14"/>
        <v>2113.1999999999998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819.6</v>
      </c>
      <c r="D112" s="15">
        <f t="shared" si="11"/>
        <v>1195.2000000000003</v>
      </c>
      <c r="E112" s="15">
        <f t="shared" si="12"/>
        <v>1552</v>
      </c>
      <c r="F112" s="15">
        <f t="shared" si="13"/>
        <v>1893</v>
      </c>
      <c r="G112" s="15">
        <f t="shared" si="14"/>
        <v>2221.1999999999998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863.6</v>
      </c>
      <c r="D113" s="15">
        <f t="shared" si="11"/>
        <v>1258.2</v>
      </c>
      <c r="E113" s="15">
        <f t="shared" si="12"/>
        <v>1632</v>
      </c>
      <c r="F113" s="15">
        <f t="shared" si="13"/>
        <v>1988</v>
      </c>
      <c r="G113" s="15">
        <f t="shared" si="14"/>
        <v>2329.1999999999998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907.6</v>
      </c>
      <c r="D114" s="15">
        <f t="shared" si="11"/>
        <v>1321.2000000000003</v>
      </c>
      <c r="E114" s="15">
        <f t="shared" si="12"/>
        <v>1712</v>
      </c>
      <c r="F114" s="15">
        <f t="shared" si="13"/>
        <v>2083</v>
      </c>
      <c r="G114" s="15">
        <f t="shared" si="14"/>
        <v>2437.1999999999998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106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63</v>
      </c>
      <c r="C124" s="13" t="s">
        <v>64</v>
      </c>
      <c r="D124" s="13" t="s">
        <v>65</v>
      </c>
      <c r="E124" s="13" t="s">
        <v>66</v>
      </c>
      <c r="F124" s="13" t="s">
        <v>21</v>
      </c>
      <c r="G124" s="13" t="s">
        <v>81</v>
      </c>
      <c r="H124" s="13" t="s">
        <v>67</v>
      </c>
      <c r="I124" s="13" t="s">
        <v>57</v>
      </c>
      <c r="J124" s="13" t="s">
        <v>68</v>
      </c>
      <c r="K124" s="13" t="s">
        <v>82</v>
      </c>
      <c r="L124" s="13" t="s">
        <v>69</v>
      </c>
      <c r="M124" s="13" t="s">
        <v>28</v>
      </c>
      <c r="N124" s="13" t="s">
        <v>29</v>
      </c>
      <c r="O124" s="13" t="s">
        <v>70</v>
      </c>
      <c r="P124" s="13" t="s">
        <v>60</v>
      </c>
      <c r="Q124" s="13" t="s">
        <v>71</v>
      </c>
      <c r="R124" s="13" t="s">
        <v>72</v>
      </c>
      <c r="S124" s="13" t="s">
        <v>73</v>
      </c>
      <c r="T124" s="13" t="s">
        <v>74</v>
      </c>
      <c r="U124" s="13" t="s">
        <v>75</v>
      </c>
      <c r="V124" s="13" t="s">
        <v>76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1000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0.96</v>
      </c>
      <c r="I125" s="8">
        <f>F125*H125</f>
        <v>960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1460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1000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0.88</v>
      </c>
      <c r="P125" s="8">
        <f>M125*O125</f>
        <v>880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1750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0.92999999999999994</v>
      </c>
      <c r="I126" s="8">
        <f>F126*H126</f>
        <v>1627.5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1250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2877.5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0.84000000000000008</v>
      </c>
      <c r="P126" s="8">
        <f>M126*O126</f>
        <v>1260.0000000000002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2500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</v>
      </c>
      <c r="I127" s="8">
        <f>F127*H127</f>
        <v>2250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4250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</v>
      </c>
      <c r="P127" s="8">
        <f>M127*O127</f>
        <v>1600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3250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0.87</v>
      </c>
      <c r="I128" s="8">
        <f>F128*H128</f>
        <v>2827.5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2750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5577.5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2500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0.76</v>
      </c>
      <c r="P128" s="8">
        <f>M128*O128</f>
        <v>1900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4000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0.84</v>
      </c>
      <c r="I129" s="8">
        <f>F129*H129</f>
        <v>3360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3500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6860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3000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0.72</v>
      </c>
      <c r="P129" s="8">
        <f>M129*O129</f>
        <v>2160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51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50</v>
      </c>
      <c r="D135" s="15">
        <f t="shared" si="16"/>
        <v>87.5</v>
      </c>
      <c r="E135" s="15">
        <f t="shared" si="17"/>
        <v>125</v>
      </c>
      <c r="F135" s="15">
        <f t="shared" si="18"/>
        <v>162.5</v>
      </c>
      <c r="G135" s="15">
        <f t="shared" si="19"/>
        <v>200</v>
      </c>
      <c r="H135" s="15">
        <f t="shared" si="20"/>
        <v>-50</v>
      </c>
      <c r="I135" s="15">
        <f t="shared" si="21"/>
        <v>-75</v>
      </c>
      <c r="J135" s="15">
        <f t="shared" si="22"/>
        <v>-100</v>
      </c>
      <c r="K135" s="15">
        <f t="shared" si="23"/>
        <v>-125</v>
      </c>
      <c r="L135" s="15">
        <f t="shared" si="24"/>
        <v>-150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100</v>
      </c>
      <c r="D136" s="15">
        <f t="shared" si="16"/>
        <v>175</v>
      </c>
      <c r="E136" s="15">
        <f t="shared" si="17"/>
        <v>250</v>
      </c>
      <c r="F136" s="15">
        <f t="shared" si="18"/>
        <v>325</v>
      </c>
      <c r="G136" s="15">
        <f t="shared" si="19"/>
        <v>400</v>
      </c>
      <c r="H136" s="15">
        <f t="shared" si="20"/>
        <v>-100</v>
      </c>
      <c r="I136" s="15">
        <f t="shared" si="21"/>
        <v>-150</v>
      </c>
      <c r="J136" s="15">
        <f t="shared" si="22"/>
        <v>-200</v>
      </c>
      <c r="K136" s="15">
        <f t="shared" si="23"/>
        <v>-250</v>
      </c>
      <c r="L136" s="15">
        <f t="shared" si="24"/>
        <v>-300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148.80000000000001</v>
      </c>
      <c r="D137" s="15">
        <f t="shared" si="16"/>
        <v>258.82499999999999</v>
      </c>
      <c r="E137" s="15">
        <f t="shared" si="17"/>
        <v>367.5</v>
      </c>
      <c r="F137" s="15">
        <f t="shared" si="18"/>
        <v>474.82499999999999</v>
      </c>
      <c r="G137" s="15">
        <f t="shared" si="19"/>
        <v>580.79999999999995</v>
      </c>
      <c r="H137" s="15">
        <f t="shared" si="20"/>
        <v>-150</v>
      </c>
      <c r="I137" s="15">
        <f t="shared" si="21"/>
        <v>-225</v>
      </c>
      <c r="J137" s="15">
        <f t="shared" si="22"/>
        <v>-300</v>
      </c>
      <c r="K137" s="15">
        <f t="shared" si="23"/>
        <v>-375</v>
      </c>
      <c r="L137" s="15">
        <f t="shared" si="24"/>
        <v>-450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196.8</v>
      </c>
      <c r="D138" s="15">
        <f t="shared" si="16"/>
        <v>340.20000000000005</v>
      </c>
      <c r="E138" s="15">
        <f t="shared" si="17"/>
        <v>480</v>
      </c>
      <c r="F138" s="15">
        <f t="shared" si="18"/>
        <v>616.20000000000005</v>
      </c>
      <c r="G138" s="15">
        <f t="shared" si="19"/>
        <v>748.80000000000007</v>
      </c>
      <c r="H138" s="15">
        <f t="shared" si="20"/>
        <v>-200</v>
      </c>
      <c r="I138" s="15">
        <f t="shared" si="21"/>
        <v>-300</v>
      </c>
      <c r="J138" s="15">
        <f t="shared" si="22"/>
        <v>-400</v>
      </c>
      <c r="K138" s="15">
        <f t="shared" si="23"/>
        <v>-500</v>
      </c>
      <c r="L138" s="15">
        <f t="shared" si="24"/>
        <v>-600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244.8</v>
      </c>
      <c r="D139" s="15">
        <f t="shared" si="16"/>
        <v>421.57500000000005</v>
      </c>
      <c r="E139" s="15">
        <f t="shared" si="17"/>
        <v>592.5</v>
      </c>
      <c r="F139" s="15">
        <f t="shared" si="18"/>
        <v>757.57500000000005</v>
      </c>
      <c r="G139" s="15">
        <f t="shared" si="19"/>
        <v>916.8</v>
      </c>
      <c r="H139" s="15">
        <f t="shared" si="20"/>
        <v>-247.6</v>
      </c>
      <c r="I139" s="15">
        <f t="shared" si="21"/>
        <v>-375</v>
      </c>
      <c r="J139" s="15">
        <f t="shared" si="22"/>
        <v>-500</v>
      </c>
      <c r="K139" s="15">
        <f t="shared" si="23"/>
        <v>-625</v>
      </c>
      <c r="L139" s="15">
        <f t="shared" si="24"/>
        <v>-750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292.79999999999995</v>
      </c>
      <c r="D140" s="15">
        <f t="shared" si="16"/>
        <v>502.95</v>
      </c>
      <c r="E140" s="15">
        <f t="shared" si="17"/>
        <v>705</v>
      </c>
      <c r="F140" s="15">
        <f t="shared" si="18"/>
        <v>898.95</v>
      </c>
      <c r="G140" s="15">
        <f t="shared" si="19"/>
        <v>1084.8</v>
      </c>
      <c r="H140" s="15">
        <f t="shared" si="20"/>
        <v>-291.59999999999997</v>
      </c>
      <c r="I140" s="15">
        <f t="shared" si="21"/>
        <v>-439.2</v>
      </c>
      <c r="J140" s="15">
        <f t="shared" si="22"/>
        <v>-591.99999999999989</v>
      </c>
      <c r="K140" s="15">
        <f t="shared" si="23"/>
        <v>-750</v>
      </c>
      <c r="L140" s="15">
        <f t="shared" si="24"/>
        <v>-900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340.79999999999995</v>
      </c>
      <c r="D141" s="15">
        <f t="shared" si="16"/>
        <v>584.32500000000005</v>
      </c>
      <c r="E141" s="15">
        <f t="shared" si="17"/>
        <v>817.5</v>
      </c>
      <c r="F141" s="15">
        <f t="shared" si="18"/>
        <v>1040.3249999999998</v>
      </c>
      <c r="G141" s="15">
        <f t="shared" si="19"/>
        <v>1252.8</v>
      </c>
      <c r="H141" s="15">
        <f t="shared" si="20"/>
        <v>-335.59999999999997</v>
      </c>
      <c r="I141" s="15">
        <f t="shared" si="21"/>
        <v>-502.2</v>
      </c>
      <c r="J141" s="15">
        <f t="shared" si="22"/>
        <v>-671.99999999999989</v>
      </c>
      <c r="K141" s="15">
        <f t="shared" si="23"/>
        <v>-848</v>
      </c>
      <c r="L141" s="15">
        <f t="shared" si="24"/>
        <v>-1033.1999999999998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388.8</v>
      </c>
      <c r="D142" s="15">
        <f t="shared" si="16"/>
        <v>665.7</v>
      </c>
      <c r="E142" s="15">
        <f t="shared" si="17"/>
        <v>930.00000000000011</v>
      </c>
      <c r="F142" s="15">
        <f t="shared" si="18"/>
        <v>1181.7</v>
      </c>
      <c r="G142" s="15">
        <f t="shared" si="19"/>
        <v>1420.8000000000002</v>
      </c>
      <c r="H142" s="15">
        <f t="shared" si="20"/>
        <v>-379.6</v>
      </c>
      <c r="I142" s="15">
        <f t="shared" si="21"/>
        <v>-565.20000000000005</v>
      </c>
      <c r="J142" s="15">
        <f t="shared" si="22"/>
        <v>-752</v>
      </c>
      <c r="K142" s="15">
        <f t="shared" si="23"/>
        <v>-943</v>
      </c>
      <c r="L142" s="15">
        <f t="shared" si="24"/>
        <v>-1141.2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436.8</v>
      </c>
      <c r="D143" s="15">
        <f t="shared" si="16"/>
        <v>747.07500000000005</v>
      </c>
      <c r="E143" s="15">
        <f t="shared" si="17"/>
        <v>1042.5</v>
      </c>
      <c r="F143" s="15">
        <f t="shared" si="18"/>
        <v>1323.075</v>
      </c>
      <c r="G143" s="15">
        <f t="shared" si="19"/>
        <v>1588.8</v>
      </c>
      <c r="H143" s="15">
        <f t="shared" si="20"/>
        <v>-423.6</v>
      </c>
      <c r="I143" s="15">
        <f t="shared" si="21"/>
        <v>-628.20000000000005</v>
      </c>
      <c r="J143" s="15">
        <f t="shared" si="22"/>
        <v>-832</v>
      </c>
      <c r="K143" s="15">
        <f t="shared" si="23"/>
        <v>-1038</v>
      </c>
      <c r="L143" s="15">
        <f t="shared" si="24"/>
        <v>-1249.2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484.8</v>
      </c>
      <c r="D144" s="15">
        <f t="shared" si="16"/>
        <v>828.45</v>
      </c>
      <c r="E144" s="15">
        <f t="shared" si="17"/>
        <v>1155</v>
      </c>
      <c r="F144" s="15">
        <f t="shared" si="18"/>
        <v>1464.45</v>
      </c>
      <c r="G144" s="15">
        <f t="shared" si="19"/>
        <v>1756.8</v>
      </c>
      <c r="H144" s="15">
        <f t="shared" si="20"/>
        <v>-467.6</v>
      </c>
      <c r="I144" s="15">
        <f t="shared" si="21"/>
        <v>-691.2</v>
      </c>
      <c r="J144" s="15">
        <f t="shared" si="22"/>
        <v>-912</v>
      </c>
      <c r="K144" s="15">
        <f t="shared" si="23"/>
        <v>-1133</v>
      </c>
      <c r="L144" s="15">
        <f t="shared" si="24"/>
        <v>-1357.2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532.80000000000007</v>
      </c>
      <c r="D145" s="15">
        <f t="shared" si="16"/>
        <v>909.82500000000005</v>
      </c>
      <c r="E145" s="15">
        <f t="shared" si="17"/>
        <v>1267.5</v>
      </c>
      <c r="F145" s="15">
        <f t="shared" si="18"/>
        <v>1605.825</v>
      </c>
      <c r="G145" s="15">
        <f t="shared" si="19"/>
        <v>1924.8000000000002</v>
      </c>
      <c r="H145" s="15">
        <f t="shared" si="20"/>
        <v>-511.60000000000008</v>
      </c>
      <c r="I145" s="15">
        <f t="shared" si="21"/>
        <v>-754.2</v>
      </c>
      <c r="J145" s="15">
        <f t="shared" si="22"/>
        <v>-992</v>
      </c>
      <c r="K145" s="15">
        <f t="shared" si="23"/>
        <v>-1228</v>
      </c>
      <c r="L145" s="15">
        <f t="shared" si="24"/>
        <v>-1465.2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590.79999999999995</v>
      </c>
      <c r="D146" s="15">
        <f t="shared" si="16"/>
        <v>1003.6999999999999</v>
      </c>
      <c r="E146" s="15">
        <f t="shared" si="17"/>
        <v>1380</v>
      </c>
      <c r="F146" s="15">
        <f t="shared" si="18"/>
        <v>1747.2</v>
      </c>
      <c r="G146" s="15">
        <f t="shared" si="19"/>
        <v>2092.8000000000002</v>
      </c>
      <c r="H146" s="15">
        <f t="shared" si="20"/>
        <v>-555.6</v>
      </c>
      <c r="I146" s="15">
        <f t="shared" si="21"/>
        <v>-817.2</v>
      </c>
      <c r="J146" s="15">
        <f t="shared" si="22"/>
        <v>-1072</v>
      </c>
      <c r="K146" s="15">
        <f t="shared" si="23"/>
        <v>-1323</v>
      </c>
      <c r="L146" s="15">
        <f t="shared" si="24"/>
        <v>-1573.1999999999998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663.8</v>
      </c>
      <c r="D147" s="15">
        <f t="shared" si="16"/>
        <v>1147.575</v>
      </c>
      <c r="E147" s="15">
        <f t="shared" si="17"/>
        <v>1592.5</v>
      </c>
      <c r="F147" s="15">
        <f t="shared" si="18"/>
        <v>1998.575</v>
      </c>
      <c r="G147" s="15">
        <f t="shared" si="19"/>
        <v>2365.8000000000002</v>
      </c>
      <c r="H147" s="15">
        <f t="shared" si="20"/>
        <v>-599.6</v>
      </c>
      <c r="I147" s="15">
        <f t="shared" si="21"/>
        <v>-880.2</v>
      </c>
      <c r="J147" s="15">
        <f t="shared" si="22"/>
        <v>-1152</v>
      </c>
      <c r="K147" s="15">
        <f t="shared" si="23"/>
        <v>-1418</v>
      </c>
      <c r="L147" s="15">
        <f t="shared" si="24"/>
        <v>-1681.2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736.8</v>
      </c>
      <c r="D148" s="15">
        <f t="shared" si="16"/>
        <v>1291.4499999999998</v>
      </c>
      <c r="E148" s="15">
        <f t="shared" si="17"/>
        <v>1805</v>
      </c>
      <c r="F148" s="15">
        <f t="shared" si="18"/>
        <v>2277.4499999999998</v>
      </c>
      <c r="G148" s="15">
        <f t="shared" si="19"/>
        <v>2708.8</v>
      </c>
      <c r="H148" s="15">
        <f t="shared" si="20"/>
        <v>-643.59999999999991</v>
      </c>
      <c r="I148" s="15">
        <f t="shared" si="21"/>
        <v>-943.2</v>
      </c>
      <c r="J148" s="15">
        <f t="shared" si="22"/>
        <v>-1232</v>
      </c>
      <c r="K148" s="15">
        <f t="shared" si="23"/>
        <v>-1513</v>
      </c>
      <c r="L148" s="15">
        <f t="shared" si="24"/>
        <v>-1789.1999999999998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809.8</v>
      </c>
      <c r="D149" s="15">
        <f t="shared" si="16"/>
        <v>1435.325</v>
      </c>
      <c r="E149" s="15">
        <f t="shared" si="17"/>
        <v>2017.5</v>
      </c>
      <c r="F149" s="15">
        <f t="shared" si="18"/>
        <v>2556.3249999999998</v>
      </c>
      <c r="G149" s="15">
        <f t="shared" si="19"/>
        <v>3051.8</v>
      </c>
      <c r="H149" s="15">
        <f t="shared" si="20"/>
        <v>-687.6</v>
      </c>
      <c r="I149" s="15">
        <f t="shared" si="21"/>
        <v>-1006.2000000000002</v>
      </c>
      <c r="J149" s="15">
        <f t="shared" si="22"/>
        <v>-1312</v>
      </c>
      <c r="K149" s="15">
        <f t="shared" si="23"/>
        <v>-1608</v>
      </c>
      <c r="L149" s="15">
        <f t="shared" si="24"/>
        <v>-1897.1999999999998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882.80000000000007</v>
      </c>
      <c r="D150" s="15">
        <f t="shared" si="16"/>
        <v>1579.2000000000003</v>
      </c>
      <c r="E150" s="15">
        <f t="shared" si="17"/>
        <v>2230</v>
      </c>
      <c r="F150" s="15">
        <f t="shared" si="18"/>
        <v>2835.2</v>
      </c>
      <c r="G150" s="15">
        <f t="shared" si="19"/>
        <v>3394.8</v>
      </c>
      <c r="H150" s="15">
        <f t="shared" si="20"/>
        <v>-731.60000000000014</v>
      </c>
      <c r="I150" s="15">
        <f t="shared" si="21"/>
        <v>-1069.2000000000003</v>
      </c>
      <c r="J150" s="15">
        <f t="shared" si="22"/>
        <v>-1392</v>
      </c>
      <c r="K150" s="15">
        <f t="shared" si="23"/>
        <v>-1703</v>
      </c>
      <c r="L150" s="15">
        <f t="shared" si="24"/>
        <v>-2005.2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955.8</v>
      </c>
      <c r="D151" s="15">
        <f t="shared" si="16"/>
        <v>1723.075</v>
      </c>
      <c r="E151" s="15">
        <f t="shared" si="17"/>
        <v>2442.5</v>
      </c>
      <c r="F151" s="15">
        <f t="shared" si="18"/>
        <v>3114.0749999999998</v>
      </c>
      <c r="G151" s="15">
        <f t="shared" si="19"/>
        <v>3737.7999999999997</v>
      </c>
      <c r="H151" s="15">
        <f t="shared" si="20"/>
        <v>-775.6</v>
      </c>
      <c r="I151" s="15">
        <f t="shared" si="21"/>
        <v>-1132.2</v>
      </c>
      <c r="J151" s="15">
        <f t="shared" si="22"/>
        <v>-1472</v>
      </c>
      <c r="K151" s="15">
        <f t="shared" si="23"/>
        <v>-1798</v>
      </c>
      <c r="L151" s="15">
        <f t="shared" si="24"/>
        <v>-2113.1999999999998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1028.8000000000002</v>
      </c>
      <c r="D152" s="15">
        <f t="shared" si="16"/>
        <v>1866.95</v>
      </c>
      <c r="E152" s="15">
        <f t="shared" si="17"/>
        <v>2655</v>
      </c>
      <c r="F152" s="15">
        <f t="shared" si="18"/>
        <v>3392.9500000000003</v>
      </c>
      <c r="G152" s="15">
        <f t="shared" si="19"/>
        <v>4080.8</v>
      </c>
      <c r="H152" s="15">
        <f t="shared" si="20"/>
        <v>-819.6</v>
      </c>
      <c r="I152" s="15">
        <f t="shared" si="21"/>
        <v>-1195.2000000000003</v>
      </c>
      <c r="J152" s="15">
        <f t="shared" si="22"/>
        <v>-1552</v>
      </c>
      <c r="K152" s="15">
        <f t="shared" si="23"/>
        <v>-1893</v>
      </c>
      <c r="L152" s="15">
        <f t="shared" si="24"/>
        <v>-2221.1999999999998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1101.8</v>
      </c>
      <c r="D153" s="15">
        <f t="shared" si="16"/>
        <v>2010.825</v>
      </c>
      <c r="E153" s="15">
        <f t="shared" si="17"/>
        <v>2867.5</v>
      </c>
      <c r="F153" s="15">
        <f t="shared" si="18"/>
        <v>3671.8249999999998</v>
      </c>
      <c r="G153" s="15">
        <f t="shared" si="19"/>
        <v>4423.7999999999993</v>
      </c>
      <c r="H153" s="15">
        <f t="shared" si="20"/>
        <v>-863.6</v>
      </c>
      <c r="I153" s="15">
        <f t="shared" si="21"/>
        <v>-1258.2</v>
      </c>
      <c r="J153" s="15">
        <f t="shared" si="22"/>
        <v>-1632</v>
      </c>
      <c r="K153" s="15">
        <f t="shared" si="23"/>
        <v>-1988</v>
      </c>
      <c r="L153" s="15">
        <f t="shared" si="24"/>
        <v>-2329.1999999999998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1174.8</v>
      </c>
      <c r="D154" s="15">
        <f t="shared" si="16"/>
        <v>2154.6999999999998</v>
      </c>
      <c r="E154" s="15">
        <f t="shared" si="17"/>
        <v>3080</v>
      </c>
      <c r="F154" s="15">
        <f t="shared" si="18"/>
        <v>3950.7</v>
      </c>
      <c r="G154" s="15">
        <f t="shared" si="19"/>
        <v>4766.8</v>
      </c>
      <c r="H154" s="15">
        <f t="shared" si="20"/>
        <v>-907.6</v>
      </c>
      <c r="I154" s="15">
        <f t="shared" si="21"/>
        <v>-1321.2000000000003</v>
      </c>
      <c r="J154" s="15">
        <f t="shared" si="22"/>
        <v>-1712</v>
      </c>
      <c r="K154" s="15">
        <f t="shared" si="23"/>
        <v>-2083</v>
      </c>
      <c r="L154" s="15">
        <f t="shared" si="24"/>
        <v>-2437.1999999999998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80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63</v>
      </c>
      <c r="C164" t="s">
        <v>64</v>
      </c>
      <c r="D164" t="s">
        <v>65</v>
      </c>
      <c r="E164" t="s">
        <v>66</v>
      </c>
      <c r="F164" t="s">
        <v>21</v>
      </c>
      <c r="G164" t="s">
        <v>81</v>
      </c>
      <c r="H164" t="s">
        <v>67</v>
      </c>
      <c r="I164" t="s">
        <v>57</v>
      </c>
      <c r="J164" t="s">
        <v>68</v>
      </c>
      <c r="K164" t="s">
        <v>82</v>
      </c>
      <c r="L164" t="s">
        <v>69</v>
      </c>
      <c r="M164" t="s">
        <v>28</v>
      </c>
      <c r="N164" t="s">
        <v>29</v>
      </c>
      <c r="O164" t="s">
        <v>70</v>
      </c>
      <c r="P164" t="s">
        <v>60</v>
      </c>
      <c r="Q164" t="s">
        <v>71</v>
      </c>
      <c r="R164" t="s">
        <v>72</v>
      </c>
      <c r="S164" t="s">
        <v>73</v>
      </c>
      <c r="T164" t="s">
        <v>74</v>
      </c>
      <c r="U164" t="s">
        <v>75</v>
      </c>
      <c r="V164" t="s">
        <v>76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</v>
      </c>
      <c r="I165">
        <f>F165*H165</f>
        <v>2250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2000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4250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</v>
      </c>
      <c r="P165">
        <f>M165*O165</f>
        <v>1600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2026-10-03T17:49:33Z</dcterms:modified>
</cp:coreProperties>
</file>